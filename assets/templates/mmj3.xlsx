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instantwingamingltd-my.sharepoint.com/personal/chaoyu_chu_instantwingaming_com/Documents/Documents/PPS_Codex/"/>
    </mc:Choice>
  </mc:AlternateContent>
  <xr:revisionPtr revIDLastSave="0" documentId="11_9309626D3037070BFA09DEE940ED5935E480F151" xr6:coauthVersionLast="47" xr6:coauthVersionMax="47" xr10:uidLastSave="{00000000-0000-0000-0000-000000000000}"/>
  <bookViews>
    <workbookView xWindow="-108" yWindow="-108" windowWidth="23256" windowHeight="12456" tabRatio="707" activeTab="4" xr2:uid="{00000000-000D-0000-FFFF-FFFF00000000}"/>
  </bookViews>
  <sheets>
    <sheet name="Frequency" sheetId="1" r:id="rId1"/>
    <sheet name="Progressive Jackpots" sheetId="2" r:id="rId2"/>
    <sheet name="Delivery" sheetId="3" r:id="rId3"/>
    <sheet name="Odds Table" sheetId="4" r:id="rId4"/>
    <sheet name="Summary(Delivery)" sheetId="5" r:id="rId5"/>
    <sheet name="Prize Breakdown" sheetId="6" r:id="rId6"/>
    <sheet name="Summary" sheetId="7" r:id="rId7"/>
    <sheet name="Tiers" sheetId="8" r:id="rId8"/>
    <sheet name="Win Methods" sheetId="9" r:id="rId9"/>
    <sheet name="Pay Table" sheetId="10" r:id="rId10"/>
    <sheet name="Free Plays" sheetId="11" r:id="rId11"/>
    <sheet name="Data Analysis" sheetId="12" r:id="rId12"/>
    <sheet name="Unit Test" sheetId="13" r:id="rId13"/>
  </sheets>
  <definedNames>
    <definedName name="_xlnm._FilterDatabase" localSheetId="0" hidden="1">Frequency!$B$3:$K$335</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J409" i="12" l="1"/>
  <c r="AW409" i="12"/>
  <c r="AV409" i="12"/>
  <c r="E408" i="12"/>
  <c r="BP408" i="12" s="1"/>
  <c r="B408" i="12"/>
  <c r="E407" i="12"/>
  <c r="B407" i="12"/>
  <c r="E406" i="12"/>
  <c r="B406" i="12"/>
  <c r="BP405" i="12"/>
  <c r="E405" i="12"/>
  <c r="B405" i="12"/>
  <c r="BP404" i="12"/>
  <c r="E404" i="12"/>
  <c r="B404" i="12"/>
  <c r="BP403" i="12"/>
  <c r="E403" i="12"/>
  <c r="B403" i="12"/>
  <c r="BP402" i="12"/>
  <c r="E402" i="12"/>
  <c r="B402" i="12"/>
  <c r="BP401" i="12"/>
  <c r="E401" i="12"/>
  <c r="B401" i="12"/>
  <c r="BP400" i="12"/>
  <c r="E400" i="12"/>
  <c r="B400" i="12"/>
  <c r="BP399" i="12"/>
  <c r="E399" i="12"/>
  <c r="B399" i="12"/>
  <c r="BP398" i="12"/>
  <c r="E398" i="12"/>
  <c r="B398" i="12"/>
  <c r="BP397" i="12"/>
  <c r="E397" i="12"/>
  <c r="B397" i="12"/>
  <c r="BP396" i="12"/>
  <c r="E396" i="12"/>
  <c r="B396" i="12"/>
  <c r="BP395" i="12"/>
  <c r="E395" i="12"/>
  <c r="B395" i="12"/>
  <c r="BP394" i="12"/>
  <c r="E394" i="12"/>
  <c r="B394" i="12"/>
  <c r="BP393" i="12"/>
  <c r="E393" i="12"/>
  <c r="B393" i="12"/>
  <c r="BP392" i="12"/>
  <c r="E392" i="12"/>
  <c r="B392" i="12"/>
  <c r="BP391" i="12"/>
  <c r="E391" i="12"/>
  <c r="B391" i="12"/>
  <c r="BP390" i="12"/>
  <c r="E390" i="12"/>
  <c r="B390" i="12"/>
  <c r="BP389" i="12"/>
  <c r="E389" i="12"/>
  <c r="B389" i="12"/>
  <c r="BP388" i="12"/>
  <c r="E388" i="12"/>
  <c r="B388" i="12"/>
  <c r="BP387" i="12"/>
  <c r="E387" i="12"/>
  <c r="B387" i="12"/>
  <c r="BP386" i="12"/>
  <c r="E386" i="12"/>
  <c r="B386" i="12"/>
  <c r="BP385" i="12"/>
  <c r="E385" i="12"/>
  <c r="B385" i="12"/>
  <c r="BP384" i="12"/>
  <c r="E384" i="12"/>
  <c r="B384" i="12"/>
  <c r="BP383" i="12"/>
  <c r="E383" i="12"/>
  <c r="B383" i="12"/>
  <c r="BP382" i="12"/>
  <c r="E382" i="12"/>
  <c r="B382" i="12"/>
  <c r="BP381" i="12"/>
  <c r="E381" i="12"/>
  <c r="B381" i="12"/>
  <c r="BP380" i="12"/>
  <c r="E380" i="12"/>
  <c r="B380" i="12"/>
  <c r="BP379" i="12"/>
  <c r="E379" i="12"/>
  <c r="B379" i="12"/>
  <c r="BP378" i="12"/>
  <c r="E378" i="12"/>
  <c r="B378" i="12"/>
  <c r="BP377" i="12"/>
  <c r="E377" i="12"/>
  <c r="B377" i="12"/>
  <c r="BP376" i="12"/>
  <c r="E376" i="12"/>
  <c r="B376" i="12"/>
  <c r="BP375" i="12"/>
  <c r="E375" i="12"/>
  <c r="B375" i="12"/>
  <c r="BP374" i="12"/>
  <c r="E374" i="12"/>
  <c r="B374" i="12"/>
  <c r="BP373" i="12"/>
  <c r="E373" i="12"/>
  <c r="B373" i="12"/>
  <c r="BP372" i="12"/>
  <c r="E372" i="12"/>
  <c r="B372" i="12"/>
  <c r="BP371" i="12"/>
  <c r="E371" i="12"/>
  <c r="B371" i="12"/>
  <c r="BP370" i="12"/>
  <c r="E370" i="12"/>
  <c r="B370" i="12"/>
  <c r="BP369" i="12"/>
  <c r="E369" i="12"/>
  <c r="B369" i="12"/>
  <c r="BP368" i="12"/>
  <c r="AL368" i="12"/>
  <c r="AM368" i="12" s="1"/>
  <c r="AN368" i="12" s="1"/>
  <c r="E368" i="12"/>
  <c r="B368" i="12"/>
  <c r="BP367" i="12"/>
  <c r="E367" i="12"/>
  <c r="B367" i="12"/>
  <c r="BP366" i="12"/>
  <c r="AI366" i="12"/>
  <c r="AJ366" i="12" s="1"/>
  <c r="E366" i="12"/>
  <c r="B366" i="12"/>
  <c r="BP365" i="12"/>
  <c r="E365" i="12"/>
  <c r="B365" i="12"/>
  <c r="BP364" i="12"/>
  <c r="E364" i="12"/>
  <c r="B364" i="12"/>
  <c r="BP363" i="12"/>
  <c r="E363" i="12"/>
  <c r="B363" i="12"/>
  <c r="BP362" i="12"/>
  <c r="E362" i="12"/>
  <c r="B362" i="12"/>
  <c r="BP361" i="12"/>
  <c r="E361" i="12"/>
  <c r="B361" i="12"/>
  <c r="BP360" i="12"/>
  <c r="BA360" i="12"/>
  <c r="BB360" i="12" s="1"/>
  <c r="E360" i="12"/>
  <c r="B360" i="12"/>
  <c r="BP359" i="12"/>
  <c r="E359" i="12"/>
  <c r="B359" i="12"/>
  <c r="BP358" i="12"/>
  <c r="E358" i="12"/>
  <c r="B358" i="12"/>
  <c r="BP357" i="12"/>
  <c r="E357" i="12"/>
  <c r="B357" i="12"/>
  <c r="BP356" i="12"/>
  <c r="E356" i="12"/>
  <c r="B356" i="12"/>
  <c r="BP355" i="12"/>
  <c r="E355" i="12"/>
  <c r="B355" i="12"/>
  <c r="BP354" i="12"/>
  <c r="E354" i="12"/>
  <c r="B354" i="12"/>
  <c r="BP353" i="12"/>
  <c r="E353" i="12"/>
  <c r="B353" i="12"/>
  <c r="BP352" i="12"/>
  <c r="E352" i="12"/>
  <c r="B352" i="12"/>
  <c r="BP351" i="12"/>
  <c r="E351" i="12"/>
  <c r="B351" i="12"/>
  <c r="BP350" i="12"/>
  <c r="E350" i="12"/>
  <c r="B350" i="12"/>
  <c r="BP349" i="12"/>
  <c r="AU349" i="12"/>
  <c r="E349" i="12"/>
  <c r="B349" i="12"/>
  <c r="BP348" i="12"/>
  <c r="E348" i="12"/>
  <c r="B348" i="12"/>
  <c r="BP347" i="12"/>
  <c r="E347" i="12"/>
  <c r="B347" i="12"/>
  <c r="BP346" i="12"/>
  <c r="E346" i="12"/>
  <c r="B346" i="12"/>
  <c r="BP345" i="12"/>
  <c r="E345" i="12"/>
  <c r="B345" i="12"/>
  <c r="BP344" i="12"/>
  <c r="E344" i="12"/>
  <c r="B344" i="12"/>
  <c r="BP343" i="12"/>
  <c r="E343" i="12"/>
  <c r="B343" i="12"/>
  <c r="BP342" i="12"/>
  <c r="E342" i="12"/>
  <c r="B342" i="12"/>
  <c r="BP341" i="12"/>
  <c r="E341" i="12"/>
  <c r="B341" i="12"/>
  <c r="BP340" i="12"/>
  <c r="E340" i="12"/>
  <c r="B340" i="12"/>
  <c r="BP339" i="12"/>
  <c r="E339" i="12"/>
  <c r="B339" i="12"/>
  <c r="BP338" i="12"/>
  <c r="E338" i="12"/>
  <c r="B338" i="12"/>
  <c r="BP337" i="12"/>
  <c r="E337" i="12"/>
  <c r="B337" i="12"/>
  <c r="BP336" i="12"/>
  <c r="E336" i="12"/>
  <c r="B336" i="12"/>
  <c r="BP335" i="12"/>
  <c r="E335" i="12"/>
  <c r="B335" i="12"/>
  <c r="BP334" i="12"/>
  <c r="E334" i="12"/>
  <c r="B334" i="12"/>
  <c r="BP333" i="12"/>
  <c r="E333" i="12"/>
  <c r="B333" i="12"/>
  <c r="BP332" i="12"/>
  <c r="E332" i="12"/>
  <c r="B332" i="12"/>
  <c r="BP331" i="12"/>
  <c r="E331" i="12"/>
  <c r="B331" i="12"/>
  <c r="BP330" i="12"/>
  <c r="E330" i="12"/>
  <c r="B330" i="12"/>
  <c r="BP329" i="12"/>
  <c r="E329" i="12"/>
  <c r="B329" i="12"/>
  <c r="BP328" i="12"/>
  <c r="E328" i="12"/>
  <c r="B328" i="12"/>
  <c r="BP327" i="12"/>
  <c r="E327" i="12"/>
  <c r="B327" i="12"/>
  <c r="BP326" i="12"/>
  <c r="E326" i="12"/>
  <c r="B326" i="12"/>
  <c r="BP325" i="12"/>
  <c r="E325" i="12"/>
  <c r="B325" i="12"/>
  <c r="BP324" i="12"/>
  <c r="E324" i="12"/>
  <c r="B324" i="12"/>
  <c r="BP323" i="12"/>
  <c r="BA323" i="12"/>
  <c r="BB323" i="12" s="1"/>
  <c r="E323" i="12"/>
  <c r="B323" i="12"/>
  <c r="BP322" i="12"/>
  <c r="E322" i="12"/>
  <c r="B322" i="12"/>
  <c r="BP321" i="12"/>
  <c r="E321" i="12"/>
  <c r="B321" i="12"/>
  <c r="BP320" i="12"/>
  <c r="E320" i="12"/>
  <c r="B320" i="12"/>
  <c r="BP319" i="12"/>
  <c r="E319" i="12"/>
  <c r="B319" i="12"/>
  <c r="BP318" i="12"/>
  <c r="E318" i="12"/>
  <c r="B318" i="12"/>
  <c r="BP317" i="12"/>
  <c r="E317" i="12"/>
  <c r="B317" i="12"/>
  <c r="BP316" i="12"/>
  <c r="E316" i="12"/>
  <c r="B316" i="12"/>
  <c r="BP315" i="12"/>
  <c r="E315" i="12"/>
  <c r="B315" i="12"/>
  <c r="BP314" i="12"/>
  <c r="E314" i="12"/>
  <c r="B314" i="12"/>
  <c r="BP313" i="12"/>
  <c r="E313" i="12"/>
  <c r="B313" i="12"/>
  <c r="BP312" i="12"/>
  <c r="BG312" i="12"/>
  <c r="AU312" i="12"/>
  <c r="AR312" i="12"/>
  <c r="AS312" i="12" s="1"/>
  <c r="AT312" i="12" s="1"/>
  <c r="E312" i="12"/>
  <c r="B312" i="12"/>
  <c r="BP311" i="12"/>
  <c r="E311" i="12"/>
  <c r="B311" i="12"/>
  <c r="BP310" i="12"/>
  <c r="E310" i="12"/>
  <c r="B310" i="12"/>
  <c r="BP309" i="12"/>
  <c r="E309" i="12"/>
  <c r="B309" i="12"/>
  <c r="BP308" i="12"/>
  <c r="AX308" i="12"/>
  <c r="AI308" i="12"/>
  <c r="AJ308" i="12" s="1"/>
  <c r="E308" i="12"/>
  <c r="B308" i="12"/>
  <c r="BP307" i="12"/>
  <c r="E307" i="12"/>
  <c r="B307" i="12"/>
  <c r="BP306" i="12"/>
  <c r="BG306" i="12"/>
  <c r="E306" i="12"/>
  <c r="B306" i="12"/>
  <c r="BP305" i="12"/>
  <c r="E305" i="12"/>
  <c r="B305" i="12"/>
  <c r="BP304" i="12"/>
  <c r="E304" i="12"/>
  <c r="B304" i="12"/>
  <c r="BP303" i="12"/>
  <c r="E303" i="12"/>
  <c r="B303" i="12"/>
  <c r="BP302" i="12"/>
  <c r="E302" i="12"/>
  <c r="B302" i="12"/>
  <c r="BP301" i="12"/>
  <c r="E301" i="12"/>
  <c r="B301" i="12"/>
  <c r="BP300" i="12"/>
  <c r="BG300" i="12"/>
  <c r="AI300" i="12"/>
  <c r="AJ300" i="12" s="1"/>
  <c r="E300" i="12"/>
  <c r="B300" i="12"/>
  <c r="BP299" i="12"/>
  <c r="E299" i="12"/>
  <c r="B299" i="12"/>
  <c r="BP298" i="12"/>
  <c r="E298" i="12"/>
  <c r="B298" i="12"/>
  <c r="BP297" i="12"/>
  <c r="E297" i="12"/>
  <c r="B297" i="12"/>
  <c r="BP296" i="12"/>
  <c r="BD296" i="12"/>
  <c r="BE296" i="12" s="1"/>
  <c r="E296" i="12"/>
  <c r="B296" i="12"/>
  <c r="BP295" i="12"/>
  <c r="E295" i="12"/>
  <c r="B295" i="12"/>
  <c r="BP294" i="12"/>
  <c r="E294" i="12"/>
  <c r="B294" i="12"/>
  <c r="BP293" i="12"/>
  <c r="E293" i="12"/>
  <c r="B293" i="12"/>
  <c r="BP292" i="12"/>
  <c r="E292" i="12"/>
  <c r="B292" i="12"/>
  <c r="BP291" i="12"/>
  <c r="E291" i="12"/>
  <c r="B291" i="12"/>
  <c r="BP290" i="12"/>
  <c r="E290" i="12"/>
  <c r="B290" i="12"/>
  <c r="BP289" i="12"/>
  <c r="E289" i="12"/>
  <c r="B289" i="12"/>
  <c r="BP288" i="12"/>
  <c r="E288" i="12"/>
  <c r="B288" i="12"/>
  <c r="BP287" i="12"/>
  <c r="AX287" i="12"/>
  <c r="E287" i="12"/>
  <c r="B287" i="12"/>
  <c r="BP286" i="12"/>
  <c r="E286" i="12"/>
  <c r="B286" i="12"/>
  <c r="BP285" i="12"/>
  <c r="E285" i="12"/>
  <c r="B285" i="12"/>
  <c r="BP284" i="12"/>
  <c r="BE284" i="12"/>
  <c r="BD284" i="12"/>
  <c r="BA284" i="12"/>
  <c r="BB284" i="12" s="1"/>
  <c r="E284" i="12"/>
  <c r="B284" i="12"/>
  <c r="BP283" i="12"/>
  <c r="E283" i="12"/>
  <c r="B283" i="12"/>
  <c r="BP282" i="12"/>
  <c r="E282" i="12"/>
  <c r="B282" i="12"/>
  <c r="BP281" i="12"/>
  <c r="E281" i="12"/>
  <c r="B281" i="12"/>
  <c r="BP280" i="12"/>
  <c r="E280" i="12"/>
  <c r="B280" i="12"/>
  <c r="BP279" i="12"/>
  <c r="E279" i="12"/>
  <c r="B279" i="12"/>
  <c r="BP278" i="12"/>
  <c r="E278" i="12"/>
  <c r="C278" i="12"/>
  <c r="B278" i="12"/>
  <c r="BP277" i="12"/>
  <c r="AO277" i="12"/>
  <c r="AP277" i="12" s="1"/>
  <c r="E277" i="12"/>
  <c r="B277" i="12"/>
  <c r="BP276" i="12"/>
  <c r="AO276" i="12"/>
  <c r="AP276" i="12" s="1"/>
  <c r="E276" i="12"/>
  <c r="B276" i="12"/>
  <c r="BP275" i="12"/>
  <c r="E275" i="12"/>
  <c r="B275" i="12"/>
  <c r="BP274" i="12"/>
  <c r="AX274" i="12"/>
  <c r="E274" i="12"/>
  <c r="B274" i="12"/>
  <c r="BP273" i="12"/>
  <c r="E273" i="12"/>
  <c r="B273" i="12"/>
  <c r="BP272" i="12"/>
  <c r="AO272" i="12"/>
  <c r="AP272" i="12" s="1"/>
  <c r="AQ272" i="12" s="1"/>
  <c r="E272" i="12"/>
  <c r="B272" i="12"/>
  <c r="BP271" i="12"/>
  <c r="E271" i="12"/>
  <c r="B271" i="12"/>
  <c r="BP270" i="12"/>
  <c r="E270" i="12"/>
  <c r="B270" i="12"/>
  <c r="BP269" i="12"/>
  <c r="E269" i="12"/>
  <c r="B269" i="12"/>
  <c r="BP268" i="12"/>
  <c r="E268" i="12"/>
  <c r="B268" i="12"/>
  <c r="BP267" i="12"/>
  <c r="E267" i="12"/>
  <c r="B267" i="12"/>
  <c r="BP266" i="12"/>
  <c r="E266" i="12"/>
  <c r="B266" i="12"/>
  <c r="BP265" i="12"/>
  <c r="BA265" i="12"/>
  <c r="BB265" i="12" s="1"/>
  <c r="AL265" i="12"/>
  <c r="AM265" i="12" s="1"/>
  <c r="AN265" i="12" s="1"/>
  <c r="E265" i="12"/>
  <c r="B265" i="12"/>
  <c r="BP264" i="12"/>
  <c r="AE264" i="12"/>
  <c r="E264" i="12"/>
  <c r="B264" i="12"/>
  <c r="BP263" i="12"/>
  <c r="E263" i="12"/>
  <c r="B263" i="12"/>
  <c r="BP262" i="12"/>
  <c r="E262" i="12"/>
  <c r="B262" i="12"/>
  <c r="BP261" i="12"/>
  <c r="E261" i="12"/>
  <c r="B261" i="12"/>
  <c r="BP260" i="12"/>
  <c r="E260" i="12"/>
  <c r="B260" i="12"/>
  <c r="BP259" i="12"/>
  <c r="E259" i="12"/>
  <c r="B259" i="12"/>
  <c r="BP258" i="12"/>
  <c r="E258" i="12"/>
  <c r="B258" i="12"/>
  <c r="BP257" i="12"/>
  <c r="BA257" i="12"/>
  <c r="BB257" i="12" s="1"/>
  <c r="E257" i="12"/>
  <c r="B257" i="12"/>
  <c r="BP256" i="12"/>
  <c r="AP256" i="12"/>
  <c r="AQ256" i="12" s="1"/>
  <c r="AO256" i="12"/>
  <c r="E256" i="12"/>
  <c r="B256" i="12"/>
  <c r="BP255" i="12"/>
  <c r="E255" i="12"/>
  <c r="B255" i="12"/>
  <c r="BP254" i="12"/>
  <c r="E254" i="12"/>
  <c r="B254" i="12"/>
  <c r="BP253" i="12"/>
  <c r="E253" i="12"/>
  <c r="B253" i="12"/>
  <c r="BP252" i="12"/>
  <c r="AO252" i="12"/>
  <c r="AP252" i="12" s="1"/>
  <c r="E252" i="12"/>
  <c r="B252" i="12"/>
  <c r="BP251" i="12"/>
  <c r="E251" i="12"/>
  <c r="B251" i="12"/>
  <c r="BP250" i="12"/>
  <c r="E250" i="12"/>
  <c r="B250" i="12"/>
  <c r="BP249" i="12"/>
  <c r="E249" i="12"/>
  <c r="B249" i="12"/>
  <c r="BP248" i="12"/>
  <c r="BG248" i="12"/>
  <c r="E248" i="12"/>
  <c r="B248" i="12"/>
  <c r="BP247" i="12"/>
  <c r="AI247" i="12"/>
  <c r="AJ247" i="12" s="1"/>
  <c r="E247" i="12"/>
  <c r="B247" i="12"/>
  <c r="BP246" i="12"/>
  <c r="E246" i="12"/>
  <c r="C246" i="12"/>
  <c r="B246" i="12"/>
  <c r="BP245" i="12"/>
  <c r="E245" i="12"/>
  <c r="B245" i="12"/>
  <c r="BP244" i="12"/>
  <c r="E244" i="12"/>
  <c r="B244" i="12"/>
  <c r="BP243" i="12"/>
  <c r="BD243" i="12"/>
  <c r="BE243" i="12" s="1"/>
  <c r="E243" i="12"/>
  <c r="B243" i="12"/>
  <c r="BP242" i="12"/>
  <c r="E242" i="12"/>
  <c r="B242" i="12"/>
  <c r="BP241" i="12"/>
  <c r="E241" i="12"/>
  <c r="B241" i="12"/>
  <c r="BP240" i="12"/>
  <c r="E240" i="12"/>
  <c r="B240" i="12"/>
  <c r="BP239" i="12"/>
  <c r="E239" i="12"/>
  <c r="C239" i="12"/>
  <c r="B239" i="12"/>
  <c r="BP238" i="12"/>
  <c r="E238" i="12"/>
  <c r="B238" i="12"/>
  <c r="BP237" i="12"/>
  <c r="E237" i="12"/>
  <c r="B237" i="12"/>
  <c r="BP236" i="12"/>
  <c r="AO236" i="12"/>
  <c r="AP236" i="12" s="1"/>
  <c r="AQ236" i="12" s="1"/>
  <c r="E236" i="12"/>
  <c r="C236" i="12"/>
  <c r="B236" i="12"/>
  <c r="BP235" i="12"/>
  <c r="E235" i="12"/>
  <c r="B235" i="12"/>
  <c r="BP234" i="12"/>
  <c r="E234" i="12"/>
  <c r="B234" i="12"/>
  <c r="BP233" i="12"/>
  <c r="E233" i="12"/>
  <c r="B233" i="12"/>
  <c r="BP232" i="12"/>
  <c r="E232" i="12"/>
  <c r="C232" i="12"/>
  <c r="B232" i="12"/>
  <c r="BP231" i="12"/>
  <c r="E231" i="12"/>
  <c r="B231" i="12"/>
  <c r="BP230" i="12"/>
  <c r="E230" i="12"/>
  <c r="B230" i="12"/>
  <c r="BP229" i="12"/>
  <c r="E229" i="12"/>
  <c r="B229" i="12"/>
  <c r="BP228" i="12"/>
  <c r="E228" i="12"/>
  <c r="B228" i="12"/>
  <c r="BP227" i="12"/>
  <c r="E227" i="12"/>
  <c r="B227" i="12"/>
  <c r="BP226" i="12"/>
  <c r="AL226" i="12"/>
  <c r="AM226" i="12" s="1"/>
  <c r="E226" i="12"/>
  <c r="B226" i="12"/>
  <c r="BP225" i="12"/>
  <c r="E225" i="12"/>
  <c r="B225" i="12"/>
  <c r="BP224" i="12"/>
  <c r="BG224" i="12"/>
  <c r="AL224" i="12"/>
  <c r="AM224" i="12" s="1"/>
  <c r="E224" i="12"/>
  <c r="B224" i="12"/>
  <c r="BP223" i="12"/>
  <c r="E223" i="12"/>
  <c r="B223" i="12"/>
  <c r="BP222" i="12"/>
  <c r="AX222" i="12"/>
  <c r="AY222" i="12" s="1"/>
  <c r="AU222" i="12"/>
  <c r="E222" i="12"/>
  <c r="B222" i="12"/>
  <c r="BP221" i="12"/>
  <c r="E221" i="12"/>
  <c r="B221" i="12"/>
  <c r="BP220" i="12"/>
  <c r="AO220" i="12"/>
  <c r="AP220" i="12" s="1"/>
  <c r="AL220" i="12"/>
  <c r="AM220" i="12" s="1"/>
  <c r="AI220" i="12"/>
  <c r="AJ220" i="12" s="1"/>
  <c r="E220" i="12"/>
  <c r="B220" i="12"/>
  <c r="BP219" i="12"/>
  <c r="AU219" i="12"/>
  <c r="E219" i="12"/>
  <c r="B219" i="12"/>
  <c r="BP218" i="12"/>
  <c r="E218" i="12"/>
  <c r="B218" i="12"/>
  <c r="BP217" i="12"/>
  <c r="E217" i="12"/>
  <c r="B217" i="12"/>
  <c r="BP216" i="12"/>
  <c r="BB216" i="12"/>
  <c r="BA216" i="12"/>
  <c r="E216" i="12"/>
  <c r="B216" i="12"/>
  <c r="BP215" i="12"/>
  <c r="E215" i="12"/>
  <c r="B215" i="12"/>
  <c r="BP214" i="12"/>
  <c r="E214" i="12"/>
  <c r="B214" i="12"/>
  <c r="BP213" i="12"/>
  <c r="E213" i="12"/>
  <c r="B213" i="12"/>
  <c r="BP212" i="12"/>
  <c r="BD212" i="12"/>
  <c r="BE212" i="12" s="1"/>
  <c r="AX212" i="12"/>
  <c r="AP212" i="12"/>
  <c r="AO212" i="12"/>
  <c r="E212" i="12"/>
  <c r="B212" i="12"/>
  <c r="BP211" i="12"/>
  <c r="E211" i="12"/>
  <c r="B211" i="12"/>
  <c r="BP210" i="12"/>
  <c r="E210" i="12"/>
  <c r="B210" i="12"/>
  <c r="BP209" i="12"/>
  <c r="BD209" i="12"/>
  <c r="BE209" i="12" s="1"/>
  <c r="E209" i="12"/>
  <c r="B209" i="12"/>
  <c r="BP208" i="12"/>
  <c r="AL208" i="12"/>
  <c r="AM208" i="12" s="1"/>
  <c r="AA208" i="12"/>
  <c r="AB208" i="12" s="1"/>
  <c r="E208" i="12"/>
  <c r="B208" i="12"/>
  <c r="BP207" i="12"/>
  <c r="E207" i="12"/>
  <c r="B207" i="12"/>
  <c r="BP206" i="12"/>
  <c r="AL206" i="12"/>
  <c r="AM206" i="12" s="1"/>
  <c r="E206" i="12"/>
  <c r="B206" i="12"/>
  <c r="BP205" i="12"/>
  <c r="AL205" i="12"/>
  <c r="AM205" i="12" s="1"/>
  <c r="E205" i="12"/>
  <c r="B205" i="12"/>
  <c r="BP204" i="12"/>
  <c r="E204" i="12"/>
  <c r="B204" i="12"/>
  <c r="BP203" i="12"/>
  <c r="E203" i="12"/>
  <c r="B203" i="12"/>
  <c r="BP202" i="12"/>
  <c r="AX202" i="12"/>
  <c r="AU202" i="12"/>
  <c r="E202" i="12"/>
  <c r="B202" i="12"/>
  <c r="BP201" i="12"/>
  <c r="E201" i="12"/>
  <c r="B201" i="12"/>
  <c r="BP200" i="12"/>
  <c r="AX200" i="12"/>
  <c r="AU200" i="12"/>
  <c r="E200" i="12"/>
  <c r="B200" i="12"/>
  <c r="BP199" i="12"/>
  <c r="E199" i="12"/>
  <c r="B199" i="12"/>
  <c r="BP198" i="12"/>
  <c r="AR198" i="12"/>
  <c r="AS198" i="12" s="1"/>
  <c r="AT198" i="12" s="1"/>
  <c r="E198" i="12"/>
  <c r="B198" i="12"/>
  <c r="BP197" i="12"/>
  <c r="E197" i="12"/>
  <c r="B197" i="12"/>
  <c r="BP196" i="12"/>
  <c r="AX196" i="12"/>
  <c r="AR196" i="12"/>
  <c r="AS196" i="12" s="1"/>
  <c r="AT196" i="12" s="1"/>
  <c r="AO196" i="12"/>
  <c r="AP196" i="12" s="1"/>
  <c r="E196" i="12"/>
  <c r="B196" i="12"/>
  <c r="BP195" i="12"/>
  <c r="E195" i="12"/>
  <c r="B195" i="12"/>
  <c r="BP194" i="12"/>
  <c r="E194" i="12"/>
  <c r="B194" i="12"/>
  <c r="BP193" i="12"/>
  <c r="E193" i="12"/>
  <c r="B193" i="12"/>
  <c r="BP192" i="12"/>
  <c r="BD192" i="12"/>
  <c r="BE192" i="12" s="1"/>
  <c r="E192" i="12"/>
  <c r="B192" i="12"/>
  <c r="BP191" i="12"/>
  <c r="E191" i="12"/>
  <c r="D191" i="12"/>
  <c r="C191" i="12"/>
  <c r="B191" i="12"/>
  <c r="BP190" i="12"/>
  <c r="E190" i="12"/>
  <c r="B190" i="12"/>
  <c r="BP189" i="12"/>
  <c r="E189" i="12"/>
  <c r="B189" i="12"/>
  <c r="BP188" i="12"/>
  <c r="E188" i="12"/>
  <c r="B188" i="12"/>
  <c r="BP187" i="12"/>
  <c r="E187" i="12"/>
  <c r="B187" i="12"/>
  <c r="BP186" i="12"/>
  <c r="E186" i="12"/>
  <c r="B186" i="12"/>
  <c r="BP185" i="12"/>
  <c r="BA185" i="12"/>
  <c r="AU185" i="12"/>
  <c r="E185" i="12"/>
  <c r="B185" i="12"/>
  <c r="BP184" i="12"/>
  <c r="AX184" i="12"/>
  <c r="AO184" i="12"/>
  <c r="E184" i="12"/>
  <c r="B184" i="12"/>
  <c r="BP183" i="12"/>
  <c r="AI183" i="12"/>
  <c r="AJ183" i="12" s="1"/>
  <c r="E183" i="12"/>
  <c r="B183" i="12"/>
  <c r="BP182" i="12"/>
  <c r="BD182" i="12"/>
  <c r="BE182" i="12" s="1"/>
  <c r="AX182" i="12"/>
  <c r="E182" i="12"/>
  <c r="B182" i="12"/>
  <c r="BP181" i="12"/>
  <c r="E181" i="12"/>
  <c r="B181" i="12"/>
  <c r="BP180" i="12"/>
  <c r="BG180" i="12"/>
  <c r="AX180" i="12"/>
  <c r="E180" i="12"/>
  <c r="B180" i="12"/>
  <c r="BP179" i="12"/>
  <c r="E179" i="12"/>
  <c r="B179" i="12"/>
  <c r="BP178" i="12"/>
  <c r="E178" i="12"/>
  <c r="B178" i="12"/>
  <c r="BP177" i="12"/>
  <c r="E177" i="12"/>
  <c r="C177" i="12"/>
  <c r="B177" i="12"/>
  <c r="BP176" i="12"/>
  <c r="E176" i="12"/>
  <c r="B176" i="12"/>
  <c r="BP175" i="12"/>
  <c r="E175" i="12"/>
  <c r="B175" i="12"/>
  <c r="BP174" i="12"/>
  <c r="BG174" i="12"/>
  <c r="E174" i="12"/>
  <c r="B174" i="12"/>
  <c r="BP173" i="12"/>
  <c r="E173" i="12"/>
  <c r="B173" i="12"/>
  <c r="BP172" i="12"/>
  <c r="BG172" i="12"/>
  <c r="E172" i="12"/>
  <c r="B172" i="12"/>
  <c r="BP171" i="12"/>
  <c r="BE171" i="12"/>
  <c r="BD171" i="12"/>
  <c r="AP171" i="12"/>
  <c r="AO171" i="12"/>
  <c r="E171" i="12"/>
  <c r="B171" i="12"/>
  <c r="BP170" i="12"/>
  <c r="E170" i="12"/>
  <c r="B170" i="12"/>
  <c r="BP169" i="12"/>
  <c r="E169" i="12"/>
  <c r="B169" i="12"/>
  <c r="BP168" i="12"/>
  <c r="E168" i="12"/>
  <c r="B168" i="12"/>
  <c r="BP167" i="12"/>
  <c r="E167" i="12"/>
  <c r="B167" i="12"/>
  <c r="BP166" i="12"/>
  <c r="E166" i="12"/>
  <c r="B166" i="12"/>
  <c r="BP165" i="12"/>
  <c r="AU165" i="12"/>
  <c r="E165" i="12"/>
  <c r="B165" i="12"/>
  <c r="BP164" i="12"/>
  <c r="AU164" i="12"/>
  <c r="E164" i="12"/>
  <c r="B164" i="12"/>
  <c r="BP163" i="12"/>
  <c r="BD163" i="12"/>
  <c r="BE163" i="12" s="1"/>
  <c r="E163" i="12"/>
  <c r="B163" i="12"/>
  <c r="BP162" i="12"/>
  <c r="AR162" i="12"/>
  <c r="AS162" i="12" s="1"/>
  <c r="AT162" i="12" s="1"/>
  <c r="E162" i="12"/>
  <c r="B162" i="12"/>
  <c r="BP161" i="12"/>
  <c r="E161" i="12"/>
  <c r="B161" i="12"/>
  <c r="BP160" i="12"/>
  <c r="AU160" i="12"/>
  <c r="E160" i="12"/>
  <c r="B160" i="12"/>
  <c r="BP159" i="12"/>
  <c r="AU159" i="12"/>
  <c r="AI159" i="12"/>
  <c r="AJ159" i="12" s="1"/>
  <c r="E159" i="12"/>
  <c r="B159" i="12"/>
  <c r="BP158" i="12"/>
  <c r="E158" i="12"/>
  <c r="B158" i="12"/>
  <c r="BP157" i="12"/>
  <c r="E157" i="12"/>
  <c r="B157" i="12"/>
  <c r="BP156" i="12"/>
  <c r="AR156" i="12"/>
  <c r="AS156" i="12" s="1"/>
  <c r="AT156" i="12" s="1"/>
  <c r="E156" i="12"/>
  <c r="B156" i="12"/>
  <c r="BP155" i="12"/>
  <c r="E155" i="12"/>
  <c r="B155" i="12"/>
  <c r="BP154" i="12"/>
  <c r="E154" i="12"/>
  <c r="B154" i="12"/>
  <c r="BP153" i="12"/>
  <c r="E153" i="12"/>
  <c r="B153" i="12"/>
  <c r="BP152" i="12"/>
  <c r="AO152" i="12"/>
  <c r="AP152" i="12" s="1"/>
  <c r="E152" i="12"/>
  <c r="B152" i="12"/>
  <c r="BP151" i="12"/>
  <c r="E151" i="12"/>
  <c r="B151" i="12"/>
  <c r="BP150" i="12"/>
  <c r="E150" i="12"/>
  <c r="B150" i="12"/>
  <c r="BP149" i="12"/>
  <c r="BA149" i="12"/>
  <c r="BB149" i="12" s="1"/>
  <c r="AX149" i="12"/>
  <c r="E149" i="12"/>
  <c r="C149" i="12"/>
  <c r="B149" i="12"/>
  <c r="BP148" i="12"/>
  <c r="BD148" i="12"/>
  <c r="BE148" i="12" s="1"/>
  <c r="AR148" i="12"/>
  <c r="AS148" i="12" s="1"/>
  <c r="AT148" i="12" s="1"/>
  <c r="E148" i="12"/>
  <c r="B148" i="12"/>
  <c r="BP147" i="12"/>
  <c r="E147" i="12"/>
  <c r="B147" i="12"/>
  <c r="BP146" i="12"/>
  <c r="BD146" i="12"/>
  <c r="BE146" i="12" s="1"/>
  <c r="AX146" i="12"/>
  <c r="E146" i="12"/>
  <c r="B146" i="12"/>
  <c r="BP145" i="12"/>
  <c r="E145" i="12"/>
  <c r="B145" i="12"/>
  <c r="BP144" i="12"/>
  <c r="E144" i="12"/>
  <c r="B144" i="12"/>
  <c r="BP143" i="12"/>
  <c r="E143" i="12"/>
  <c r="B143" i="12"/>
  <c r="BP142" i="12"/>
  <c r="AX142" i="12"/>
  <c r="AO142" i="12"/>
  <c r="AP142" i="12" s="1"/>
  <c r="AQ142" i="12" s="1"/>
  <c r="E142" i="12"/>
  <c r="B142" i="12"/>
  <c r="BP141" i="12"/>
  <c r="E141" i="12"/>
  <c r="B141" i="12"/>
  <c r="BP140" i="12"/>
  <c r="BD140" i="12"/>
  <c r="BE140" i="12" s="1"/>
  <c r="AP140" i="12"/>
  <c r="AQ140" i="12" s="1"/>
  <c r="AO140" i="12"/>
  <c r="E140" i="12"/>
  <c r="B140" i="12"/>
  <c r="BP139" i="12"/>
  <c r="AN139" i="12"/>
  <c r="AL139" i="12"/>
  <c r="AM139" i="12" s="1"/>
  <c r="E139" i="12"/>
  <c r="B139" i="12"/>
  <c r="BP138" i="12"/>
  <c r="E138" i="12"/>
  <c r="B138" i="12"/>
  <c r="BP137" i="12"/>
  <c r="E137" i="12"/>
  <c r="B137" i="12"/>
  <c r="BP136" i="12"/>
  <c r="AX136" i="12"/>
  <c r="AU136" i="12"/>
  <c r="AR136" i="12"/>
  <c r="AS136" i="12" s="1"/>
  <c r="AT136" i="12" s="1"/>
  <c r="E136" i="12"/>
  <c r="B136" i="12"/>
  <c r="BP135" i="12"/>
  <c r="E135" i="12"/>
  <c r="B135" i="12"/>
  <c r="BP134" i="12"/>
  <c r="E134" i="12"/>
  <c r="B134" i="12"/>
  <c r="BP133" i="12"/>
  <c r="E133" i="12"/>
  <c r="B133" i="12"/>
  <c r="BP132" i="12"/>
  <c r="AR132" i="12"/>
  <c r="AS132" i="12" s="1"/>
  <c r="AT132" i="12" s="1"/>
  <c r="E132" i="12"/>
  <c r="C132" i="12"/>
  <c r="B132" i="12"/>
  <c r="BP131" i="12"/>
  <c r="E131" i="12"/>
  <c r="B131" i="12"/>
  <c r="BP130" i="12"/>
  <c r="E130" i="12"/>
  <c r="B130" i="12"/>
  <c r="BP129" i="12"/>
  <c r="BG129" i="12"/>
  <c r="AO129" i="12"/>
  <c r="AP129" i="12" s="1"/>
  <c r="AQ129" i="12" s="1"/>
  <c r="E129" i="12"/>
  <c r="B129" i="12"/>
  <c r="BP128" i="12"/>
  <c r="BD128" i="12"/>
  <c r="BE128" i="12" s="1"/>
  <c r="AU128" i="12"/>
  <c r="AE128" i="12"/>
  <c r="E128" i="12"/>
  <c r="B128" i="12"/>
  <c r="BP127" i="12"/>
  <c r="E127" i="12"/>
  <c r="B127" i="12"/>
  <c r="BP126" i="12"/>
  <c r="AU126" i="12"/>
  <c r="AR126" i="12"/>
  <c r="AS126" i="12" s="1"/>
  <c r="AT126" i="12" s="1"/>
  <c r="AL126" i="12"/>
  <c r="AM126" i="12" s="1"/>
  <c r="AN126" i="12" s="1"/>
  <c r="E126" i="12"/>
  <c r="B126" i="12"/>
  <c r="BP125" i="12"/>
  <c r="BB125" i="12"/>
  <c r="BA125" i="12"/>
  <c r="AL125" i="12"/>
  <c r="AM125" i="12" s="1"/>
  <c r="AN125" i="12" s="1"/>
  <c r="E125" i="12"/>
  <c r="B125" i="12"/>
  <c r="BP124" i="12"/>
  <c r="BB124" i="12"/>
  <c r="BA124" i="12"/>
  <c r="AR124" i="12"/>
  <c r="AS124" i="12" s="1"/>
  <c r="AT124" i="12" s="1"/>
  <c r="AI124" i="12"/>
  <c r="E124" i="12"/>
  <c r="C124" i="12"/>
  <c r="B124" i="12"/>
  <c r="BP123" i="12"/>
  <c r="E123" i="12"/>
  <c r="B123" i="12"/>
  <c r="BP122" i="12"/>
  <c r="E122" i="12"/>
  <c r="B122" i="12"/>
  <c r="BP121" i="12"/>
  <c r="E121" i="12"/>
  <c r="B121" i="12"/>
  <c r="BP120" i="12"/>
  <c r="BA120" i="12"/>
  <c r="BB120" i="12" s="1"/>
  <c r="AX120" i="12"/>
  <c r="AU120" i="12"/>
  <c r="AS120" i="12"/>
  <c r="AT120" i="12" s="1"/>
  <c r="AR120" i="12"/>
  <c r="E120" i="12"/>
  <c r="B120" i="12"/>
  <c r="BP119" i="12"/>
  <c r="BG119" i="12"/>
  <c r="E119" i="12"/>
  <c r="B119" i="12"/>
  <c r="BP118" i="12"/>
  <c r="E118" i="12"/>
  <c r="B118" i="12"/>
  <c r="BP117" i="12"/>
  <c r="E117" i="12"/>
  <c r="C117" i="12"/>
  <c r="B117" i="12"/>
  <c r="BP116" i="12"/>
  <c r="BN116" i="12"/>
  <c r="AU116" i="12"/>
  <c r="AR116" i="12"/>
  <c r="AS116" i="12" s="1"/>
  <c r="AT116" i="12" s="1"/>
  <c r="E116" i="12"/>
  <c r="C116" i="12"/>
  <c r="B116" i="12"/>
  <c r="BP115" i="12"/>
  <c r="BD115" i="12"/>
  <c r="BE115" i="12" s="1"/>
  <c r="AO115" i="12"/>
  <c r="AP115" i="12" s="1"/>
  <c r="AQ115" i="12" s="1"/>
  <c r="E115" i="12"/>
  <c r="C115" i="12"/>
  <c r="B115" i="12"/>
  <c r="BP114" i="12"/>
  <c r="E114" i="12"/>
  <c r="B114" i="12"/>
  <c r="BP113" i="12"/>
  <c r="E113" i="12"/>
  <c r="B113" i="12"/>
  <c r="BP112" i="12"/>
  <c r="BD112" i="12"/>
  <c r="BE112" i="12" s="1"/>
  <c r="AR112" i="12"/>
  <c r="AS112" i="12" s="1"/>
  <c r="AT112" i="12" s="1"/>
  <c r="AO112" i="12"/>
  <c r="AP112" i="12" s="1"/>
  <c r="AQ112" i="12" s="1"/>
  <c r="AL112" i="12"/>
  <c r="AM112" i="12" s="1"/>
  <c r="AN112" i="12" s="1"/>
  <c r="E112" i="12"/>
  <c r="C112" i="12"/>
  <c r="B112" i="12"/>
  <c r="BP111" i="12"/>
  <c r="E111" i="12"/>
  <c r="B111" i="12"/>
  <c r="BP110" i="12"/>
  <c r="E110" i="12"/>
  <c r="B110" i="12"/>
  <c r="BP109" i="12"/>
  <c r="E109" i="12"/>
  <c r="B109" i="12"/>
  <c r="BP108" i="12"/>
  <c r="E108" i="12"/>
  <c r="C108" i="12"/>
  <c r="B108" i="12"/>
  <c r="BP107" i="12"/>
  <c r="BG107" i="12"/>
  <c r="E107" i="12"/>
  <c r="B107" i="12"/>
  <c r="BP106" i="12"/>
  <c r="E106" i="12"/>
  <c r="B106" i="12"/>
  <c r="BP105" i="12"/>
  <c r="BG105" i="12"/>
  <c r="BH105" i="12" s="1"/>
  <c r="BA105" i="12"/>
  <c r="BB105" i="12" s="1"/>
  <c r="AL105" i="12"/>
  <c r="AM105" i="12" s="1"/>
  <c r="AN105" i="12" s="1"/>
  <c r="E105" i="12"/>
  <c r="B105" i="12"/>
  <c r="BP104" i="12"/>
  <c r="BO104" i="12"/>
  <c r="BD104" i="12"/>
  <c r="BE104" i="12" s="1"/>
  <c r="AR104" i="12"/>
  <c r="AS104" i="12" s="1"/>
  <c r="AT104" i="12" s="1"/>
  <c r="AL104" i="12"/>
  <c r="AM104" i="12" s="1"/>
  <c r="AN104" i="12" s="1"/>
  <c r="AJ104" i="12"/>
  <c r="AI104" i="12"/>
  <c r="E104" i="12"/>
  <c r="B104" i="12"/>
  <c r="BP103" i="12"/>
  <c r="Y103" i="12"/>
  <c r="Z103" i="12" s="1"/>
  <c r="E103" i="12"/>
  <c r="B103" i="12"/>
  <c r="BP102" i="12"/>
  <c r="E102" i="12"/>
  <c r="B102" i="12"/>
  <c r="BP101" i="12"/>
  <c r="BG101" i="12"/>
  <c r="BA101" i="12"/>
  <c r="BB101" i="12" s="1"/>
  <c r="AR101" i="12"/>
  <c r="AS101" i="12" s="1"/>
  <c r="AT101" i="12" s="1"/>
  <c r="AI101" i="12"/>
  <c r="AJ101" i="12" s="1"/>
  <c r="AH101" i="12"/>
  <c r="E101" i="12"/>
  <c r="B101" i="12"/>
  <c r="BP100" i="12"/>
  <c r="AO100" i="12"/>
  <c r="AP100" i="12" s="1"/>
  <c r="AQ100" i="12" s="1"/>
  <c r="AL100" i="12"/>
  <c r="AM100" i="12" s="1"/>
  <c r="AN100" i="12" s="1"/>
  <c r="E100" i="12"/>
  <c r="C100" i="12"/>
  <c r="B100" i="12"/>
  <c r="BP99" i="12"/>
  <c r="E99" i="12"/>
  <c r="B99" i="12"/>
  <c r="BP98" i="12"/>
  <c r="E98" i="12"/>
  <c r="B98" i="12"/>
  <c r="BP97" i="12"/>
  <c r="BD97" i="12"/>
  <c r="BE97" i="12" s="1"/>
  <c r="AI97" i="12"/>
  <c r="AJ97" i="12" s="1"/>
  <c r="AK97" i="12" s="1"/>
  <c r="E97" i="12"/>
  <c r="B97" i="12"/>
  <c r="BP96" i="12"/>
  <c r="E96" i="12"/>
  <c r="C96" i="12"/>
  <c r="B96" i="12"/>
  <c r="BP95" i="12"/>
  <c r="E95" i="12"/>
  <c r="B95" i="12"/>
  <c r="BP94" i="12"/>
  <c r="BD94" i="12"/>
  <c r="BE94" i="12" s="1"/>
  <c r="AU94" i="12"/>
  <c r="AR94" i="12"/>
  <c r="AS94" i="12" s="1"/>
  <c r="AT94" i="12" s="1"/>
  <c r="E94" i="12"/>
  <c r="B94" i="12"/>
  <c r="BP93" i="12"/>
  <c r="BG93" i="12"/>
  <c r="AI93" i="12"/>
  <c r="AJ93" i="12" s="1"/>
  <c r="AK93" i="12" s="1"/>
  <c r="AH93" i="12"/>
  <c r="E93" i="12"/>
  <c r="B93" i="12"/>
  <c r="BP92" i="12"/>
  <c r="BG92" i="12"/>
  <c r="BH92" i="12" s="1"/>
  <c r="BB92" i="12"/>
  <c r="BA92" i="12"/>
  <c r="AR92" i="12"/>
  <c r="AS92" i="12" s="1"/>
  <c r="AT92" i="12" s="1"/>
  <c r="AI92" i="12"/>
  <c r="AJ92" i="12" s="1"/>
  <c r="AK92" i="12" s="1"/>
  <c r="AH92" i="12"/>
  <c r="E92" i="12"/>
  <c r="C92" i="12"/>
  <c r="B92" i="12"/>
  <c r="BP91" i="12"/>
  <c r="E91" i="12"/>
  <c r="C91" i="12"/>
  <c r="BD91" i="12" s="1"/>
  <c r="BE91" i="12" s="1"/>
  <c r="B91" i="12"/>
  <c r="BP90" i="12"/>
  <c r="AU90" i="12"/>
  <c r="AO90" i="12"/>
  <c r="AP90" i="12" s="1"/>
  <c r="AQ90" i="12" s="1"/>
  <c r="E90" i="12"/>
  <c r="C90" i="12"/>
  <c r="B90" i="12"/>
  <c r="BP89" i="12"/>
  <c r="AO89" i="12"/>
  <c r="AP89" i="12" s="1"/>
  <c r="AQ89" i="12" s="1"/>
  <c r="AL89" i="12"/>
  <c r="AM89" i="12" s="1"/>
  <c r="AN89" i="12" s="1"/>
  <c r="E89" i="12"/>
  <c r="C89" i="12"/>
  <c r="B89" i="12"/>
  <c r="BQ88" i="12"/>
  <c r="BP88" i="12"/>
  <c r="BL88" i="12"/>
  <c r="BD88" i="12"/>
  <c r="BE88" i="12" s="1"/>
  <c r="AX88" i="12"/>
  <c r="AU88" i="12"/>
  <c r="AO88" i="12"/>
  <c r="AP88" i="12" s="1"/>
  <c r="AQ88" i="12" s="1"/>
  <c r="AL88" i="12"/>
  <c r="AM88" i="12" s="1"/>
  <c r="AN88" i="12" s="1"/>
  <c r="AI88" i="12"/>
  <c r="AJ88" i="12" s="1"/>
  <c r="AK88" i="12" s="1"/>
  <c r="E88" i="12"/>
  <c r="B88" i="12"/>
  <c r="BP87" i="12"/>
  <c r="E87" i="12"/>
  <c r="B87" i="12"/>
  <c r="BP86" i="12"/>
  <c r="BG86" i="12"/>
  <c r="BD86" i="12"/>
  <c r="BE86" i="12" s="1"/>
  <c r="BA86" i="12"/>
  <c r="BB86" i="12" s="1"/>
  <c r="E86" i="12"/>
  <c r="B86" i="12"/>
  <c r="BP85" i="12"/>
  <c r="BG85" i="12"/>
  <c r="AU85" i="12"/>
  <c r="AL85" i="12"/>
  <c r="AM85" i="12" s="1"/>
  <c r="AN85" i="12" s="1"/>
  <c r="AK85" i="12"/>
  <c r="E85" i="12"/>
  <c r="B85" i="12"/>
  <c r="BQ84" i="12"/>
  <c r="BP84" i="12"/>
  <c r="BG84" i="12"/>
  <c r="BO84" i="12" s="1"/>
  <c r="BB84" i="12"/>
  <c r="BA84" i="12"/>
  <c r="AU84" i="12"/>
  <c r="AL84" i="12"/>
  <c r="AM84" i="12" s="1"/>
  <c r="AN84" i="12" s="1"/>
  <c r="AI84" i="12"/>
  <c r="AJ84" i="12" s="1"/>
  <c r="AK84" i="12" s="1"/>
  <c r="AH84" i="12"/>
  <c r="AE84" i="12"/>
  <c r="E84" i="12"/>
  <c r="B84" i="12"/>
  <c r="BP83" i="12"/>
  <c r="E83" i="12"/>
  <c r="B83" i="12"/>
  <c r="BP82" i="12"/>
  <c r="AX82" i="12"/>
  <c r="AY82" i="12" s="1"/>
  <c r="AR82" i="12"/>
  <c r="AS82" i="12" s="1"/>
  <c r="AT82" i="12" s="1"/>
  <c r="AI82" i="12"/>
  <c r="AJ82" i="12" s="1"/>
  <c r="AK82" i="12" s="1"/>
  <c r="E82" i="12"/>
  <c r="B82" i="12"/>
  <c r="BP81" i="12"/>
  <c r="E81" i="12"/>
  <c r="B81" i="12"/>
  <c r="BP80" i="12"/>
  <c r="BD80" i="12"/>
  <c r="BE80" i="12" s="1"/>
  <c r="AX80" i="12"/>
  <c r="E80" i="12"/>
  <c r="B80" i="12"/>
  <c r="BP79" i="12"/>
  <c r="BD79" i="12"/>
  <c r="BE79" i="12" s="1"/>
  <c r="BB79" i="12"/>
  <c r="E79" i="12"/>
  <c r="B79" i="12"/>
  <c r="BP78" i="12"/>
  <c r="BD78" i="12"/>
  <c r="BE78" i="12" s="1"/>
  <c r="BA78" i="12"/>
  <c r="BB78" i="12" s="1"/>
  <c r="E78" i="12"/>
  <c r="B78" i="12"/>
  <c r="BP77" i="12"/>
  <c r="E77" i="12"/>
  <c r="B77" i="12"/>
  <c r="BP76" i="12"/>
  <c r="BA76" i="12"/>
  <c r="AY76" i="12"/>
  <c r="AX76" i="12"/>
  <c r="AU76" i="12"/>
  <c r="AR76" i="12"/>
  <c r="AS76" i="12" s="1"/>
  <c r="AT76" i="12" s="1"/>
  <c r="E76" i="12"/>
  <c r="C76" i="12"/>
  <c r="B76" i="12"/>
  <c r="BP75" i="12"/>
  <c r="BG75" i="12"/>
  <c r="BA75" i="12"/>
  <c r="BB75" i="12" s="1"/>
  <c r="E75" i="12"/>
  <c r="B75" i="12"/>
  <c r="BP74" i="12"/>
  <c r="BG74" i="12"/>
  <c r="AR74" i="12"/>
  <c r="AS74" i="12" s="1"/>
  <c r="AT74" i="12" s="1"/>
  <c r="AI74" i="12"/>
  <c r="AJ74" i="12" s="1"/>
  <c r="AK74" i="12" s="1"/>
  <c r="E74" i="12"/>
  <c r="B74" i="12"/>
  <c r="BP73" i="12"/>
  <c r="E73" i="12"/>
  <c r="B73" i="12"/>
  <c r="BP72" i="12"/>
  <c r="AL72" i="12"/>
  <c r="AM72" i="12" s="1"/>
  <c r="AN72" i="12" s="1"/>
  <c r="E72" i="12"/>
  <c r="C72" i="12"/>
  <c r="B72" i="12"/>
  <c r="BP71" i="12"/>
  <c r="AL71" i="12"/>
  <c r="AM71" i="12" s="1"/>
  <c r="AN71" i="12" s="1"/>
  <c r="E71" i="12"/>
  <c r="C71" i="12"/>
  <c r="B71" i="12"/>
  <c r="BP70" i="12"/>
  <c r="BA70" i="12"/>
  <c r="BB70" i="12" s="1"/>
  <c r="E70" i="12"/>
  <c r="B70" i="12"/>
  <c r="BP69" i="12"/>
  <c r="E69" i="12"/>
  <c r="B69" i="12"/>
  <c r="BP68" i="12"/>
  <c r="E68" i="12"/>
  <c r="C68" i="12"/>
  <c r="AL68" i="12" s="1"/>
  <c r="AM68" i="12" s="1"/>
  <c r="AN68" i="12" s="1"/>
  <c r="B68" i="12"/>
  <c r="BP67" i="12"/>
  <c r="E67" i="12"/>
  <c r="B67" i="12"/>
  <c r="BP66" i="12"/>
  <c r="BG66" i="12"/>
  <c r="E66" i="12"/>
  <c r="B66" i="12"/>
  <c r="BP65" i="12"/>
  <c r="E65" i="12"/>
  <c r="B65" i="12"/>
  <c r="BP64" i="12"/>
  <c r="BD64" i="12"/>
  <c r="BE64" i="12" s="1"/>
  <c r="BA64" i="12"/>
  <c r="BB64" i="12" s="1"/>
  <c r="E64" i="12"/>
  <c r="B64" i="12"/>
  <c r="BP63" i="12"/>
  <c r="BG63" i="12"/>
  <c r="BD63" i="12"/>
  <c r="BE63" i="12" s="1"/>
  <c r="AO63" i="12"/>
  <c r="AP63" i="12" s="1"/>
  <c r="AQ63" i="12" s="1"/>
  <c r="AL63" i="12"/>
  <c r="AM63" i="12" s="1"/>
  <c r="AN63" i="12" s="1"/>
  <c r="AI63" i="12"/>
  <c r="AJ63" i="12" s="1"/>
  <c r="AK63" i="12" s="1"/>
  <c r="E63" i="12"/>
  <c r="B63" i="12"/>
  <c r="BP62" i="12"/>
  <c r="E62" i="12"/>
  <c r="B62" i="12"/>
  <c r="BP61" i="12"/>
  <c r="E61" i="12"/>
  <c r="B61" i="12"/>
  <c r="BP60" i="12"/>
  <c r="BO60" i="12"/>
  <c r="BG60" i="12"/>
  <c r="AH60" i="12" s="1"/>
  <c r="BA60" i="12"/>
  <c r="AT60" i="12"/>
  <c r="AS60" i="12"/>
  <c r="AR60" i="12"/>
  <c r="AL60" i="12"/>
  <c r="AM60" i="12" s="1"/>
  <c r="AN60" i="12" s="1"/>
  <c r="E60" i="12"/>
  <c r="C60" i="12"/>
  <c r="B60" i="12"/>
  <c r="BP59" i="12"/>
  <c r="BG59" i="12"/>
  <c r="BD59" i="12"/>
  <c r="BE59" i="12" s="1"/>
  <c r="BA59" i="12"/>
  <c r="BB59" i="12" s="1"/>
  <c r="AR59" i="12"/>
  <c r="AS59" i="12" s="1"/>
  <c r="AT59" i="12" s="1"/>
  <c r="E59" i="12"/>
  <c r="C59" i="12"/>
  <c r="AI59" i="12" s="1"/>
  <c r="AJ59" i="12" s="1"/>
  <c r="AK59" i="12" s="1"/>
  <c r="B59" i="12"/>
  <c r="BP58" i="12"/>
  <c r="E58" i="12"/>
  <c r="B58" i="12"/>
  <c r="BP57" i="12"/>
  <c r="E57" i="12"/>
  <c r="B57" i="12"/>
  <c r="BP56" i="12"/>
  <c r="BG56" i="12"/>
  <c r="BO56" i="12" s="1"/>
  <c r="AL56" i="12"/>
  <c r="AM56" i="12" s="1"/>
  <c r="AN56" i="12" s="1"/>
  <c r="AI56" i="12"/>
  <c r="AJ56" i="12" s="1"/>
  <c r="AK56" i="12" s="1"/>
  <c r="AH56" i="12"/>
  <c r="E56" i="12"/>
  <c r="B56" i="12"/>
  <c r="BP55" i="12"/>
  <c r="AO55" i="12"/>
  <c r="AP55" i="12" s="1"/>
  <c r="AQ55" i="12" s="1"/>
  <c r="E55" i="12"/>
  <c r="C55" i="12"/>
  <c r="AU55" i="12" s="1"/>
  <c r="B55" i="12"/>
  <c r="BP54" i="12"/>
  <c r="AY54" i="12"/>
  <c r="AX54" i="12"/>
  <c r="E54" i="12"/>
  <c r="B54" i="12"/>
  <c r="BP53" i="12"/>
  <c r="E53" i="12"/>
  <c r="B53" i="12"/>
  <c r="BP52" i="12"/>
  <c r="BG52" i="12"/>
  <c r="BO52" i="12" s="1"/>
  <c r="BE52" i="12"/>
  <c r="BD52" i="12"/>
  <c r="AO52" i="12"/>
  <c r="AP52" i="12" s="1"/>
  <c r="E52" i="12"/>
  <c r="C52" i="12"/>
  <c r="B52" i="12"/>
  <c r="BP51" i="12"/>
  <c r="E51" i="12"/>
  <c r="B51" i="12"/>
  <c r="BP50" i="12"/>
  <c r="E50" i="12"/>
  <c r="C50" i="12"/>
  <c r="B50" i="12"/>
  <c r="BP49" i="12"/>
  <c r="E49" i="12"/>
  <c r="B49" i="12"/>
  <c r="BP48" i="12"/>
  <c r="BD48" i="12"/>
  <c r="BE48" i="12" s="1"/>
  <c r="AO48" i="12"/>
  <c r="AP48" i="12" s="1"/>
  <c r="AL48" i="12"/>
  <c r="AM48" i="12" s="1"/>
  <c r="AI48" i="12"/>
  <c r="AJ48" i="12" s="1"/>
  <c r="AK48" i="12" s="1"/>
  <c r="E48" i="12"/>
  <c r="C48" i="12"/>
  <c r="B48" i="12"/>
  <c r="BP47" i="12"/>
  <c r="E47" i="12"/>
  <c r="B47" i="12"/>
  <c r="BP46" i="12"/>
  <c r="E46" i="12"/>
  <c r="B46" i="12"/>
  <c r="BP45" i="12"/>
  <c r="AR45" i="12"/>
  <c r="AS45" i="12" s="1"/>
  <c r="AT45" i="12" s="1"/>
  <c r="AO45" i="12"/>
  <c r="AP45" i="12" s="1"/>
  <c r="AL45" i="12"/>
  <c r="AM45" i="12" s="1"/>
  <c r="AI45" i="12"/>
  <c r="AJ45" i="12" s="1"/>
  <c r="AK45" i="12" s="1"/>
  <c r="E45" i="12"/>
  <c r="B45" i="12"/>
  <c r="BP44" i="12"/>
  <c r="BG44" i="12"/>
  <c r="AY44" i="12"/>
  <c r="AX44" i="12"/>
  <c r="E44" i="12"/>
  <c r="C44" i="12"/>
  <c r="B44" i="12"/>
  <c r="BP43" i="12"/>
  <c r="E43" i="12"/>
  <c r="C43" i="12"/>
  <c r="AI43" i="12" s="1"/>
  <c r="AJ43" i="12" s="1"/>
  <c r="AK43" i="12" s="1"/>
  <c r="B43" i="12"/>
  <c r="BP42" i="12"/>
  <c r="E42" i="12"/>
  <c r="C42" i="12"/>
  <c r="B42" i="12"/>
  <c r="BP41" i="12"/>
  <c r="AR41" i="12"/>
  <c r="AS41" i="12" s="1"/>
  <c r="AT41" i="12" s="1"/>
  <c r="E41" i="12"/>
  <c r="B41" i="12"/>
  <c r="BP40" i="12"/>
  <c r="BD40" i="12"/>
  <c r="BE40" i="12" s="1"/>
  <c r="BA40" i="12"/>
  <c r="AR40" i="12"/>
  <c r="AS40" i="12" s="1"/>
  <c r="AT40" i="12" s="1"/>
  <c r="AO40" i="12"/>
  <c r="AP40" i="12" s="1"/>
  <c r="AJ40" i="12"/>
  <c r="AK40" i="12" s="1"/>
  <c r="AI40" i="12"/>
  <c r="E40" i="12"/>
  <c r="C40" i="12"/>
  <c r="B40" i="12"/>
  <c r="BP39" i="12"/>
  <c r="E39" i="12"/>
  <c r="B39" i="12"/>
  <c r="BP38" i="12"/>
  <c r="E38" i="12"/>
  <c r="B38" i="12"/>
  <c r="BP37" i="12"/>
  <c r="BG37" i="12"/>
  <c r="BO37" i="12" s="1"/>
  <c r="BA37" i="12"/>
  <c r="BB37" i="12" s="1"/>
  <c r="AI37" i="12"/>
  <c r="AJ37" i="12" s="1"/>
  <c r="AK37" i="12" s="1"/>
  <c r="AH37" i="12"/>
  <c r="E37" i="12"/>
  <c r="C37" i="12"/>
  <c r="B37" i="12"/>
  <c r="BP36" i="12"/>
  <c r="AR36" i="12"/>
  <c r="AS36" i="12" s="1"/>
  <c r="AT36" i="12" s="1"/>
  <c r="E36" i="12"/>
  <c r="B36" i="12"/>
  <c r="BP35" i="12"/>
  <c r="E35" i="12"/>
  <c r="B35" i="12"/>
  <c r="BP34" i="12"/>
  <c r="AJ34" i="12"/>
  <c r="AK34" i="12" s="1"/>
  <c r="AI34" i="12"/>
  <c r="E34" i="12"/>
  <c r="B34" i="12"/>
  <c r="BP33" i="12"/>
  <c r="BG33" i="12"/>
  <c r="BH33" i="12" s="1"/>
  <c r="BD33" i="12"/>
  <c r="BE33" i="12" s="1"/>
  <c r="E33" i="12"/>
  <c r="C33" i="12"/>
  <c r="B33" i="12"/>
  <c r="BP32" i="12"/>
  <c r="BG32" i="12"/>
  <c r="BD32" i="12"/>
  <c r="BE32" i="12" s="1"/>
  <c r="AR32" i="12"/>
  <c r="AS32" i="12" s="1"/>
  <c r="AT32" i="12" s="1"/>
  <c r="AQ32" i="12"/>
  <c r="AO32" i="12"/>
  <c r="AP32" i="12" s="1"/>
  <c r="AL32" i="12"/>
  <c r="AM32" i="12" s="1"/>
  <c r="AN32" i="12" s="1"/>
  <c r="AI32" i="12"/>
  <c r="AJ32" i="12" s="1"/>
  <c r="AK32" i="12" s="1"/>
  <c r="E32" i="12"/>
  <c r="C32" i="12"/>
  <c r="B32" i="12"/>
  <c r="BP31" i="12"/>
  <c r="E31" i="12"/>
  <c r="B31" i="12"/>
  <c r="BP30" i="12"/>
  <c r="AI30" i="12"/>
  <c r="AJ30" i="12" s="1"/>
  <c r="AK30" i="12" s="1"/>
  <c r="E30" i="12"/>
  <c r="B30" i="12"/>
  <c r="BP29" i="12"/>
  <c r="BD29" i="12"/>
  <c r="BE29" i="12" s="1"/>
  <c r="E29" i="12"/>
  <c r="C29" i="12"/>
  <c r="AX29" i="12" s="1"/>
  <c r="B29" i="12"/>
  <c r="BP28" i="12"/>
  <c r="AU28" i="12"/>
  <c r="E28" i="12"/>
  <c r="C28" i="12"/>
  <c r="B28" i="12"/>
  <c r="BP27" i="12"/>
  <c r="E27" i="12"/>
  <c r="B27" i="12"/>
  <c r="BP26" i="12"/>
  <c r="BA26" i="12"/>
  <c r="BB26" i="12" s="1"/>
  <c r="AR26" i="12"/>
  <c r="AS26" i="12" s="1"/>
  <c r="AT26" i="12" s="1"/>
  <c r="AL26" i="12"/>
  <c r="AM26" i="12" s="1"/>
  <c r="AN26" i="12" s="1"/>
  <c r="AI26" i="12"/>
  <c r="AJ26" i="12" s="1"/>
  <c r="AK26" i="12" s="1"/>
  <c r="E26" i="12"/>
  <c r="B26" i="12"/>
  <c r="BP25" i="12"/>
  <c r="AX25" i="12"/>
  <c r="AU25" i="12"/>
  <c r="AI25" i="12"/>
  <c r="AJ25" i="12" s="1"/>
  <c r="AK25" i="12" s="1"/>
  <c r="O25" i="12"/>
  <c r="P25" i="12" s="1"/>
  <c r="E25" i="12"/>
  <c r="B25" i="12"/>
  <c r="BP24" i="12"/>
  <c r="BG24" i="12"/>
  <c r="BA24" i="12"/>
  <c r="BB24" i="12" s="1"/>
  <c r="AU24" i="12"/>
  <c r="AJ24" i="12"/>
  <c r="AK24" i="12" s="1"/>
  <c r="AI24" i="12"/>
  <c r="AH24" i="12"/>
  <c r="E24" i="12"/>
  <c r="C24" i="12"/>
  <c r="B24" i="12"/>
  <c r="BP23" i="12"/>
  <c r="E23" i="12"/>
  <c r="B23" i="12"/>
  <c r="BP22" i="12"/>
  <c r="BD22" i="12"/>
  <c r="BE22" i="12" s="1"/>
  <c r="AO22" i="12"/>
  <c r="AP22" i="12" s="1"/>
  <c r="AQ22" i="12" s="1"/>
  <c r="AL22" i="12"/>
  <c r="AM22" i="12" s="1"/>
  <c r="AN22" i="12" s="1"/>
  <c r="AK22" i="12"/>
  <c r="AI22" i="12"/>
  <c r="AJ22" i="12" s="1"/>
  <c r="E22" i="12"/>
  <c r="B22" i="12"/>
  <c r="BU21" i="12"/>
  <c r="BV21" i="12" s="1"/>
  <c r="BP21" i="12"/>
  <c r="BA21" i="12"/>
  <c r="BB21" i="12" s="1"/>
  <c r="AX21" i="12"/>
  <c r="AU21" i="12"/>
  <c r="AO21" i="12"/>
  <c r="AP21" i="12" s="1"/>
  <c r="AQ21" i="12" s="1"/>
  <c r="AI21" i="12"/>
  <c r="AJ21" i="12" s="1"/>
  <c r="AK21" i="12" s="1"/>
  <c r="AE21" i="12"/>
  <c r="E21" i="12"/>
  <c r="B21" i="12"/>
  <c r="BP20" i="12"/>
  <c r="BA20" i="12"/>
  <c r="BB20" i="12" s="1"/>
  <c r="E20" i="12"/>
  <c r="C20" i="12"/>
  <c r="B20" i="12"/>
  <c r="BP19" i="12"/>
  <c r="E19" i="12"/>
  <c r="B19" i="12"/>
  <c r="BP18" i="12"/>
  <c r="AX18" i="12"/>
  <c r="AU18" i="12"/>
  <c r="E18" i="12"/>
  <c r="B18" i="12"/>
  <c r="BP17" i="12"/>
  <c r="E17" i="12"/>
  <c r="B17" i="12"/>
  <c r="BP16" i="12"/>
  <c r="BG16" i="12"/>
  <c r="BD16" i="12"/>
  <c r="AX16" i="12"/>
  <c r="AR16" i="12"/>
  <c r="AS16" i="12" s="1"/>
  <c r="AT16" i="12" s="1"/>
  <c r="AO16" i="12"/>
  <c r="AP16" i="12" s="1"/>
  <c r="AQ16" i="12" s="1"/>
  <c r="AL16" i="12"/>
  <c r="AM16" i="12" s="1"/>
  <c r="AN16" i="12" s="1"/>
  <c r="E16" i="12"/>
  <c r="BE16" i="12" s="1"/>
  <c r="B16" i="12"/>
  <c r="BP15" i="12"/>
  <c r="E15" i="12"/>
  <c r="B15" i="12"/>
  <c r="BP14" i="12"/>
  <c r="AR14" i="12"/>
  <c r="AS14" i="12" s="1"/>
  <c r="AT14" i="12" s="1"/>
  <c r="AO14" i="12"/>
  <c r="AP14" i="12" s="1"/>
  <c r="AQ14" i="12" s="1"/>
  <c r="E14" i="12"/>
  <c r="B14" i="12"/>
  <c r="BP13" i="12"/>
  <c r="E13" i="12"/>
  <c r="B13" i="12"/>
  <c r="BP12" i="12"/>
  <c r="BH12" i="12"/>
  <c r="BI12" i="12" s="1"/>
  <c r="BG12" i="12"/>
  <c r="BO12" i="12" s="1"/>
  <c r="BD12" i="12"/>
  <c r="AX12" i="12"/>
  <c r="AO12" i="12"/>
  <c r="AP12" i="12" s="1"/>
  <c r="AQ12" i="12" s="1"/>
  <c r="AL12" i="12"/>
  <c r="AM12" i="12" s="1"/>
  <c r="AN12" i="12" s="1"/>
  <c r="AH12" i="12"/>
  <c r="E12" i="12"/>
  <c r="B12" i="12"/>
  <c r="BP11" i="12"/>
  <c r="E11" i="12"/>
  <c r="B11" i="12"/>
  <c r="BP10" i="12"/>
  <c r="BG10" i="12"/>
  <c r="AH10" i="12" s="1"/>
  <c r="AR10" i="12"/>
  <c r="AS10" i="12" s="1"/>
  <c r="AT10" i="12" s="1"/>
  <c r="AP10" i="12"/>
  <c r="AQ10" i="12" s="1"/>
  <c r="AO10" i="12"/>
  <c r="E10" i="12"/>
  <c r="B10" i="12"/>
  <c r="BP9" i="12"/>
  <c r="E9" i="12"/>
  <c r="B9" i="12"/>
  <c r="BP8" i="12"/>
  <c r="BN8" i="12"/>
  <c r="BG8" i="12"/>
  <c r="BO8" i="12" s="1"/>
  <c r="BE8" i="12"/>
  <c r="BD8" i="12"/>
  <c r="AY8" i="12"/>
  <c r="AX8" i="12"/>
  <c r="AU8" i="12"/>
  <c r="AT8" i="12"/>
  <c r="AR8" i="12"/>
  <c r="AS8" i="12" s="1"/>
  <c r="AO8" i="12"/>
  <c r="AP8" i="12" s="1"/>
  <c r="AQ8" i="12" s="1"/>
  <c r="AL8" i="12"/>
  <c r="AM8" i="12" s="1"/>
  <c r="AN8" i="12" s="1"/>
  <c r="AE8" i="12"/>
  <c r="E8" i="12"/>
  <c r="B8" i="12"/>
  <c r="BP7" i="12"/>
  <c r="AX7" i="12"/>
  <c r="AR7" i="12"/>
  <c r="AS7" i="12" s="1"/>
  <c r="AT7" i="12" s="1"/>
  <c r="AL7" i="12"/>
  <c r="AM7" i="12" s="1"/>
  <c r="AN7" i="12" s="1"/>
  <c r="E7" i="12"/>
  <c r="B7" i="12"/>
  <c r="BP6" i="12"/>
  <c r="BD6" i="12"/>
  <c r="BE6" i="12" s="1"/>
  <c r="AX6" i="12"/>
  <c r="AU6" i="12"/>
  <c r="AP6" i="12"/>
  <c r="AQ6" i="12" s="1"/>
  <c r="AO6" i="12"/>
  <c r="AL6" i="12"/>
  <c r="AM6" i="12" s="1"/>
  <c r="AN6" i="12" s="1"/>
  <c r="E6" i="12"/>
  <c r="B6" i="12"/>
  <c r="BP5" i="12"/>
  <c r="E5" i="12"/>
  <c r="B5" i="12"/>
  <c r="BP4" i="12"/>
  <c r="BD4" i="12"/>
  <c r="BE4" i="12" s="1"/>
  <c r="BF4" i="12" s="1"/>
  <c r="AX4" i="12"/>
  <c r="AU4" i="12"/>
  <c r="AT4" i="12"/>
  <c r="AS4" i="12"/>
  <c r="AR4" i="12"/>
  <c r="AM4" i="12"/>
  <c r="AN4" i="12" s="1"/>
  <c r="AL4" i="12"/>
  <c r="E4" i="12"/>
  <c r="D4" i="12"/>
  <c r="B4" i="12"/>
  <c r="BP3" i="12"/>
  <c r="BD3" i="12"/>
  <c r="BA3" i="12"/>
  <c r="AX3" i="12"/>
  <c r="E3" i="12"/>
  <c r="C3" i="12"/>
  <c r="B3" i="12"/>
  <c r="BP2" i="12"/>
  <c r="BG2" i="12"/>
  <c r="BD2" i="12"/>
  <c r="AL2" i="12"/>
  <c r="AM2" i="12" s="1"/>
  <c r="AH2" i="12"/>
  <c r="E2" i="12"/>
  <c r="B2" i="12"/>
  <c r="M1" i="12"/>
  <c r="F138" i="9"/>
  <c r="F137" i="9"/>
  <c r="F136" i="9"/>
  <c r="I348" i="8" s="1"/>
  <c r="F135" i="9"/>
  <c r="F134" i="9"/>
  <c r="M367" i="8" s="1"/>
  <c r="F133" i="9"/>
  <c r="G339" i="8" s="1"/>
  <c r="F132" i="9"/>
  <c r="F131" i="9"/>
  <c r="E402" i="8" s="1"/>
  <c r="F130" i="9"/>
  <c r="E401" i="8" s="1"/>
  <c r="F129" i="9"/>
  <c r="F128" i="9"/>
  <c r="E399" i="8" s="1"/>
  <c r="F127" i="9"/>
  <c r="E398" i="8" s="1"/>
  <c r="C398" i="8" s="1"/>
  <c r="D397" i="12" s="1"/>
  <c r="F126" i="9"/>
  <c r="E397" i="8" s="1"/>
  <c r="F125" i="9"/>
  <c r="F124" i="9"/>
  <c r="F123" i="9"/>
  <c r="F122" i="9"/>
  <c r="F121" i="9"/>
  <c r="F120" i="9"/>
  <c r="F119" i="9"/>
  <c r="F118" i="9"/>
  <c r="F117" i="9"/>
  <c r="F116" i="9"/>
  <c r="F115" i="9"/>
  <c r="E386" i="8" s="1"/>
  <c r="F114" i="9"/>
  <c r="G275" i="8" s="1"/>
  <c r="F113" i="9"/>
  <c r="K292" i="8" s="1"/>
  <c r="F112" i="9"/>
  <c r="K286" i="8" s="1"/>
  <c r="F111" i="9"/>
  <c r="F110" i="9"/>
  <c r="K283" i="8" s="1"/>
  <c r="F109" i="9"/>
  <c r="E380" i="8" s="1"/>
  <c r="C380" i="8" s="1"/>
  <c r="F108" i="9"/>
  <c r="E379" i="8" s="1"/>
  <c r="F107" i="9"/>
  <c r="E378" i="8" s="1"/>
  <c r="F106" i="9"/>
  <c r="F105" i="9"/>
  <c r="F104" i="9"/>
  <c r="E375" i="8" s="1"/>
  <c r="C375" i="8" s="1"/>
  <c r="F103" i="9"/>
  <c r="F65" i="9" a="1"/>
  <c r="F65" i="9" s="1"/>
  <c r="E64" i="8" s="1"/>
  <c r="C64" i="8" s="1"/>
  <c r="D63" i="12" s="1"/>
  <c r="W63" i="12" s="1"/>
  <c r="X63" i="12" s="1"/>
  <c r="F57" i="9"/>
  <c r="O232" i="8" s="1"/>
  <c r="F56" i="9"/>
  <c r="G183" i="8" s="1"/>
  <c r="F55" i="9"/>
  <c r="E54" i="8" s="1"/>
  <c r="F54" i="9"/>
  <c r="F53" i="9"/>
  <c r="I193" i="8" s="1"/>
  <c r="C193" i="8" s="1"/>
  <c r="F52" i="9"/>
  <c r="F51" i="9"/>
  <c r="E50" i="8" s="1"/>
  <c r="F50" i="9"/>
  <c r="E49" i="8" s="1"/>
  <c r="C49" i="8" s="1"/>
  <c r="F49" i="9"/>
  <c r="I360" i="8" s="1"/>
  <c r="F48" i="9"/>
  <c r="F47" i="9"/>
  <c r="F46" i="9"/>
  <c r="F45" i="9"/>
  <c r="G351" i="8" s="1"/>
  <c r="F44" i="9"/>
  <c r="F43" i="9"/>
  <c r="E42" i="8" s="1"/>
  <c r="F42" i="9"/>
  <c r="G169" i="8" s="1"/>
  <c r="F41" i="9"/>
  <c r="K216" i="8" s="1"/>
  <c r="F40" i="9"/>
  <c r="F39" i="9"/>
  <c r="F38" i="9"/>
  <c r="F37" i="9"/>
  <c r="E36" i="8" s="1"/>
  <c r="F36" i="9"/>
  <c r="F35" i="9"/>
  <c r="E34" i="8" s="1"/>
  <c r="F34" i="9"/>
  <c r="E33" i="8" s="1"/>
  <c r="C33" i="8" s="1"/>
  <c r="F33" i="9"/>
  <c r="F32" i="9"/>
  <c r="F31" i="9"/>
  <c r="F30" i="9"/>
  <c r="F29" i="9"/>
  <c r="F28" i="9"/>
  <c r="F27" i="9"/>
  <c r="E26" i="8" s="1"/>
  <c r="F26" i="9"/>
  <c r="F25" i="9"/>
  <c r="F24" i="9"/>
  <c r="F23" i="9"/>
  <c r="F22" i="9"/>
  <c r="F21" i="9"/>
  <c r="E20" i="8" s="1"/>
  <c r="F20" i="9"/>
  <c r="F19" i="9"/>
  <c r="F18" i="9"/>
  <c r="G301" i="8" s="1"/>
  <c r="F17" i="9"/>
  <c r="E16" i="8" s="1"/>
  <c r="F16" i="9"/>
  <c r="F15" i="9"/>
  <c r="E14" i="8" s="1"/>
  <c r="C14" i="8" s="1"/>
  <c r="F14" i="9"/>
  <c r="F13" i="9"/>
  <c r="F12" i="9"/>
  <c r="F11" i="9"/>
  <c r="E10" i="8" s="1"/>
  <c r="F10" i="9"/>
  <c r="F9" i="9"/>
  <c r="F8" i="9"/>
  <c r="F7" i="9"/>
  <c r="F6" i="9"/>
  <c r="F5" i="9"/>
  <c r="K371" i="8" s="1"/>
  <c r="X409" i="8"/>
  <c r="C408" i="12" s="1"/>
  <c r="W409" i="8"/>
  <c r="U409" i="8"/>
  <c r="S409" i="8"/>
  <c r="Q409" i="8"/>
  <c r="O409" i="8"/>
  <c r="C409" i="8" s="1"/>
  <c r="M409" i="8"/>
  <c r="K409" i="8"/>
  <c r="I409" i="8"/>
  <c r="G409" i="8"/>
  <c r="E409" i="8"/>
  <c r="X408" i="8"/>
  <c r="C407" i="12" s="1"/>
  <c r="W408" i="8"/>
  <c r="U408" i="8"/>
  <c r="S408" i="8"/>
  <c r="Q408" i="8"/>
  <c r="O408" i="8"/>
  <c r="M408" i="8"/>
  <c r="K408" i="8"/>
  <c r="I408" i="8"/>
  <c r="G408" i="8"/>
  <c r="C408" i="8" s="1"/>
  <c r="D407" i="12" s="1"/>
  <c r="E408" i="8"/>
  <c r="X407" i="8"/>
  <c r="C406" i="12" s="1"/>
  <c r="W407" i="8"/>
  <c r="U407" i="8"/>
  <c r="S407" i="8"/>
  <c r="Q407" i="8"/>
  <c r="O407" i="8"/>
  <c r="M407" i="8"/>
  <c r="K407" i="8"/>
  <c r="I407" i="8"/>
  <c r="G407" i="8"/>
  <c r="E407" i="8"/>
  <c r="C407" i="8" s="1"/>
  <c r="D406" i="12" s="1"/>
  <c r="X406" i="8"/>
  <c r="W406" i="8"/>
  <c r="C406" i="8" s="1"/>
  <c r="U406" i="8"/>
  <c r="S406" i="8"/>
  <c r="Q406" i="8"/>
  <c r="O406" i="8"/>
  <c r="M406" i="8"/>
  <c r="K406" i="8"/>
  <c r="I406" i="8"/>
  <c r="G406" i="8"/>
  <c r="E406" i="8"/>
  <c r="X405" i="8"/>
  <c r="C404" i="12" s="1"/>
  <c r="W405" i="8"/>
  <c r="U405" i="8"/>
  <c r="S405" i="8"/>
  <c r="Q405" i="8"/>
  <c r="O405" i="8"/>
  <c r="C405" i="8" s="1"/>
  <c r="D404" i="12" s="1"/>
  <c r="M405" i="8"/>
  <c r="K405" i="8"/>
  <c r="I405" i="8"/>
  <c r="G405" i="8"/>
  <c r="E405" i="8"/>
  <c r="X404" i="8"/>
  <c r="C403" i="12" s="1"/>
  <c r="W404" i="8"/>
  <c r="U404" i="8"/>
  <c r="S404" i="8"/>
  <c r="Q404" i="8"/>
  <c r="O404" i="8"/>
  <c r="M404" i="8"/>
  <c r="K404" i="8"/>
  <c r="I404" i="8"/>
  <c r="G404" i="8"/>
  <c r="X403" i="8"/>
  <c r="C402" i="12" s="1"/>
  <c r="W403" i="8"/>
  <c r="U403" i="8"/>
  <c r="S403" i="8"/>
  <c r="Q403" i="8"/>
  <c r="O403" i="8"/>
  <c r="M403" i="8"/>
  <c r="K403" i="8"/>
  <c r="I403" i="8"/>
  <c r="G403" i="8"/>
  <c r="E403" i="8"/>
  <c r="C403" i="8"/>
  <c r="X402" i="8"/>
  <c r="W402" i="8"/>
  <c r="C402" i="8" s="1"/>
  <c r="U402" i="8"/>
  <c r="S402" i="8"/>
  <c r="Q402" i="8"/>
  <c r="O402" i="8"/>
  <c r="M402" i="8"/>
  <c r="K402" i="8"/>
  <c r="I402" i="8"/>
  <c r="G402" i="8"/>
  <c r="X401" i="8"/>
  <c r="C400" i="12" s="1"/>
  <c r="W401" i="8"/>
  <c r="U401" i="8"/>
  <c r="S401" i="8"/>
  <c r="Q401" i="8"/>
  <c r="O401" i="8"/>
  <c r="M401" i="8"/>
  <c r="K401" i="8"/>
  <c r="I401" i="8"/>
  <c r="G401" i="8"/>
  <c r="X400" i="8"/>
  <c r="C399" i="12" s="1"/>
  <c r="W400" i="8"/>
  <c r="U400" i="8"/>
  <c r="S400" i="8"/>
  <c r="Q400" i="8"/>
  <c r="O400" i="8"/>
  <c r="M400" i="8"/>
  <c r="K400" i="8"/>
  <c r="I400" i="8"/>
  <c r="G400" i="8"/>
  <c r="E400" i="8"/>
  <c r="X399" i="8"/>
  <c r="C398" i="12" s="1"/>
  <c r="W399" i="8"/>
  <c r="U399" i="8"/>
  <c r="S399" i="8"/>
  <c r="Q399" i="8"/>
  <c r="O399" i="8"/>
  <c r="M399" i="8"/>
  <c r="K399" i="8"/>
  <c r="I399" i="8"/>
  <c r="G399" i="8"/>
  <c r="X398" i="8"/>
  <c r="C397" i="12" s="1"/>
  <c r="W398" i="8"/>
  <c r="U398" i="8"/>
  <c r="S398" i="8"/>
  <c r="Q398" i="8"/>
  <c r="O398" i="8"/>
  <c r="M398" i="8"/>
  <c r="K398" i="8"/>
  <c r="I398" i="8"/>
  <c r="G398" i="8"/>
  <c r="X397" i="8"/>
  <c r="C396" i="12" s="1"/>
  <c r="W397" i="8"/>
  <c r="U397" i="8"/>
  <c r="S397" i="8"/>
  <c r="Q397" i="8"/>
  <c r="O397" i="8"/>
  <c r="M397" i="8"/>
  <c r="K397" i="8"/>
  <c r="I397" i="8"/>
  <c r="G397" i="8"/>
  <c r="X396" i="8"/>
  <c r="C395" i="12" s="1"/>
  <c r="W396" i="8"/>
  <c r="U396" i="8"/>
  <c r="S396" i="8"/>
  <c r="Q396" i="8"/>
  <c r="O396" i="8"/>
  <c r="M396" i="8"/>
  <c r="K396" i="8"/>
  <c r="I396" i="8"/>
  <c r="G396" i="8"/>
  <c r="E396" i="8"/>
  <c r="C396" i="8" s="1"/>
  <c r="X395" i="8"/>
  <c r="W395" i="8"/>
  <c r="U395" i="8"/>
  <c r="S395" i="8"/>
  <c r="Q395" i="8"/>
  <c r="O395" i="8"/>
  <c r="M395" i="8"/>
  <c r="K395" i="8"/>
  <c r="I395" i="8"/>
  <c r="G395" i="8"/>
  <c r="E395" i="8"/>
  <c r="C395" i="8"/>
  <c r="X394" i="8"/>
  <c r="W394" i="8"/>
  <c r="U394" i="8"/>
  <c r="S394" i="8"/>
  <c r="Q394" i="8"/>
  <c r="O394" i="8"/>
  <c r="M394" i="8"/>
  <c r="K394" i="8"/>
  <c r="I394" i="8"/>
  <c r="G394" i="8"/>
  <c r="X393" i="8"/>
  <c r="C392" i="12" s="1"/>
  <c r="W393" i="8"/>
  <c r="U393" i="8"/>
  <c r="S393" i="8"/>
  <c r="Q393" i="8"/>
  <c r="O393" i="8"/>
  <c r="M393" i="8"/>
  <c r="K393" i="8"/>
  <c r="I393" i="8"/>
  <c r="G393" i="8"/>
  <c r="E393" i="8"/>
  <c r="X392" i="8"/>
  <c r="C391" i="12" s="1"/>
  <c r="W392" i="8"/>
  <c r="U392" i="8"/>
  <c r="S392" i="8"/>
  <c r="Q392" i="8"/>
  <c r="O392" i="8"/>
  <c r="M392" i="8"/>
  <c r="K392" i="8"/>
  <c r="I392" i="8"/>
  <c r="G392" i="8"/>
  <c r="E392" i="8"/>
  <c r="C392" i="8"/>
  <c r="D391" i="12" s="1"/>
  <c r="X391" i="8"/>
  <c r="C390" i="12" s="1"/>
  <c r="W391" i="8"/>
  <c r="U391" i="8"/>
  <c r="S391" i="8"/>
  <c r="Q391" i="8"/>
  <c r="O391" i="8"/>
  <c r="M391" i="8"/>
  <c r="K391" i="8"/>
  <c r="I391" i="8"/>
  <c r="G391" i="8"/>
  <c r="E391" i="8"/>
  <c r="C391" i="8"/>
  <c r="X390" i="8"/>
  <c r="C389" i="12" s="1"/>
  <c r="W390" i="8"/>
  <c r="U390" i="8"/>
  <c r="S390" i="8"/>
  <c r="Q390" i="8"/>
  <c r="O390" i="8"/>
  <c r="M390" i="8"/>
  <c r="K390" i="8"/>
  <c r="I390" i="8"/>
  <c r="G390" i="8"/>
  <c r="E390" i="8"/>
  <c r="X389" i="8"/>
  <c r="C388" i="12" s="1"/>
  <c r="W389" i="8"/>
  <c r="U389" i="8"/>
  <c r="S389" i="8"/>
  <c r="Q389" i="8"/>
  <c r="O389" i="8"/>
  <c r="M389" i="8"/>
  <c r="K389" i="8"/>
  <c r="I389" i="8"/>
  <c r="G389" i="8"/>
  <c r="E389" i="8"/>
  <c r="X388" i="8"/>
  <c r="C387" i="12" s="1"/>
  <c r="W388" i="8"/>
  <c r="U388" i="8"/>
  <c r="S388" i="8"/>
  <c r="Q388" i="8"/>
  <c r="O388" i="8"/>
  <c r="M388" i="8"/>
  <c r="K388" i="8"/>
  <c r="I388" i="8"/>
  <c r="G388" i="8"/>
  <c r="E388" i="8"/>
  <c r="C388" i="8"/>
  <c r="X387" i="8"/>
  <c r="C386" i="12" s="1"/>
  <c r="W387" i="8"/>
  <c r="U387" i="8"/>
  <c r="S387" i="8"/>
  <c r="Q387" i="8"/>
  <c r="O387" i="8"/>
  <c r="M387" i="8"/>
  <c r="K387" i="8"/>
  <c r="I387" i="8"/>
  <c r="G387" i="8"/>
  <c r="E387" i="8"/>
  <c r="X386" i="8"/>
  <c r="W386" i="8"/>
  <c r="U386" i="8"/>
  <c r="S386" i="8"/>
  <c r="Q386" i="8"/>
  <c r="O386" i="8"/>
  <c r="M386" i="8"/>
  <c r="K386" i="8"/>
  <c r="I386" i="8"/>
  <c r="G386" i="8"/>
  <c r="X385" i="8"/>
  <c r="C384" i="12" s="1"/>
  <c r="W385" i="8"/>
  <c r="U385" i="8"/>
  <c r="S385" i="8"/>
  <c r="Q385" i="8"/>
  <c r="O385" i="8"/>
  <c r="M385" i="8"/>
  <c r="K385" i="8"/>
  <c r="I385" i="8"/>
  <c r="G385" i="8"/>
  <c r="E385" i="8"/>
  <c r="C385" i="8"/>
  <c r="X384" i="8"/>
  <c r="C383" i="12" s="1"/>
  <c r="W384" i="8"/>
  <c r="U384" i="8"/>
  <c r="S384" i="8"/>
  <c r="Q384" i="8"/>
  <c r="O384" i="8"/>
  <c r="M384" i="8"/>
  <c r="K384" i="8"/>
  <c r="I384" i="8"/>
  <c r="G384" i="8"/>
  <c r="E384" i="8"/>
  <c r="C384" i="8"/>
  <c r="D383" i="12" s="1"/>
  <c r="X383" i="8"/>
  <c r="C382" i="12" s="1"/>
  <c r="W383" i="8"/>
  <c r="U383" i="8"/>
  <c r="S383" i="8"/>
  <c r="Q383" i="8"/>
  <c r="O383" i="8"/>
  <c r="M383" i="8"/>
  <c r="K383" i="8"/>
  <c r="I383" i="8"/>
  <c r="G383" i="8"/>
  <c r="X382" i="8"/>
  <c r="C381" i="12" s="1"/>
  <c r="W382" i="8"/>
  <c r="U382" i="8"/>
  <c r="S382" i="8"/>
  <c r="Q382" i="8"/>
  <c r="O382" i="8"/>
  <c r="M382" i="8"/>
  <c r="K382" i="8"/>
  <c r="I382" i="8"/>
  <c r="G382" i="8"/>
  <c r="X381" i="8"/>
  <c r="C380" i="12" s="1"/>
  <c r="W381" i="8"/>
  <c r="U381" i="8"/>
  <c r="S381" i="8"/>
  <c r="Q381" i="8"/>
  <c r="O381" i="8"/>
  <c r="M381" i="8"/>
  <c r="K381" i="8"/>
  <c r="I381" i="8"/>
  <c r="G381" i="8"/>
  <c r="X380" i="8"/>
  <c r="C379" i="12" s="1"/>
  <c r="W380" i="8"/>
  <c r="U380" i="8"/>
  <c r="S380" i="8"/>
  <c r="Q380" i="8"/>
  <c r="O380" i="8"/>
  <c r="M380" i="8"/>
  <c r="K380" i="8"/>
  <c r="I380" i="8"/>
  <c r="G380" i="8"/>
  <c r="X379" i="8"/>
  <c r="W379" i="8"/>
  <c r="U379" i="8"/>
  <c r="S379" i="8"/>
  <c r="Q379" i="8"/>
  <c r="O379" i="8"/>
  <c r="M379" i="8"/>
  <c r="K379" i="8"/>
  <c r="I379" i="8"/>
  <c r="G379" i="8"/>
  <c r="X378" i="8"/>
  <c r="C377" i="12" s="1"/>
  <c r="W378" i="8"/>
  <c r="U378" i="8"/>
  <c r="S378" i="8"/>
  <c r="Q378" i="8"/>
  <c r="O378" i="8"/>
  <c r="M378" i="8"/>
  <c r="K378" i="8"/>
  <c r="I378" i="8"/>
  <c r="G378" i="8"/>
  <c r="C378" i="8" s="1"/>
  <c r="D377" i="12" s="1"/>
  <c r="X377" i="8"/>
  <c r="C376" i="12" s="1"/>
  <c r="W377" i="8"/>
  <c r="U377" i="8"/>
  <c r="S377" i="8"/>
  <c r="Q377" i="8"/>
  <c r="O377" i="8"/>
  <c r="M377" i="8"/>
  <c r="K377" i="8"/>
  <c r="I377" i="8"/>
  <c r="G377" i="8"/>
  <c r="E377" i="8"/>
  <c r="C377" i="8" s="1"/>
  <c r="X376" i="8"/>
  <c r="C375" i="12" s="1"/>
  <c r="W376" i="8"/>
  <c r="C376" i="8" s="1"/>
  <c r="U376" i="8"/>
  <c r="S376" i="8"/>
  <c r="Q376" i="8"/>
  <c r="O376" i="8"/>
  <c r="M376" i="8"/>
  <c r="K376" i="8"/>
  <c r="I376" i="8"/>
  <c r="G376" i="8"/>
  <c r="E376" i="8"/>
  <c r="X375" i="8"/>
  <c r="W375" i="8"/>
  <c r="U375" i="8"/>
  <c r="S375" i="8"/>
  <c r="Q375" i="8"/>
  <c r="O375" i="8"/>
  <c r="M375" i="8"/>
  <c r="K375" i="8"/>
  <c r="I375" i="8"/>
  <c r="G375" i="8"/>
  <c r="X374" i="8"/>
  <c r="C373" i="12" s="1"/>
  <c r="W374" i="8"/>
  <c r="U374" i="8"/>
  <c r="S374" i="8"/>
  <c r="Q374" i="8"/>
  <c r="O374" i="8"/>
  <c r="M374" i="8"/>
  <c r="C374" i="8" s="1"/>
  <c r="K374" i="8"/>
  <c r="I374" i="8"/>
  <c r="G374" i="8"/>
  <c r="E374" i="8"/>
  <c r="X373" i="8"/>
  <c r="C372" i="12" s="1"/>
  <c r="W373" i="8"/>
  <c r="U373" i="8"/>
  <c r="S373" i="8"/>
  <c r="Q373" i="8"/>
  <c r="O373" i="8"/>
  <c r="M373" i="8"/>
  <c r="K373" i="8"/>
  <c r="I373" i="8"/>
  <c r="G373" i="8"/>
  <c r="E373" i="8"/>
  <c r="C373" i="8" s="1"/>
  <c r="X372" i="8"/>
  <c r="W372" i="8"/>
  <c r="U372" i="8"/>
  <c r="S372" i="8"/>
  <c r="Q372" i="8"/>
  <c r="O372" i="8"/>
  <c r="I372" i="8"/>
  <c r="G372" i="8"/>
  <c r="E372" i="8"/>
  <c r="X371" i="8"/>
  <c r="C370" i="12" s="1"/>
  <c r="W371" i="8"/>
  <c r="U371" i="8"/>
  <c r="S371" i="8"/>
  <c r="Q371" i="8"/>
  <c r="O371" i="8"/>
  <c r="M371" i="8"/>
  <c r="E371" i="8"/>
  <c r="X370" i="8"/>
  <c r="C369" i="12" s="1"/>
  <c r="W370" i="8"/>
  <c r="U370" i="8"/>
  <c r="S370" i="8"/>
  <c r="Q370" i="8"/>
  <c r="O370" i="8"/>
  <c r="M370" i="8"/>
  <c r="K370" i="8"/>
  <c r="X369" i="8"/>
  <c r="C368" i="12" s="1"/>
  <c r="W369" i="8"/>
  <c r="U369" i="8"/>
  <c r="S369" i="8"/>
  <c r="Q369" i="8"/>
  <c r="O369" i="8"/>
  <c r="M369" i="8"/>
  <c r="K369" i="8"/>
  <c r="G369" i="8"/>
  <c r="X368" i="8"/>
  <c r="W368" i="8"/>
  <c r="U368" i="8"/>
  <c r="S368" i="8"/>
  <c r="Q368" i="8"/>
  <c r="O368" i="8"/>
  <c r="M368" i="8"/>
  <c r="K368" i="8"/>
  <c r="I368" i="8"/>
  <c r="X367" i="8"/>
  <c r="C366" i="12" s="1"/>
  <c r="W367" i="8"/>
  <c r="U367" i="8"/>
  <c r="S367" i="8"/>
  <c r="Q367" i="8"/>
  <c r="O367" i="8"/>
  <c r="K367" i="8"/>
  <c r="E367" i="8"/>
  <c r="X366" i="8"/>
  <c r="C365" i="12" s="1"/>
  <c r="W366" i="8"/>
  <c r="U366" i="8"/>
  <c r="S366" i="8"/>
  <c r="Q366" i="8"/>
  <c r="O366" i="8"/>
  <c r="I366" i="8"/>
  <c r="G366" i="8"/>
  <c r="X365" i="8"/>
  <c r="C364" i="12" s="1"/>
  <c r="W365" i="8"/>
  <c r="U365" i="8"/>
  <c r="S365" i="8"/>
  <c r="Q365" i="8"/>
  <c r="O365" i="8"/>
  <c r="M365" i="8"/>
  <c r="K365" i="8"/>
  <c r="I365" i="8"/>
  <c r="G365" i="8"/>
  <c r="E365" i="8"/>
  <c r="X364" i="8"/>
  <c r="C363" i="12" s="1"/>
  <c r="W364" i="8"/>
  <c r="U364" i="8"/>
  <c r="S364" i="8"/>
  <c r="Q364" i="8"/>
  <c r="O364" i="8"/>
  <c r="M364" i="8"/>
  <c r="K364" i="8"/>
  <c r="I364" i="8"/>
  <c r="G364" i="8"/>
  <c r="E364" i="8"/>
  <c r="C364" i="8"/>
  <c r="X363" i="8"/>
  <c r="W363" i="8"/>
  <c r="U363" i="8"/>
  <c r="S363" i="8"/>
  <c r="Q363" i="8"/>
  <c r="O363" i="8"/>
  <c r="M363" i="8"/>
  <c r="K363" i="8"/>
  <c r="E363" i="8"/>
  <c r="X362" i="8"/>
  <c r="C361" i="12" s="1"/>
  <c r="W362" i="8"/>
  <c r="U362" i="8"/>
  <c r="S362" i="8"/>
  <c r="Q362" i="8"/>
  <c r="O362" i="8"/>
  <c r="M362" i="8"/>
  <c r="K362" i="8"/>
  <c r="X361" i="8"/>
  <c r="C360" i="12" s="1"/>
  <c r="W361" i="8"/>
  <c r="U361" i="8"/>
  <c r="S361" i="8"/>
  <c r="Q361" i="8"/>
  <c r="O361" i="8"/>
  <c r="M361" i="8"/>
  <c r="K361" i="8"/>
  <c r="E361" i="8"/>
  <c r="X360" i="8"/>
  <c r="C359" i="12" s="1"/>
  <c r="W360" i="8"/>
  <c r="U360" i="8"/>
  <c r="S360" i="8"/>
  <c r="Q360" i="8"/>
  <c r="O360" i="8"/>
  <c r="M360" i="8"/>
  <c r="K360" i="8"/>
  <c r="G360" i="8"/>
  <c r="E360" i="8"/>
  <c r="C360" i="8"/>
  <c r="D359" i="12" s="1"/>
  <c r="X359" i="8"/>
  <c r="C358" i="12" s="1"/>
  <c r="W359" i="8"/>
  <c r="U359" i="8"/>
  <c r="S359" i="8"/>
  <c r="Q359" i="8"/>
  <c r="O359" i="8"/>
  <c r="M359" i="8"/>
  <c r="K359" i="8"/>
  <c r="X358" i="8"/>
  <c r="C357" i="12" s="1"/>
  <c r="W358" i="8"/>
  <c r="U358" i="8"/>
  <c r="S358" i="8"/>
  <c r="Q358" i="8"/>
  <c r="O358" i="8"/>
  <c r="M358" i="8"/>
  <c r="K358" i="8"/>
  <c r="G358" i="8"/>
  <c r="X357" i="8"/>
  <c r="C356" i="12" s="1"/>
  <c r="W357" i="8"/>
  <c r="U357" i="8"/>
  <c r="S357" i="8"/>
  <c r="Q357" i="8"/>
  <c r="O357" i="8"/>
  <c r="M357" i="8"/>
  <c r="K357" i="8"/>
  <c r="I357" i="8"/>
  <c r="G357" i="8"/>
  <c r="E357" i="8"/>
  <c r="C357" i="8"/>
  <c r="D356" i="12" s="1"/>
  <c r="X356" i="8"/>
  <c r="W356" i="8"/>
  <c r="U356" i="8"/>
  <c r="S356" i="8"/>
  <c r="Q356" i="8"/>
  <c r="O356" i="8"/>
  <c r="M356" i="8"/>
  <c r="K356" i="8"/>
  <c r="G356" i="8"/>
  <c r="E356" i="8"/>
  <c r="X355" i="8"/>
  <c r="C354" i="12" s="1"/>
  <c r="W355" i="8"/>
  <c r="U355" i="8"/>
  <c r="S355" i="8"/>
  <c r="Q355" i="8"/>
  <c r="O355" i="8"/>
  <c r="M355" i="8"/>
  <c r="K355" i="8"/>
  <c r="I355" i="8"/>
  <c r="E355" i="8"/>
  <c r="X354" i="8"/>
  <c r="C353" i="12" s="1"/>
  <c r="W354" i="8"/>
  <c r="U354" i="8"/>
  <c r="S354" i="8"/>
  <c r="Q354" i="8"/>
  <c r="O354" i="8"/>
  <c r="M354" i="8"/>
  <c r="K354" i="8"/>
  <c r="I354" i="8"/>
  <c r="G354" i="8"/>
  <c r="X353" i="8"/>
  <c r="C352" i="12" s="1"/>
  <c r="W353" i="8"/>
  <c r="U353" i="8"/>
  <c r="S353" i="8"/>
  <c r="Q353" i="8"/>
  <c r="O353" i="8"/>
  <c r="M353" i="8"/>
  <c r="K353" i="8"/>
  <c r="E353" i="8"/>
  <c r="X352" i="8"/>
  <c r="W352" i="8"/>
  <c r="U352" i="8"/>
  <c r="S352" i="8"/>
  <c r="Q352" i="8"/>
  <c r="O352" i="8"/>
  <c r="M352" i="8"/>
  <c r="K352" i="8"/>
  <c r="G352" i="8"/>
  <c r="E352" i="8"/>
  <c r="X351" i="8"/>
  <c r="C350" i="12" s="1"/>
  <c r="W351" i="8"/>
  <c r="U351" i="8"/>
  <c r="S351" i="8"/>
  <c r="Q351" i="8"/>
  <c r="O351" i="8"/>
  <c r="M351" i="8"/>
  <c r="K351" i="8"/>
  <c r="I351" i="8"/>
  <c r="E351" i="8"/>
  <c r="C351" i="8" s="1"/>
  <c r="X350" i="8"/>
  <c r="C349" i="12" s="1"/>
  <c r="W350" i="8"/>
  <c r="U350" i="8"/>
  <c r="S350" i="8"/>
  <c r="Q350" i="8"/>
  <c r="O350" i="8"/>
  <c r="M350" i="8"/>
  <c r="K350" i="8"/>
  <c r="I350" i="8"/>
  <c r="G350" i="8"/>
  <c r="X349" i="8"/>
  <c r="C348" i="12" s="1"/>
  <c r="W349" i="8"/>
  <c r="U349" i="8"/>
  <c r="S349" i="8"/>
  <c r="Q349" i="8"/>
  <c r="O349" i="8"/>
  <c r="M349" i="8"/>
  <c r="K349" i="8"/>
  <c r="I349" i="8"/>
  <c r="E349" i="8"/>
  <c r="X348" i="8"/>
  <c r="W348" i="8"/>
  <c r="U348" i="8"/>
  <c r="S348" i="8"/>
  <c r="Q348" i="8"/>
  <c r="O348" i="8"/>
  <c r="M348" i="8"/>
  <c r="K348" i="8"/>
  <c r="X347" i="8"/>
  <c r="C346" i="12" s="1"/>
  <c r="W347" i="8"/>
  <c r="U347" i="8"/>
  <c r="S347" i="8"/>
  <c r="Q347" i="8"/>
  <c r="O347" i="8"/>
  <c r="M347" i="8"/>
  <c r="K347" i="8"/>
  <c r="I347" i="8"/>
  <c r="E347" i="8"/>
  <c r="X346" i="8"/>
  <c r="C345" i="12" s="1"/>
  <c r="W346" i="8"/>
  <c r="U346" i="8"/>
  <c r="S346" i="8"/>
  <c r="Q346" i="8"/>
  <c r="O346" i="8"/>
  <c r="M346" i="8"/>
  <c r="K346" i="8"/>
  <c r="I346" i="8"/>
  <c r="G346" i="8"/>
  <c r="X345" i="8"/>
  <c r="C344" i="12" s="1"/>
  <c r="W345" i="8"/>
  <c r="U345" i="8"/>
  <c r="S345" i="8"/>
  <c r="Q345" i="8"/>
  <c r="O345" i="8"/>
  <c r="M345" i="8"/>
  <c r="K345" i="8"/>
  <c r="I345" i="8"/>
  <c r="G345" i="8"/>
  <c r="E345" i="8"/>
  <c r="X344" i="8"/>
  <c r="C343" i="12" s="1"/>
  <c r="W344" i="8"/>
  <c r="U344" i="8"/>
  <c r="S344" i="8"/>
  <c r="Q344" i="8"/>
  <c r="O344" i="8"/>
  <c r="M344" i="8"/>
  <c r="K344" i="8"/>
  <c r="I344" i="8"/>
  <c r="G344" i="8"/>
  <c r="X343" i="8"/>
  <c r="C342" i="12" s="1"/>
  <c r="W343" i="8"/>
  <c r="U343" i="8"/>
  <c r="S343" i="8"/>
  <c r="Q343" i="8"/>
  <c r="O343" i="8"/>
  <c r="M343" i="8"/>
  <c r="K343" i="8"/>
  <c r="I343" i="8"/>
  <c r="G343" i="8"/>
  <c r="E343" i="8"/>
  <c r="C343" i="8"/>
  <c r="X342" i="8"/>
  <c r="C341" i="12" s="1"/>
  <c r="W342" i="8"/>
  <c r="U342" i="8"/>
  <c r="S342" i="8"/>
  <c r="Q342" i="8"/>
  <c r="O342" i="8"/>
  <c r="M342" i="8"/>
  <c r="K342" i="8"/>
  <c r="I342" i="8"/>
  <c r="G342" i="8"/>
  <c r="X341" i="8"/>
  <c r="C340" i="12" s="1"/>
  <c r="W341" i="8"/>
  <c r="U341" i="8"/>
  <c r="S341" i="8"/>
  <c r="Q341" i="8"/>
  <c r="O341" i="8"/>
  <c r="M341" i="8"/>
  <c r="K341" i="8"/>
  <c r="I341" i="8"/>
  <c r="G341" i="8"/>
  <c r="E341" i="8"/>
  <c r="X340" i="8"/>
  <c r="C339" i="12" s="1"/>
  <c r="W340" i="8"/>
  <c r="U340" i="8"/>
  <c r="S340" i="8"/>
  <c r="Q340" i="8"/>
  <c r="O340" i="8"/>
  <c r="M340" i="8"/>
  <c r="K340" i="8"/>
  <c r="I340" i="8"/>
  <c r="G340" i="8"/>
  <c r="E340" i="8"/>
  <c r="C340" i="8" s="1"/>
  <c r="X339" i="8"/>
  <c r="C338" i="12" s="1"/>
  <c r="W339" i="8"/>
  <c r="U339" i="8"/>
  <c r="S339" i="8"/>
  <c r="Q339" i="8"/>
  <c r="O339" i="8"/>
  <c r="M339" i="8"/>
  <c r="K339" i="8"/>
  <c r="I339" i="8"/>
  <c r="X338" i="8"/>
  <c r="W338" i="8"/>
  <c r="U338" i="8"/>
  <c r="S338" i="8"/>
  <c r="Q338" i="8"/>
  <c r="O338" i="8"/>
  <c r="M338" i="8"/>
  <c r="K338" i="8"/>
  <c r="G338" i="8"/>
  <c r="X337" i="8"/>
  <c r="C336" i="12" s="1"/>
  <c r="W337" i="8"/>
  <c r="U337" i="8"/>
  <c r="S337" i="8"/>
  <c r="Q337" i="8"/>
  <c r="O337" i="8"/>
  <c r="M337" i="8"/>
  <c r="I337" i="8"/>
  <c r="E337" i="8"/>
  <c r="X336" i="8"/>
  <c r="W336" i="8"/>
  <c r="U336" i="8"/>
  <c r="S336" i="8"/>
  <c r="Q336" i="8"/>
  <c r="O336" i="8"/>
  <c r="I336" i="8"/>
  <c r="E336" i="8"/>
  <c r="X335" i="8"/>
  <c r="C334" i="12" s="1"/>
  <c r="W335" i="8"/>
  <c r="U335" i="8"/>
  <c r="S335" i="8"/>
  <c r="Q335" i="8"/>
  <c r="O335" i="8"/>
  <c r="K335" i="8"/>
  <c r="X334" i="8"/>
  <c r="C333" i="12" s="1"/>
  <c r="W334" i="8"/>
  <c r="U334" i="8"/>
  <c r="S334" i="8"/>
  <c r="Q334" i="8"/>
  <c r="O334" i="8"/>
  <c r="M334" i="8"/>
  <c r="K334" i="8"/>
  <c r="G334" i="8"/>
  <c r="X333" i="8"/>
  <c r="C332" i="12" s="1"/>
  <c r="W333" i="8"/>
  <c r="U333" i="8"/>
  <c r="S333" i="8"/>
  <c r="Q333" i="8"/>
  <c r="O333" i="8"/>
  <c r="K333" i="8"/>
  <c r="I333" i="8"/>
  <c r="E333" i="8"/>
  <c r="X332" i="8"/>
  <c r="C331" i="12" s="1"/>
  <c r="W332" i="8"/>
  <c r="U332" i="8"/>
  <c r="S332" i="8"/>
  <c r="Q332" i="8"/>
  <c r="O332" i="8"/>
  <c r="M332" i="8"/>
  <c r="K332" i="8"/>
  <c r="E332" i="8"/>
  <c r="X331" i="8"/>
  <c r="C330" i="12" s="1"/>
  <c r="W331" i="8"/>
  <c r="U331" i="8"/>
  <c r="S331" i="8"/>
  <c r="Q331" i="8"/>
  <c r="O331" i="8"/>
  <c r="K331" i="8"/>
  <c r="E331" i="8"/>
  <c r="X330" i="8"/>
  <c r="C329" i="12" s="1"/>
  <c r="W330" i="8"/>
  <c r="U330" i="8"/>
  <c r="S330" i="8"/>
  <c r="Q330" i="8"/>
  <c r="O330" i="8"/>
  <c r="M330" i="8"/>
  <c r="K330" i="8"/>
  <c r="I330" i="8"/>
  <c r="G330" i="8"/>
  <c r="X329" i="8"/>
  <c r="C328" i="12" s="1"/>
  <c r="W329" i="8"/>
  <c r="U329" i="8"/>
  <c r="S329" i="8"/>
  <c r="Q329" i="8"/>
  <c r="O329" i="8"/>
  <c r="M329" i="8"/>
  <c r="K329" i="8"/>
  <c r="G329" i="8"/>
  <c r="E329" i="8"/>
  <c r="X328" i="8"/>
  <c r="C327" i="12" s="1"/>
  <c r="W328" i="8"/>
  <c r="U328" i="8"/>
  <c r="S328" i="8"/>
  <c r="Q328" i="8"/>
  <c r="O328" i="8"/>
  <c r="M328" i="8"/>
  <c r="K328" i="8"/>
  <c r="I328" i="8"/>
  <c r="G328" i="8"/>
  <c r="X327" i="8"/>
  <c r="C326" i="12" s="1"/>
  <c r="W327" i="8"/>
  <c r="U327" i="8"/>
  <c r="S327" i="8"/>
  <c r="Q327" i="8"/>
  <c r="O327" i="8"/>
  <c r="M327" i="8"/>
  <c r="K327" i="8"/>
  <c r="E327" i="8"/>
  <c r="X326" i="8"/>
  <c r="C325" i="12" s="1"/>
  <c r="W326" i="8"/>
  <c r="U326" i="8"/>
  <c r="S326" i="8"/>
  <c r="Q326" i="8"/>
  <c r="O326" i="8"/>
  <c r="M326" i="8"/>
  <c r="K326" i="8"/>
  <c r="X325" i="8"/>
  <c r="C324" i="12" s="1"/>
  <c r="W325" i="8"/>
  <c r="U325" i="8"/>
  <c r="S325" i="8"/>
  <c r="Q325" i="8"/>
  <c r="O325" i="8"/>
  <c r="M325" i="8"/>
  <c r="K325" i="8"/>
  <c r="G325" i="8"/>
  <c r="E325" i="8"/>
  <c r="X324" i="8"/>
  <c r="C323" i="12" s="1"/>
  <c r="W324" i="8"/>
  <c r="U324" i="8"/>
  <c r="S324" i="8"/>
  <c r="Q324" i="8"/>
  <c r="O324" i="8"/>
  <c r="M324" i="8"/>
  <c r="K324" i="8"/>
  <c r="G324" i="8"/>
  <c r="E324" i="8"/>
  <c r="X323" i="8"/>
  <c r="C322" i="12" s="1"/>
  <c r="W323" i="8"/>
  <c r="U323" i="8"/>
  <c r="S323" i="8"/>
  <c r="Q323" i="8"/>
  <c r="O323" i="8"/>
  <c r="M323" i="8"/>
  <c r="E323" i="8"/>
  <c r="X322" i="8"/>
  <c r="C321" i="12" s="1"/>
  <c r="W322" i="8"/>
  <c r="U322" i="8"/>
  <c r="S322" i="8"/>
  <c r="Q322" i="8"/>
  <c r="O322" i="8"/>
  <c r="M322" i="8"/>
  <c r="K322" i="8"/>
  <c r="I322" i="8"/>
  <c r="G322" i="8"/>
  <c r="X321" i="8"/>
  <c r="C320" i="12" s="1"/>
  <c r="W321" i="8"/>
  <c r="U321" i="8"/>
  <c r="S321" i="8"/>
  <c r="Q321" i="8"/>
  <c r="O321" i="8"/>
  <c r="M321" i="8"/>
  <c r="K321" i="8"/>
  <c r="G321" i="8"/>
  <c r="E321" i="8"/>
  <c r="X320" i="8"/>
  <c r="W320" i="8"/>
  <c r="U320" i="8"/>
  <c r="S320" i="8"/>
  <c r="Q320" i="8"/>
  <c r="O320" i="8"/>
  <c r="M320" i="8"/>
  <c r="K320" i="8"/>
  <c r="I320" i="8"/>
  <c r="G320" i="8"/>
  <c r="E320" i="8"/>
  <c r="X319" i="8"/>
  <c r="C318" i="12" s="1"/>
  <c r="W319" i="8"/>
  <c r="U319" i="8"/>
  <c r="S319" i="8"/>
  <c r="Q319" i="8"/>
  <c r="O319" i="8"/>
  <c r="M319" i="8"/>
  <c r="K319" i="8"/>
  <c r="G319" i="8"/>
  <c r="E319" i="8"/>
  <c r="X318" i="8"/>
  <c r="C317" i="12" s="1"/>
  <c r="W318" i="8"/>
  <c r="U318" i="8"/>
  <c r="S318" i="8"/>
  <c r="Q318" i="8"/>
  <c r="O318" i="8"/>
  <c r="M318" i="8"/>
  <c r="K318" i="8"/>
  <c r="I318" i="8"/>
  <c r="X317" i="8"/>
  <c r="C316" i="12" s="1"/>
  <c r="W317" i="8"/>
  <c r="U317" i="8"/>
  <c r="S317" i="8"/>
  <c r="Q317" i="8"/>
  <c r="O317" i="8"/>
  <c r="M317" i="8"/>
  <c r="K317" i="8"/>
  <c r="I317" i="8"/>
  <c r="G317" i="8"/>
  <c r="E317" i="8"/>
  <c r="C317" i="8" s="1"/>
  <c r="X316" i="8"/>
  <c r="C315" i="12" s="1"/>
  <c r="W316" i="8"/>
  <c r="U316" i="8"/>
  <c r="S316" i="8"/>
  <c r="Q316" i="8"/>
  <c r="O316" i="8"/>
  <c r="M316" i="8"/>
  <c r="K316" i="8"/>
  <c r="G316" i="8"/>
  <c r="X315" i="8"/>
  <c r="C314" i="12" s="1"/>
  <c r="W315" i="8"/>
  <c r="U315" i="8"/>
  <c r="S315" i="8"/>
  <c r="Q315" i="8"/>
  <c r="O315" i="8"/>
  <c r="M315" i="8"/>
  <c r="K315" i="8"/>
  <c r="E315" i="8"/>
  <c r="X314" i="8"/>
  <c r="C313" i="12" s="1"/>
  <c r="W314" i="8"/>
  <c r="U314" i="8"/>
  <c r="S314" i="8"/>
  <c r="Q314" i="8"/>
  <c r="O314" i="8"/>
  <c r="M314" i="8"/>
  <c r="K314" i="8"/>
  <c r="I314" i="8"/>
  <c r="G314" i="8"/>
  <c r="X313" i="8"/>
  <c r="C312" i="12" s="1"/>
  <c r="W313" i="8"/>
  <c r="U313" i="8"/>
  <c r="S313" i="8"/>
  <c r="Q313" i="8"/>
  <c r="O313" i="8"/>
  <c r="M313" i="8"/>
  <c r="K313" i="8"/>
  <c r="I313" i="8"/>
  <c r="E313" i="8"/>
  <c r="X312" i="8"/>
  <c r="C311" i="12" s="1"/>
  <c r="W312" i="8"/>
  <c r="U312" i="8"/>
  <c r="S312" i="8"/>
  <c r="Q312" i="8"/>
  <c r="O312" i="8"/>
  <c r="M312" i="8"/>
  <c r="K312" i="8"/>
  <c r="I312" i="8"/>
  <c r="X311" i="8"/>
  <c r="C310" i="12" s="1"/>
  <c r="W311" i="8"/>
  <c r="U311" i="8"/>
  <c r="S311" i="8"/>
  <c r="Q311" i="8"/>
  <c r="O311" i="8"/>
  <c r="M311" i="8"/>
  <c r="K311" i="8"/>
  <c r="I311" i="8"/>
  <c r="X310" i="8"/>
  <c r="W310" i="8"/>
  <c r="U310" i="8"/>
  <c r="S310" i="8"/>
  <c r="Q310" i="8"/>
  <c r="O310" i="8"/>
  <c r="M310" i="8"/>
  <c r="K310" i="8"/>
  <c r="I310" i="8"/>
  <c r="G310" i="8"/>
  <c r="X309" i="8"/>
  <c r="C308" i="12" s="1"/>
  <c r="W309" i="8"/>
  <c r="U309" i="8"/>
  <c r="S309" i="8"/>
  <c r="Q309" i="8"/>
  <c r="O309" i="8"/>
  <c r="M309" i="8"/>
  <c r="K309" i="8"/>
  <c r="I309" i="8"/>
  <c r="X308" i="8"/>
  <c r="C307" i="12" s="1"/>
  <c r="W308" i="8"/>
  <c r="U308" i="8"/>
  <c r="S308" i="8"/>
  <c r="Q308" i="8"/>
  <c r="O308" i="8"/>
  <c r="M308" i="8"/>
  <c r="K308" i="8"/>
  <c r="I308" i="8"/>
  <c r="G308" i="8"/>
  <c r="E308" i="8"/>
  <c r="X307" i="8"/>
  <c r="C306" i="12" s="1"/>
  <c r="W307" i="8"/>
  <c r="U307" i="8"/>
  <c r="S307" i="8"/>
  <c r="Q307" i="8"/>
  <c r="O307" i="8"/>
  <c r="M307" i="8"/>
  <c r="K307" i="8"/>
  <c r="I307" i="8"/>
  <c r="E307" i="8"/>
  <c r="X306" i="8"/>
  <c r="W306" i="8"/>
  <c r="U306" i="8"/>
  <c r="S306" i="8"/>
  <c r="Q306" i="8"/>
  <c r="O306" i="8"/>
  <c r="M306" i="8"/>
  <c r="K306" i="8"/>
  <c r="I306" i="8"/>
  <c r="X305" i="8"/>
  <c r="C304" i="12" s="1"/>
  <c r="W305" i="8"/>
  <c r="U305" i="8"/>
  <c r="S305" i="8"/>
  <c r="Q305" i="8"/>
  <c r="O305" i="8"/>
  <c r="M305" i="8"/>
  <c r="K305" i="8"/>
  <c r="I305" i="8"/>
  <c r="G305" i="8"/>
  <c r="E305" i="8"/>
  <c r="X304" i="8"/>
  <c r="C303" i="12" s="1"/>
  <c r="W304" i="8"/>
  <c r="U304" i="8"/>
  <c r="S304" i="8"/>
  <c r="Q304" i="8"/>
  <c r="O304" i="8"/>
  <c r="M304" i="8"/>
  <c r="K304" i="8"/>
  <c r="I304" i="8"/>
  <c r="G304" i="8"/>
  <c r="E304" i="8"/>
  <c r="C304" i="8" s="1"/>
  <c r="X303" i="8"/>
  <c r="C302" i="12" s="1"/>
  <c r="W303" i="8"/>
  <c r="U303" i="8"/>
  <c r="S303" i="8"/>
  <c r="Q303" i="8"/>
  <c r="O303" i="8"/>
  <c r="K303" i="8"/>
  <c r="E303" i="8"/>
  <c r="X302" i="8"/>
  <c r="C301" i="12" s="1"/>
  <c r="W302" i="8"/>
  <c r="U302" i="8"/>
  <c r="S302" i="8"/>
  <c r="Q302" i="8"/>
  <c r="O302" i="8"/>
  <c r="M302" i="8"/>
  <c r="I302" i="8"/>
  <c r="G302" i="8"/>
  <c r="X301" i="8"/>
  <c r="C300" i="12" s="1"/>
  <c r="W301" i="8"/>
  <c r="U301" i="8"/>
  <c r="S301" i="8"/>
  <c r="Q301" i="8"/>
  <c r="O301" i="8"/>
  <c r="I301" i="8"/>
  <c r="E301" i="8"/>
  <c r="X300" i="8"/>
  <c r="W300" i="8"/>
  <c r="U300" i="8"/>
  <c r="S300" i="8"/>
  <c r="Q300" i="8"/>
  <c r="O300" i="8"/>
  <c r="K300" i="8"/>
  <c r="X299" i="8"/>
  <c r="W299" i="8"/>
  <c r="U299" i="8"/>
  <c r="S299" i="8"/>
  <c r="Q299" i="8"/>
  <c r="O299" i="8"/>
  <c r="K299" i="8"/>
  <c r="X298" i="8"/>
  <c r="C297" i="12" s="1"/>
  <c r="W298" i="8"/>
  <c r="U298" i="8"/>
  <c r="S298" i="8"/>
  <c r="Q298" i="8"/>
  <c r="O298" i="8"/>
  <c r="M298" i="8"/>
  <c r="K298" i="8"/>
  <c r="I298" i="8"/>
  <c r="X297" i="8"/>
  <c r="C296" i="12" s="1"/>
  <c r="W297" i="8"/>
  <c r="U297" i="8"/>
  <c r="S297" i="8"/>
  <c r="Q297" i="8"/>
  <c r="O297" i="8"/>
  <c r="K297" i="8"/>
  <c r="G297" i="8"/>
  <c r="E297" i="8"/>
  <c r="X296" i="8"/>
  <c r="C295" i="12" s="1"/>
  <c r="W296" i="8"/>
  <c r="U296" i="8"/>
  <c r="S296" i="8"/>
  <c r="Q296" i="8"/>
  <c r="O296" i="8"/>
  <c r="G296" i="8"/>
  <c r="E296" i="8"/>
  <c r="X295" i="8"/>
  <c r="C294" i="12" s="1"/>
  <c r="W295" i="8"/>
  <c r="U295" i="8"/>
  <c r="S295" i="8"/>
  <c r="Q295" i="8"/>
  <c r="O295" i="8"/>
  <c r="M295" i="8"/>
  <c r="K295" i="8"/>
  <c r="E295" i="8"/>
  <c r="X294" i="8"/>
  <c r="C293" i="12" s="1"/>
  <c r="W294" i="8"/>
  <c r="U294" i="8"/>
  <c r="S294" i="8"/>
  <c r="Q294" i="8"/>
  <c r="O294" i="8"/>
  <c r="M294" i="8"/>
  <c r="I294" i="8"/>
  <c r="G294" i="8"/>
  <c r="X293" i="8"/>
  <c r="C292" i="12" s="1"/>
  <c r="W293" i="8"/>
  <c r="U293" i="8"/>
  <c r="S293" i="8"/>
  <c r="Q293" i="8"/>
  <c r="O293" i="8"/>
  <c r="M293" i="8"/>
  <c r="G293" i="8"/>
  <c r="X292" i="8"/>
  <c r="C291" i="12" s="1"/>
  <c r="W292" i="8"/>
  <c r="U292" i="8"/>
  <c r="S292" i="8"/>
  <c r="Q292" i="8"/>
  <c r="O292" i="8"/>
  <c r="M292" i="8"/>
  <c r="I292" i="8"/>
  <c r="G292" i="8"/>
  <c r="E292" i="8"/>
  <c r="C292" i="8" s="1"/>
  <c r="X291" i="8"/>
  <c r="C290" i="12" s="1"/>
  <c r="W291" i="8"/>
  <c r="U291" i="8"/>
  <c r="S291" i="8"/>
  <c r="Q291" i="8"/>
  <c r="O291" i="8"/>
  <c r="M291" i="8"/>
  <c r="E291" i="8"/>
  <c r="X290" i="8"/>
  <c r="W290" i="8"/>
  <c r="U290" i="8"/>
  <c r="S290" i="8"/>
  <c r="Q290" i="8"/>
  <c r="O290" i="8"/>
  <c r="M290" i="8"/>
  <c r="G290" i="8"/>
  <c r="X289" i="8"/>
  <c r="C288" i="12" s="1"/>
  <c r="W289" i="8"/>
  <c r="U289" i="8"/>
  <c r="S289" i="8"/>
  <c r="Q289" i="8"/>
  <c r="O289" i="8"/>
  <c r="M289" i="8"/>
  <c r="K289" i="8"/>
  <c r="G289" i="8"/>
  <c r="X288" i="8"/>
  <c r="C287" i="12" s="1"/>
  <c r="W288" i="8"/>
  <c r="U288" i="8"/>
  <c r="S288" i="8"/>
  <c r="Q288" i="8"/>
  <c r="O288" i="8"/>
  <c r="M288" i="8"/>
  <c r="G288" i="8"/>
  <c r="E288" i="8"/>
  <c r="X287" i="8"/>
  <c r="C286" i="12" s="1"/>
  <c r="W287" i="8"/>
  <c r="U287" i="8"/>
  <c r="S287" i="8"/>
  <c r="Q287" i="8"/>
  <c r="O287" i="8"/>
  <c r="M287" i="8"/>
  <c r="E287" i="8"/>
  <c r="X286" i="8"/>
  <c r="W286" i="8"/>
  <c r="U286" i="8"/>
  <c r="S286" i="8"/>
  <c r="Q286" i="8"/>
  <c r="O286" i="8"/>
  <c r="M286" i="8"/>
  <c r="G286" i="8"/>
  <c r="X285" i="8"/>
  <c r="C284" i="12" s="1"/>
  <c r="W285" i="8"/>
  <c r="U285" i="8"/>
  <c r="S285" i="8"/>
  <c r="Q285" i="8"/>
  <c r="O285" i="8"/>
  <c r="M285" i="8"/>
  <c r="K285" i="8"/>
  <c r="I285" i="8"/>
  <c r="G285" i="8"/>
  <c r="E285" i="8"/>
  <c r="C285" i="8" s="1"/>
  <c r="X284" i="8"/>
  <c r="C283" i="12" s="1"/>
  <c r="W284" i="8"/>
  <c r="U284" i="8"/>
  <c r="S284" i="8"/>
  <c r="Q284" i="8"/>
  <c r="O284" i="8"/>
  <c r="M284" i="8"/>
  <c r="I284" i="8"/>
  <c r="G284" i="8"/>
  <c r="E284" i="8"/>
  <c r="X283" i="8"/>
  <c r="W283" i="8"/>
  <c r="U283" i="8"/>
  <c r="S283" i="8"/>
  <c r="Q283" i="8"/>
  <c r="O283" i="8"/>
  <c r="M283" i="8"/>
  <c r="E283" i="8"/>
  <c r="X282" i="8"/>
  <c r="C281" i="12" s="1"/>
  <c r="W282" i="8"/>
  <c r="U282" i="8"/>
  <c r="S282" i="8"/>
  <c r="Q282" i="8"/>
  <c r="O282" i="8"/>
  <c r="M282" i="8"/>
  <c r="K282" i="8"/>
  <c r="I282" i="8"/>
  <c r="G282" i="8"/>
  <c r="X281" i="8"/>
  <c r="C280" i="12" s="1"/>
  <c r="W281" i="8"/>
  <c r="U281" i="8"/>
  <c r="S281" i="8"/>
  <c r="Q281" i="8"/>
  <c r="O281" i="8"/>
  <c r="M281" i="8"/>
  <c r="K281" i="8"/>
  <c r="G281" i="8"/>
  <c r="E281" i="8"/>
  <c r="X280" i="8"/>
  <c r="W280" i="8"/>
  <c r="U280" i="8"/>
  <c r="S280" i="8"/>
  <c r="Q280" i="8"/>
  <c r="O280" i="8"/>
  <c r="M280" i="8"/>
  <c r="K280" i="8"/>
  <c r="G280" i="8"/>
  <c r="E280" i="8"/>
  <c r="X279" i="8"/>
  <c r="W279" i="8"/>
  <c r="U279" i="8"/>
  <c r="S279" i="8"/>
  <c r="Q279" i="8"/>
  <c r="O279" i="8"/>
  <c r="M279" i="8"/>
  <c r="K279" i="8"/>
  <c r="E279" i="8"/>
  <c r="X278" i="8"/>
  <c r="C277" i="12" s="1"/>
  <c r="W278" i="8"/>
  <c r="U278" i="8"/>
  <c r="S278" i="8"/>
  <c r="Q278" i="8"/>
  <c r="O278" i="8"/>
  <c r="M278" i="8"/>
  <c r="K278" i="8"/>
  <c r="I278" i="8"/>
  <c r="X277" i="8"/>
  <c r="C276" i="12" s="1"/>
  <c r="W277" i="8"/>
  <c r="U277" i="8"/>
  <c r="S277" i="8"/>
  <c r="Q277" i="8"/>
  <c r="O277" i="8"/>
  <c r="M277" i="8"/>
  <c r="K277" i="8"/>
  <c r="E277" i="8"/>
  <c r="X276" i="8"/>
  <c r="W276" i="8"/>
  <c r="U276" i="8"/>
  <c r="S276" i="8"/>
  <c r="Q276" i="8"/>
  <c r="O276" i="8"/>
  <c r="M276" i="8"/>
  <c r="K276" i="8"/>
  <c r="I276" i="8"/>
  <c r="X275" i="8"/>
  <c r="C274" i="12" s="1"/>
  <c r="W275" i="8"/>
  <c r="U275" i="8"/>
  <c r="S275" i="8"/>
  <c r="Q275" i="8"/>
  <c r="O275" i="8"/>
  <c r="M275" i="8"/>
  <c r="K275" i="8"/>
  <c r="I275" i="8"/>
  <c r="E275" i="8"/>
  <c r="X274" i="8"/>
  <c r="C273" i="12" s="1"/>
  <c r="W274" i="8"/>
  <c r="U274" i="8"/>
  <c r="S274" i="8"/>
  <c r="Q274" i="8"/>
  <c r="O274" i="8"/>
  <c r="M274" i="8"/>
  <c r="K274" i="8"/>
  <c r="I274" i="8"/>
  <c r="X273" i="8"/>
  <c r="C272" i="12" s="1"/>
  <c r="W273" i="8"/>
  <c r="U273" i="8"/>
  <c r="S273" i="8"/>
  <c r="Q273" i="8"/>
  <c r="O273" i="8"/>
  <c r="M273" i="8"/>
  <c r="K273" i="8"/>
  <c r="I273" i="8"/>
  <c r="E273" i="8"/>
  <c r="X272" i="8"/>
  <c r="W272" i="8"/>
  <c r="U272" i="8"/>
  <c r="S272" i="8"/>
  <c r="Q272" i="8"/>
  <c r="O272" i="8"/>
  <c r="M272" i="8"/>
  <c r="K272" i="8"/>
  <c r="I272" i="8"/>
  <c r="X271" i="8"/>
  <c r="C270" i="12" s="1"/>
  <c r="W271" i="8"/>
  <c r="U271" i="8"/>
  <c r="S271" i="8"/>
  <c r="Q271" i="8"/>
  <c r="O271" i="8"/>
  <c r="M271" i="8"/>
  <c r="K271" i="8"/>
  <c r="I271" i="8"/>
  <c r="E271" i="8"/>
  <c r="X270" i="8"/>
  <c r="C269" i="12" s="1"/>
  <c r="W270" i="8"/>
  <c r="U270" i="8"/>
  <c r="S270" i="8"/>
  <c r="Q270" i="8"/>
  <c r="O270" i="8"/>
  <c r="M270" i="8"/>
  <c r="K270" i="8"/>
  <c r="I270" i="8"/>
  <c r="X269" i="8"/>
  <c r="C268" i="12" s="1"/>
  <c r="W269" i="8"/>
  <c r="U269" i="8"/>
  <c r="S269" i="8"/>
  <c r="Q269" i="8"/>
  <c r="O269" i="8"/>
  <c r="M269" i="8"/>
  <c r="K269" i="8"/>
  <c r="I269" i="8"/>
  <c r="X268" i="8"/>
  <c r="C267" i="12" s="1"/>
  <c r="W268" i="8"/>
  <c r="U268" i="8"/>
  <c r="S268" i="8"/>
  <c r="Q268" i="8"/>
  <c r="O268" i="8"/>
  <c r="K268" i="8"/>
  <c r="I268" i="8"/>
  <c r="G268" i="8"/>
  <c r="E268" i="8"/>
  <c r="X267" i="8"/>
  <c r="C266" i="12" s="1"/>
  <c r="W267" i="8"/>
  <c r="U267" i="8"/>
  <c r="S267" i="8"/>
  <c r="Q267" i="8"/>
  <c r="O267" i="8"/>
  <c r="K267" i="8"/>
  <c r="X266" i="8"/>
  <c r="C265" i="12" s="1"/>
  <c r="W266" i="8"/>
  <c r="U266" i="8"/>
  <c r="S266" i="8"/>
  <c r="Q266" i="8"/>
  <c r="O266" i="8"/>
  <c r="I266" i="8"/>
  <c r="X265" i="8"/>
  <c r="C264" i="12" s="1"/>
  <c r="AU264" i="12" s="1"/>
  <c r="W265" i="8"/>
  <c r="U265" i="8"/>
  <c r="S265" i="8"/>
  <c r="Q265" i="8"/>
  <c r="O265" i="8"/>
  <c r="K265" i="8"/>
  <c r="X264" i="8"/>
  <c r="C263" i="12" s="1"/>
  <c r="W264" i="8"/>
  <c r="U264" i="8"/>
  <c r="S264" i="8"/>
  <c r="Q264" i="8"/>
  <c r="O264" i="8"/>
  <c r="K264" i="8"/>
  <c r="I264" i="8"/>
  <c r="G264" i="8"/>
  <c r="E264" i="8"/>
  <c r="X263" i="8"/>
  <c r="C262" i="12" s="1"/>
  <c r="W263" i="8"/>
  <c r="U263" i="8"/>
  <c r="S263" i="8"/>
  <c r="Q263" i="8"/>
  <c r="O263" i="8"/>
  <c r="K263" i="8"/>
  <c r="I263" i="8"/>
  <c r="E263" i="8"/>
  <c r="X262" i="8"/>
  <c r="C261" i="12" s="1"/>
  <c r="W262" i="8"/>
  <c r="U262" i="8"/>
  <c r="S262" i="8"/>
  <c r="Q262" i="8"/>
  <c r="O262" i="8"/>
  <c r="K262" i="8"/>
  <c r="I262" i="8"/>
  <c r="G262" i="8"/>
  <c r="X261" i="8"/>
  <c r="C260" i="12" s="1"/>
  <c r="AI260" i="12" s="1"/>
  <c r="AJ260" i="12" s="1"/>
  <c r="W261" i="8"/>
  <c r="U261" i="8"/>
  <c r="S261" i="8"/>
  <c r="Q261" i="8"/>
  <c r="O261" i="8"/>
  <c r="K261" i="8"/>
  <c r="I261" i="8"/>
  <c r="G261" i="8"/>
  <c r="E261" i="8"/>
  <c r="X260" i="8"/>
  <c r="W260" i="8"/>
  <c r="U260" i="8"/>
  <c r="S260" i="8"/>
  <c r="Q260" i="8"/>
  <c r="O260" i="8"/>
  <c r="M260" i="8"/>
  <c r="I260" i="8"/>
  <c r="E260" i="8"/>
  <c r="X259" i="8"/>
  <c r="C258" i="12" s="1"/>
  <c r="W259" i="8"/>
  <c r="U259" i="8"/>
  <c r="S259" i="8"/>
  <c r="Q259" i="8"/>
  <c r="O259" i="8"/>
  <c r="M259" i="8"/>
  <c r="I259" i="8"/>
  <c r="G259" i="8"/>
  <c r="X258" i="8"/>
  <c r="C257" i="12" s="1"/>
  <c r="W258" i="8"/>
  <c r="U258" i="8"/>
  <c r="S258" i="8"/>
  <c r="Q258" i="8"/>
  <c r="O258" i="8"/>
  <c r="M258" i="8"/>
  <c r="I258" i="8"/>
  <c r="X257" i="8"/>
  <c r="C256" i="12" s="1"/>
  <c r="W257" i="8"/>
  <c r="U257" i="8"/>
  <c r="S257" i="8"/>
  <c r="Q257" i="8"/>
  <c r="O257" i="8"/>
  <c r="M257" i="8"/>
  <c r="I257" i="8"/>
  <c r="G257" i="8"/>
  <c r="E257" i="8"/>
  <c r="X256" i="8"/>
  <c r="W256" i="8"/>
  <c r="U256" i="8"/>
  <c r="S256" i="8"/>
  <c r="Q256" i="8"/>
  <c r="O256" i="8"/>
  <c r="M256" i="8"/>
  <c r="I256" i="8"/>
  <c r="G256" i="8"/>
  <c r="E256" i="8"/>
  <c r="X255" i="8"/>
  <c r="W255" i="8"/>
  <c r="U255" i="8"/>
  <c r="S255" i="8"/>
  <c r="Q255" i="8"/>
  <c r="O255" i="8"/>
  <c r="M255" i="8"/>
  <c r="I255" i="8"/>
  <c r="X254" i="8"/>
  <c r="C253" i="12" s="1"/>
  <c r="W254" i="8"/>
  <c r="U254" i="8"/>
  <c r="S254" i="8"/>
  <c r="Q254" i="8"/>
  <c r="O254" i="8"/>
  <c r="M254" i="8"/>
  <c r="I254" i="8"/>
  <c r="G254" i="8"/>
  <c r="X253" i="8"/>
  <c r="C252" i="12" s="1"/>
  <c r="W253" i="8"/>
  <c r="U253" i="8"/>
  <c r="S253" i="8"/>
  <c r="Q253" i="8"/>
  <c r="O253" i="8"/>
  <c r="M253" i="8"/>
  <c r="E253" i="8"/>
  <c r="X252" i="8"/>
  <c r="C251" i="12" s="1"/>
  <c r="W252" i="8"/>
  <c r="U252" i="8"/>
  <c r="S252" i="8"/>
  <c r="Q252" i="8"/>
  <c r="O252" i="8"/>
  <c r="M252" i="8"/>
  <c r="G252" i="8"/>
  <c r="E252" i="8"/>
  <c r="X251" i="8"/>
  <c r="W251" i="8"/>
  <c r="U251" i="8"/>
  <c r="S251" i="8"/>
  <c r="Q251" i="8"/>
  <c r="O251" i="8"/>
  <c r="M251" i="8"/>
  <c r="E251" i="8"/>
  <c r="X250" i="8"/>
  <c r="C249" i="12" s="1"/>
  <c r="W250" i="8"/>
  <c r="U250" i="8"/>
  <c r="S250" i="8"/>
  <c r="Q250" i="8"/>
  <c r="O250" i="8"/>
  <c r="M250" i="8"/>
  <c r="I250" i="8"/>
  <c r="G250" i="8"/>
  <c r="X249" i="8"/>
  <c r="C248" i="12" s="1"/>
  <c r="W249" i="8"/>
  <c r="U249" i="8"/>
  <c r="S249" i="8"/>
  <c r="Q249" i="8"/>
  <c r="O249" i="8"/>
  <c r="M249" i="8"/>
  <c r="E249" i="8"/>
  <c r="X248" i="8"/>
  <c r="C247" i="12" s="1"/>
  <c r="W248" i="8"/>
  <c r="U248" i="8"/>
  <c r="S248" i="8"/>
  <c r="Q248" i="8"/>
  <c r="O248" i="8"/>
  <c r="M248" i="8"/>
  <c r="G248" i="8"/>
  <c r="E248" i="8"/>
  <c r="X247" i="8"/>
  <c r="W247" i="8"/>
  <c r="U247" i="8"/>
  <c r="S247" i="8"/>
  <c r="Q247" i="8"/>
  <c r="O247" i="8"/>
  <c r="M247" i="8"/>
  <c r="X246" i="8"/>
  <c r="C245" i="12" s="1"/>
  <c r="W246" i="8"/>
  <c r="U246" i="8"/>
  <c r="S246" i="8"/>
  <c r="Q246" i="8"/>
  <c r="O246" i="8"/>
  <c r="M246" i="8"/>
  <c r="K246" i="8"/>
  <c r="G246" i="8"/>
  <c r="X245" i="8"/>
  <c r="C244" i="12" s="1"/>
  <c r="AL244" i="12" s="1"/>
  <c r="AM244" i="12" s="1"/>
  <c r="W245" i="8"/>
  <c r="U245" i="8"/>
  <c r="S245" i="8"/>
  <c r="Q245" i="8"/>
  <c r="O245" i="8"/>
  <c r="M245" i="8"/>
  <c r="K245" i="8"/>
  <c r="G245" i="8"/>
  <c r="X244" i="8"/>
  <c r="C243" i="12" s="1"/>
  <c r="W244" i="8"/>
  <c r="U244" i="8"/>
  <c r="S244" i="8"/>
  <c r="Q244" i="8"/>
  <c r="O244" i="8"/>
  <c r="M244" i="8"/>
  <c r="K244" i="8"/>
  <c r="G244" i="8"/>
  <c r="X243" i="8"/>
  <c r="C242" i="12" s="1"/>
  <c r="AL242" i="12" s="1"/>
  <c r="AM242" i="12" s="1"/>
  <c r="AN242" i="12" s="1"/>
  <c r="W243" i="8"/>
  <c r="U243" i="8"/>
  <c r="S243" i="8"/>
  <c r="Q243" i="8"/>
  <c r="O243" i="8"/>
  <c r="M243" i="8"/>
  <c r="K243" i="8"/>
  <c r="X242" i="8"/>
  <c r="W242" i="8"/>
  <c r="U242" i="8"/>
  <c r="S242" i="8"/>
  <c r="Q242" i="8"/>
  <c r="O242" i="8"/>
  <c r="M242" i="8"/>
  <c r="K242" i="8"/>
  <c r="E242" i="8"/>
  <c r="X241" i="8"/>
  <c r="C240" i="12" s="1"/>
  <c r="W241" i="8"/>
  <c r="U241" i="8"/>
  <c r="S241" i="8"/>
  <c r="Q241" i="8"/>
  <c r="O241" i="8"/>
  <c r="M241" i="8"/>
  <c r="K241" i="8"/>
  <c r="X240" i="8"/>
  <c r="W240" i="8"/>
  <c r="U240" i="8"/>
  <c r="S240" i="8"/>
  <c r="Q240" i="8"/>
  <c r="O240" i="8"/>
  <c r="M240" i="8"/>
  <c r="K240" i="8"/>
  <c r="I240" i="8"/>
  <c r="E240" i="8"/>
  <c r="X239" i="8"/>
  <c r="C238" i="12" s="1"/>
  <c r="W239" i="8"/>
  <c r="U239" i="8"/>
  <c r="S239" i="8"/>
  <c r="Q239" i="8"/>
  <c r="O239" i="8"/>
  <c r="M239" i="8"/>
  <c r="K239" i="8"/>
  <c r="I239" i="8"/>
  <c r="E239" i="8"/>
  <c r="X238" i="8"/>
  <c r="W238" i="8"/>
  <c r="U238" i="8"/>
  <c r="S238" i="8"/>
  <c r="Q238" i="8"/>
  <c r="O238" i="8"/>
  <c r="M238" i="8"/>
  <c r="K238" i="8"/>
  <c r="I238" i="8"/>
  <c r="X237" i="8"/>
  <c r="W237" i="8"/>
  <c r="U237" i="8"/>
  <c r="S237" i="8"/>
  <c r="Q237" i="8"/>
  <c r="O237" i="8"/>
  <c r="M237" i="8"/>
  <c r="K237" i="8"/>
  <c r="I237" i="8"/>
  <c r="E237" i="8"/>
  <c r="X236" i="8"/>
  <c r="C235" i="12" s="1"/>
  <c r="W236" i="8"/>
  <c r="U236" i="8"/>
  <c r="S236" i="8"/>
  <c r="Q236" i="8"/>
  <c r="O236" i="8"/>
  <c r="M236" i="8"/>
  <c r="K236" i="8"/>
  <c r="I236" i="8"/>
  <c r="E236" i="8"/>
  <c r="X235" i="8"/>
  <c r="W235" i="8"/>
  <c r="U235" i="8"/>
  <c r="S235" i="8"/>
  <c r="Q235" i="8"/>
  <c r="O235" i="8"/>
  <c r="K235" i="8"/>
  <c r="X234" i="8"/>
  <c r="C233" i="12" s="1"/>
  <c r="W234" i="8"/>
  <c r="U234" i="8"/>
  <c r="S234" i="8"/>
  <c r="Q234" i="8"/>
  <c r="O234" i="8"/>
  <c r="M234" i="8"/>
  <c r="K234" i="8"/>
  <c r="I234" i="8"/>
  <c r="G234" i="8"/>
  <c r="X233" i="8"/>
  <c r="W233" i="8"/>
  <c r="U233" i="8"/>
  <c r="S233" i="8"/>
  <c r="Q233" i="8"/>
  <c r="O233" i="8"/>
  <c r="M233" i="8"/>
  <c r="I233" i="8"/>
  <c r="G233" i="8"/>
  <c r="E233" i="8"/>
  <c r="X232" i="8"/>
  <c r="C231" i="12" s="1"/>
  <c r="W232" i="8"/>
  <c r="U232" i="8"/>
  <c r="S232" i="8"/>
  <c r="Q232" i="8"/>
  <c r="G232" i="8"/>
  <c r="X231" i="8"/>
  <c r="C230" i="12" s="1"/>
  <c r="W231" i="8"/>
  <c r="U231" i="8"/>
  <c r="S231" i="8"/>
  <c r="Q231" i="8"/>
  <c r="O231" i="8"/>
  <c r="G231" i="8"/>
  <c r="E231" i="8"/>
  <c r="X230" i="8"/>
  <c r="C229" i="12" s="1"/>
  <c r="W230" i="8"/>
  <c r="U230" i="8"/>
  <c r="S230" i="8"/>
  <c r="Q230" i="8"/>
  <c r="O230" i="8"/>
  <c r="I230" i="8"/>
  <c r="G230" i="8"/>
  <c r="X229" i="8"/>
  <c r="C228" i="12" s="1"/>
  <c r="W229" i="8"/>
  <c r="U229" i="8"/>
  <c r="S229" i="8"/>
  <c r="Q229" i="8"/>
  <c r="O229" i="8"/>
  <c r="M229" i="8"/>
  <c r="I229" i="8"/>
  <c r="E229" i="8"/>
  <c r="X228" i="8"/>
  <c r="W228" i="8"/>
  <c r="U228" i="8"/>
  <c r="S228" i="8"/>
  <c r="Q228" i="8"/>
  <c r="M228" i="8"/>
  <c r="K228" i="8"/>
  <c r="G228" i="8"/>
  <c r="X227" i="8"/>
  <c r="C226" i="12" s="1"/>
  <c r="W227" i="8"/>
  <c r="U227" i="8"/>
  <c r="S227" i="8"/>
  <c r="Q227" i="8"/>
  <c r="O227" i="8"/>
  <c r="K227" i="8"/>
  <c r="X226" i="8"/>
  <c r="W226" i="8"/>
  <c r="U226" i="8"/>
  <c r="S226" i="8"/>
  <c r="Q226" i="8"/>
  <c r="O226" i="8"/>
  <c r="K226" i="8"/>
  <c r="I226" i="8"/>
  <c r="G226" i="8"/>
  <c r="X225" i="8"/>
  <c r="C224" i="12" s="1"/>
  <c r="W225" i="8"/>
  <c r="U225" i="8"/>
  <c r="S225" i="8"/>
  <c r="Q225" i="8"/>
  <c r="O225" i="8"/>
  <c r="M225" i="8"/>
  <c r="G225" i="8"/>
  <c r="X224" i="8"/>
  <c r="C223" i="12" s="1"/>
  <c r="W224" i="8"/>
  <c r="U224" i="8"/>
  <c r="S224" i="8"/>
  <c r="Q224" i="8"/>
  <c r="O224" i="8"/>
  <c r="K224" i="8"/>
  <c r="I224" i="8"/>
  <c r="G224" i="8"/>
  <c r="E224" i="8"/>
  <c r="X223" i="8"/>
  <c r="C222" i="12" s="1"/>
  <c r="W223" i="8"/>
  <c r="U223" i="8"/>
  <c r="S223" i="8"/>
  <c r="Q223" i="8"/>
  <c r="O223" i="8"/>
  <c r="K223" i="8"/>
  <c r="I223" i="8"/>
  <c r="E223" i="8"/>
  <c r="X222" i="8"/>
  <c r="C221" i="12" s="1"/>
  <c r="W222" i="8"/>
  <c r="U222" i="8"/>
  <c r="S222" i="8"/>
  <c r="Q222" i="8"/>
  <c r="O222" i="8"/>
  <c r="G222" i="8"/>
  <c r="X221" i="8"/>
  <c r="C220" i="12" s="1"/>
  <c r="W221" i="8"/>
  <c r="U221" i="8"/>
  <c r="S221" i="8"/>
  <c r="Q221" i="8"/>
  <c r="O221" i="8"/>
  <c r="K221" i="8"/>
  <c r="G221" i="8"/>
  <c r="E221" i="8"/>
  <c r="X220" i="8"/>
  <c r="C219" i="12" s="1"/>
  <c r="W220" i="8"/>
  <c r="U220" i="8"/>
  <c r="S220" i="8"/>
  <c r="Q220" i="8"/>
  <c r="O220" i="8"/>
  <c r="M220" i="8"/>
  <c r="K220" i="8"/>
  <c r="I220" i="8"/>
  <c r="E220" i="8"/>
  <c r="X219" i="8"/>
  <c r="W219" i="8"/>
  <c r="U219" i="8"/>
  <c r="S219" i="8"/>
  <c r="Q219" i="8"/>
  <c r="O219" i="8"/>
  <c r="K219" i="8"/>
  <c r="X218" i="8"/>
  <c r="C217" i="12" s="1"/>
  <c r="W218" i="8"/>
  <c r="U218" i="8"/>
  <c r="S218" i="8"/>
  <c r="Q218" i="8"/>
  <c r="O218" i="8"/>
  <c r="M218" i="8"/>
  <c r="K218" i="8"/>
  <c r="G218" i="8"/>
  <c r="X217" i="8"/>
  <c r="C216" i="12" s="1"/>
  <c r="W217" i="8"/>
  <c r="U217" i="8"/>
  <c r="S217" i="8"/>
  <c r="Q217" i="8"/>
  <c r="O217" i="8"/>
  <c r="M217" i="8"/>
  <c r="K217" i="8"/>
  <c r="I217" i="8"/>
  <c r="G217" i="8"/>
  <c r="E217" i="8"/>
  <c r="C217" i="8"/>
  <c r="X216" i="8"/>
  <c r="C215" i="12" s="1"/>
  <c r="W216" i="8"/>
  <c r="U216" i="8"/>
  <c r="S216" i="8"/>
  <c r="Q216" i="8"/>
  <c r="O216" i="8"/>
  <c r="M216" i="8"/>
  <c r="I216" i="8"/>
  <c r="E216" i="8"/>
  <c r="X215" i="8"/>
  <c r="C214" i="12" s="1"/>
  <c r="W215" i="8"/>
  <c r="U215" i="8"/>
  <c r="S215" i="8"/>
  <c r="Q215" i="8"/>
  <c r="O215" i="8"/>
  <c r="M215" i="8"/>
  <c r="K215" i="8"/>
  <c r="I215" i="8"/>
  <c r="G215" i="8"/>
  <c r="X214" i="8"/>
  <c r="C213" i="12" s="1"/>
  <c r="W214" i="8"/>
  <c r="U214" i="8"/>
  <c r="S214" i="8"/>
  <c r="Q214" i="8"/>
  <c r="O214" i="8"/>
  <c r="M214" i="8"/>
  <c r="K214" i="8"/>
  <c r="I214" i="8"/>
  <c r="X213" i="8"/>
  <c r="C212" i="12" s="1"/>
  <c r="W213" i="8"/>
  <c r="U213" i="8"/>
  <c r="S213" i="8"/>
  <c r="Q213" i="8"/>
  <c r="O213" i="8"/>
  <c r="M213" i="8"/>
  <c r="K213" i="8"/>
  <c r="I213" i="8"/>
  <c r="G213" i="8"/>
  <c r="E213" i="8"/>
  <c r="C213" i="8"/>
  <c r="X212" i="8"/>
  <c r="W212" i="8"/>
  <c r="U212" i="8"/>
  <c r="S212" i="8"/>
  <c r="Q212" i="8"/>
  <c r="O212" i="8"/>
  <c r="M212" i="8"/>
  <c r="I212" i="8"/>
  <c r="G212" i="8"/>
  <c r="E212" i="8"/>
  <c r="X211" i="8"/>
  <c r="C210" i="12" s="1"/>
  <c r="W211" i="8"/>
  <c r="U211" i="8"/>
  <c r="S211" i="8"/>
  <c r="Q211" i="8"/>
  <c r="O211" i="8"/>
  <c r="M211" i="8"/>
  <c r="K211" i="8"/>
  <c r="I211" i="8"/>
  <c r="X210" i="8"/>
  <c r="C209" i="12" s="1"/>
  <c r="W210" i="8"/>
  <c r="U210" i="8"/>
  <c r="S210" i="8"/>
  <c r="Q210" i="8"/>
  <c r="O210" i="8"/>
  <c r="M210" i="8"/>
  <c r="K210" i="8"/>
  <c r="I210" i="8"/>
  <c r="G210" i="8"/>
  <c r="X209" i="8"/>
  <c r="C208" i="12" s="1"/>
  <c r="W209" i="8"/>
  <c r="U209" i="8"/>
  <c r="S209" i="8"/>
  <c r="Q209" i="8"/>
  <c r="O209" i="8"/>
  <c r="M209" i="8"/>
  <c r="K209" i="8"/>
  <c r="I209" i="8"/>
  <c r="G209" i="8"/>
  <c r="E209" i="8"/>
  <c r="C209" i="8" s="1"/>
  <c r="D208" i="12" s="1"/>
  <c r="X208" i="8"/>
  <c r="W208" i="8"/>
  <c r="U208" i="8"/>
  <c r="S208" i="8"/>
  <c r="Q208" i="8"/>
  <c r="O208" i="8"/>
  <c r="M208" i="8"/>
  <c r="G208" i="8"/>
  <c r="E208" i="8"/>
  <c r="X207" i="8"/>
  <c r="C206" i="12" s="1"/>
  <c r="AO206" i="12" s="1"/>
  <c r="AP206" i="12" s="1"/>
  <c r="W207" i="8"/>
  <c r="U207" i="8"/>
  <c r="S207" i="8"/>
  <c r="Q207" i="8"/>
  <c r="O207" i="8"/>
  <c r="M207" i="8"/>
  <c r="X206" i="8"/>
  <c r="C205" i="12" s="1"/>
  <c r="BG205" i="12" s="1"/>
  <c r="W206" i="8"/>
  <c r="U206" i="8"/>
  <c r="S206" i="8"/>
  <c r="Q206" i="8"/>
  <c r="O206" i="8"/>
  <c r="M206" i="8"/>
  <c r="K206" i="8"/>
  <c r="I206" i="8"/>
  <c r="G206" i="8"/>
  <c r="X205" i="8"/>
  <c r="C204" i="12" s="1"/>
  <c r="AO204" i="12" s="1"/>
  <c r="AP204" i="12" s="1"/>
  <c r="W205" i="8"/>
  <c r="U205" i="8"/>
  <c r="S205" i="8"/>
  <c r="Q205" i="8"/>
  <c r="O205" i="8"/>
  <c r="M205" i="8"/>
  <c r="G205" i="8"/>
  <c r="E205" i="8"/>
  <c r="X204" i="8"/>
  <c r="C203" i="12" s="1"/>
  <c r="W204" i="8"/>
  <c r="U204" i="8"/>
  <c r="S204" i="8"/>
  <c r="Q204" i="8"/>
  <c r="O204" i="8"/>
  <c r="M204" i="8"/>
  <c r="K204" i="8"/>
  <c r="G204" i="8"/>
  <c r="E204" i="8"/>
  <c r="X203" i="8"/>
  <c r="C202" i="12" s="1"/>
  <c r="W203" i="8"/>
  <c r="U203" i="8"/>
  <c r="S203" i="8"/>
  <c r="Q203" i="8"/>
  <c r="O203" i="8"/>
  <c r="M203" i="8"/>
  <c r="K203" i="8"/>
  <c r="E203" i="8"/>
  <c r="X202" i="8"/>
  <c r="W202" i="8"/>
  <c r="U202" i="8"/>
  <c r="S202" i="8"/>
  <c r="Q202" i="8"/>
  <c r="O202" i="8"/>
  <c r="M202" i="8"/>
  <c r="K202" i="8"/>
  <c r="I202" i="8"/>
  <c r="G202" i="8"/>
  <c r="X201" i="8"/>
  <c r="C200" i="12" s="1"/>
  <c r="W201" i="8"/>
  <c r="U201" i="8"/>
  <c r="S201" i="8"/>
  <c r="Q201" i="8"/>
  <c r="O201" i="8"/>
  <c r="M201" i="8"/>
  <c r="K201" i="8"/>
  <c r="I201" i="8"/>
  <c r="G201" i="8"/>
  <c r="E201" i="8"/>
  <c r="X200" i="8"/>
  <c r="C199" i="12" s="1"/>
  <c r="W200" i="8"/>
  <c r="U200" i="8"/>
  <c r="S200" i="8"/>
  <c r="Q200" i="8"/>
  <c r="O200" i="8"/>
  <c r="M200" i="8"/>
  <c r="K200" i="8"/>
  <c r="I200" i="8"/>
  <c r="G200" i="8"/>
  <c r="E200" i="8"/>
  <c r="C200" i="8" s="1"/>
  <c r="D199" i="12" s="1"/>
  <c r="I199" i="12" s="1"/>
  <c r="X199" i="8"/>
  <c r="C198" i="12" s="1"/>
  <c r="AL198" i="12" s="1"/>
  <c r="AM198" i="12" s="1"/>
  <c r="W199" i="8"/>
  <c r="U199" i="8"/>
  <c r="S199" i="8"/>
  <c r="Q199" i="8"/>
  <c r="O199" i="8"/>
  <c r="M199" i="8"/>
  <c r="K199" i="8"/>
  <c r="I199" i="8"/>
  <c r="E199" i="8"/>
  <c r="X198" i="8"/>
  <c r="C197" i="12" s="1"/>
  <c r="W198" i="8"/>
  <c r="U198" i="8"/>
  <c r="S198" i="8"/>
  <c r="Q198" i="8"/>
  <c r="O198" i="8"/>
  <c r="M198" i="8"/>
  <c r="K198" i="8"/>
  <c r="I198" i="8"/>
  <c r="X197" i="8"/>
  <c r="C196" i="12" s="1"/>
  <c r="W197" i="8"/>
  <c r="U197" i="8"/>
  <c r="S197" i="8"/>
  <c r="Q197" i="8"/>
  <c r="O197" i="8"/>
  <c r="M197" i="8"/>
  <c r="K197" i="8"/>
  <c r="X196" i="8"/>
  <c r="C195" i="12" s="1"/>
  <c r="W196" i="8"/>
  <c r="U196" i="8"/>
  <c r="S196" i="8"/>
  <c r="Q196" i="8"/>
  <c r="O196" i="8"/>
  <c r="M196" i="8"/>
  <c r="K196" i="8"/>
  <c r="G196" i="8"/>
  <c r="E196" i="8"/>
  <c r="X195" i="8"/>
  <c r="C194" i="12" s="1"/>
  <c r="W195" i="8"/>
  <c r="U195" i="8"/>
  <c r="S195" i="8"/>
  <c r="Q195" i="8"/>
  <c r="O195" i="8"/>
  <c r="M195" i="8"/>
  <c r="K195" i="8"/>
  <c r="E195" i="8"/>
  <c r="X194" i="8"/>
  <c r="W194" i="8"/>
  <c r="U194" i="8"/>
  <c r="S194" i="8"/>
  <c r="Q194" i="8"/>
  <c r="O194" i="8"/>
  <c r="M194" i="8"/>
  <c r="K194" i="8"/>
  <c r="X193" i="8"/>
  <c r="C192" i="12" s="1"/>
  <c r="W193" i="8"/>
  <c r="U193" i="8"/>
  <c r="S193" i="8"/>
  <c r="Q193" i="8"/>
  <c r="O193" i="8"/>
  <c r="M193" i="8"/>
  <c r="K193" i="8"/>
  <c r="G193" i="8"/>
  <c r="E193" i="8"/>
  <c r="X192" i="8"/>
  <c r="C193" i="1" s="1"/>
  <c r="W192" i="8"/>
  <c r="U192" i="8"/>
  <c r="S192" i="8"/>
  <c r="Q192" i="8"/>
  <c r="O192" i="8"/>
  <c r="M192" i="8"/>
  <c r="K192" i="8"/>
  <c r="I192" i="8"/>
  <c r="G192" i="8"/>
  <c r="E192" i="8"/>
  <c r="C192" i="8"/>
  <c r="X191" i="8"/>
  <c r="C190" i="12" s="1"/>
  <c r="W191" i="8"/>
  <c r="U191" i="8"/>
  <c r="S191" i="8"/>
  <c r="Q191" i="8"/>
  <c r="O191" i="8"/>
  <c r="M191" i="8"/>
  <c r="K191" i="8"/>
  <c r="G191" i="8"/>
  <c r="E191" i="8"/>
  <c r="X190" i="8"/>
  <c r="C189" i="12" s="1"/>
  <c r="BA189" i="12" s="1"/>
  <c r="BB189" i="12" s="1"/>
  <c r="W190" i="8"/>
  <c r="U190" i="8"/>
  <c r="S190" i="8"/>
  <c r="Q190" i="8"/>
  <c r="O190" i="8"/>
  <c r="M190" i="8"/>
  <c r="K190" i="8"/>
  <c r="X189" i="8"/>
  <c r="C188" i="12" s="1"/>
  <c r="W189" i="8"/>
  <c r="U189" i="8"/>
  <c r="S189" i="8"/>
  <c r="Q189" i="8"/>
  <c r="O189" i="8"/>
  <c r="M189" i="8"/>
  <c r="K189" i="8"/>
  <c r="G189" i="8"/>
  <c r="E189" i="8"/>
  <c r="X188" i="8"/>
  <c r="C187" i="12" s="1"/>
  <c r="AX187" i="12" s="1"/>
  <c r="W188" i="8"/>
  <c r="U188" i="8"/>
  <c r="S188" i="8"/>
  <c r="Q188" i="8"/>
  <c r="O188" i="8"/>
  <c r="M188" i="8"/>
  <c r="K188" i="8"/>
  <c r="G188" i="8"/>
  <c r="E188" i="8"/>
  <c r="X187" i="8"/>
  <c r="W187" i="8"/>
  <c r="U187" i="8"/>
  <c r="S187" i="8"/>
  <c r="Q187" i="8"/>
  <c r="O187" i="8"/>
  <c r="M187" i="8"/>
  <c r="K187" i="8"/>
  <c r="G187" i="8"/>
  <c r="E187" i="8"/>
  <c r="X186" i="8"/>
  <c r="C185" i="12" s="1"/>
  <c r="BD185" i="12" s="1"/>
  <c r="BE185" i="12" s="1"/>
  <c r="W186" i="8"/>
  <c r="U186" i="8"/>
  <c r="S186" i="8"/>
  <c r="Q186" i="8"/>
  <c r="O186" i="8"/>
  <c r="M186" i="8"/>
  <c r="K186" i="8"/>
  <c r="I186" i="8"/>
  <c r="G186" i="8"/>
  <c r="X185" i="8"/>
  <c r="C184" i="12" s="1"/>
  <c r="W185" i="8"/>
  <c r="U185" i="8"/>
  <c r="S185" i="8"/>
  <c r="Q185" i="8"/>
  <c r="O185" i="8"/>
  <c r="M185" i="8"/>
  <c r="K185" i="8"/>
  <c r="I185" i="8"/>
  <c r="G185" i="8"/>
  <c r="E185" i="8"/>
  <c r="C185" i="8" s="1"/>
  <c r="D184" i="12" s="1"/>
  <c r="X184" i="8"/>
  <c r="C183" i="12" s="1"/>
  <c r="W184" i="8"/>
  <c r="U184" i="8"/>
  <c r="S184" i="8"/>
  <c r="Q184" i="8"/>
  <c r="O184" i="8"/>
  <c r="M184" i="8"/>
  <c r="K184" i="8"/>
  <c r="I184" i="8"/>
  <c r="E184" i="8"/>
  <c r="X183" i="8"/>
  <c r="C182" i="12" s="1"/>
  <c r="BG182" i="12" s="1"/>
  <c r="W183" i="8"/>
  <c r="U183" i="8"/>
  <c r="S183" i="8"/>
  <c r="Q183" i="8"/>
  <c r="O183" i="8"/>
  <c r="M183" i="8"/>
  <c r="K183" i="8"/>
  <c r="I183" i="8"/>
  <c r="E183" i="8"/>
  <c r="X182" i="8"/>
  <c r="C181" i="12" s="1"/>
  <c r="W182" i="8"/>
  <c r="U182" i="8"/>
  <c r="S182" i="8"/>
  <c r="Q182" i="8"/>
  <c r="O182" i="8"/>
  <c r="M182" i="8"/>
  <c r="K182" i="8"/>
  <c r="I182" i="8"/>
  <c r="G182" i="8"/>
  <c r="X181" i="8"/>
  <c r="C180" i="12" s="1"/>
  <c r="W181" i="8"/>
  <c r="U181" i="8"/>
  <c r="S181" i="8"/>
  <c r="Q181" i="8"/>
  <c r="O181" i="8"/>
  <c r="M181" i="8"/>
  <c r="K181" i="8"/>
  <c r="I181" i="8"/>
  <c r="G181" i="8"/>
  <c r="X180" i="8"/>
  <c r="C181" i="1" s="1"/>
  <c r="W180" i="8"/>
  <c r="U180" i="8"/>
  <c r="S180" i="8"/>
  <c r="Q180" i="8"/>
  <c r="O180" i="8"/>
  <c r="M180" i="8"/>
  <c r="K180" i="8"/>
  <c r="I180" i="8"/>
  <c r="X179" i="8"/>
  <c r="C178" i="12" s="1"/>
  <c r="BD178" i="12" s="1"/>
  <c r="BE178" i="12" s="1"/>
  <c r="BF178" i="12" s="1"/>
  <c r="W179" i="8"/>
  <c r="U179" i="8"/>
  <c r="S179" i="8"/>
  <c r="Q179" i="8"/>
  <c r="O179" i="8"/>
  <c r="M179" i="8"/>
  <c r="K179" i="8"/>
  <c r="I179" i="8"/>
  <c r="G179" i="8"/>
  <c r="E179" i="8"/>
  <c r="C179" i="8" s="1"/>
  <c r="D178" i="12" s="1"/>
  <c r="J178" i="12" s="1"/>
  <c r="X178" i="8"/>
  <c r="C179" i="1" s="1"/>
  <c r="W178" i="8"/>
  <c r="U178" i="8"/>
  <c r="S178" i="8"/>
  <c r="Q178" i="8"/>
  <c r="O178" i="8"/>
  <c r="M178" i="8"/>
  <c r="K178" i="8"/>
  <c r="I178" i="8"/>
  <c r="G178" i="8"/>
  <c r="X177" i="8"/>
  <c r="C176" i="12" s="1"/>
  <c r="W177" i="8"/>
  <c r="U177" i="8"/>
  <c r="S177" i="8"/>
  <c r="Q177" i="8"/>
  <c r="O177" i="8"/>
  <c r="M177" i="8"/>
  <c r="K177" i="8"/>
  <c r="I177" i="8"/>
  <c r="E177" i="8"/>
  <c r="X176" i="8"/>
  <c r="W176" i="8"/>
  <c r="U176" i="8"/>
  <c r="S176" i="8"/>
  <c r="Q176" i="8"/>
  <c r="O176" i="8"/>
  <c r="M176" i="8"/>
  <c r="K176" i="8"/>
  <c r="I176" i="8"/>
  <c r="E176" i="8"/>
  <c r="X175" i="8"/>
  <c r="C174" i="12" s="1"/>
  <c r="W175" i="8"/>
  <c r="U175" i="8"/>
  <c r="S175" i="8"/>
  <c r="Q175" i="8"/>
  <c r="O175" i="8"/>
  <c r="M175" i="8"/>
  <c r="K175" i="8"/>
  <c r="I175" i="8"/>
  <c r="E175" i="8"/>
  <c r="X174" i="8"/>
  <c r="C173" i="12" s="1"/>
  <c r="W174" i="8"/>
  <c r="U174" i="8"/>
  <c r="S174" i="8"/>
  <c r="Q174" i="8"/>
  <c r="O174" i="8"/>
  <c r="M174" i="8"/>
  <c r="K174" i="8"/>
  <c r="I174" i="8"/>
  <c r="G174" i="8"/>
  <c r="X173" i="8"/>
  <c r="C172" i="12" s="1"/>
  <c r="W173" i="8"/>
  <c r="U173" i="8"/>
  <c r="S173" i="8"/>
  <c r="Q173" i="8"/>
  <c r="O173" i="8"/>
  <c r="C173" i="8" s="1"/>
  <c r="M173" i="8"/>
  <c r="K173" i="8"/>
  <c r="I173" i="8"/>
  <c r="G173" i="8"/>
  <c r="E173" i="8"/>
  <c r="X172" i="8"/>
  <c r="C171" i="12" s="1"/>
  <c r="W172" i="8"/>
  <c r="U172" i="8"/>
  <c r="S172" i="8"/>
  <c r="Q172" i="8"/>
  <c r="O172" i="8"/>
  <c r="M172" i="8"/>
  <c r="K172" i="8"/>
  <c r="I172" i="8"/>
  <c r="G172" i="8"/>
  <c r="X171" i="8"/>
  <c r="C170" i="12" s="1"/>
  <c r="W171" i="8"/>
  <c r="U171" i="8"/>
  <c r="S171" i="8"/>
  <c r="Q171" i="8"/>
  <c r="O171" i="8"/>
  <c r="M171" i="8"/>
  <c r="K171" i="8"/>
  <c r="I171" i="8"/>
  <c r="E171" i="8"/>
  <c r="X170" i="8"/>
  <c r="C169" i="12" s="1"/>
  <c r="W170" i="8"/>
  <c r="U170" i="8"/>
  <c r="S170" i="8"/>
  <c r="Q170" i="8"/>
  <c r="O170" i="8"/>
  <c r="M170" i="8"/>
  <c r="K170" i="8"/>
  <c r="I170" i="8"/>
  <c r="G170" i="8"/>
  <c r="X169" i="8"/>
  <c r="C168" i="12" s="1"/>
  <c r="W169" i="8"/>
  <c r="U169" i="8"/>
  <c r="S169" i="8"/>
  <c r="Q169" i="8"/>
  <c r="O169" i="8"/>
  <c r="M169" i="8"/>
  <c r="K169" i="8"/>
  <c r="I169" i="8"/>
  <c r="E169" i="8"/>
  <c r="X168" i="8"/>
  <c r="C167" i="12" s="1"/>
  <c r="W168" i="8"/>
  <c r="U168" i="8"/>
  <c r="S168" i="8"/>
  <c r="Q168" i="8"/>
  <c r="O168" i="8"/>
  <c r="M168" i="8"/>
  <c r="K168" i="8"/>
  <c r="I168" i="8"/>
  <c r="G168" i="8"/>
  <c r="E168" i="8"/>
  <c r="C168" i="8"/>
  <c r="X167" i="8"/>
  <c r="C166" i="12" s="1"/>
  <c r="W167" i="8"/>
  <c r="U167" i="8"/>
  <c r="S167" i="8"/>
  <c r="Q167" i="8"/>
  <c r="O167" i="8"/>
  <c r="M167" i="8"/>
  <c r="K167" i="8"/>
  <c r="I167" i="8"/>
  <c r="E167" i="8"/>
  <c r="X166" i="8"/>
  <c r="C165" i="12" s="1"/>
  <c r="W166" i="8"/>
  <c r="U166" i="8"/>
  <c r="S166" i="8"/>
  <c r="Q166" i="8"/>
  <c r="O166" i="8"/>
  <c r="M166" i="8"/>
  <c r="K166" i="8"/>
  <c r="I166" i="8"/>
  <c r="X165" i="8"/>
  <c r="C164" i="12" s="1"/>
  <c r="W165" i="8"/>
  <c r="U165" i="8"/>
  <c r="S165" i="8"/>
  <c r="Q165" i="8"/>
  <c r="O165" i="8"/>
  <c r="M165" i="8"/>
  <c r="K165" i="8"/>
  <c r="I165" i="8"/>
  <c r="X164" i="8"/>
  <c r="C163" i="12" s="1"/>
  <c r="W164" i="8"/>
  <c r="U164" i="8"/>
  <c r="S164" i="8"/>
  <c r="Q164" i="8"/>
  <c r="O164" i="8"/>
  <c r="M164" i="8"/>
  <c r="K164" i="8"/>
  <c r="I164" i="8"/>
  <c r="G164" i="8"/>
  <c r="E164" i="8"/>
  <c r="C164" i="8" s="1"/>
  <c r="X163" i="8"/>
  <c r="C162" i="12" s="1"/>
  <c r="W163" i="8"/>
  <c r="U163" i="8"/>
  <c r="S163" i="8"/>
  <c r="Q163" i="8"/>
  <c r="O163" i="8"/>
  <c r="M163" i="8"/>
  <c r="K163" i="8"/>
  <c r="I163" i="8"/>
  <c r="E163" i="8"/>
  <c r="X162" i="8"/>
  <c r="W162" i="8"/>
  <c r="U162" i="8"/>
  <c r="S162" i="8"/>
  <c r="Q162" i="8"/>
  <c r="O162" i="8"/>
  <c r="M162" i="8"/>
  <c r="K162" i="8"/>
  <c r="I162" i="8"/>
  <c r="G162" i="8"/>
  <c r="X161" i="8"/>
  <c r="C160" i="12" s="1"/>
  <c r="W161" i="8"/>
  <c r="U161" i="8"/>
  <c r="S161" i="8"/>
  <c r="Q161" i="8"/>
  <c r="O161" i="8"/>
  <c r="M161" i="8"/>
  <c r="K161" i="8"/>
  <c r="I161" i="8"/>
  <c r="E161" i="8"/>
  <c r="X160" i="8"/>
  <c r="C159" i="12" s="1"/>
  <c r="W160" i="8"/>
  <c r="U160" i="8"/>
  <c r="S160" i="8"/>
  <c r="Q160" i="8"/>
  <c r="O160" i="8"/>
  <c r="M160" i="8"/>
  <c r="K160" i="8"/>
  <c r="I160" i="8"/>
  <c r="G160" i="8"/>
  <c r="E160" i="8"/>
  <c r="C160" i="8" s="1"/>
  <c r="X159" i="8"/>
  <c r="C158" i="12" s="1"/>
  <c r="W159" i="8"/>
  <c r="U159" i="8"/>
  <c r="S159" i="8"/>
  <c r="Q159" i="8"/>
  <c r="O159" i="8"/>
  <c r="M159" i="8"/>
  <c r="K159" i="8"/>
  <c r="I159" i="8"/>
  <c r="X158" i="8"/>
  <c r="C157" i="12" s="1"/>
  <c r="W158" i="8"/>
  <c r="U158" i="8"/>
  <c r="S158" i="8"/>
  <c r="Q158" i="8"/>
  <c r="O158" i="8"/>
  <c r="M158" i="8"/>
  <c r="K158" i="8"/>
  <c r="I158" i="8"/>
  <c r="G158" i="8"/>
  <c r="X157" i="8"/>
  <c r="C156" i="12" s="1"/>
  <c r="W157" i="8"/>
  <c r="U157" i="8"/>
  <c r="S157" i="8"/>
  <c r="Q157" i="8"/>
  <c r="O157" i="8"/>
  <c r="M157" i="8"/>
  <c r="K157" i="8"/>
  <c r="I157" i="8"/>
  <c r="E157" i="8"/>
  <c r="X156" i="8"/>
  <c r="C155" i="12" s="1"/>
  <c r="W156" i="8"/>
  <c r="U156" i="8"/>
  <c r="S156" i="8"/>
  <c r="Q156" i="8"/>
  <c r="O156" i="8"/>
  <c r="M156" i="8"/>
  <c r="K156" i="8"/>
  <c r="I156" i="8"/>
  <c r="G156" i="8"/>
  <c r="E156" i="8"/>
  <c r="C156" i="8"/>
  <c r="X155" i="8"/>
  <c r="W155" i="8"/>
  <c r="U155" i="8"/>
  <c r="S155" i="8"/>
  <c r="Q155" i="8"/>
  <c r="O155" i="8"/>
  <c r="M155" i="8"/>
  <c r="K155" i="8"/>
  <c r="I155" i="8"/>
  <c r="E155" i="8"/>
  <c r="X154" i="8"/>
  <c r="C153" i="12" s="1"/>
  <c r="AR153" i="12" s="1"/>
  <c r="AS153" i="12" s="1"/>
  <c r="AT153" i="12" s="1"/>
  <c r="W154" i="8"/>
  <c r="U154" i="8"/>
  <c r="S154" i="8"/>
  <c r="Q154" i="8"/>
  <c r="O154" i="8"/>
  <c r="M154" i="8"/>
  <c r="K154" i="8"/>
  <c r="I154" i="8"/>
  <c r="G154" i="8"/>
  <c r="E154" i="8"/>
  <c r="X153" i="8"/>
  <c r="C152" i="12" s="1"/>
  <c r="AL152" i="12" s="1"/>
  <c r="AM152" i="12" s="1"/>
  <c r="W153" i="8"/>
  <c r="U153" i="8"/>
  <c r="S153" i="8"/>
  <c r="Q153" i="8"/>
  <c r="O153" i="8"/>
  <c r="M153" i="8"/>
  <c r="K153" i="8"/>
  <c r="I153" i="8"/>
  <c r="G153" i="8"/>
  <c r="E153" i="8"/>
  <c r="C153" i="8" s="1"/>
  <c r="X152" i="8"/>
  <c r="W152" i="8"/>
  <c r="U152" i="8"/>
  <c r="S152" i="8"/>
  <c r="Q152" i="8"/>
  <c r="O152" i="8"/>
  <c r="M152" i="8"/>
  <c r="K152" i="8"/>
  <c r="I152" i="8"/>
  <c r="G152" i="8"/>
  <c r="X151" i="8"/>
  <c r="W151" i="8"/>
  <c r="U151" i="8"/>
  <c r="S151" i="8"/>
  <c r="Q151" i="8"/>
  <c r="O151" i="8"/>
  <c r="K151" i="8"/>
  <c r="X150" i="8"/>
  <c r="W150" i="8"/>
  <c r="U150" i="8"/>
  <c r="S150" i="8"/>
  <c r="Q150" i="8"/>
  <c r="O150" i="8"/>
  <c r="M150" i="8"/>
  <c r="I150" i="8"/>
  <c r="G150" i="8"/>
  <c r="X149" i="8"/>
  <c r="C148" i="12" s="1"/>
  <c r="W149" i="8"/>
  <c r="U149" i="8"/>
  <c r="S149" i="8"/>
  <c r="Q149" i="8"/>
  <c r="O149" i="8"/>
  <c r="I149" i="8"/>
  <c r="G149" i="8"/>
  <c r="X148" i="8"/>
  <c r="W148" i="8"/>
  <c r="U148" i="8"/>
  <c r="S148" i="8"/>
  <c r="Q148" i="8"/>
  <c r="O148" i="8"/>
  <c r="G148" i="8"/>
  <c r="E148" i="8"/>
  <c r="X147" i="8"/>
  <c r="C146" i="12" s="1"/>
  <c r="W147" i="8"/>
  <c r="U147" i="8"/>
  <c r="S147" i="8"/>
  <c r="Q147" i="8"/>
  <c r="O147" i="8"/>
  <c r="E147" i="8"/>
  <c r="X146" i="8"/>
  <c r="W146" i="8"/>
  <c r="U146" i="8"/>
  <c r="S146" i="8"/>
  <c r="Q146" i="8"/>
  <c r="O146" i="8"/>
  <c r="M146" i="8"/>
  <c r="K146" i="8"/>
  <c r="I146" i="8"/>
  <c r="G146" i="8"/>
  <c r="X145" i="8"/>
  <c r="C144" i="12" s="1"/>
  <c r="BD144" i="12" s="1"/>
  <c r="BE144" i="12" s="1"/>
  <c r="W145" i="8"/>
  <c r="U145" i="8"/>
  <c r="S145" i="8"/>
  <c r="Q145" i="8"/>
  <c r="O145" i="8"/>
  <c r="M145" i="8"/>
  <c r="K145" i="8"/>
  <c r="G145" i="8"/>
  <c r="X144" i="8"/>
  <c r="C143" i="12" s="1"/>
  <c r="W144" i="8"/>
  <c r="U144" i="8"/>
  <c r="S144" i="8"/>
  <c r="Q144" i="8"/>
  <c r="O144" i="8"/>
  <c r="M144" i="8"/>
  <c r="K144" i="8"/>
  <c r="I144" i="8"/>
  <c r="X143" i="8"/>
  <c r="C142" i="12" s="1"/>
  <c r="W143" i="8"/>
  <c r="U143" i="8"/>
  <c r="S143" i="8"/>
  <c r="Q143" i="8"/>
  <c r="O143" i="8"/>
  <c r="K143" i="8"/>
  <c r="I143" i="8"/>
  <c r="E143" i="8"/>
  <c r="X142" i="8"/>
  <c r="W142" i="8"/>
  <c r="U142" i="8"/>
  <c r="S142" i="8"/>
  <c r="Q142" i="8"/>
  <c r="O142" i="8"/>
  <c r="M142" i="8"/>
  <c r="G142" i="8"/>
  <c r="X141" i="8"/>
  <c r="C140" i="12" s="1"/>
  <c r="W141" i="8"/>
  <c r="U141" i="8"/>
  <c r="S141" i="8"/>
  <c r="Q141" i="8"/>
  <c r="O141" i="8"/>
  <c r="M141" i="8"/>
  <c r="K141" i="8"/>
  <c r="I141" i="8"/>
  <c r="G141" i="8"/>
  <c r="X140" i="8"/>
  <c r="C139" i="12" s="1"/>
  <c r="W140" i="8"/>
  <c r="U140" i="8"/>
  <c r="S140" i="8"/>
  <c r="Q140" i="8"/>
  <c r="O140" i="8"/>
  <c r="M140" i="8"/>
  <c r="K140" i="8"/>
  <c r="I140" i="8"/>
  <c r="G140" i="8"/>
  <c r="E140" i="8"/>
  <c r="C140" i="8"/>
  <c r="D139" i="12" s="1"/>
  <c r="X139" i="8"/>
  <c r="W139" i="8"/>
  <c r="U139" i="8"/>
  <c r="S139" i="8"/>
  <c r="Q139" i="8"/>
  <c r="O139" i="8"/>
  <c r="M139" i="8"/>
  <c r="E139" i="8"/>
  <c r="X138" i="8"/>
  <c r="C137" i="12" s="1"/>
  <c r="W138" i="8"/>
  <c r="U138" i="8"/>
  <c r="S138" i="8"/>
  <c r="Q138" i="8"/>
  <c r="O138" i="8"/>
  <c r="M138" i="8"/>
  <c r="K138" i="8"/>
  <c r="X137" i="8"/>
  <c r="C136" i="12" s="1"/>
  <c r="AL136" i="12" s="1"/>
  <c r="AM136" i="12" s="1"/>
  <c r="AN136" i="12" s="1"/>
  <c r="W137" i="8"/>
  <c r="U137" i="8"/>
  <c r="S137" i="8"/>
  <c r="Q137" i="8"/>
  <c r="O137" i="8"/>
  <c r="M137" i="8"/>
  <c r="I137" i="8"/>
  <c r="E137" i="8"/>
  <c r="X136" i="8"/>
  <c r="C135" i="12" s="1"/>
  <c r="W136" i="8"/>
  <c r="U136" i="8"/>
  <c r="S136" i="8"/>
  <c r="Q136" i="8"/>
  <c r="O136" i="8"/>
  <c r="M136" i="8"/>
  <c r="K136" i="8"/>
  <c r="X135" i="8"/>
  <c r="W135" i="8"/>
  <c r="U135" i="8"/>
  <c r="S135" i="8"/>
  <c r="Q135" i="8"/>
  <c r="O135" i="8"/>
  <c r="M135" i="8"/>
  <c r="K135" i="8"/>
  <c r="X134" i="8"/>
  <c r="C133" i="12" s="1"/>
  <c r="W134" i="8"/>
  <c r="U134" i="8"/>
  <c r="S134" i="8"/>
  <c r="Q134" i="8"/>
  <c r="O134" i="8"/>
  <c r="M134" i="8"/>
  <c r="K134" i="8"/>
  <c r="I134" i="8"/>
  <c r="G134" i="8"/>
  <c r="X133" i="8"/>
  <c r="W133" i="8"/>
  <c r="U133" i="8"/>
  <c r="S133" i="8"/>
  <c r="Q133" i="8"/>
  <c r="O133" i="8"/>
  <c r="M133" i="8"/>
  <c r="K133" i="8"/>
  <c r="I133" i="8"/>
  <c r="E133" i="8"/>
  <c r="X132" i="8"/>
  <c r="W132" i="8"/>
  <c r="U132" i="8"/>
  <c r="S132" i="8"/>
  <c r="C132" i="8" s="1"/>
  <c r="Q132" i="8"/>
  <c r="O132" i="8"/>
  <c r="M132" i="8"/>
  <c r="K132" i="8"/>
  <c r="I132" i="8"/>
  <c r="G132" i="8"/>
  <c r="E132" i="8"/>
  <c r="X131" i="8"/>
  <c r="C130" i="12" s="1"/>
  <c r="W131" i="8"/>
  <c r="U131" i="8"/>
  <c r="S131" i="8"/>
  <c r="Q131" i="8"/>
  <c r="O131" i="8"/>
  <c r="M131" i="8"/>
  <c r="K131" i="8"/>
  <c r="X130" i="8"/>
  <c r="C129" i="12" s="1"/>
  <c r="W130" i="8"/>
  <c r="U130" i="8"/>
  <c r="S130" i="8"/>
  <c r="Q130" i="8"/>
  <c r="O130" i="8"/>
  <c r="M130" i="8"/>
  <c r="K130" i="8"/>
  <c r="I130" i="8"/>
  <c r="G130" i="8"/>
  <c r="X129" i="8"/>
  <c r="C128" i="12" s="1"/>
  <c r="W129" i="8"/>
  <c r="U129" i="8"/>
  <c r="S129" i="8"/>
  <c r="Q129" i="8"/>
  <c r="O129" i="8"/>
  <c r="M129" i="8"/>
  <c r="K129" i="8"/>
  <c r="I129" i="8"/>
  <c r="G129" i="8"/>
  <c r="E129" i="8"/>
  <c r="C129" i="8" s="1"/>
  <c r="X128" i="8"/>
  <c r="W128" i="8"/>
  <c r="U128" i="8"/>
  <c r="S128" i="8"/>
  <c r="Q128" i="8"/>
  <c r="O128" i="8"/>
  <c r="M128" i="8"/>
  <c r="K128" i="8"/>
  <c r="I128" i="8"/>
  <c r="X127" i="8"/>
  <c r="C126" i="12" s="1"/>
  <c r="W127" i="8"/>
  <c r="U127" i="8"/>
  <c r="S127" i="8"/>
  <c r="Q127" i="8"/>
  <c r="O127" i="8"/>
  <c r="M127" i="8"/>
  <c r="K127" i="8"/>
  <c r="E127" i="8"/>
  <c r="X126" i="8"/>
  <c r="C125" i="12" s="1"/>
  <c r="W126" i="8"/>
  <c r="U126" i="8"/>
  <c r="S126" i="8"/>
  <c r="Q126" i="8"/>
  <c r="O126" i="8"/>
  <c r="M126" i="8"/>
  <c r="K126" i="8"/>
  <c r="I126" i="8"/>
  <c r="G126" i="8"/>
  <c r="X125" i="8"/>
  <c r="W125" i="8"/>
  <c r="U125" i="8"/>
  <c r="S125" i="8"/>
  <c r="Q125" i="8"/>
  <c r="O125" i="8"/>
  <c r="M125" i="8"/>
  <c r="K125" i="8"/>
  <c r="G125" i="8"/>
  <c r="E125" i="8"/>
  <c r="X124" i="8"/>
  <c r="C123" i="12" s="1"/>
  <c r="W124" i="8"/>
  <c r="U124" i="8"/>
  <c r="S124" i="8"/>
  <c r="Q124" i="8"/>
  <c r="O124" i="8"/>
  <c r="M124" i="8"/>
  <c r="K124" i="8"/>
  <c r="I124" i="8"/>
  <c r="G124" i="8"/>
  <c r="X123" i="8"/>
  <c r="C122" i="12" s="1"/>
  <c r="W123" i="8"/>
  <c r="U123" i="8"/>
  <c r="S123" i="8"/>
  <c r="Q123" i="8"/>
  <c r="O123" i="8"/>
  <c r="M123" i="8"/>
  <c r="K123" i="8"/>
  <c r="E123" i="8"/>
  <c r="X122" i="8"/>
  <c r="W122" i="8"/>
  <c r="U122" i="8"/>
  <c r="S122" i="8"/>
  <c r="Q122" i="8"/>
  <c r="O122" i="8"/>
  <c r="M122" i="8"/>
  <c r="K122" i="8"/>
  <c r="G122" i="8"/>
  <c r="X121" i="8"/>
  <c r="C120" i="12" s="1"/>
  <c r="W121" i="8"/>
  <c r="U121" i="8"/>
  <c r="S121" i="8"/>
  <c r="Q121" i="8"/>
  <c r="O121" i="8"/>
  <c r="M121" i="8"/>
  <c r="K121" i="8"/>
  <c r="I121" i="8"/>
  <c r="G121" i="8"/>
  <c r="E121" i="8"/>
  <c r="X120" i="8"/>
  <c r="C119" i="12" s="1"/>
  <c r="W120" i="8"/>
  <c r="U120" i="8"/>
  <c r="S120" i="8"/>
  <c r="Q120" i="8"/>
  <c r="O120" i="8"/>
  <c r="M120" i="8"/>
  <c r="K120" i="8"/>
  <c r="I120" i="8"/>
  <c r="G120" i="8"/>
  <c r="E120" i="8"/>
  <c r="C120" i="8" s="1"/>
  <c r="D119" i="12" s="1"/>
  <c r="X119" i="8"/>
  <c r="W119" i="8"/>
  <c r="U119" i="8"/>
  <c r="S119" i="8"/>
  <c r="Q119" i="8"/>
  <c r="O119" i="8"/>
  <c r="M119" i="8"/>
  <c r="K119" i="8"/>
  <c r="E119" i="8"/>
  <c r="X118" i="8"/>
  <c r="C119" i="1" s="1"/>
  <c r="W118" i="8"/>
  <c r="U118" i="8"/>
  <c r="S118" i="8"/>
  <c r="Q118" i="8"/>
  <c r="O118" i="8"/>
  <c r="M118" i="8"/>
  <c r="C118" i="8" s="1"/>
  <c r="K118" i="8"/>
  <c r="I118" i="8"/>
  <c r="G118" i="8"/>
  <c r="E118" i="8"/>
  <c r="X117" i="8"/>
  <c r="W117" i="8"/>
  <c r="U117" i="8"/>
  <c r="S117" i="8"/>
  <c r="Q117" i="8"/>
  <c r="O117" i="8"/>
  <c r="M117" i="8"/>
  <c r="K117" i="8"/>
  <c r="I117" i="8"/>
  <c r="G117" i="8"/>
  <c r="X116" i="8"/>
  <c r="W116" i="8"/>
  <c r="U116" i="8"/>
  <c r="S116" i="8"/>
  <c r="Q116" i="8"/>
  <c r="O116" i="8"/>
  <c r="M116" i="8"/>
  <c r="K116" i="8"/>
  <c r="I116" i="8"/>
  <c r="G116" i="8"/>
  <c r="E116" i="8"/>
  <c r="C116" i="8"/>
  <c r="X115" i="8"/>
  <c r="C114" i="12" s="1"/>
  <c r="AR114" i="12" s="1"/>
  <c r="AS114" i="12" s="1"/>
  <c r="AT114" i="12" s="1"/>
  <c r="W115" i="8"/>
  <c r="U115" i="8"/>
  <c r="S115" i="8"/>
  <c r="Q115" i="8"/>
  <c r="O115" i="8"/>
  <c r="M115" i="8"/>
  <c r="K115" i="8"/>
  <c r="I115" i="8"/>
  <c r="X114" i="8"/>
  <c r="W114" i="8"/>
  <c r="U114" i="8"/>
  <c r="S114" i="8"/>
  <c r="Q114" i="8"/>
  <c r="O114" i="8"/>
  <c r="M114" i="8"/>
  <c r="K114" i="8"/>
  <c r="I114" i="8"/>
  <c r="X113" i="8"/>
  <c r="W113" i="8"/>
  <c r="U113" i="8"/>
  <c r="S113" i="8"/>
  <c r="Q113" i="8"/>
  <c r="O113" i="8"/>
  <c r="C113" i="8" s="1"/>
  <c r="M113" i="8"/>
  <c r="K113" i="8"/>
  <c r="I113" i="8"/>
  <c r="G113" i="8"/>
  <c r="E113" i="8"/>
  <c r="X112" i="8"/>
  <c r="W112" i="8"/>
  <c r="U112" i="8"/>
  <c r="S112" i="8"/>
  <c r="Q112" i="8"/>
  <c r="O112" i="8"/>
  <c r="M112" i="8"/>
  <c r="K112" i="8"/>
  <c r="I112" i="8"/>
  <c r="G112" i="8"/>
  <c r="E112" i="8"/>
  <c r="X111" i="8"/>
  <c r="C110" i="12" s="1"/>
  <c r="BD110" i="12" s="1"/>
  <c r="BE110" i="12" s="1"/>
  <c r="W111" i="8"/>
  <c r="U111" i="8"/>
  <c r="S111" i="8"/>
  <c r="Q111" i="8"/>
  <c r="O111" i="8"/>
  <c r="M111" i="8"/>
  <c r="K111" i="8"/>
  <c r="I111" i="8"/>
  <c r="E111" i="8"/>
  <c r="X110" i="8"/>
  <c r="C109" i="12" s="1"/>
  <c r="W110" i="8"/>
  <c r="U110" i="8"/>
  <c r="S110" i="8"/>
  <c r="Q110" i="8"/>
  <c r="O110" i="8"/>
  <c r="M110" i="8"/>
  <c r="K110" i="8"/>
  <c r="I110" i="8"/>
  <c r="G110" i="8"/>
  <c r="X109" i="8"/>
  <c r="W109" i="8"/>
  <c r="U109" i="8"/>
  <c r="S109" i="8"/>
  <c r="Q109" i="8"/>
  <c r="O109" i="8"/>
  <c r="M109" i="8"/>
  <c r="K109" i="8"/>
  <c r="I109" i="8"/>
  <c r="G109" i="8"/>
  <c r="E109" i="8"/>
  <c r="C109" i="8" s="1"/>
  <c r="X108" i="8"/>
  <c r="C107" i="12" s="1"/>
  <c r="W108" i="8"/>
  <c r="U108" i="8"/>
  <c r="S108" i="8"/>
  <c r="Q108" i="8"/>
  <c r="O108" i="8"/>
  <c r="M108" i="8"/>
  <c r="K108" i="8"/>
  <c r="I108" i="8"/>
  <c r="G108" i="8"/>
  <c r="E108" i="8"/>
  <c r="C108" i="8"/>
  <c r="D107" i="12" s="1"/>
  <c r="W107" i="12" s="1"/>
  <c r="X107" i="12" s="1"/>
  <c r="X107" i="8"/>
  <c r="W107" i="8"/>
  <c r="U107" i="8"/>
  <c r="S107" i="8"/>
  <c r="Q107" i="8"/>
  <c r="O107" i="8"/>
  <c r="M107" i="8"/>
  <c r="K107" i="8"/>
  <c r="I107" i="8"/>
  <c r="E107" i="8"/>
  <c r="X106" i="8"/>
  <c r="C105" i="12" s="1"/>
  <c r="W106" i="8"/>
  <c r="U106" i="8"/>
  <c r="S106" i="8"/>
  <c r="Q106" i="8"/>
  <c r="O106" i="8"/>
  <c r="M106" i="8"/>
  <c r="K106" i="8"/>
  <c r="I106" i="8"/>
  <c r="G106" i="8"/>
  <c r="C106" i="8" s="1"/>
  <c r="E106" i="8"/>
  <c r="X105" i="8"/>
  <c r="C104" i="12" s="1"/>
  <c r="BG104" i="12" s="1"/>
  <c r="W105" i="8"/>
  <c r="U105" i="8"/>
  <c r="S105" i="8"/>
  <c r="Q105" i="8"/>
  <c r="O105" i="8"/>
  <c r="M105" i="8"/>
  <c r="K105" i="8"/>
  <c r="I105" i="8"/>
  <c r="G105" i="8"/>
  <c r="E105" i="8"/>
  <c r="C105" i="8"/>
  <c r="D104" i="12" s="1"/>
  <c r="X104" i="8"/>
  <c r="W104" i="8"/>
  <c r="U104" i="8"/>
  <c r="S104" i="8"/>
  <c r="Q104" i="8"/>
  <c r="O104" i="8"/>
  <c r="M104" i="8"/>
  <c r="K104" i="8"/>
  <c r="I104" i="8"/>
  <c r="G104" i="8"/>
  <c r="E104" i="8"/>
  <c r="C104" i="8"/>
  <c r="D103" i="12" s="1"/>
  <c r="X103" i="8"/>
  <c r="W103" i="8"/>
  <c r="U103" i="8"/>
  <c r="S103" i="8"/>
  <c r="Q103" i="8"/>
  <c r="O103" i="8"/>
  <c r="M103" i="8"/>
  <c r="K103" i="8"/>
  <c r="I103" i="8"/>
  <c r="G103" i="8"/>
  <c r="X102" i="8"/>
  <c r="C101" i="12" s="1"/>
  <c r="W102" i="8"/>
  <c r="U102" i="8"/>
  <c r="S102" i="8"/>
  <c r="Q102" i="8"/>
  <c r="O102" i="8"/>
  <c r="M102" i="8"/>
  <c r="K102" i="8"/>
  <c r="I102" i="8"/>
  <c r="G102" i="8"/>
  <c r="X101" i="8"/>
  <c r="W101" i="8"/>
  <c r="U101" i="8"/>
  <c r="S101" i="8"/>
  <c r="Q101" i="8"/>
  <c r="O101" i="8"/>
  <c r="M101" i="8"/>
  <c r="K101" i="8"/>
  <c r="I101" i="8"/>
  <c r="G101" i="8"/>
  <c r="X100" i="8"/>
  <c r="W100" i="8"/>
  <c r="U100" i="8"/>
  <c r="S100" i="8"/>
  <c r="Q100" i="8"/>
  <c r="O100" i="8"/>
  <c r="M100" i="8"/>
  <c r="K100" i="8"/>
  <c r="I100" i="8"/>
  <c r="G100" i="8"/>
  <c r="X99" i="8"/>
  <c r="W99" i="8"/>
  <c r="U99" i="8"/>
  <c r="S99" i="8"/>
  <c r="Q99" i="8"/>
  <c r="O99" i="8"/>
  <c r="M99" i="8"/>
  <c r="K99" i="8"/>
  <c r="I99" i="8"/>
  <c r="G99" i="8"/>
  <c r="X98" i="8"/>
  <c r="C97" i="12" s="1"/>
  <c r="W98" i="8"/>
  <c r="U98" i="8"/>
  <c r="S98" i="8"/>
  <c r="Q98" i="8"/>
  <c r="O98" i="8"/>
  <c r="M98" i="8"/>
  <c r="K98" i="8"/>
  <c r="I98" i="8"/>
  <c r="G98" i="8"/>
  <c r="X97" i="8"/>
  <c r="W97" i="8"/>
  <c r="U97" i="8"/>
  <c r="S97" i="8"/>
  <c r="Q97" i="8"/>
  <c r="O97" i="8"/>
  <c r="M97" i="8"/>
  <c r="K97" i="8"/>
  <c r="I97" i="8"/>
  <c r="G97" i="8"/>
  <c r="X96" i="8"/>
  <c r="W96" i="8"/>
  <c r="U96" i="8"/>
  <c r="S96" i="8"/>
  <c r="Q96" i="8"/>
  <c r="O96" i="8"/>
  <c r="M96" i="8"/>
  <c r="K96" i="8"/>
  <c r="I96" i="8"/>
  <c r="G96" i="8"/>
  <c r="X95" i="8"/>
  <c r="C94" i="12" s="1"/>
  <c r="W95" i="8"/>
  <c r="U95" i="8"/>
  <c r="S95" i="8"/>
  <c r="Q95" i="8"/>
  <c r="O95" i="8"/>
  <c r="M95" i="8"/>
  <c r="K95" i="8"/>
  <c r="I95" i="8"/>
  <c r="G95" i="8"/>
  <c r="X94" i="8"/>
  <c r="C93" i="12" s="1"/>
  <c r="W94" i="8"/>
  <c r="U94" i="8"/>
  <c r="S94" i="8"/>
  <c r="Q94" i="8"/>
  <c r="O94" i="8"/>
  <c r="M94" i="8"/>
  <c r="K94" i="8"/>
  <c r="I94" i="8"/>
  <c r="G94" i="8"/>
  <c r="X93" i="8"/>
  <c r="W93" i="8"/>
  <c r="U93" i="8"/>
  <c r="S93" i="8"/>
  <c r="Q93" i="8"/>
  <c r="O93" i="8"/>
  <c r="M93" i="8"/>
  <c r="K93" i="8"/>
  <c r="I93" i="8"/>
  <c r="G93" i="8"/>
  <c r="X92" i="8"/>
  <c r="W92" i="8"/>
  <c r="U92" i="8"/>
  <c r="S92" i="8"/>
  <c r="Q92" i="8"/>
  <c r="O92" i="8"/>
  <c r="M92" i="8"/>
  <c r="K92" i="8"/>
  <c r="I92" i="8"/>
  <c r="G92" i="8"/>
  <c r="X91" i="8"/>
  <c r="C92" i="1" s="1"/>
  <c r="W91" i="8"/>
  <c r="U91" i="8"/>
  <c r="S91" i="8"/>
  <c r="Q91" i="8"/>
  <c r="O91" i="8"/>
  <c r="M91" i="8"/>
  <c r="K91" i="8"/>
  <c r="I91" i="8"/>
  <c r="G91" i="8"/>
  <c r="X90" i="8"/>
  <c r="W90" i="8"/>
  <c r="U90" i="8"/>
  <c r="S90" i="8"/>
  <c r="Q90" i="8"/>
  <c r="O90" i="8"/>
  <c r="M90" i="8"/>
  <c r="K90" i="8"/>
  <c r="I90" i="8"/>
  <c r="G90" i="8"/>
  <c r="X89" i="8"/>
  <c r="C88" i="12" s="1"/>
  <c r="W89" i="8"/>
  <c r="U89" i="8"/>
  <c r="S89" i="8"/>
  <c r="Q89" i="8"/>
  <c r="O89" i="8"/>
  <c r="M89" i="8"/>
  <c r="K89" i="8"/>
  <c r="I89" i="8"/>
  <c r="G89" i="8"/>
  <c r="X88" i="8"/>
  <c r="C87" i="12" s="1"/>
  <c r="W88" i="8"/>
  <c r="U88" i="8"/>
  <c r="S88" i="8"/>
  <c r="Q88" i="8"/>
  <c r="O88" i="8"/>
  <c r="M88" i="8"/>
  <c r="K88" i="8"/>
  <c r="I88" i="8"/>
  <c r="G88" i="8"/>
  <c r="X87" i="8"/>
  <c r="C86" i="12" s="1"/>
  <c r="W87" i="8"/>
  <c r="U87" i="8"/>
  <c r="S87" i="8"/>
  <c r="Q87" i="8"/>
  <c r="O87" i="8"/>
  <c r="M87" i="8"/>
  <c r="K87" i="8"/>
  <c r="I87" i="8"/>
  <c r="G87" i="8"/>
  <c r="X86" i="8"/>
  <c r="C85" i="12" s="1"/>
  <c r="AI85" i="12" s="1"/>
  <c r="AJ85" i="12" s="1"/>
  <c r="W86" i="8"/>
  <c r="U86" i="8"/>
  <c r="S86" i="8"/>
  <c r="Q86" i="8"/>
  <c r="O86" i="8"/>
  <c r="M86" i="8"/>
  <c r="K86" i="8"/>
  <c r="I86" i="8"/>
  <c r="G86" i="8"/>
  <c r="X85" i="8"/>
  <c r="C84" i="12" s="1"/>
  <c r="W85" i="8"/>
  <c r="U85" i="8"/>
  <c r="S85" i="8"/>
  <c r="Q85" i="8"/>
  <c r="O85" i="8"/>
  <c r="M85" i="8"/>
  <c r="K85" i="8"/>
  <c r="I85" i="8"/>
  <c r="G85" i="8"/>
  <c r="X84" i="8"/>
  <c r="W84" i="8"/>
  <c r="U84" i="8"/>
  <c r="S84" i="8"/>
  <c r="Q84" i="8"/>
  <c r="O84" i="8"/>
  <c r="M84" i="8"/>
  <c r="K84" i="8"/>
  <c r="I84" i="8"/>
  <c r="G84" i="8"/>
  <c r="X83" i="8"/>
  <c r="C82" i="12" s="1"/>
  <c r="W83" i="8"/>
  <c r="U83" i="8"/>
  <c r="S83" i="8"/>
  <c r="Q83" i="8"/>
  <c r="O83" i="8"/>
  <c r="M83" i="8"/>
  <c r="K83" i="8"/>
  <c r="I83" i="8"/>
  <c r="G83" i="8"/>
  <c r="X82" i="8"/>
  <c r="W82" i="8"/>
  <c r="U82" i="8"/>
  <c r="S82" i="8"/>
  <c r="Q82" i="8"/>
  <c r="O82" i="8"/>
  <c r="M82" i="8"/>
  <c r="K82" i="8"/>
  <c r="I82" i="8"/>
  <c r="G82" i="8"/>
  <c r="X81" i="8"/>
  <c r="C80" i="12" s="1"/>
  <c r="AR80" i="12" s="1"/>
  <c r="AS80" i="12" s="1"/>
  <c r="AT80" i="12" s="1"/>
  <c r="W81" i="8"/>
  <c r="U81" i="8"/>
  <c r="S81" i="8"/>
  <c r="Q81" i="8"/>
  <c r="O81" i="8"/>
  <c r="M81" i="8"/>
  <c r="K81" i="8"/>
  <c r="I81" i="8"/>
  <c r="G81" i="8"/>
  <c r="X80" i="8"/>
  <c r="C79" i="12" s="1"/>
  <c r="BA79" i="12" s="1"/>
  <c r="W80" i="8"/>
  <c r="U80" i="8"/>
  <c r="S80" i="8"/>
  <c r="Q80" i="8"/>
  <c r="O80" i="8"/>
  <c r="M80" i="8"/>
  <c r="K80" i="8"/>
  <c r="I80" i="8"/>
  <c r="G80" i="8"/>
  <c r="X79" i="8"/>
  <c r="C78" i="12" s="1"/>
  <c r="AI78" i="12" s="1"/>
  <c r="AJ78" i="12" s="1"/>
  <c r="AK78" i="12" s="1"/>
  <c r="W79" i="8"/>
  <c r="U79" i="8"/>
  <c r="S79" i="8"/>
  <c r="Q79" i="8"/>
  <c r="O79" i="8"/>
  <c r="M79" i="8"/>
  <c r="K79" i="8"/>
  <c r="I79" i="8"/>
  <c r="G79" i="8"/>
  <c r="X78" i="8"/>
  <c r="C77" i="12" s="1"/>
  <c r="W78" i="8"/>
  <c r="U78" i="8"/>
  <c r="S78" i="8"/>
  <c r="Q78" i="8"/>
  <c r="O78" i="8"/>
  <c r="M78" i="8"/>
  <c r="K78" i="8"/>
  <c r="I78" i="8"/>
  <c r="G78" i="8"/>
  <c r="X77" i="8"/>
  <c r="W77" i="8"/>
  <c r="U77" i="8"/>
  <c r="S77" i="8"/>
  <c r="Q77" i="8"/>
  <c r="O77" i="8"/>
  <c r="M77" i="8"/>
  <c r="K77" i="8"/>
  <c r="I77" i="8"/>
  <c r="G77" i="8"/>
  <c r="X76" i="8"/>
  <c r="C75" i="12" s="1"/>
  <c r="AO75" i="12" s="1"/>
  <c r="AP75" i="12" s="1"/>
  <c r="AQ75" i="12" s="1"/>
  <c r="W76" i="8"/>
  <c r="U76" i="8"/>
  <c r="S76" i="8"/>
  <c r="Q76" i="8"/>
  <c r="O76" i="8"/>
  <c r="M76" i="8"/>
  <c r="K76" i="8"/>
  <c r="I76" i="8"/>
  <c r="G76" i="8"/>
  <c r="X75" i="8"/>
  <c r="C74" i="12" s="1"/>
  <c r="AX74" i="12" s="1"/>
  <c r="W75" i="8"/>
  <c r="U75" i="8"/>
  <c r="S75" i="8"/>
  <c r="Q75" i="8"/>
  <c r="O75" i="8"/>
  <c r="M75" i="8"/>
  <c r="K75" i="8"/>
  <c r="I75" i="8"/>
  <c r="G75" i="8"/>
  <c r="X74" i="8"/>
  <c r="C73" i="12" s="1"/>
  <c r="W74" i="8"/>
  <c r="U74" i="8"/>
  <c r="S74" i="8"/>
  <c r="Q74" i="8"/>
  <c r="O74" i="8"/>
  <c r="M74" i="8"/>
  <c r="K74" i="8"/>
  <c r="I74" i="8"/>
  <c r="G74" i="8"/>
  <c r="X73" i="8"/>
  <c r="W73" i="8"/>
  <c r="U73" i="8"/>
  <c r="S73" i="8"/>
  <c r="Q73" i="8"/>
  <c r="O73" i="8"/>
  <c r="M73" i="8"/>
  <c r="K73" i="8"/>
  <c r="I73" i="8"/>
  <c r="G73" i="8"/>
  <c r="X72" i="8"/>
  <c r="W72" i="8"/>
  <c r="U72" i="8"/>
  <c r="S72" i="8"/>
  <c r="Q72" i="8"/>
  <c r="O72" i="8"/>
  <c r="M72" i="8"/>
  <c r="K72" i="8"/>
  <c r="I72" i="8"/>
  <c r="G72" i="8"/>
  <c r="X71" i="8"/>
  <c r="C70" i="12" s="1"/>
  <c r="BG70" i="12" s="1"/>
  <c r="W71" i="8"/>
  <c r="U71" i="8"/>
  <c r="S71" i="8"/>
  <c r="Q71" i="8"/>
  <c r="O71" i="8"/>
  <c r="M71" i="8"/>
  <c r="K71" i="8"/>
  <c r="I71" i="8"/>
  <c r="G71" i="8"/>
  <c r="X70" i="8"/>
  <c r="C69" i="12" s="1"/>
  <c r="W70" i="8"/>
  <c r="U70" i="8"/>
  <c r="S70" i="8"/>
  <c r="Q70" i="8"/>
  <c r="O70" i="8"/>
  <c r="M70" i="8"/>
  <c r="K70" i="8"/>
  <c r="I70" i="8"/>
  <c r="G70" i="8"/>
  <c r="X69" i="8"/>
  <c r="W69" i="8"/>
  <c r="U69" i="8"/>
  <c r="S69" i="8"/>
  <c r="Q69" i="8"/>
  <c r="O69" i="8"/>
  <c r="M69" i="8"/>
  <c r="K69" i="8"/>
  <c r="I69" i="8"/>
  <c r="G69" i="8"/>
  <c r="X68" i="8"/>
  <c r="C67" i="12" s="1"/>
  <c r="AO67" i="12" s="1"/>
  <c r="AP67" i="12" s="1"/>
  <c r="AQ67" i="12" s="1"/>
  <c r="W68" i="8"/>
  <c r="U68" i="8"/>
  <c r="S68" i="8"/>
  <c r="Q68" i="8"/>
  <c r="O68" i="8"/>
  <c r="M68" i="8"/>
  <c r="K68" i="8"/>
  <c r="I68" i="8"/>
  <c r="G68" i="8"/>
  <c r="X67" i="8"/>
  <c r="C66" i="12" s="1"/>
  <c r="W67" i="8"/>
  <c r="U67" i="8"/>
  <c r="S67" i="8"/>
  <c r="Q67" i="8"/>
  <c r="O67" i="8"/>
  <c r="M67" i="8"/>
  <c r="K67" i="8"/>
  <c r="I67" i="8"/>
  <c r="G67" i="8"/>
  <c r="X66" i="8"/>
  <c r="W66" i="8"/>
  <c r="U66" i="8"/>
  <c r="S66" i="8"/>
  <c r="Q66" i="8"/>
  <c r="O66" i="8"/>
  <c r="M66" i="8"/>
  <c r="K66" i="8"/>
  <c r="I66" i="8"/>
  <c r="G66" i="8"/>
  <c r="X65" i="8"/>
  <c r="C64" i="12" s="1"/>
  <c r="W65" i="8"/>
  <c r="U65" i="8"/>
  <c r="S65" i="8"/>
  <c r="Q65" i="8"/>
  <c r="O65" i="8"/>
  <c r="M65" i="8"/>
  <c r="K65" i="8"/>
  <c r="I65" i="8"/>
  <c r="G65" i="8"/>
  <c r="X64" i="8"/>
  <c r="C63" i="12" s="1"/>
  <c r="W64" i="8"/>
  <c r="U64" i="8"/>
  <c r="S64" i="8"/>
  <c r="Q64" i="8"/>
  <c r="O64" i="8"/>
  <c r="M64" i="8"/>
  <c r="K64" i="8"/>
  <c r="I64" i="8"/>
  <c r="G64" i="8"/>
  <c r="X63" i="8"/>
  <c r="W63" i="8"/>
  <c r="U63" i="8"/>
  <c r="S63" i="8"/>
  <c r="Q63" i="8"/>
  <c r="O63" i="8"/>
  <c r="M63" i="8"/>
  <c r="K63" i="8"/>
  <c r="I63" i="8"/>
  <c r="G63" i="8"/>
  <c r="X62" i="8"/>
  <c r="W62" i="8"/>
  <c r="U62" i="8"/>
  <c r="S62" i="8"/>
  <c r="Q62" i="8"/>
  <c r="O62" i="8"/>
  <c r="M62" i="8"/>
  <c r="K62" i="8"/>
  <c r="I62" i="8"/>
  <c r="G62" i="8"/>
  <c r="X61" i="8"/>
  <c r="W61" i="8"/>
  <c r="U61" i="8"/>
  <c r="S61" i="8"/>
  <c r="Q61" i="8"/>
  <c r="O61" i="8"/>
  <c r="M61" i="8"/>
  <c r="K61" i="8"/>
  <c r="I61" i="8"/>
  <c r="G61" i="8"/>
  <c r="X60" i="8"/>
  <c r="W60" i="8"/>
  <c r="U60" i="8"/>
  <c r="S60" i="8"/>
  <c r="Q60" i="8"/>
  <c r="O60" i="8"/>
  <c r="M60" i="8"/>
  <c r="K60" i="8"/>
  <c r="I60" i="8"/>
  <c r="G60" i="8"/>
  <c r="X59" i="8"/>
  <c r="W59" i="8"/>
  <c r="U59" i="8"/>
  <c r="S59" i="8"/>
  <c r="Q59" i="8"/>
  <c r="O59" i="8"/>
  <c r="M59" i="8"/>
  <c r="K59" i="8"/>
  <c r="I59" i="8"/>
  <c r="G59" i="8"/>
  <c r="X58" i="8"/>
  <c r="C57" i="12" s="1"/>
  <c r="W58" i="8"/>
  <c r="U58" i="8"/>
  <c r="S58" i="8"/>
  <c r="Q58" i="8"/>
  <c r="O58" i="8"/>
  <c r="M58" i="8"/>
  <c r="K58" i="8"/>
  <c r="I58" i="8"/>
  <c r="G58" i="8"/>
  <c r="X57" i="8"/>
  <c r="C56" i="12" s="1"/>
  <c r="AO56" i="12" s="1"/>
  <c r="AP56" i="12" s="1"/>
  <c r="AQ56" i="12" s="1"/>
  <c r="W57" i="8"/>
  <c r="U57" i="8"/>
  <c r="S57" i="8"/>
  <c r="Q57" i="8"/>
  <c r="O57" i="8"/>
  <c r="M57" i="8"/>
  <c r="K57" i="8"/>
  <c r="I57" i="8"/>
  <c r="G57" i="8"/>
  <c r="X56" i="8"/>
  <c r="W56" i="8"/>
  <c r="U56" i="8"/>
  <c r="S56" i="8"/>
  <c r="Q56" i="8"/>
  <c r="O56" i="8"/>
  <c r="M56" i="8"/>
  <c r="K56" i="8"/>
  <c r="I56" i="8"/>
  <c r="G56" i="8"/>
  <c r="E56" i="8"/>
  <c r="C56" i="8" s="1"/>
  <c r="D55" i="12" s="1"/>
  <c r="O55" i="12" s="1"/>
  <c r="P55" i="12" s="1"/>
  <c r="X55" i="8"/>
  <c r="C54" i="12" s="1"/>
  <c r="W55" i="8"/>
  <c r="U55" i="8"/>
  <c r="S55" i="8"/>
  <c r="C55" i="8" s="1"/>
  <c r="Q55" i="8"/>
  <c r="O55" i="8"/>
  <c r="M55" i="8"/>
  <c r="K55" i="8"/>
  <c r="I55" i="8"/>
  <c r="G55" i="8"/>
  <c r="E55" i="8"/>
  <c r="X54" i="8"/>
  <c r="W54" i="8"/>
  <c r="U54" i="8"/>
  <c r="S54" i="8"/>
  <c r="Q54" i="8"/>
  <c r="O54" i="8"/>
  <c r="M54" i="8"/>
  <c r="K54" i="8"/>
  <c r="I54" i="8"/>
  <c r="G54" i="8"/>
  <c r="X53" i="8"/>
  <c r="W53" i="8"/>
  <c r="U53" i="8"/>
  <c r="S53" i="8"/>
  <c r="Q53" i="8"/>
  <c r="O53" i="8"/>
  <c r="M53" i="8"/>
  <c r="K53" i="8"/>
  <c r="I53" i="8"/>
  <c r="G53" i="8"/>
  <c r="E53" i="8"/>
  <c r="C53" i="8"/>
  <c r="X52" i="8"/>
  <c r="W52" i="8"/>
  <c r="U52" i="8"/>
  <c r="S52" i="8"/>
  <c r="Q52" i="8"/>
  <c r="O52" i="8"/>
  <c r="M52" i="8"/>
  <c r="K52" i="8"/>
  <c r="I52" i="8"/>
  <c r="G52" i="8"/>
  <c r="X51" i="8"/>
  <c r="C52" i="1" s="1"/>
  <c r="W51" i="8"/>
  <c r="U51" i="8"/>
  <c r="S51" i="8"/>
  <c r="Q51" i="8"/>
  <c r="C51" i="8" s="1"/>
  <c r="O51" i="8"/>
  <c r="M51" i="8"/>
  <c r="K51" i="8"/>
  <c r="I51" i="8"/>
  <c r="G51" i="8"/>
  <c r="E51" i="8"/>
  <c r="X50" i="8"/>
  <c r="W50" i="8"/>
  <c r="U50" i="8"/>
  <c r="S50" i="8"/>
  <c r="Q50" i="8"/>
  <c r="O50" i="8"/>
  <c r="M50" i="8"/>
  <c r="K50" i="8"/>
  <c r="I50" i="8"/>
  <c r="G50" i="8"/>
  <c r="X49" i="8"/>
  <c r="W49" i="8"/>
  <c r="U49" i="8"/>
  <c r="S49" i="8"/>
  <c r="Q49" i="8"/>
  <c r="O49" i="8"/>
  <c r="M49" i="8"/>
  <c r="K49" i="8"/>
  <c r="I49" i="8"/>
  <c r="G49" i="8"/>
  <c r="X48" i="8"/>
  <c r="W48" i="8"/>
  <c r="U48" i="8"/>
  <c r="S48" i="8"/>
  <c r="Q48" i="8"/>
  <c r="O48" i="8"/>
  <c r="M48" i="8"/>
  <c r="K48" i="8"/>
  <c r="I48" i="8"/>
  <c r="G48" i="8"/>
  <c r="X47" i="8"/>
  <c r="C46" i="12" s="1"/>
  <c r="W47" i="8"/>
  <c r="U47" i="8"/>
  <c r="S47" i="8"/>
  <c r="Q47" i="8"/>
  <c r="O47" i="8"/>
  <c r="M47" i="8"/>
  <c r="K47" i="8"/>
  <c r="I47" i="8"/>
  <c r="G47" i="8"/>
  <c r="X46" i="8"/>
  <c r="C45" i="12" s="1"/>
  <c r="W46" i="8"/>
  <c r="U46" i="8"/>
  <c r="S46" i="8"/>
  <c r="Q46" i="8"/>
  <c r="O46" i="8"/>
  <c r="M46" i="8"/>
  <c r="K46" i="8"/>
  <c r="I46" i="8"/>
  <c r="G46" i="8"/>
  <c r="X45" i="8"/>
  <c r="W45" i="8"/>
  <c r="U45" i="8"/>
  <c r="S45" i="8"/>
  <c r="Q45" i="8"/>
  <c r="O45" i="8"/>
  <c r="C45" i="8" s="1"/>
  <c r="M45" i="8"/>
  <c r="K45" i="8"/>
  <c r="I45" i="8"/>
  <c r="G45" i="8"/>
  <c r="E45" i="8"/>
  <c r="X44" i="8"/>
  <c r="W44" i="8"/>
  <c r="U44" i="8"/>
  <c r="S44" i="8"/>
  <c r="Q44" i="8"/>
  <c r="O44" i="8"/>
  <c r="M44" i="8"/>
  <c r="K44" i="8"/>
  <c r="I44" i="8"/>
  <c r="G44" i="8"/>
  <c r="C44" i="8" s="1"/>
  <c r="E44" i="8"/>
  <c r="X43" i="8"/>
  <c r="C44" i="1" s="1"/>
  <c r="W43" i="8"/>
  <c r="U43" i="8"/>
  <c r="S43" i="8"/>
  <c r="Q43" i="8"/>
  <c r="O43" i="8"/>
  <c r="C43" i="8" s="1"/>
  <c r="D44" i="1" s="1"/>
  <c r="M43" i="8"/>
  <c r="K43" i="8"/>
  <c r="I43" i="8"/>
  <c r="G43" i="8"/>
  <c r="E43" i="8"/>
  <c r="X42" i="8"/>
  <c r="C41" i="12" s="1"/>
  <c r="W42" i="8"/>
  <c r="U42" i="8"/>
  <c r="C42" i="8" s="1"/>
  <c r="S42" i="8"/>
  <c r="Q42" i="8"/>
  <c r="O42" i="8"/>
  <c r="M42" i="8"/>
  <c r="K42" i="8"/>
  <c r="I42" i="8"/>
  <c r="G42" i="8"/>
  <c r="X41" i="8"/>
  <c r="W41" i="8"/>
  <c r="U41" i="8"/>
  <c r="S41" i="8"/>
  <c r="Q41" i="8"/>
  <c r="O41" i="8"/>
  <c r="M41" i="8"/>
  <c r="K41" i="8"/>
  <c r="C41" i="8" s="1"/>
  <c r="I41" i="8"/>
  <c r="G41" i="8"/>
  <c r="E41" i="8"/>
  <c r="X40" i="8"/>
  <c r="C39" i="12" s="1"/>
  <c r="W40" i="8"/>
  <c r="U40" i="8"/>
  <c r="S40" i="8"/>
  <c r="Q40" i="8"/>
  <c r="O40" i="8"/>
  <c r="M40" i="8"/>
  <c r="K40" i="8"/>
  <c r="I40" i="8"/>
  <c r="G40" i="8"/>
  <c r="E40" i="8"/>
  <c r="C40" i="8"/>
  <c r="X39" i="8"/>
  <c r="C38" i="12" s="1"/>
  <c r="AU38" i="12" s="1"/>
  <c r="W39" i="8"/>
  <c r="U39" i="8"/>
  <c r="S39" i="8"/>
  <c r="Q39" i="8"/>
  <c r="O39" i="8"/>
  <c r="M39" i="8"/>
  <c r="K39" i="8"/>
  <c r="C39" i="8" s="1"/>
  <c r="I39" i="8"/>
  <c r="G39" i="8"/>
  <c r="E39" i="8"/>
  <c r="X38" i="8"/>
  <c r="W38" i="8"/>
  <c r="U38" i="8"/>
  <c r="S38" i="8"/>
  <c r="Q38" i="8"/>
  <c r="O38" i="8"/>
  <c r="M38" i="8"/>
  <c r="K38" i="8"/>
  <c r="I38" i="8"/>
  <c r="G38" i="8"/>
  <c r="X37" i="8"/>
  <c r="C36" i="12" s="1"/>
  <c r="W37" i="8"/>
  <c r="U37" i="8"/>
  <c r="S37" i="8"/>
  <c r="Q37" i="8"/>
  <c r="O37" i="8"/>
  <c r="M37" i="8"/>
  <c r="K37" i="8"/>
  <c r="I37" i="8"/>
  <c r="G37" i="8"/>
  <c r="C37" i="8" s="1"/>
  <c r="E37" i="8"/>
  <c r="X36" i="8"/>
  <c r="W36" i="8"/>
  <c r="U36" i="8"/>
  <c r="S36" i="8"/>
  <c r="Q36" i="8"/>
  <c r="O36" i="8"/>
  <c r="M36" i="8"/>
  <c r="K36" i="8"/>
  <c r="I36" i="8"/>
  <c r="G36" i="8"/>
  <c r="C36" i="8"/>
  <c r="X35" i="8"/>
  <c r="C34" i="12" s="1"/>
  <c r="W35" i="8"/>
  <c r="U35" i="8"/>
  <c r="S35" i="8"/>
  <c r="Q35" i="8"/>
  <c r="O35" i="8"/>
  <c r="M35" i="8"/>
  <c r="K35" i="8"/>
  <c r="I35" i="8"/>
  <c r="G35" i="8"/>
  <c r="E35" i="8"/>
  <c r="X34" i="8"/>
  <c r="W34" i="8"/>
  <c r="U34" i="8"/>
  <c r="S34" i="8"/>
  <c r="Q34" i="8"/>
  <c r="O34" i="8"/>
  <c r="M34" i="8"/>
  <c r="K34" i="8"/>
  <c r="I34" i="8"/>
  <c r="G34" i="8"/>
  <c r="X33" i="8"/>
  <c r="W33" i="8"/>
  <c r="U33" i="8"/>
  <c r="S33" i="8"/>
  <c r="Q33" i="8"/>
  <c r="O33" i="8"/>
  <c r="M33" i="8"/>
  <c r="K33" i="8"/>
  <c r="I33" i="8"/>
  <c r="G33" i="8"/>
  <c r="X32" i="8"/>
  <c r="W32" i="8"/>
  <c r="U32" i="8"/>
  <c r="S32" i="8"/>
  <c r="Q32" i="8"/>
  <c r="O32" i="8"/>
  <c r="M32" i="8"/>
  <c r="K32" i="8"/>
  <c r="I32" i="8"/>
  <c r="G32" i="8"/>
  <c r="X31" i="8"/>
  <c r="C30" i="12" s="1"/>
  <c r="W31" i="8"/>
  <c r="U31" i="8"/>
  <c r="S31" i="8"/>
  <c r="Q31" i="8"/>
  <c r="O31" i="8"/>
  <c r="M31" i="8"/>
  <c r="K31" i="8"/>
  <c r="I31" i="8"/>
  <c r="G31" i="8"/>
  <c r="X30" i="8"/>
  <c r="W30" i="8"/>
  <c r="U30" i="8"/>
  <c r="S30" i="8"/>
  <c r="Q30" i="8"/>
  <c r="O30" i="8"/>
  <c r="M30" i="8"/>
  <c r="K30" i="8"/>
  <c r="I30" i="8"/>
  <c r="G30" i="8"/>
  <c r="X29" i="8"/>
  <c r="W29" i="8"/>
  <c r="U29" i="8"/>
  <c r="S29" i="8"/>
  <c r="Q29" i="8"/>
  <c r="O29" i="8"/>
  <c r="M29" i="8"/>
  <c r="K29" i="8"/>
  <c r="I29" i="8"/>
  <c r="G29" i="8"/>
  <c r="E29" i="8"/>
  <c r="X28" i="8"/>
  <c r="C27" i="12" s="1"/>
  <c r="W28" i="8"/>
  <c r="U28" i="8"/>
  <c r="S28" i="8"/>
  <c r="Q28" i="8"/>
  <c r="O28" i="8"/>
  <c r="M28" i="8"/>
  <c r="K28" i="8"/>
  <c r="I28" i="8"/>
  <c r="G28" i="8"/>
  <c r="E28" i="8"/>
  <c r="X27" i="8"/>
  <c r="C26" i="12" s="1"/>
  <c r="W27" i="8"/>
  <c r="U27" i="8"/>
  <c r="S27" i="8"/>
  <c r="Q27" i="8"/>
  <c r="O27" i="8"/>
  <c r="M27" i="8"/>
  <c r="K27" i="8"/>
  <c r="I27" i="8"/>
  <c r="G27" i="8"/>
  <c r="E27" i="8"/>
  <c r="C27" i="8" s="1"/>
  <c r="X26" i="8"/>
  <c r="C25" i="12" s="1"/>
  <c r="AL25" i="12" s="1"/>
  <c r="AM25" i="12" s="1"/>
  <c r="AN25" i="12" s="1"/>
  <c r="W26" i="8"/>
  <c r="U26" i="8"/>
  <c r="S26" i="8"/>
  <c r="Q26" i="8"/>
  <c r="O26" i="8"/>
  <c r="C26" i="8" s="1"/>
  <c r="D25" i="12" s="1"/>
  <c r="M26" i="8"/>
  <c r="K26" i="8"/>
  <c r="I26" i="8"/>
  <c r="G26" i="8"/>
  <c r="X25" i="8"/>
  <c r="W25" i="8"/>
  <c r="U25" i="8"/>
  <c r="S25" i="8"/>
  <c r="Q25" i="8"/>
  <c r="O25" i="8"/>
  <c r="M25" i="8"/>
  <c r="K25" i="8"/>
  <c r="I25" i="8"/>
  <c r="G25" i="8"/>
  <c r="E25" i="8"/>
  <c r="C25" i="8" s="1"/>
  <c r="X24" i="8"/>
  <c r="W24" i="8"/>
  <c r="U24" i="8"/>
  <c r="S24" i="8"/>
  <c r="Q24" i="8"/>
  <c r="O24" i="8"/>
  <c r="M24" i="8"/>
  <c r="K24" i="8"/>
  <c r="I24" i="8"/>
  <c r="G24" i="8"/>
  <c r="X23" i="8"/>
  <c r="C22" i="12" s="1"/>
  <c r="AR22" i="12" s="1"/>
  <c r="AS22" i="12" s="1"/>
  <c r="AT22" i="12" s="1"/>
  <c r="W23" i="8"/>
  <c r="U23" i="8"/>
  <c r="S23" i="8"/>
  <c r="Q23" i="8"/>
  <c r="O23" i="8"/>
  <c r="M23" i="8"/>
  <c r="K23" i="8"/>
  <c r="I23" i="8"/>
  <c r="G23" i="8"/>
  <c r="E23" i="8"/>
  <c r="X22" i="8"/>
  <c r="C21" i="12" s="1"/>
  <c r="AR21" i="12" s="1"/>
  <c r="AS21" i="12" s="1"/>
  <c r="AT21" i="12" s="1"/>
  <c r="W22" i="8"/>
  <c r="U22" i="8"/>
  <c r="S22" i="8"/>
  <c r="Q22" i="8"/>
  <c r="O22" i="8"/>
  <c r="M22" i="8"/>
  <c r="K22" i="8"/>
  <c r="I22" i="8"/>
  <c r="G22" i="8"/>
  <c r="X21" i="8"/>
  <c r="W21" i="8"/>
  <c r="U21" i="8"/>
  <c r="S21" i="8"/>
  <c r="Q21" i="8"/>
  <c r="C21" i="8" s="1"/>
  <c r="O21" i="8"/>
  <c r="M21" i="8"/>
  <c r="K21" i="8"/>
  <c r="I21" i="8"/>
  <c r="G21" i="8"/>
  <c r="E21" i="8"/>
  <c r="X20" i="8"/>
  <c r="W20" i="8"/>
  <c r="U20" i="8"/>
  <c r="S20" i="8"/>
  <c r="Q20" i="8"/>
  <c r="O20" i="8"/>
  <c r="M20" i="8"/>
  <c r="K20" i="8"/>
  <c r="I20" i="8"/>
  <c r="G20" i="8"/>
  <c r="X19" i="8"/>
  <c r="C18" i="12" s="1"/>
  <c r="W19" i="8"/>
  <c r="U19" i="8"/>
  <c r="S19" i="8"/>
  <c r="Q19" i="8"/>
  <c r="O19" i="8"/>
  <c r="M19" i="8"/>
  <c r="K19" i="8"/>
  <c r="I19" i="8"/>
  <c r="G19" i="8"/>
  <c r="E19" i="8"/>
  <c r="X18" i="8"/>
  <c r="W18" i="8"/>
  <c r="U18" i="8"/>
  <c r="S18" i="8"/>
  <c r="Q18" i="8"/>
  <c r="O18" i="8"/>
  <c r="M18" i="8"/>
  <c r="K18" i="8"/>
  <c r="I18" i="8"/>
  <c r="G18" i="8"/>
  <c r="E18" i="8"/>
  <c r="C18" i="8"/>
  <c r="X17" i="8"/>
  <c r="C16" i="12" s="1"/>
  <c r="W17" i="8"/>
  <c r="U17" i="8"/>
  <c r="S17" i="8"/>
  <c r="Q17" i="8"/>
  <c r="O17" i="8"/>
  <c r="M17" i="8"/>
  <c r="K17" i="8"/>
  <c r="I17" i="8"/>
  <c r="G17" i="8"/>
  <c r="X16" i="8"/>
  <c r="C17" i="1" s="1"/>
  <c r="W16" i="8"/>
  <c r="U16" i="8"/>
  <c r="S16" i="8"/>
  <c r="Q16" i="8"/>
  <c r="O16" i="8"/>
  <c r="M16" i="8"/>
  <c r="K16" i="8"/>
  <c r="I16" i="8"/>
  <c r="G16" i="8"/>
  <c r="X15" i="8"/>
  <c r="C14" i="12" s="1"/>
  <c r="W15" i="8"/>
  <c r="U15" i="8"/>
  <c r="S15" i="8"/>
  <c r="Q15" i="8"/>
  <c r="O15" i="8"/>
  <c r="M15" i="8"/>
  <c r="K15" i="8"/>
  <c r="I15" i="8"/>
  <c r="G15" i="8"/>
  <c r="X14" i="8"/>
  <c r="W14" i="8"/>
  <c r="U14" i="8"/>
  <c r="S14" i="8"/>
  <c r="Q14" i="8"/>
  <c r="O14" i="8"/>
  <c r="M14" i="8"/>
  <c r="K14" i="8"/>
  <c r="I14" i="8"/>
  <c r="G14" i="8"/>
  <c r="X13" i="8"/>
  <c r="C12" i="12" s="1"/>
  <c r="AR12" i="12" s="1"/>
  <c r="AS12" i="12" s="1"/>
  <c r="AT12" i="12" s="1"/>
  <c r="W13" i="8"/>
  <c r="U13" i="8"/>
  <c r="S13" i="8"/>
  <c r="Q13" i="8"/>
  <c r="O13" i="8"/>
  <c r="C13" i="8" s="1"/>
  <c r="D12" i="12" s="1"/>
  <c r="M13" i="8"/>
  <c r="K13" i="8"/>
  <c r="I13" i="8"/>
  <c r="G13" i="8"/>
  <c r="E13" i="8"/>
  <c r="X12" i="8"/>
  <c r="W12" i="8"/>
  <c r="U12" i="8"/>
  <c r="S12" i="8"/>
  <c r="Q12" i="8"/>
  <c r="O12" i="8"/>
  <c r="M12" i="8"/>
  <c r="K12" i="8"/>
  <c r="I12" i="8"/>
  <c r="G12" i="8"/>
  <c r="C12" i="8" s="1"/>
  <c r="E12" i="8"/>
  <c r="X11" i="8"/>
  <c r="C10" i="12" s="1"/>
  <c r="W11" i="8"/>
  <c r="U11" i="8"/>
  <c r="S11" i="8"/>
  <c r="Q11" i="8"/>
  <c r="O11" i="8"/>
  <c r="M11" i="8"/>
  <c r="K11" i="8"/>
  <c r="C11" i="8" s="1"/>
  <c r="I11" i="8"/>
  <c r="G11" i="8"/>
  <c r="E11" i="8"/>
  <c r="X10" i="8"/>
  <c r="W10" i="8"/>
  <c r="U10" i="8"/>
  <c r="S10" i="8"/>
  <c r="Q10" i="8"/>
  <c r="O10" i="8"/>
  <c r="M10" i="8"/>
  <c r="K10" i="8"/>
  <c r="I10" i="8"/>
  <c r="G10" i="8"/>
  <c r="C10" i="8" s="1"/>
  <c r="X9" i="8"/>
  <c r="C8" i="12" s="1"/>
  <c r="W9" i="8"/>
  <c r="U9" i="8"/>
  <c r="S9" i="8"/>
  <c r="Q9" i="8"/>
  <c r="O9" i="8"/>
  <c r="M9" i="8"/>
  <c r="K9" i="8"/>
  <c r="I9" i="8"/>
  <c r="G9" i="8"/>
  <c r="X8" i="8"/>
  <c r="C7" i="12" s="1"/>
  <c r="W8" i="8"/>
  <c r="U8" i="8"/>
  <c r="S8" i="8"/>
  <c r="Q8" i="8"/>
  <c r="O8" i="8"/>
  <c r="M8" i="8"/>
  <c r="K8" i="8"/>
  <c r="I8" i="8"/>
  <c r="G8" i="8"/>
  <c r="E8" i="8"/>
  <c r="X7" i="8"/>
  <c r="C6" i="12" s="1"/>
  <c r="W7" i="8"/>
  <c r="U7" i="8"/>
  <c r="S7" i="8"/>
  <c r="Q7" i="8"/>
  <c r="O7" i="8"/>
  <c r="M7" i="8"/>
  <c r="K7" i="8"/>
  <c r="I7" i="8"/>
  <c r="G7" i="8"/>
  <c r="E7" i="8"/>
  <c r="C7" i="8"/>
  <c r="X6" i="8"/>
  <c r="W6" i="8"/>
  <c r="U6" i="8"/>
  <c r="S6" i="8"/>
  <c r="Q6" i="8"/>
  <c r="O6" i="8"/>
  <c r="M6" i="8"/>
  <c r="K6" i="8"/>
  <c r="I6" i="8"/>
  <c r="G6" i="8"/>
  <c r="X5" i="8"/>
  <c r="C4" i="12" s="1"/>
  <c r="BG4" i="12" s="1"/>
  <c r="W5" i="8"/>
  <c r="U5" i="8"/>
  <c r="S5" i="8"/>
  <c r="Q5" i="8"/>
  <c r="O5" i="8"/>
  <c r="M5" i="8"/>
  <c r="K5" i="8"/>
  <c r="I5" i="8"/>
  <c r="G5" i="8"/>
  <c r="C5" i="8" s="1"/>
  <c r="D6" i="1" s="1"/>
  <c r="E5" i="8"/>
  <c r="X4" i="8"/>
  <c r="C5" i="1" s="1"/>
  <c r="W4" i="8"/>
  <c r="U4" i="8"/>
  <c r="S4" i="8"/>
  <c r="Q4" i="8"/>
  <c r="O4" i="8"/>
  <c r="M4" i="8"/>
  <c r="K4" i="8"/>
  <c r="I4" i="8"/>
  <c r="G4" i="8"/>
  <c r="X3" i="8"/>
  <c r="C2" i="12" s="1"/>
  <c r="W3" i="8"/>
  <c r="U3" i="8"/>
  <c r="S3" i="8"/>
  <c r="Q3" i="8"/>
  <c r="O3" i="8"/>
  <c r="M3" i="8"/>
  <c r="K3" i="8"/>
  <c r="I3" i="8"/>
  <c r="G3" i="8"/>
  <c r="E3" i="8"/>
  <c r="C3" i="8" s="1"/>
  <c r="B47" i="7"/>
  <c r="C9" i="7"/>
  <c r="C7" i="7"/>
  <c r="C5" i="7"/>
  <c r="C8" i="7" s="1"/>
  <c r="C4" i="7"/>
  <c r="D413" i="12" s="1"/>
  <c r="I28" i="5"/>
  <c r="H28" i="5"/>
  <c r="F28" i="5"/>
  <c r="E28" i="5"/>
  <c r="C28" i="5"/>
  <c r="I27" i="5"/>
  <c r="H27" i="5"/>
  <c r="G27" i="5"/>
  <c r="G28" i="5" s="1"/>
  <c r="F27" i="5"/>
  <c r="E27" i="5"/>
  <c r="D27" i="5"/>
  <c r="D28" i="5" s="1"/>
  <c r="B27" i="5"/>
  <c r="B28" i="5" s="1"/>
  <c r="I26" i="5"/>
  <c r="H26" i="5"/>
  <c r="G26" i="5"/>
  <c r="F26" i="5"/>
  <c r="E26" i="5"/>
  <c r="D26" i="5"/>
  <c r="B26" i="5"/>
  <c r="I25" i="5"/>
  <c r="H25" i="5"/>
  <c r="G25" i="5"/>
  <c r="F25" i="5"/>
  <c r="E25" i="5"/>
  <c r="D25" i="5"/>
  <c r="B25" i="5"/>
  <c r="I24" i="5"/>
  <c r="H24" i="5"/>
  <c r="G24" i="5"/>
  <c r="F24" i="5"/>
  <c r="E24" i="5"/>
  <c r="D24" i="5"/>
  <c r="B24" i="5"/>
  <c r="I23" i="5"/>
  <c r="H23" i="5"/>
  <c r="G23" i="5"/>
  <c r="F23" i="5"/>
  <c r="E23" i="5"/>
  <c r="D23" i="5"/>
  <c r="C23" i="5"/>
  <c r="B23" i="5"/>
  <c r="I22" i="5"/>
  <c r="H22" i="5"/>
  <c r="G22" i="5"/>
  <c r="F22" i="5"/>
  <c r="E22" i="5"/>
  <c r="D22" i="5"/>
  <c r="B22" i="5"/>
  <c r="I21" i="5"/>
  <c r="H21" i="5"/>
  <c r="G21" i="5"/>
  <c r="F21" i="5"/>
  <c r="E21" i="5"/>
  <c r="D21" i="5"/>
  <c r="B21" i="5"/>
  <c r="I20" i="5"/>
  <c r="H20" i="5"/>
  <c r="G20" i="5"/>
  <c r="F20" i="5"/>
  <c r="E20" i="5"/>
  <c r="D20" i="5"/>
  <c r="B20" i="5"/>
  <c r="I19" i="5"/>
  <c r="H19" i="5"/>
  <c r="G19" i="5"/>
  <c r="F19" i="5"/>
  <c r="E19" i="5"/>
  <c r="D19" i="5"/>
  <c r="B19" i="5"/>
  <c r="I18" i="5"/>
  <c r="H18" i="5"/>
  <c r="G18" i="5"/>
  <c r="F18" i="5"/>
  <c r="E18" i="5"/>
  <c r="D18" i="5"/>
  <c r="B18" i="5"/>
  <c r="I17" i="5"/>
  <c r="H17" i="5"/>
  <c r="G17" i="5"/>
  <c r="F17" i="5"/>
  <c r="E17" i="5"/>
  <c r="D17" i="5"/>
  <c r="B17" i="5"/>
  <c r="C14" i="5"/>
  <c r="B14" i="5"/>
  <c r="I13" i="5"/>
  <c r="H13" i="5"/>
  <c r="G13" i="5"/>
  <c r="F13" i="5"/>
  <c r="E13" i="5"/>
  <c r="D13" i="5"/>
  <c r="B13" i="5"/>
  <c r="I11" i="5"/>
  <c r="H11" i="5"/>
  <c r="G11" i="5"/>
  <c r="F11" i="5"/>
  <c r="E11" i="5"/>
  <c r="D11" i="5"/>
  <c r="B11" i="5"/>
  <c r="I9" i="5"/>
  <c r="H9" i="5"/>
  <c r="G9" i="5"/>
  <c r="F9" i="5"/>
  <c r="E9" i="5"/>
  <c r="D9" i="5"/>
  <c r="B9" i="5"/>
  <c r="I6" i="5"/>
  <c r="H6" i="5"/>
  <c r="G6" i="5"/>
  <c r="F6" i="5"/>
  <c r="E6" i="5"/>
  <c r="D6" i="5"/>
  <c r="B6" i="5"/>
  <c r="I5" i="5"/>
  <c r="H5" i="5"/>
  <c r="G5" i="5"/>
  <c r="F5" i="5"/>
  <c r="E5" i="5"/>
  <c r="D5" i="5"/>
  <c r="B5" i="5"/>
  <c r="I4" i="5"/>
  <c r="I14" i="5" s="1"/>
  <c r="H4" i="5"/>
  <c r="H14" i="5" s="1"/>
  <c r="G4" i="5"/>
  <c r="G14" i="5" s="1"/>
  <c r="F4" i="5"/>
  <c r="F14" i="5" s="1"/>
  <c r="E4" i="5"/>
  <c r="E14" i="5" s="1"/>
  <c r="D4" i="5"/>
  <c r="D14" i="5" s="1"/>
  <c r="B4" i="5"/>
  <c r="I2" i="5"/>
  <c r="H2" i="5"/>
  <c r="G2" i="5"/>
  <c r="F2" i="5"/>
  <c r="E2" i="5"/>
  <c r="D2" i="5"/>
  <c r="B2" i="5"/>
  <c r="Q181" i="4"/>
  <c r="O181" i="4"/>
  <c r="M181" i="4"/>
  <c r="K181" i="4"/>
  <c r="I181" i="4"/>
  <c r="G181" i="4"/>
  <c r="C181" i="4"/>
  <c r="Q180" i="4"/>
  <c r="P180" i="4"/>
  <c r="O180" i="4"/>
  <c r="N180" i="4"/>
  <c r="M180" i="4"/>
  <c r="L180" i="4"/>
  <c r="K180" i="4"/>
  <c r="J180" i="4"/>
  <c r="I180" i="4"/>
  <c r="H180" i="4"/>
  <c r="G180" i="4"/>
  <c r="F180" i="4"/>
  <c r="C180" i="4"/>
  <c r="B180" i="4"/>
  <c r="Q179" i="4"/>
  <c r="P179" i="4"/>
  <c r="O179" i="4"/>
  <c r="N179" i="4"/>
  <c r="M179" i="4"/>
  <c r="L179" i="4"/>
  <c r="K179" i="4"/>
  <c r="J179" i="4"/>
  <c r="I179" i="4"/>
  <c r="H179" i="4"/>
  <c r="G179" i="4"/>
  <c r="F179" i="4"/>
  <c r="C179" i="4"/>
  <c r="B179" i="4"/>
  <c r="Q178" i="4"/>
  <c r="P178" i="4"/>
  <c r="O178" i="4"/>
  <c r="N178" i="4"/>
  <c r="M178" i="4"/>
  <c r="L178" i="4"/>
  <c r="K178" i="4"/>
  <c r="J178" i="4"/>
  <c r="I178" i="4"/>
  <c r="H178" i="4"/>
  <c r="G178" i="4"/>
  <c r="F178" i="4"/>
  <c r="C178" i="4"/>
  <c r="B178" i="4"/>
  <c r="Q177" i="4"/>
  <c r="P177" i="4"/>
  <c r="O177" i="4"/>
  <c r="N177" i="4"/>
  <c r="M177" i="4"/>
  <c r="L177" i="4"/>
  <c r="K177" i="4"/>
  <c r="J177" i="4"/>
  <c r="I177" i="4"/>
  <c r="H177" i="4"/>
  <c r="G177" i="4"/>
  <c r="F177" i="4"/>
  <c r="C177" i="4"/>
  <c r="B177" i="4"/>
  <c r="Q176" i="4"/>
  <c r="P176" i="4"/>
  <c r="O176" i="4"/>
  <c r="N176" i="4"/>
  <c r="M176" i="4"/>
  <c r="L176" i="4"/>
  <c r="K176" i="4"/>
  <c r="J176" i="4"/>
  <c r="I176" i="4"/>
  <c r="H176" i="4"/>
  <c r="G176" i="4"/>
  <c r="F176" i="4"/>
  <c r="C176" i="4"/>
  <c r="B176" i="4"/>
  <c r="Q175" i="4"/>
  <c r="P175" i="4"/>
  <c r="O175" i="4"/>
  <c r="N175" i="4"/>
  <c r="M175" i="4"/>
  <c r="L175" i="4"/>
  <c r="K175" i="4"/>
  <c r="J175" i="4"/>
  <c r="I175" i="4"/>
  <c r="H175" i="4"/>
  <c r="G175" i="4"/>
  <c r="F175" i="4"/>
  <c r="C175" i="4"/>
  <c r="B175" i="4"/>
  <c r="Q174" i="4"/>
  <c r="P174" i="4"/>
  <c r="O174" i="4"/>
  <c r="N174" i="4"/>
  <c r="M174" i="4"/>
  <c r="L174" i="4"/>
  <c r="K174" i="4"/>
  <c r="J174" i="4"/>
  <c r="I174" i="4"/>
  <c r="H174" i="4"/>
  <c r="G174" i="4"/>
  <c r="F174" i="4"/>
  <c r="C174" i="4"/>
  <c r="B174" i="4"/>
  <c r="Q173" i="4"/>
  <c r="P173" i="4"/>
  <c r="O173" i="4"/>
  <c r="N173" i="4"/>
  <c r="M173" i="4"/>
  <c r="L173" i="4"/>
  <c r="K173" i="4"/>
  <c r="J173" i="4"/>
  <c r="I173" i="4"/>
  <c r="H173" i="4"/>
  <c r="G173" i="4"/>
  <c r="F173" i="4"/>
  <c r="C173" i="4"/>
  <c r="B173" i="4"/>
  <c r="Q172" i="4"/>
  <c r="P172" i="4"/>
  <c r="O172" i="4"/>
  <c r="N172" i="4"/>
  <c r="M172" i="4"/>
  <c r="L172" i="4"/>
  <c r="K172" i="4"/>
  <c r="J172" i="4"/>
  <c r="I172" i="4"/>
  <c r="H172" i="4"/>
  <c r="G172" i="4"/>
  <c r="F172" i="4"/>
  <c r="C172" i="4"/>
  <c r="B172" i="4"/>
  <c r="Q171" i="4"/>
  <c r="P171" i="4"/>
  <c r="O171" i="4"/>
  <c r="N171" i="4"/>
  <c r="M171" i="4"/>
  <c r="L171" i="4"/>
  <c r="K171" i="4"/>
  <c r="J171" i="4"/>
  <c r="I171" i="4"/>
  <c r="H171" i="4"/>
  <c r="G171" i="4"/>
  <c r="F171" i="4"/>
  <c r="C171" i="4"/>
  <c r="B171" i="4"/>
  <c r="Q170" i="4"/>
  <c r="P170" i="4"/>
  <c r="O170" i="4"/>
  <c r="N170" i="4"/>
  <c r="M170" i="4"/>
  <c r="L170" i="4"/>
  <c r="K170" i="4"/>
  <c r="J170" i="4"/>
  <c r="I170" i="4"/>
  <c r="H170" i="4"/>
  <c r="G170" i="4"/>
  <c r="F170" i="4"/>
  <c r="C170" i="4"/>
  <c r="B170" i="4"/>
  <c r="Q169" i="4"/>
  <c r="P169" i="4"/>
  <c r="O169" i="4"/>
  <c r="N169" i="4"/>
  <c r="M169" i="4"/>
  <c r="L169" i="4"/>
  <c r="K169" i="4"/>
  <c r="J169" i="4"/>
  <c r="I169" i="4"/>
  <c r="H169" i="4"/>
  <c r="G169" i="4"/>
  <c r="F169" i="4"/>
  <c r="C169" i="4"/>
  <c r="B169" i="4"/>
  <c r="Q168" i="4"/>
  <c r="P168" i="4"/>
  <c r="O168" i="4"/>
  <c r="N168" i="4"/>
  <c r="M168" i="4"/>
  <c r="L168" i="4"/>
  <c r="K168" i="4"/>
  <c r="J168" i="4"/>
  <c r="I168" i="4"/>
  <c r="H168" i="4"/>
  <c r="G168" i="4"/>
  <c r="F168" i="4"/>
  <c r="C168" i="4"/>
  <c r="B168" i="4"/>
  <c r="Q167" i="4"/>
  <c r="P167" i="4"/>
  <c r="O167" i="4"/>
  <c r="N167" i="4"/>
  <c r="M167" i="4"/>
  <c r="L167" i="4"/>
  <c r="K167" i="4"/>
  <c r="J167" i="4"/>
  <c r="I167" i="4"/>
  <c r="H167" i="4"/>
  <c r="G167" i="4"/>
  <c r="F167" i="4"/>
  <c r="C167" i="4"/>
  <c r="B167" i="4"/>
  <c r="Q166" i="4"/>
  <c r="P166" i="4"/>
  <c r="O166" i="4"/>
  <c r="N166" i="4"/>
  <c r="M166" i="4"/>
  <c r="L166" i="4"/>
  <c r="K166" i="4"/>
  <c r="J166" i="4"/>
  <c r="I166" i="4"/>
  <c r="H166" i="4"/>
  <c r="G166" i="4"/>
  <c r="F166" i="4"/>
  <c r="C166" i="4"/>
  <c r="B166" i="4"/>
  <c r="Q165" i="4"/>
  <c r="P165" i="4"/>
  <c r="O165" i="4"/>
  <c r="N165" i="4"/>
  <c r="M165" i="4"/>
  <c r="L165" i="4"/>
  <c r="K165" i="4"/>
  <c r="J165" i="4"/>
  <c r="I165" i="4"/>
  <c r="H165" i="4"/>
  <c r="G165" i="4"/>
  <c r="F165" i="4"/>
  <c r="C165" i="4"/>
  <c r="B165" i="4"/>
  <c r="Q164" i="4"/>
  <c r="P164" i="4"/>
  <c r="O164" i="4"/>
  <c r="N164" i="4"/>
  <c r="M164" i="4"/>
  <c r="L164" i="4"/>
  <c r="K164" i="4"/>
  <c r="J164" i="4"/>
  <c r="I164" i="4"/>
  <c r="H164" i="4"/>
  <c r="G164" i="4"/>
  <c r="F164" i="4"/>
  <c r="C164" i="4"/>
  <c r="B164" i="4"/>
  <c r="Q163" i="4"/>
  <c r="P163" i="4"/>
  <c r="O163" i="4"/>
  <c r="N163" i="4"/>
  <c r="M163" i="4"/>
  <c r="L163" i="4"/>
  <c r="K163" i="4"/>
  <c r="J163" i="4"/>
  <c r="I163" i="4"/>
  <c r="H163" i="4"/>
  <c r="G163" i="4"/>
  <c r="F163" i="4"/>
  <c r="C163" i="4"/>
  <c r="B163" i="4"/>
  <c r="Q162" i="4"/>
  <c r="P162" i="4"/>
  <c r="O162" i="4"/>
  <c r="N162" i="4"/>
  <c r="M162" i="4"/>
  <c r="L162" i="4"/>
  <c r="K162" i="4"/>
  <c r="J162" i="4"/>
  <c r="I162" i="4"/>
  <c r="H162" i="4"/>
  <c r="G162" i="4"/>
  <c r="F162" i="4"/>
  <c r="C162" i="4"/>
  <c r="B162" i="4"/>
  <c r="Q161" i="4"/>
  <c r="P161" i="4"/>
  <c r="O161" i="4"/>
  <c r="N161" i="4"/>
  <c r="M161" i="4"/>
  <c r="L161" i="4"/>
  <c r="K161" i="4"/>
  <c r="J161" i="4"/>
  <c r="I161" i="4"/>
  <c r="H161" i="4"/>
  <c r="G161" i="4"/>
  <c r="F161" i="4"/>
  <c r="C161" i="4"/>
  <c r="B161" i="4"/>
  <c r="Q160" i="4"/>
  <c r="P160" i="4"/>
  <c r="O160" i="4"/>
  <c r="N160" i="4"/>
  <c r="M160" i="4"/>
  <c r="L160" i="4"/>
  <c r="K160" i="4"/>
  <c r="J160" i="4"/>
  <c r="I160" i="4"/>
  <c r="H160" i="4"/>
  <c r="G160" i="4"/>
  <c r="F160" i="4"/>
  <c r="C160" i="4"/>
  <c r="B160" i="4"/>
  <c r="Q159" i="4"/>
  <c r="P159" i="4"/>
  <c r="O159" i="4"/>
  <c r="N159" i="4"/>
  <c r="M159" i="4"/>
  <c r="L159" i="4"/>
  <c r="K159" i="4"/>
  <c r="J159" i="4"/>
  <c r="I159" i="4"/>
  <c r="H159" i="4"/>
  <c r="G159" i="4"/>
  <c r="F159" i="4"/>
  <c r="C159" i="4"/>
  <c r="B159" i="4"/>
  <c r="Q158" i="4"/>
  <c r="P158" i="4"/>
  <c r="O158" i="4"/>
  <c r="N158" i="4"/>
  <c r="M158" i="4"/>
  <c r="L158" i="4"/>
  <c r="K158" i="4"/>
  <c r="J158" i="4"/>
  <c r="I158" i="4"/>
  <c r="H158" i="4"/>
  <c r="G158" i="4"/>
  <c r="F158" i="4"/>
  <c r="C158" i="4"/>
  <c r="B158" i="4"/>
  <c r="Q157" i="4"/>
  <c r="P157" i="4"/>
  <c r="O157" i="4"/>
  <c r="N157" i="4"/>
  <c r="M157" i="4"/>
  <c r="L157" i="4"/>
  <c r="K157" i="4"/>
  <c r="J157" i="4"/>
  <c r="I157" i="4"/>
  <c r="H157" i="4"/>
  <c r="G157" i="4"/>
  <c r="F157" i="4"/>
  <c r="C157" i="4"/>
  <c r="B157" i="4"/>
  <c r="Q156" i="4"/>
  <c r="P156" i="4"/>
  <c r="O156" i="4"/>
  <c r="N156" i="4"/>
  <c r="M156" i="4"/>
  <c r="L156" i="4"/>
  <c r="K156" i="4"/>
  <c r="J156" i="4"/>
  <c r="I156" i="4"/>
  <c r="H156" i="4"/>
  <c r="G156" i="4"/>
  <c r="F156" i="4"/>
  <c r="C156" i="4"/>
  <c r="B156" i="4"/>
  <c r="Q155" i="4"/>
  <c r="P155" i="4"/>
  <c r="O155" i="4"/>
  <c r="N155" i="4"/>
  <c r="M155" i="4"/>
  <c r="L155" i="4"/>
  <c r="K155" i="4"/>
  <c r="J155" i="4"/>
  <c r="I155" i="4"/>
  <c r="H155" i="4"/>
  <c r="G155" i="4"/>
  <c r="F155" i="4"/>
  <c r="C155" i="4"/>
  <c r="B155" i="4"/>
  <c r="Q154" i="4"/>
  <c r="P154" i="4"/>
  <c r="O154" i="4"/>
  <c r="N154" i="4"/>
  <c r="M154" i="4"/>
  <c r="L154" i="4"/>
  <c r="K154" i="4"/>
  <c r="J154" i="4"/>
  <c r="I154" i="4"/>
  <c r="H154" i="4"/>
  <c r="G154" i="4"/>
  <c r="F154" i="4"/>
  <c r="C154" i="4"/>
  <c r="B154" i="4"/>
  <c r="Q153" i="4"/>
  <c r="P153" i="4"/>
  <c r="O153" i="4"/>
  <c r="N153" i="4"/>
  <c r="M153" i="4"/>
  <c r="L153" i="4"/>
  <c r="K153" i="4"/>
  <c r="J153" i="4"/>
  <c r="I153" i="4"/>
  <c r="H153" i="4"/>
  <c r="G153" i="4"/>
  <c r="F153" i="4"/>
  <c r="C153" i="4"/>
  <c r="B153" i="4"/>
  <c r="Q152" i="4"/>
  <c r="P152" i="4"/>
  <c r="O152" i="4"/>
  <c r="N152" i="4"/>
  <c r="M152" i="4"/>
  <c r="L152" i="4"/>
  <c r="K152" i="4"/>
  <c r="J152" i="4"/>
  <c r="I152" i="4"/>
  <c r="H152" i="4"/>
  <c r="G152" i="4"/>
  <c r="F152" i="4"/>
  <c r="C152" i="4"/>
  <c r="B152" i="4"/>
  <c r="Q151" i="4"/>
  <c r="P151" i="4"/>
  <c r="O151" i="4"/>
  <c r="N151" i="4"/>
  <c r="M151" i="4"/>
  <c r="L151" i="4"/>
  <c r="K151" i="4"/>
  <c r="J151" i="4"/>
  <c r="I151" i="4"/>
  <c r="H151" i="4"/>
  <c r="G151" i="4"/>
  <c r="F151" i="4"/>
  <c r="C151" i="4"/>
  <c r="B151" i="4"/>
  <c r="Q150" i="4"/>
  <c r="P150" i="4"/>
  <c r="O150" i="4"/>
  <c r="N150" i="4"/>
  <c r="M150" i="4"/>
  <c r="L150" i="4"/>
  <c r="K150" i="4"/>
  <c r="J150" i="4"/>
  <c r="I150" i="4"/>
  <c r="H150" i="4"/>
  <c r="G150" i="4"/>
  <c r="F150" i="4"/>
  <c r="C150" i="4"/>
  <c r="B150" i="4"/>
  <c r="Q149" i="4"/>
  <c r="P149" i="4"/>
  <c r="O149" i="4"/>
  <c r="N149" i="4"/>
  <c r="M149" i="4"/>
  <c r="L149" i="4"/>
  <c r="K149" i="4"/>
  <c r="J149" i="4"/>
  <c r="I149" i="4"/>
  <c r="H149" i="4"/>
  <c r="G149" i="4"/>
  <c r="F149" i="4"/>
  <c r="C149" i="4"/>
  <c r="B149" i="4"/>
  <c r="Q148" i="4"/>
  <c r="P148" i="4"/>
  <c r="O148" i="4"/>
  <c r="N148" i="4"/>
  <c r="M148" i="4"/>
  <c r="L148" i="4"/>
  <c r="K148" i="4"/>
  <c r="J148" i="4"/>
  <c r="I148" i="4"/>
  <c r="H148" i="4"/>
  <c r="G148" i="4"/>
  <c r="F148" i="4"/>
  <c r="C148" i="4"/>
  <c r="B148" i="4"/>
  <c r="Q147" i="4"/>
  <c r="P147" i="4"/>
  <c r="O147" i="4"/>
  <c r="N147" i="4"/>
  <c r="M147" i="4"/>
  <c r="L147" i="4"/>
  <c r="K147" i="4"/>
  <c r="J147" i="4"/>
  <c r="I147" i="4"/>
  <c r="H147" i="4"/>
  <c r="G147" i="4"/>
  <c r="F147" i="4"/>
  <c r="C147" i="4"/>
  <c r="B147" i="4"/>
  <c r="Q146" i="4"/>
  <c r="P146" i="4"/>
  <c r="O146" i="4"/>
  <c r="N146" i="4"/>
  <c r="M146" i="4"/>
  <c r="L146" i="4"/>
  <c r="K146" i="4"/>
  <c r="J146" i="4"/>
  <c r="I146" i="4"/>
  <c r="H146" i="4"/>
  <c r="G146" i="4"/>
  <c r="F146" i="4"/>
  <c r="C146" i="4"/>
  <c r="B146" i="4"/>
  <c r="Q145" i="4"/>
  <c r="P145" i="4"/>
  <c r="O145" i="4"/>
  <c r="N145" i="4"/>
  <c r="M145" i="4"/>
  <c r="L145" i="4"/>
  <c r="K145" i="4"/>
  <c r="J145" i="4"/>
  <c r="I145" i="4"/>
  <c r="H145" i="4"/>
  <c r="G145" i="4"/>
  <c r="F145" i="4"/>
  <c r="C145" i="4"/>
  <c r="B145" i="4"/>
  <c r="Q144" i="4"/>
  <c r="P144" i="4"/>
  <c r="O144" i="4"/>
  <c r="N144" i="4"/>
  <c r="M144" i="4"/>
  <c r="L144" i="4"/>
  <c r="K144" i="4"/>
  <c r="J144" i="4"/>
  <c r="I144" i="4"/>
  <c r="H144" i="4"/>
  <c r="G144" i="4"/>
  <c r="F144" i="4"/>
  <c r="C144" i="4"/>
  <c r="B144" i="4"/>
  <c r="Q143" i="4"/>
  <c r="P143" i="4"/>
  <c r="O143" i="4"/>
  <c r="N143" i="4"/>
  <c r="M143" i="4"/>
  <c r="L143" i="4"/>
  <c r="K143" i="4"/>
  <c r="J143" i="4"/>
  <c r="I143" i="4"/>
  <c r="H143" i="4"/>
  <c r="G143" i="4"/>
  <c r="F143" i="4"/>
  <c r="C143" i="4"/>
  <c r="B143" i="4"/>
  <c r="Q142" i="4"/>
  <c r="P142" i="4"/>
  <c r="O142" i="4"/>
  <c r="N142" i="4"/>
  <c r="M142" i="4"/>
  <c r="L142" i="4"/>
  <c r="K142" i="4"/>
  <c r="J142" i="4"/>
  <c r="I142" i="4"/>
  <c r="H142" i="4"/>
  <c r="G142" i="4"/>
  <c r="F142" i="4"/>
  <c r="C142" i="4"/>
  <c r="B142" i="4"/>
  <c r="Q141" i="4"/>
  <c r="P141" i="4"/>
  <c r="O141" i="4"/>
  <c r="N141" i="4"/>
  <c r="M141" i="4"/>
  <c r="L141" i="4"/>
  <c r="K141" i="4"/>
  <c r="J141" i="4"/>
  <c r="I141" i="4"/>
  <c r="H141" i="4"/>
  <c r="G141" i="4"/>
  <c r="F141" i="4"/>
  <c r="C141" i="4"/>
  <c r="B141" i="4"/>
  <c r="Q140" i="4"/>
  <c r="P140" i="4"/>
  <c r="O140" i="4"/>
  <c r="N140" i="4"/>
  <c r="M140" i="4"/>
  <c r="L140" i="4"/>
  <c r="K140" i="4"/>
  <c r="J140" i="4"/>
  <c r="I140" i="4"/>
  <c r="H140" i="4"/>
  <c r="G140" i="4"/>
  <c r="F140" i="4"/>
  <c r="C140" i="4"/>
  <c r="B140" i="4"/>
  <c r="Q139" i="4"/>
  <c r="P139" i="4"/>
  <c r="O139" i="4"/>
  <c r="N139" i="4"/>
  <c r="M139" i="4"/>
  <c r="L139" i="4"/>
  <c r="K139" i="4"/>
  <c r="J139" i="4"/>
  <c r="I139" i="4"/>
  <c r="H139" i="4"/>
  <c r="G139" i="4"/>
  <c r="F139" i="4"/>
  <c r="C139" i="4"/>
  <c r="B139" i="4"/>
  <c r="Q138" i="4"/>
  <c r="P138" i="4"/>
  <c r="O138" i="4"/>
  <c r="N138" i="4"/>
  <c r="M138" i="4"/>
  <c r="L138" i="4"/>
  <c r="K138" i="4"/>
  <c r="J138" i="4"/>
  <c r="I138" i="4"/>
  <c r="H138" i="4"/>
  <c r="G138" i="4"/>
  <c r="F138" i="4"/>
  <c r="C138" i="4"/>
  <c r="B138" i="4"/>
  <c r="Q137" i="4"/>
  <c r="P137" i="4"/>
  <c r="O137" i="4"/>
  <c r="N137" i="4"/>
  <c r="M137" i="4"/>
  <c r="L137" i="4"/>
  <c r="K137" i="4"/>
  <c r="J137" i="4"/>
  <c r="I137" i="4"/>
  <c r="H137" i="4"/>
  <c r="G137" i="4"/>
  <c r="F137" i="4"/>
  <c r="C137" i="4"/>
  <c r="B137" i="4"/>
  <c r="Q136" i="4"/>
  <c r="P136" i="4"/>
  <c r="O136" i="4"/>
  <c r="N136" i="4"/>
  <c r="M136" i="4"/>
  <c r="L136" i="4"/>
  <c r="K136" i="4"/>
  <c r="J136" i="4"/>
  <c r="I136" i="4"/>
  <c r="H136" i="4"/>
  <c r="G136" i="4"/>
  <c r="F136" i="4"/>
  <c r="C136" i="4"/>
  <c r="B136" i="4"/>
  <c r="Q135" i="4"/>
  <c r="P135" i="4"/>
  <c r="O135" i="4"/>
  <c r="N135" i="4"/>
  <c r="M135" i="4"/>
  <c r="L135" i="4"/>
  <c r="K135" i="4"/>
  <c r="J135" i="4"/>
  <c r="I135" i="4"/>
  <c r="H135" i="4"/>
  <c r="G135" i="4"/>
  <c r="F135" i="4"/>
  <c r="C135" i="4"/>
  <c r="B135" i="4"/>
  <c r="Q134" i="4"/>
  <c r="P134" i="4"/>
  <c r="O134" i="4"/>
  <c r="N134" i="4"/>
  <c r="M134" i="4"/>
  <c r="L134" i="4"/>
  <c r="K134" i="4"/>
  <c r="J134" i="4"/>
  <c r="I134" i="4"/>
  <c r="H134" i="4"/>
  <c r="G134" i="4"/>
  <c r="F134" i="4"/>
  <c r="C134" i="4"/>
  <c r="B134" i="4"/>
  <c r="Q133" i="4"/>
  <c r="P133" i="4"/>
  <c r="O133" i="4"/>
  <c r="N133" i="4"/>
  <c r="M133" i="4"/>
  <c r="L133" i="4"/>
  <c r="K133" i="4"/>
  <c r="J133" i="4"/>
  <c r="I133" i="4"/>
  <c r="H133" i="4"/>
  <c r="G133" i="4"/>
  <c r="F133" i="4"/>
  <c r="C133" i="4"/>
  <c r="B133" i="4"/>
  <c r="Q132" i="4"/>
  <c r="P132" i="4"/>
  <c r="O132" i="4"/>
  <c r="N132" i="4"/>
  <c r="M132" i="4"/>
  <c r="L132" i="4"/>
  <c r="K132" i="4"/>
  <c r="J132" i="4"/>
  <c r="I132" i="4"/>
  <c r="H132" i="4"/>
  <c r="G132" i="4"/>
  <c r="F132" i="4"/>
  <c r="C132" i="4"/>
  <c r="B132" i="4"/>
  <c r="Q131" i="4"/>
  <c r="P131" i="4"/>
  <c r="O131" i="4"/>
  <c r="N131" i="4"/>
  <c r="M131" i="4"/>
  <c r="L131" i="4"/>
  <c r="K131" i="4"/>
  <c r="J131" i="4"/>
  <c r="I131" i="4"/>
  <c r="H131" i="4"/>
  <c r="G131" i="4"/>
  <c r="F131" i="4"/>
  <c r="C131" i="4"/>
  <c r="B131" i="4"/>
  <c r="Q130" i="4"/>
  <c r="P130" i="4"/>
  <c r="O130" i="4"/>
  <c r="N130" i="4"/>
  <c r="M130" i="4"/>
  <c r="L130" i="4"/>
  <c r="K130" i="4"/>
  <c r="J130" i="4"/>
  <c r="I130" i="4"/>
  <c r="H130" i="4"/>
  <c r="G130" i="4"/>
  <c r="F130" i="4"/>
  <c r="C130" i="4"/>
  <c r="B130" i="4"/>
  <c r="Q129" i="4"/>
  <c r="P129" i="4"/>
  <c r="O129" i="4"/>
  <c r="N129" i="4"/>
  <c r="M129" i="4"/>
  <c r="L129" i="4"/>
  <c r="K129" i="4"/>
  <c r="J129" i="4"/>
  <c r="I129" i="4"/>
  <c r="H129" i="4"/>
  <c r="G129" i="4"/>
  <c r="F129" i="4"/>
  <c r="C129" i="4"/>
  <c r="B129" i="4"/>
  <c r="Q128" i="4"/>
  <c r="P128" i="4"/>
  <c r="O128" i="4"/>
  <c r="N128" i="4"/>
  <c r="M128" i="4"/>
  <c r="L128" i="4"/>
  <c r="K128" i="4"/>
  <c r="J128" i="4"/>
  <c r="I128" i="4"/>
  <c r="H128" i="4"/>
  <c r="G128" i="4"/>
  <c r="F128" i="4"/>
  <c r="C128" i="4"/>
  <c r="B128" i="4"/>
  <c r="Q127" i="4"/>
  <c r="P127" i="4"/>
  <c r="O127" i="4"/>
  <c r="N127" i="4"/>
  <c r="M127" i="4"/>
  <c r="L127" i="4"/>
  <c r="K127" i="4"/>
  <c r="J127" i="4"/>
  <c r="I127" i="4"/>
  <c r="H127" i="4"/>
  <c r="G127" i="4"/>
  <c r="F127" i="4"/>
  <c r="C127" i="4"/>
  <c r="B127" i="4"/>
  <c r="Q126" i="4"/>
  <c r="P126" i="4"/>
  <c r="O126" i="4"/>
  <c r="N126" i="4"/>
  <c r="M126" i="4"/>
  <c r="L126" i="4"/>
  <c r="K126" i="4"/>
  <c r="J126" i="4"/>
  <c r="I126" i="4"/>
  <c r="H126" i="4"/>
  <c r="G126" i="4"/>
  <c r="F126" i="4"/>
  <c r="C126" i="4"/>
  <c r="B126" i="4"/>
  <c r="Q125" i="4"/>
  <c r="P125" i="4"/>
  <c r="O125" i="4"/>
  <c r="N125" i="4"/>
  <c r="M125" i="4"/>
  <c r="L125" i="4"/>
  <c r="K125" i="4"/>
  <c r="J125" i="4"/>
  <c r="I125" i="4"/>
  <c r="H125" i="4"/>
  <c r="G125" i="4"/>
  <c r="F125" i="4"/>
  <c r="C125" i="4"/>
  <c r="B125" i="4"/>
  <c r="Q124" i="4"/>
  <c r="P124" i="4"/>
  <c r="O124" i="4"/>
  <c r="N124" i="4"/>
  <c r="M124" i="4"/>
  <c r="L124" i="4"/>
  <c r="K124" i="4"/>
  <c r="J124" i="4"/>
  <c r="I124" i="4"/>
  <c r="H124" i="4"/>
  <c r="G124" i="4"/>
  <c r="F124" i="4"/>
  <c r="C124" i="4"/>
  <c r="B124" i="4"/>
  <c r="Q123" i="4"/>
  <c r="P123" i="4"/>
  <c r="O123" i="4"/>
  <c r="N123" i="4"/>
  <c r="M123" i="4"/>
  <c r="L123" i="4"/>
  <c r="K123" i="4"/>
  <c r="J123" i="4"/>
  <c r="I123" i="4"/>
  <c r="H123" i="4"/>
  <c r="G123" i="4"/>
  <c r="F123" i="4"/>
  <c r="C123" i="4"/>
  <c r="B123" i="4"/>
  <c r="Q122" i="4"/>
  <c r="P122" i="4"/>
  <c r="O122" i="4"/>
  <c r="N122" i="4"/>
  <c r="M122" i="4"/>
  <c r="L122" i="4"/>
  <c r="K122" i="4"/>
  <c r="J122" i="4"/>
  <c r="I122" i="4"/>
  <c r="H122" i="4"/>
  <c r="G122" i="4"/>
  <c r="F122" i="4"/>
  <c r="C122" i="4"/>
  <c r="B122" i="4"/>
  <c r="Q121" i="4"/>
  <c r="P121" i="4"/>
  <c r="O121" i="4"/>
  <c r="N121" i="4"/>
  <c r="M121" i="4"/>
  <c r="L121" i="4"/>
  <c r="K121" i="4"/>
  <c r="J121" i="4"/>
  <c r="I121" i="4"/>
  <c r="H121" i="4"/>
  <c r="G121" i="4"/>
  <c r="F121" i="4"/>
  <c r="C121" i="4"/>
  <c r="B121" i="4"/>
  <c r="Q120" i="4"/>
  <c r="P120" i="4"/>
  <c r="O120" i="4"/>
  <c r="N120" i="4"/>
  <c r="M120" i="4"/>
  <c r="L120" i="4"/>
  <c r="K120" i="4"/>
  <c r="J120" i="4"/>
  <c r="I120" i="4"/>
  <c r="H120" i="4"/>
  <c r="G120" i="4"/>
  <c r="F120" i="4"/>
  <c r="C120" i="4"/>
  <c r="B120" i="4"/>
  <c r="Q119" i="4"/>
  <c r="P119" i="4"/>
  <c r="O119" i="4"/>
  <c r="N119" i="4"/>
  <c r="M119" i="4"/>
  <c r="L119" i="4"/>
  <c r="K119" i="4"/>
  <c r="J119" i="4"/>
  <c r="I119" i="4"/>
  <c r="H119" i="4"/>
  <c r="G119" i="4"/>
  <c r="F119" i="4"/>
  <c r="C119" i="4"/>
  <c r="B119" i="4"/>
  <c r="Q118" i="4"/>
  <c r="P118" i="4"/>
  <c r="O118" i="4"/>
  <c r="N118" i="4"/>
  <c r="M118" i="4"/>
  <c r="L118" i="4"/>
  <c r="K118" i="4"/>
  <c r="J118" i="4"/>
  <c r="I118" i="4"/>
  <c r="H118" i="4"/>
  <c r="G118" i="4"/>
  <c r="F118" i="4"/>
  <c r="C118" i="4"/>
  <c r="B118" i="4"/>
  <c r="Q117" i="4"/>
  <c r="P117" i="4"/>
  <c r="O117" i="4"/>
  <c r="N117" i="4"/>
  <c r="M117" i="4"/>
  <c r="L117" i="4"/>
  <c r="K117" i="4"/>
  <c r="J117" i="4"/>
  <c r="I117" i="4"/>
  <c r="H117" i="4"/>
  <c r="G117" i="4"/>
  <c r="F117" i="4"/>
  <c r="C117" i="4"/>
  <c r="B117" i="4"/>
  <c r="Q116" i="4"/>
  <c r="P116" i="4"/>
  <c r="O116" i="4"/>
  <c r="N116" i="4"/>
  <c r="M116" i="4"/>
  <c r="L116" i="4"/>
  <c r="K116" i="4"/>
  <c r="J116" i="4"/>
  <c r="I116" i="4"/>
  <c r="H116" i="4"/>
  <c r="G116" i="4"/>
  <c r="F116" i="4"/>
  <c r="C116" i="4"/>
  <c r="B116" i="4"/>
  <c r="Q115" i="4"/>
  <c r="P115" i="4"/>
  <c r="O115" i="4"/>
  <c r="N115" i="4"/>
  <c r="M115" i="4"/>
  <c r="L115" i="4"/>
  <c r="K115" i="4"/>
  <c r="J115" i="4"/>
  <c r="I115" i="4"/>
  <c r="H115" i="4"/>
  <c r="G115" i="4"/>
  <c r="F115" i="4"/>
  <c r="C115" i="4"/>
  <c r="B115" i="4"/>
  <c r="Q114" i="4"/>
  <c r="P114" i="4"/>
  <c r="O114" i="4"/>
  <c r="N114" i="4"/>
  <c r="M114" i="4"/>
  <c r="L114" i="4"/>
  <c r="K114" i="4"/>
  <c r="J114" i="4"/>
  <c r="I114" i="4"/>
  <c r="H114" i="4"/>
  <c r="G114" i="4"/>
  <c r="F114" i="4"/>
  <c r="C114" i="4"/>
  <c r="B114" i="4"/>
  <c r="Q113" i="4"/>
  <c r="P113" i="4"/>
  <c r="O113" i="4"/>
  <c r="N113" i="4"/>
  <c r="M113" i="4"/>
  <c r="L113" i="4"/>
  <c r="K113" i="4"/>
  <c r="J113" i="4"/>
  <c r="I113" i="4"/>
  <c r="H113" i="4"/>
  <c r="G113" i="4"/>
  <c r="F113" i="4"/>
  <c r="C113" i="4"/>
  <c r="B113" i="4"/>
  <c r="Q112" i="4"/>
  <c r="P112" i="4"/>
  <c r="O112" i="4"/>
  <c r="N112" i="4"/>
  <c r="M112" i="4"/>
  <c r="L112" i="4"/>
  <c r="K112" i="4"/>
  <c r="J112" i="4"/>
  <c r="I112" i="4"/>
  <c r="H112" i="4"/>
  <c r="G112" i="4"/>
  <c r="F112" i="4"/>
  <c r="C112" i="4"/>
  <c r="B112" i="4"/>
  <c r="Q111" i="4"/>
  <c r="P111" i="4"/>
  <c r="O111" i="4"/>
  <c r="N111" i="4"/>
  <c r="M111" i="4"/>
  <c r="L111" i="4"/>
  <c r="K111" i="4"/>
  <c r="J111" i="4"/>
  <c r="I111" i="4"/>
  <c r="H111" i="4"/>
  <c r="G111" i="4"/>
  <c r="F111" i="4"/>
  <c r="C111" i="4"/>
  <c r="B111" i="4"/>
  <c r="Q110" i="4"/>
  <c r="P110" i="4"/>
  <c r="O110" i="4"/>
  <c r="N110" i="4"/>
  <c r="M110" i="4"/>
  <c r="L110" i="4"/>
  <c r="K110" i="4"/>
  <c r="J110" i="4"/>
  <c r="I110" i="4"/>
  <c r="H110" i="4"/>
  <c r="G110" i="4"/>
  <c r="F110" i="4"/>
  <c r="C110" i="4"/>
  <c r="B110" i="4"/>
  <c r="Q109" i="4"/>
  <c r="P109" i="4"/>
  <c r="O109" i="4"/>
  <c r="N109" i="4"/>
  <c r="M109" i="4"/>
  <c r="L109" i="4"/>
  <c r="K109" i="4"/>
  <c r="J109" i="4"/>
  <c r="I109" i="4"/>
  <c r="H109" i="4"/>
  <c r="G109" i="4"/>
  <c r="F109" i="4"/>
  <c r="C109" i="4"/>
  <c r="B109" i="4"/>
  <c r="Q108" i="4"/>
  <c r="P108" i="4"/>
  <c r="O108" i="4"/>
  <c r="N108" i="4"/>
  <c r="M108" i="4"/>
  <c r="L108" i="4"/>
  <c r="K108" i="4"/>
  <c r="J108" i="4"/>
  <c r="I108" i="4"/>
  <c r="H108" i="4"/>
  <c r="G108" i="4"/>
  <c r="F108" i="4"/>
  <c r="C108" i="4"/>
  <c r="B108" i="4"/>
  <c r="Q107" i="4"/>
  <c r="P107" i="4"/>
  <c r="O107" i="4"/>
  <c r="N107" i="4"/>
  <c r="M107" i="4"/>
  <c r="L107" i="4"/>
  <c r="K107" i="4"/>
  <c r="J107" i="4"/>
  <c r="I107" i="4"/>
  <c r="H107" i="4"/>
  <c r="G107" i="4"/>
  <c r="F107" i="4"/>
  <c r="C107" i="4"/>
  <c r="B107" i="4"/>
  <c r="Q106" i="4"/>
  <c r="P106" i="4"/>
  <c r="O106" i="4"/>
  <c r="N106" i="4"/>
  <c r="M106" i="4"/>
  <c r="L106" i="4"/>
  <c r="K106" i="4"/>
  <c r="J106" i="4"/>
  <c r="I106" i="4"/>
  <c r="H106" i="4"/>
  <c r="G106" i="4"/>
  <c r="F106" i="4"/>
  <c r="C106" i="4"/>
  <c r="B106" i="4"/>
  <c r="Q105" i="4"/>
  <c r="P105" i="4"/>
  <c r="O105" i="4"/>
  <c r="N105" i="4"/>
  <c r="M105" i="4"/>
  <c r="L105" i="4"/>
  <c r="K105" i="4"/>
  <c r="J105" i="4"/>
  <c r="I105" i="4"/>
  <c r="H105" i="4"/>
  <c r="G105" i="4"/>
  <c r="F105" i="4"/>
  <c r="C105" i="4"/>
  <c r="B105" i="4"/>
  <c r="Q104" i="4"/>
  <c r="P104" i="4"/>
  <c r="O104" i="4"/>
  <c r="N104" i="4"/>
  <c r="M104" i="4"/>
  <c r="L104" i="4"/>
  <c r="K104" i="4"/>
  <c r="J104" i="4"/>
  <c r="I104" i="4"/>
  <c r="H104" i="4"/>
  <c r="G104" i="4"/>
  <c r="F104" i="4"/>
  <c r="C104" i="4"/>
  <c r="B104" i="4"/>
  <c r="Q103" i="4"/>
  <c r="P103" i="4"/>
  <c r="O103" i="4"/>
  <c r="N103" i="4"/>
  <c r="M103" i="4"/>
  <c r="L103" i="4"/>
  <c r="K103" i="4"/>
  <c r="J103" i="4"/>
  <c r="I103" i="4"/>
  <c r="H103" i="4"/>
  <c r="G103" i="4"/>
  <c r="F103" i="4"/>
  <c r="C103" i="4"/>
  <c r="B103" i="4"/>
  <c r="Q102" i="4"/>
  <c r="P102" i="4"/>
  <c r="O102" i="4"/>
  <c r="N102" i="4"/>
  <c r="M102" i="4"/>
  <c r="L102" i="4"/>
  <c r="K102" i="4"/>
  <c r="J102" i="4"/>
  <c r="I102" i="4"/>
  <c r="H102" i="4"/>
  <c r="G102" i="4"/>
  <c r="F102" i="4"/>
  <c r="C102" i="4"/>
  <c r="B102" i="4"/>
  <c r="Q101" i="4"/>
  <c r="P101" i="4"/>
  <c r="O101" i="4"/>
  <c r="N101" i="4"/>
  <c r="M101" i="4"/>
  <c r="L101" i="4"/>
  <c r="K101" i="4"/>
  <c r="J101" i="4"/>
  <c r="I101" i="4"/>
  <c r="H101" i="4"/>
  <c r="G101" i="4"/>
  <c r="F101" i="4"/>
  <c r="C101" i="4"/>
  <c r="B101" i="4"/>
  <c r="Q100" i="4"/>
  <c r="P100" i="4"/>
  <c r="O100" i="4"/>
  <c r="N100" i="4"/>
  <c r="M100" i="4"/>
  <c r="L100" i="4"/>
  <c r="K100" i="4"/>
  <c r="J100" i="4"/>
  <c r="I100" i="4"/>
  <c r="H100" i="4"/>
  <c r="G100" i="4"/>
  <c r="F100" i="4"/>
  <c r="C100" i="4"/>
  <c r="B100" i="4"/>
  <c r="Q99" i="4"/>
  <c r="P99" i="4"/>
  <c r="O99" i="4"/>
  <c r="N99" i="4"/>
  <c r="M99" i="4"/>
  <c r="L99" i="4"/>
  <c r="K99" i="4"/>
  <c r="J99" i="4"/>
  <c r="I99" i="4"/>
  <c r="H99" i="4"/>
  <c r="G99" i="4"/>
  <c r="F99" i="4"/>
  <c r="C99" i="4"/>
  <c r="B99" i="4"/>
  <c r="Q98" i="4"/>
  <c r="P98" i="4"/>
  <c r="O98" i="4"/>
  <c r="N98" i="4"/>
  <c r="M98" i="4"/>
  <c r="L98" i="4"/>
  <c r="K98" i="4"/>
  <c r="J98" i="4"/>
  <c r="I98" i="4"/>
  <c r="H98" i="4"/>
  <c r="G98" i="4"/>
  <c r="F98" i="4"/>
  <c r="C98" i="4"/>
  <c r="B98" i="4"/>
  <c r="Q97" i="4"/>
  <c r="P97" i="4"/>
  <c r="O97" i="4"/>
  <c r="N97" i="4"/>
  <c r="M97" i="4"/>
  <c r="L97" i="4"/>
  <c r="K97" i="4"/>
  <c r="J97" i="4"/>
  <c r="I97" i="4"/>
  <c r="H97" i="4"/>
  <c r="G97" i="4"/>
  <c r="F97" i="4"/>
  <c r="C97" i="4"/>
  <c r="B97" i="4"/>
  <c r="Q96" i="4"/>
  <c r="P96" i="4"/>
  <c r="O96" i="4"/>
  <c r="N96" i="4"/>
  <c r="M96" i="4"/>
  <c r="L96" i="4"/>
  <c r="K96" i="4"/>
  <c r="J96" i="4"/>
  <c r="I96" i="4"/>
  <c r="H96" i="4"/>
  <c r="G96" i="4"/>
  <c r="F96" i="4"/>
  <c r="C96" i="4"/>
  <c r="B96" i="4"/>
  <c r="Q95" i="4"/>
  <c r="P95" i="4"/>
  <c r="O95" i="4"/>
  <c r="N95" i="4"/>
  <c r="M95" i="4"/>
  <c r="L95" i="4"/>
  <c r="K95" i="4"/>
  <c r="J95" i="4"/>
  <c r="I95" i="4"/>
  <c r="H95" i="4"/>
  <c r="G95" i="4"/>
  <c r="F95" i="4"/>
  <c r="C95" i="4"/>
  <c r="B95" i="4"/>
  <c r="Q94" i="4"/>
  <c r="P94" i="4"/>
  <c r="O94" i="4"/>
  <c r="N94" i="4"/>
  <c r="M94" i="4"/>
  <c r="L94" i="4"/>
  <c r="K94" i="4"/>
  <c r="J94" i="4"/>
  <c r="I94" i="4"/>
  <c r="H94" i="4"/>
  <c r="G94" i="4"/>
  <c r="F94" i="4"/>
  <c r="C94" i="4"/>
  <c r="B94" i="4"/>
  <c r="Q93" i="4"/>
  <c r="P93" i="4"/>
  <c r="O93" i="4"/>
  <c r="N93" i="4"/>
  <c r="M93" i="4"/>
  <c r="L93" i="4"/>
  <c r="K93" i="4"/>
  <c r="J93" i="4"/>
  <c r="I93" i="4"/>
  <c r="H93" i="4"/>
  <c r="G93" i="4"/>
  <c r="F93" i="4"/>
  <c r="C93" i="4"/>
  <c r="B93" i="4"/>
  <c r="Q92" i="4"/>
  <c r="P92" i="4"/>
  <c r="O92" i="4"/>
  <c r="N92" i="4"/>
  <c r="M92" i="4"/>
  <c r="L92" i="4"/>
  <c r="K92" i="4"/>
  <c r="J92" i="4"/>
  <c r="I92" i="4"/>
  <c r="H92" i="4"/>
  <c r="G92" i="4"/>
  <c r="F92" i="4"/>
  <c r="C92" i="4"/>
  <c r="B92" i="4"/>
  <c r="Q91" i="4"/>
  <c r="P91" i="4"/>
  <c r="O91" i="4"/>
  <c r="N91" i="4"/>
  <c r="M91" i="4"/>
  <c r="L91" i="4"/>
  <c r="K91" i="4"/>
  <c r="J91" i="4"/>
  <c r="I91" i="4"/>
  <c r="H91" i="4"/>
  <c r="G91" i="4"/>
  <c r="F91" i="4"/>
  <c r="C91" i="4"/>
  <c r="B91" i="4"/>
  <c r="Q90" i="4"/>
  <c r="P90" i="4"/>
  <c r="O90" i="4"/>
  <c r="N90" i="4"/>
  <c r="M90" i="4"/>
  <c r="L90" i="4"/>
  <c r="K90" i="4"/>
  <c r="J90" i="4"/>
  <c r="I90" i="4"/>
  <c r="H90" i="4"/>
  <c r="G90" i="4"/>
  <c r="F90" i="4"/>
  <c r="C90" i="4"/>
  <c r="B90" i="4"/>
  <c r="Q89" i="4"/>
  <c r="P89" i="4"/>
  <c r="O89" i="4"/>
  <c r="N89" i="4"/>
  <c r="M89" i="4"/>
  <c r="L89" i="4"/>
  <c r="K89" i="4"/>
  <c r="J89" i="4"/>
  <c r="I89" i="4"/>
  <c r="H89" i="4"/>
  <c r="G89" i="4"/>
  <c r="F89" i="4"/>
  <c r="C89" i="4"/>
  <c r="B89" i="4"/>
  <c r="Q88" i="4"/>
  <c r="P88" i="4"/>
  <c r="O88" i="4"/>
  <c r="N88" i="4"/>
  <c r="M88" i="4"/>
  <c r="L88" i="4"/>
  <c r="K88" i="4"/>
  <c r="J88" i="4"/>
  <c r="I88" i="4"/>
  <c r="H88" i="4"/>
  <c r="G88" i="4"/>
  <c r="F88" i="4"/>
  <c r="C88" i="4"/>
  <c r="B88" i="4"/>
  <c r="Q87" i="4"/>
  <c r="P87" i="4"/>
  <c r="O87" i="4"/>
  <c r="N87" i="4"/>
  <c r="M87" i="4"/>
  <c r="L87" i="4"/>
  <c r="K87" i="4"/>
  <c r="J87" i="4"/>
  <c r="I87" i="4"/>
  <c r="H87" i="4"/>
  <c r="G87" i="4"/>
  <c r="F87" i="4"/>
  <c r="C87" i="4"/>
  <c r="B87" i="4"/>
  <c r="Q86" i="4"/>
  <c r="P86" i="4"/>
  <c r="O86" i="4"/>
  <c r="N86" i="4"/>
  <c r="M86" i="4"/>
  <c r="L86" i="4"/>
  <c r="K86" i="4"/>
  <c r="J86" i="4"/>
  <c r="I86" i="4"/>
  <c r="H86" i="4"/>
  <c r="G86" i="4"/>
  <c r="F86" i="4"/>
  <c r="C86" i="4"/>
  <c r="B86" i="4"/>
  <c r="Q85" i="4"/>
  <c r="P85" i="4"/>
  <c r="O85" i="4"/>
  <c r="N85" i="4"/>
  <c r="M85" i="4"/>
  <c r="L85" i="4"/>
  <c r="K85" i="4"/>
  <c r="J85" i="4"/>
  <c r="I85" i="4"/>
  <c r="H85" i="4"/>
  <c r="G85" i="4"/>
  <c r="F85" i="4"/>
  <c r="C85" i="4"/>
  <c r="B85" i="4"/>
  <c r="Q84" i="4"/>
  <c r="P84" i="4"/>
  <c r="O84" i="4"/>
  <c r="N84" i="4"/>
  <c r="M84" i="4"/>
  <c r="L84" i="4"/>
  <c r="K84" i="4"/>
  <c r="J84" i="4"/>
  <c r="I84" i="4"/>
  <c r="H84" i="4"/>
  <c r="G84" i="4"/>
  <c r="F84" i="4"/>
  <c r="C84" i="4"/>
  <c r="B84" i="4"/>
  <c r="Q83" i="4"/>
  <c r="P83" i="4"/>
  <c r="O83" i="4"/>
  <c r="N83" i="4"/>
  <c r="M83" i="4"/>
  <c r="L83" i="4"/>
  <c r="K83" i="4"/>
  <c r="J83" i="4"/>
  <c r="I83" i="4"/>
  <c r="H83" i="4"/>
  <c r="G83" i="4"/>
  <c r="F83" i="4"/>
  <c r="C83" i="4"/>
  <c r="B83" i="4"/>
  <c r="Q82" i="4"/>
  <c r="P82" i="4"/>
  <c r="O82" i="4"/>
  <c r="N82" i="4"/>
  <c r="M82" i="4"/>
  <c r="L82" i="4"/>
  <c r="K82" i="4"/>
  <c r="J82" i="4"/>
  <c r="I82" i="4"/>
  <c r="H82" i="4"/>
  <c r="G82" i="4"/>
  <c r="F82" i="4"/>
  <c r="C82" i="4"/>
  <c r="B82" i="4"/>
  <c r="Q81" i="4"/>
  <c r="P81" i="4"/>
  <c r="O81" i="4"/>
  <c r="N81" i="4"/>
  <c r="M81" i="4"/>
  <c r="L81" i="4"/>
  <c r="K81" i="4"/>
  <c r="J81" i="4"/>
  <c r="I81" i="4"/>
  <c r="H81" i="4"/>
  <c r="G81" i="4"/>
  <c r="F81" i="4"/>
  <c r="C81" i="4"/>
  <c r="B81" i="4"/>
  <c r="Q80" i="4"/>
  <c r="P80" i="4"/>
  <c r="O80" i="4"/>
  <c r="N80" i="4"/>
  <c r="M80" i="4"/>
  <c r="L80" i="4"/>
  <c r="K80" i="4"/>
  <c r="J80" i="4"/>
  <c r="I80" i="4"/>
  <c r="H80" i="4"/>
  <c r="G80" i="4"/>
  <c r="F80" i="4"/>
  <c r="C80" i="4"/>
  <c r="B80" i="4"/>
  <c r="Q79" i="4"/>
  <c r="P79" i="4"/>
  <c r="O79" i="4"/>
  <c r="N79" i="4"/>
  <c r="M79" i="4"/>
  <c r="L79" i="4"/>
  <c r="K79" i="4"/>
  <c r="J79" i="4"/>
  <c r="I79" i="4"/>
  <c r="H79" i="4"/>
  <c r="G79" i="4"/>
  <c r="F79" i="4"/>
  <c r="C79" i="4"/>
  <c r="B79" i="4"/>
  <c r="Q78" i="4"/>
  <c r="P78" i="4"/>
  <c r="O78" i="4"/>
  <c r="N78" i="4"/>
  <c r="M78" i="4"/>
  <c r="L78" i="4"/>
  <c r="K78" i="4"/>
  <c r="J78" i="4"/>
  <c r="I78" i="4"/>
  <c r="H78" i="4"/>
  <c r="G78" i="4"/>
  <c r="F78" i="4"/>
  <c r="C78" i="4"/>
  <c r="B78" i="4"/>
  <c r="Q77" i="4"/>
  <c r="P77" i="4"/>
  <c r="O77" i="4"/>
  <c r="N77" i="4"/>
  <c r="M77" i="4"/>
  <c r="L77" i="4"/>
  <c r="K77" i="4"/>
  <c r="J77" i="4"/>
  <c r="I77" i="4"/>
  <c r="H77" i="4"/>
  <c r="G77" i="4"/>
  <c r="F77" i="4"/>
  <c r="C77" i="4"/>
  <c r="B77" i="4"/>
  <c r="Q76" i="4"/>
  <c r="P76" i="4"/>
  <c r="O76" i="4"/>
  <c r="N76" i="4"/>
  <c r="M76" i="4"/>
  <c r="L76" i="4"/>
  <c r="K76" i="4"/>
  <c r="J76" i="4"/>
  <c r="I76" i="4"/>
  <c r="H76" i="4"/>
  <c r="G76" i="4"/>
  <c r="F76" i="4"/>
  <c r="C76" i="4"/>
  <c r="B76" i="4"/>
  <c r="Q75" i="4"/>
  <c r="P75" i="4"/>
  <c r="O75" i="4"/>
  <c r="N75" i="4"/>
  <c r="M75" i="4"/>
  <c r="L75" i="4"/>
  <c r="K75" i="4"/>
  <c r="J75" i="4"/>
  <c r="I75" i="4"/>
  <c r="H75" i="4"/>
  <c r="G75" i="4"/>
  <c r="F75" i="4"/>
  <c r="C75" i="4"/>
  <c r="B75" i="4"/>
  <c r="Q74" i="4"/>
  <c r="P74" i="4"/>
  <c r="O74" i="4"/>
  <c r="N74" i="4"/>
  <c r="M74" i="4"/>
  <c r="L74" i="4"/>
  <c r="K74" i="4"/>
  <c r="J74" i="4"/>
  <c r="I74" i="4"/>
  <c r="H74" i="4"/>
  <c r="G74" i="4"/>
  <c r="F74" i="4"/>
  <c r="C74" i="4"/>
  <c r="B74" i="4"/>
  <c r="Q73" i="4"/>
  <c r="P73" i="4"/>
  <c r="O73" i="4"/>
  <c r="N73" i="4"/>
  <c r="M73" i="4"/>
  <c r="L73" i="4"/>
  <c r="K73" i="4"/>
  <c r="J73" i="4"/>
  <c r="I73" i="4"/>
  <c r="H73" i="4"/>
  <c r="G73" i="4"/>
  <c r="F73" i="4"/>
  <c r="C73" i="4"/>
  <c r="B73" i="4"/>
  <c r="Q72" i="4"/>
  <c r="P72" i="4"/>
  <c r="O72" i="4"/>
  <c r="N72" i="4"/>
  <c r="M72" i="4"/>
  <c r="L72" i="4"/>
  <c r="K72" i="4"/>
  <c r="J72" i="4"/>
  <c r="I72" i="4"/>
  <c r="H72" i="4"/>
  <c r="G72" i="4"/>
  <c r="F72" i="4"/>
  <c r="C72" i="4"/>
  <c r="B72" i="4"/>
  <c r="Q71" i="4"/>
  <c r="P71" i="4"/>
  <c r="O71" i="4"/>
  <c r="N71" i="4"/>
  <c r="M71" i="4"/>
  <c r="L71" i="4"/>
  <c r="K71" i="4"/>
  <c r="J71" i="4"/>
  <c r="I71" i="4"/>
  <c r="H71" i="4"/>
  <c r="G71" i="4"/>
  <c r="F71" i="4"/>
  <c r="C71" i="4"/>
  <c r="B71" i="4"/>
  <c r="Q70" i="4"/>
  <c r="P70" i="4"/>
  <c r="O70" i="4"/>
  <c r="N70" i="4"/>
  <c r="M70" i="4"/>
  <c r="L70" i="4"/>
  <c r="K70" i="4"/>
  <c r="J70" i="4"/>
  <c r="I70" i="4"/>
  <c r="H70" i="4"/>
  <c r="G70" i="4"/>
  <c r="F70" i="4"/>
  <c r="C70" i="4"/>
  <c r="B70" i="4"/>
  <c r="Q69" i="4"/>
  <c r="P69" i="4"/>
  <c r="O69" i="4"/>
  <c r="N69" i="4"/>
  <c r="M69" i="4"/>
  <c r="L69" i="4"/>
  <c r="K69" i="4"/>
  <c r="J69" i="4"/>
  <c r="I69" i="4"/>
  <c r="H69" i="4"/>
  <c r="G69" i="4"/>
  <c r="F69" i="4"/>
  <c r="C69" i="4"/>
  <c r="B69" i="4"/>
  <c r="Q68" i="4"/>
  <c r="P68" i="4"/>
  <c r="O68" i="4"/>
  <c r="N68" i="4"/>
  <c r="M68" i="4"/>
  <c r="L68" i="4"/>
  <c r="K68" i="4"/>
  <c r="J68" i="4"/>
  <c r="I68" i="4"/>
  <c r="H68" i="4"/>
  <c r="G68" i="4"/>
  <c r="F68" i="4"/>
  <c r="C68" i="4"/>
  <c r="B68" i="4"/>
  <c r="Q67" i="4"/>
  <c r="P67" i="4"/>
  <c r="O67" i="4"/>
  <c r="N67" i="4"/>
  <c r="M67" i="4"/>
  <c r="L67" i="4"/>
  <c r="K67" i="4"/>
  <c r="J67" i="4"/>
  <c r="I67" i="4"/>
  <c r="H67" i="4"/>
  <c r="G67" i="4"/>
  <c r="F67" i="4"/>
  <c r="C67" i="4"/>
  <c r="B67" i="4"/>
  <c r="Q66" i="4"/>
  <c r="P66" i="4"/>
  <c r="O66" i="4"/>
  <c r="N66" i="4"/>
  <c r="M66" i="4"/>
  <c r="L66" i="4"/>
  <c r="K66" i="4"/>
  <c r="J66" i="4"/>
  <c r="I66" i="4"/>
  <c r="H66" i="4"/>
  <c r="G66" i="4"/>
  <c r="F66" i="4"/>
  <c r="C66" i="4"/>
  <c r="B66" i="4"/>
  <c r="Q65" i="4"/>
  <c r="P65" i="4"/>
  <c r="O65" i="4"/>
  <c r="N65" i="4"/>
  <c r="M65" i="4"/>
  <c r="L65" i="4"/>
  <c r="K65" i="4"/>
  <c r="J65" i="4"/>
  <c r="I65" i="4"/>
  <c r="H65" i="4"/>
  <c r="G65" i="4"/>
  <c r="F65" i="4"/>
  <c r="C65" i="4"/>
  <c r="B65" i="4"/>
  <c r="Q64" i="4"/>
  <c r="P64" i="4"/>
  <c r="O64" i="4"/>
  <c r="N64" i="4"/>
  <c r="M64" i="4"/>
  <c r="L64" i="4"/>
  <c r="K64" i="4"/>
  <c r="J64" i="4"/>
  <c r="I64" i="4"/>
  <c r="H64" i="4"/>
  <c r="G64" i="4"/>
  <c r="F64" i="4"/>
  <c r="C64" i="4"/>
  <c r="B64" i="4"/>
  <c r="Q63" i="4"/>
  <c r="P63" i="4"/>
  <c r="O63" i="4"/>
  <c r="N63" i="4"/>
  <c r="M63" i="4"/>
  <c r="L63" i="4"/>
  <c r="K63" i="4"/>
  <c r="J63" i="4"/>
  <c r="I63" i="4"/>
  <c r="H63" i="4"/>
  <c r="G63" i="4"/>
  <c r="F63" i="4"/>
  <c r="C63" i="4"/>
  <c r="B63" i="4"/>
  <c r="Q62" i="4"/>
  <c r="P62" i="4"/>
  <c r="O62" i="4"/>
  <c r="N62" i="4"/>
  <c r="M62" i="4"/>
  <c r="L62" i="4"/>
  <c r="K62" i="4"/>
  <c r="J62" i="4"/>
  <c r="I62" i="4"/>
  <c r="H62" i="4"/>
  <c r="G62" i="4"/>
  <c r="F62" i="4"/>
  <c r="C62" i="4"/>
  <c r="B62" i="4"/>
  <c r="Q61" i="4"/>
  <c r="P61" i="4"/>
  <c r="O61" i="4"/>
  <c r="N61" i="4"/>
  <c r="M61" i="4"/>
  <c r="L61" i="4"/>
  <c r="K61" i="4"/>
  <c r="J61" i="4"/>
  <c r="I61" i="4"/>
  <c r="H61" i="4"/>
  <c r="G61" i="4"/>
  <c r="F61" i="4"/>
  <c r="C61" i="4"/>
  <c r="B61" i="4"/>
  <c r="Q60" i="4"/>
  <c r="P60" i="4"/>
  <c r="O60" i="4"/>
  <c r="N60" i="4"/>
  <c r="M60" i="4"/>
  <c r="L60" i="4"/>
  <c r="K60" i="4"/>
  <c r="J60" i="4"/>
  <c r="I60" i="4"/>
  <c r="H60" i="4"/>
  <c r="G60" i="4"/>
  <c r="F60" i="4"/>
  <c r="C60" i="4"/>
  <c r="B60" i="4"/>
  <c r="Q59" i="4"/>
  <c r="P59" i="4"/>
  <c r="O59" i="4"/>
  <c r="N59" i="4"/>
  <c r="M59" i="4"/>
  <c r="L59" i="4"/>
  <c r="K59" i="4"/>
  <c r="J59" i="4"/>
  <c r="I59" i="4"/>
  <c r="H59" i="4"/>
  <c r="G59" i="4"/>
  <c r="F59" i="4"/>
  <c r="C59" i="4"/>
  <c r="B59" i="4"/>
  <c r="Q58" i="4"/>
  <c r="P58" i="4"/>
  <c r="O58" i="4"/>
  <c r="N58" i="4"/>
  <c r="M58" i="4"/>
  <c r="L58" i="4"/>
  <c r="K58" i="4"/>
  <c r="J58" i="4"/>
  <c r="I58" i="4"/>
  <c r="H58" i="4"/>
  <c r="G58" i="4"/>
  <c r="F58" i="4"/>
  <c r="C58" i="4"/>
  <c r="B58" i="4"/>
  <c r="Q57" i="4"/>
  <c r="P57" i="4"/>
  <c r="O57" i="4"/>
  <c r="N57" i="4"/>
  <c r="M57" i="4"/>
  <c r="L57" i="4"/>
  <c r="K57" i="4"/>
  <c r="J57" i="4"/>
  <c r="I57" i="4"/>
  <c r="H57" i="4"/>
  <c r="G57" i="4"/>
  <c r="F57" i="4"/>
  <c r="C57" i="4"/>
  <c r="B57" i="4"/>
  <c r="Q56" i="4"/>
  <c r="P56" i="4"/>
  <c r="O56" i="4"/>
  <c r="N56" i="4"/>
  <c r="M56" i="4"/>
  <c r="L56" i="4"/>
  <c r="K56" i="4"/>
  <c r="J56" i="4"/>
  <c r="I56" i="4"/>
  <c r="H56" i="4"/>
  <c r="G56" i="4"/>
  <c r="F56" i="4"/>
  <c r="C56" i="4"/>
  <c r="B56" i="4"/>
  <c r="Q55" i="4"/>
  <c r="P55" i="4"/>
  <c r="O55" i="4"/>
  <c r="N55" i="4"/>
  <c r="M55" i="4"/>
  <c r="L55" i="4"/>
  <c r="K55" i="4"/>
  <c r="J55" i="4"/>
  <c r="I55" i="4"/>
  <c r="H55" i="4"/>
  <c r="G55" i="4"/>
  <c r="F55" i="4"/>
  <c r="C55" i="4"/>
  <c r="B55" i="4"/>
  <c r="Q54" i="4"/>
  <c r="P54" i="4"/>
  <c r="O54" i="4"/>
  <c r="N54" i="4"/>
  <c r="M54" i="4"/>
  <c r="L54" i="4"/>
  <c r="K54" i="4"/>
  <c r="J54" i="4"/>
  <c r="I54" i="4"/>
  <c r="H54" i="4"/>
  <c r="G54" i="4"/>
  <c r="F54" i="4"/>
  <c r="C54" i="4"/>
  <c r="B54" i="4"/>
  <c r="Q53" i="4"/>
  <c r="P53" i="4"/>
  <c r="O53" i="4"/>
  <c r="N53" i="4"/>
  <c r="M53" i="4"/>
  <c r="L53" i="4"/>
  <c r="K53" i="4"/>
  <c r="J53" i="4"/>
  <c r="I53" i="4"/>
  <c r="H53" i="4"/>
  <c r="G53" i="4"/>
  <c r="F53" i="4"/>
  <c r="C53" i="4"/>
  <c r="B53" i="4"/>
  <c r="Q52" i="4"/>
  <c r="P52" i="4"/>
  <c r="O52" i="4"/>
  <c r="N52" i="4"/>
  <c r="M52" i="4"/>
  <c r="L52" i="4"/>
  <c r="K52" i="4"/>
  <c r="J52" i="4"/>
  <c r="I52" i="4"/>
  <c r="H52" i="4"/>
  <c r="G52" i="4"/>
  <c r="F52" i="4"/>
  <c r="C52" i="4"/>
  <c r="B52" i="4"/>
  <c r="Q51" i="4"/>
  <c r="P51" i="4"/>
  <c r="O51" i="4"/>
  <c r="N51" i="4"/>
  <c r="M51" i="4"/>
  <c r="L51" i="4"/>
  <c r="K51" i="4"/>
  <c r="J51" i="4"/>
  <c r="I51" i="4"/>
  <c r="H51" i="4"/>
  <c r="G51" i="4"/>
  <c r="F51" i="4"/>
  <c r="C51" i="4"/>
  <c r="B51" i="4"/>
  <c r="Q50" i="4"/>
  <c r="P50" i="4"/>
  <c r="O50" i="4"/>
  <c r="N50" i="4"/>
  <c r="M50" i="4"/>
  <c r="L50" i="4"/>
  <c r="K50" i="4"/>
  <c r="J50" i="4"/>
  <c r="I50" i="4"/>
  <c r="H50" i="4"/>
  <c r="G50" i="4"/>
  <c r="F50" i="4"/>
  <c r="C50" i="4"/>
  <c r="B50" i="4"/>
  <c r="Q49" i="4"/>
  <c r="P49" i="4"/>
  <c r="O49" i="4"/>
  <c r="N49" i="4"/>
  <c r="M49" i="4"/>
  <c r="L49" i="4"/>
  <c r="K49" i="4"/>
  <c r="J49" i="4"/>
  <c r="I49" i="4"/>
  <c r="H49" i="4"/>
  <c r="G49" i="4"/>
  <c r="F49" i="4"/>
  <c r="C49" i="4"/>
  <c r="B49" i="4"/>
  <c r="Q48" i="4"/>
  <c r="P48" i="4"/>
  <c r="O48" i="4"/>
  <c r="N48" i="4"/>
  <c r="M48" i="4"/>
  <c r="L48" i="4"/>
  <c r="K48" i="4"/>
  <c r="J48" i="4"/>
  <c r="I48" i="4"/>
  <c r="H48" i="4"/>
  <c r="G48" i="4"/>
  <c r="F48" i="4"/>
  <c r="C48" i="4"/>
  <c r="B48" i="4"/>
  <c r="Q47" i="4"/>
  <c r="P47" i="4"/>
  <c r="O47" i="4"/>
  <c r="N47" i="4"/>
  <c r="M47" i="4"/>
  <c r="L47" i="4"/>
  <c r="K47" i="4"/>
  <c r="J47" i="4"/>
  <c r="I47" i="4"/>
  <c r="H47" i="4"/>
  <c r="G47" i="4"/>
  <c r="F47" i="4"/>
  <c r="C47" i="4"/>
  <c r="B47" i="4"/>
  <c r="Q46" i="4"/>
  <c r="P46" i="4"/>
  <c r="O46" i="4"/>
  <c r="N46" i="4"/>
  <c r="M46" i="4"/>
  <c r="L46" i="4"/>
  <c r="K46" i="4"/>
  <c r="J46" i="4"/>
  <c r="I46" i="4"/>
  <c r="H46" i="4"/>
  <c r="G46" i="4"/>
  <c r="F46" i="4"/>
  <c r="C46" i="4"/>
  <c r="B46" i="4"/>
  <c r="Q45" i="4"/>
  <c r="P45" i="4"/>
  <c r="O45" i="4"/>
  <c r="N45" i="4"/>
  <c r="M45" i="4"/>
  <c r="L45" i="4"/>
  <c r="K45" i="4"/>
  <c r="J45" i="4"/>
  <c r="I45" i="4"/>
  <c r="H45" i="4"/>
  <c r="G45" i="4"/>
  <c r="F45" i="4"/>
  <c r="C45" i="4"/>
  <c r="B45" i="4"/>
  <c r="Q44" i="4"/>
  <c r="P44" i="4"/>
  <c r="O44" i="4"/>
  <c r="N44" i="4"/>
  <c r="M44" i="4"/>
  <c r="L44" i="4"/>
  <c r="K44" i="4"/>
  <c r="J44" i="4"/>
  <c r="I44" i="4"/>
  <c r="H44" i="4"/>
  <c r="G44" i="4"/>
  <c r="F44" i="4"/>
  <c r="C44" i="4"/>
  <c r="B44" i="4"/>
  <c r="Q43" i="4"/>
  <c r="P43" i="4"/>
  <c r="O43" i="4"/>
  <c r="N43" i="4"/>
  <c r="M43" i="4"/>
  <c r="L43" i="4"/>
  <c r="K43" i="4"/>
  <c r="J43" i="4"/>
  <c r="I43" i="4"/>
  <c r="H43" i="4"/>
  <c r="G43" i="4"/>
  <c r="F43" i="4"/>
  <c r="C43" i="4"/>
  <c r="B43" i="4"/>
  <c r="Q42" i="4"/>
  <c r="P42" i="4"/>
  <c r="O42" i="4"/>
  <c r="N42" i="4"/>
  <c r="M42" i="4"/>
  <c r="L42" i="4"/>
  <c r="K42" i="4"/>
  <c r="J42" i="4"/>
  <c r="I42" i="4"/>
  <c r="H42" i="4"/>
  <c r="G42" i="4"/>
  <c r="F42" i="4"/>
  <c r="C42" i="4"/>
  <c r="B42" i="4"/>
  <c r="Q41" i="4"/>
  <c r="P41" i="4"/>
  <c r="O41" i="4"/>
  <c r="N41" i="4"/>
  <c r="M41" i="4"/>
  <c r="L41" i="4"/>
  <c r="K41" i="4"/>
  <c r="J41" i="4"/>
  <c r="I41" i="4"/>
  <c r="H41" i="4"/>
  <c r="G41" i="4"/>
  <c r="F41" i="4"/>
  <c r="C41" i="4"/>
  <c r="B41" i="4"/>
  <c r="Q40" i="4"/>
  <c r="P40" i="4"/>
  <c r="O40" i="4"/>
  <c r="N40" i="4"/>
  <c r="M40" i="4"/>
  <c r="L40" i="4"/>
  <c r="K40" i="4"/>
  <c r="J40" i="4"/>
  <c r="I40" i="4"/>
  <c r="H40" i="4"/>
  <c r="G40" i="4"/>
  <c r="F40" i="4"/>
  <c r="C40" i="4"/>
  <c r="B40" i="4"/>
  <c r="Q39" i="4"/>
  <c r="P39" i="4"/>
  <c r="O39" i="4"/>
  <c r="N39" i="4"/>
  <c r="M39" i="4"/>
  <c r="L39" i="4"/>
  <c r="K39" i="4"/>
  <c r="J39" i="4"/>
  <c r="I39" i="4"/>
  <c r="H39" i="4"/>
  <c r="G39" i="4"/>
  <c r="F39" i="4"/>
  <c r="C39" i="4"/>
  <c r="B39" i="4"/>
  <c r="Q38" i="4"/>
  <c r="P38" i="4"/>
  <c r="O38" i="4"/>
  <c r="N38" i="4"/>
  <c r="M38" i="4"/>
  <c r="L38" i="4"/>
  <c r="K38" i="4"/>
  <c r="J38" i="4"/>
  <c r="I38" i="4"/>
  <c r="H38" i="4"/>
  <c r="G38" i="4"/>
  <c r="F38" i="4"/>
  <c r="C38" i="4"/>
  <c r="B38" i="4"/>
  <c r="Q37" i="4"/>
  <c r="P37" i="4"/>
  <c r="O37" i="4"/>
  <c r="N37" i="4"/>
  <c r="M37" i="4"/>
  <c r="L37" i="4"/>
  <c r="K37" i="4"/>
  <c r="J37" i="4"/>
  <c r="I37" i="4"/>
  <c r="H37" i="4"/>
  <c r="G37" i="4"/>
  <c r="F37" i="4"/>
  <c r="C37" i="4"/>
  <c r="B37" i="4"/>
  <c r="Q36" i="4"/>
  <c r="P36" i="4"/>
  <c r="O36" i="4"/>
  <c r="N36" i="4"/>
  <c r="M36" i="4"/>
  <c r="L36" i="4"/>
  <c r="K36" i="4"/>
  <c r="J36" i="4"/>
  <c r="I36" i="4"/>
  <c r="H36" i="4"/>
  <c r="G36" i="4"/>
  <c r="F36" i="4"/>
  <c r="C36" i="4"/>
  <c r="B36" i="4"/>
  <c r="Q35" i="4"/>
  <c r="P35" i="4"/>
  <c r="O35" i="4"/>
  <c r="N35" i="4"/>
  <c r="M35" i="4"/>
  <c r="L35" i="4"/>
  <c r="K35" i="4"/>
  <c r="J35" i="4"/>
  <c r="I35" i="4"/>
  <c r="H35" i="4"/>
  <c r="G35" i="4"/>
  <c r="F35" i="4"/>
  <c r="C35" i="4"/>
  <c r="B35" i="4"/>
  <c r="Q34" i="4"/>
  <c r="P34" i="4"/>
  <c r="O34" i="4"/>
  <c r="N34" i="4"/>
  <c r="M34" i="4"/>
  <c r="L34" i="4"/>
  <c r="K34" i="4"/>
  <c r="J34" i="4"/>
  <c r="I34" i="4"/>
  <c r="H34" i="4"/>
  <c r="G34" i="4"/>
  <c r="F34" i="4"/>
  <c r="C34" i="4"/>
  <c r="B34" i="4"/>
  <c r="Q33" i="4"/>
  <c r="P33" i="4"/>
  <c r="O33" i="4"/>
  <c r="N33" i="4"/>
  <c r="M33" i="4"/>
  <c r="L33" i="4"/>
  <c r="K33" i="4"/>
  <c r="J33" i="4"/>
  <c r="I33" i="4"/>
  <c r="H33" i="4"/>
  <c r="G33" i="4"/>
  <c r="F33" i="4"/>
  <c r="C33" i="4"/>
  <c r="B33" i="4"/>
  <c r="Q32" i="4"/>
  <c r="P32" i="4"/>
  <c r="O32" i="4"/>
  <c r="N32" i="4"/>
  <c r="M32" i="4"/>
  <c r="L32" i="4"/>
  <c r="K32" i="4"/>
  <c r="J32" i="4"/>
  <c r="I32" i="4"/>
  <c r="H32" i="4"/>
  <c r="G32" i="4"/>
  <c r="F32" i="4"/>
  <c r="C32" i="4"/>
  <c r="B32" i="4"/>
  <c r="Q31" i="4"/>
  <c r="P31" i="4"/>
  <c r="O31" i="4"/>
  <c r="N31" i="4"/>
  <c r="M31" i="4"/>
  <c r="L31" i="4"/>
  <c r="K31" i="4"/>
  <c r="J31" i="4"/>
  <c r="I31" i="4"/>
  <c r="H31" i="4"/>
  <c r="G31" i="4"/>
  <c r="F31" i="4"/>
  <c r="C31" i="4"/>
  <c r="B31" i="4"/>
  <c r="Q30" i="4"/>
  <c r="P30" i="4"/>
  <c r="O30" i="4"/>
  <c r="N30" i="4"/>
  <c r="M30" i="4"/>
  <c r="L30" i="4"/>
  <c r="K30" i="4"/>
  <c r="J30" i="4"/>
  <c r="I30" i="4"/>
  <c r="H30" i="4"/>
  <c r="G30" i="4"/>
  <c r="F30" i="4"/>
  <c r="C30" i="4"/>
  <c r="B30" i="4"/>
  <c r="Q29" i="4"/>
  <c r="P29" i="4"/>
  <c r="O29" i="4"/>
  <c r="N29" i="4"/>
  <c r="M29" i="4"/>
  <c r="L29" i="4"/>
  <c r="K29" i="4"/>
  <c r="J29" i="4"/>
  <c r="I29" i="4"/>
  <c r="H29" i="4"/>
  <c r="G29" i="4"/>
  <c r="F29" i="4"/>
  <c r="C29" i="4"/>
  <c r="B29" i="4"/>
  <c r="Q28" i="4"/>
  <c r="P28" i="4"/>
  <c r="O28" i="4"/>
  <c r="N28" i="4"/>
  <c r="M28" i="4"/>
  <c r="L28" i="4"/>
  <c r="K28" i="4"/>
  <c r="J28" i="4"/>
  <c r="I28" i="4"/>
  <c r="H28" i="4"/>
  <c r="G28" i="4"/>
  <c r="F28" i="4"/>
  <c r="C28" i="4"/>
  <c r="B28" i="4"/>
  <c r="Q27" i="4"/>
  <c r="P27" i="4"/>
  <c r="O27" i="4"/>
  <c r="N27" i="4"/>
  <c r="M27" i="4"/>
  <c r="L27" i="4"/>
  <c r="K27" i="4"/>
  <c r="J27" i="4"/>
  <c r="I27" i="4"/>
  <c r="H27" i="4"/>
  <c r="G27" i="4"/>
  <c r="F27" i="4"/>
  <c r="C27" i="4"/>
  <c r="B27" i="4"/>
  <c r="Q26" i="4"/>
  <c r="P26" i="4"/>
  <c r="O26" i="4"/>
  <c r="N26" i="4"/>
  <c r="M26" i="4"/>
  <c r="L26" i="4"/>
  <c r="K26" i="4"/>
  <c r="J26" i="4"/>
  <c r="I26" i="4"/>
  <c r="H26" i="4"/>
  <c r="G26" i="4"/>
  <c r="F26" i="4"/>
  <c r="C26" i="4"/>
  <c r="B26" i="4"/>
  <c r="Q25" i="4"/>
  <c r="P25" i="4"/>
  <c r="O25" i="4"/>
  <c r="N25" i="4"/>
  <c r="M25" i="4"/>
  <c r="L25" i="4"/>
  <c r="K25" i="4"/>
  <c r="J25" i="4"/>
  <c r="I25" i="4"/>
  <c r="H25" i="4"/>
  <c r="G25" i="4"/>
  <c r="F25" i="4"/>
  <c r="C25" i="4"/>
  <c r="B25" i="4"/>
  <c r="Q24" i="4"/>
  <c r="P24" i="4"/>
  <c r="O24" i="4"/>
  <c r="N24" i="4"/>
  <c r="M24" i="4"/>
  <c r="L24" i="4"/>
  <c r="K24" i="4"/>
  <c r="J24" i="4"/>
  <c r="I24" i="4"/>
  <c r="H24" i="4"/>
  <c r="G24" i="4"/>
  <c r="F24" i="4"/>
  <c r="C24" i="4"/>
  <c r="B24" i="4"/>
  <c r="Q23" i="4"/>
  <c r="P23" i="4"/>
  <c r="O23" i="4"/>
  <c r="N23" i="4"/>
  <c r="M23" i="4"/>
  <c r="L23" i="4"/>
  <c r="K23" i="4"/>
  <c r="J23" i="4"/>
  <c r="I23" i="4"/>
  <c r="H23" i="4"/>
  <c r="G23" i="4"/>
  <c r="F23" i="4"/>
  <c r="C23" i="4"/>
  <c r="B23" i="4"/>
  <c r="Q22" i="4"/>
  <c r="P22" i="4"/>
  <c r="O22" i="4"/>
  <c r="N22" i="4"/>
  <c r="M22" i="4"/>
  <c r="L22" i="4"/>
  <c r="K22" i="4"/>
  <c r="J22" i="4"/>
  <c r="I22" i="4"/>
  <c r="H22" i="4"/>
  <c r="G22" i="4"/>
  <c r="F22" i="4"/>
  <c r="C22" i="4"/>
  <c r="B22" i="4"/>
  <c r="Q21" i="4"/>
  <c r="P21" i="4"/>
  <c r="O21" i="4"/>
  <c r="N21" i="4"/>
  <c r="M21" i="4"/>
  <c r="L21" i="4"/>
  <c r="K21" i="4"/>
  <c r="J21" i="4"/>
  <c r="I21" i="4"/>
  <c r="H21" i="4"/>
  <c r="G21" i="4"/>
  <c r="F21" i="4"/>
  <c r="C21" i="4"/>
  <c r="B21" i="4"/>
  <c r="Q20" i="4"/>
  <c r="P20" i="4"/>
  <c r="O20" i="4"/>
  <c r="N20" i="4"/>
  <c r="M20" i="4"/>
  <c r="L20" i="4"/>
  <c r="K20" i="4"/>
  <c r="J20" i="4"/>
  <c r="I20" i="4"/>
  <c r="H20" i="4"/>
  <c r="G20" i="4"/>
  <c r="F20" i="4"/>
  <c r="C20" i="4"/>
  <c r="B20" i="4"/>
  <c r="Q19" i="4"/>
  <c r="P19" i="4"/>
  <c r="O19" i="4"/>
  <c r="N19" i="4"/>
  <c r="M19" i="4"/>
  <c r="L19" i="4"/>
  <c r="K19" i="4"/>
  <c r="J19" i="4"/>
  <c r="I19" i="4"/>
  <c r="H19" i="4"/>
  <c r="G19" i="4"/>
  <c r="F19" i="4"/>
  <c r="C19" i="4"/>
  <c r="B19" i="4"/>
  <c r="Q18" i="4"/>
  <c r="P18" i="4"/>
  <c r="O18" i="4"/>
  <c r="N18" i="4"/>
  <c r="M18" i="4"/>
  <c r="L18" i="4"/>
  <c r="K18" i="4"/>
  <c r="J18" i="4"/>
  <c r="I18" i="4"/>
  <c r="H18" i="4"/>
  <c r="G18" i="4"/>
  <c r="F18" i="4"/>
  <c r="C18" i="4"/>
  <c r="B18" i="4"/>
  <c r="Q17" i="4"/>
  <c r="P17" i="4"/>
  <c r="O17" i="4"/>
  <c r="N17" i="4"/>
  <c r="M17" i="4"/>
  <c r="L17" i="4"/>
  <c r="K17" i="4"/>
  <c r="J17" i="4"/>
  <c r="I17" i="4"/>
  <c r="H17" i="4"/>
  <c r="G17" i="4"/>
  <c r="F17" i="4"/>
  <c r="C17" i="4"/>
  <c r="B17" i="4"/>
  <c r="Q16" i="4"/>
  <c r="P16" i="4"/>
  <c r="O16" i="4"/>
  <c r="N16" i="4"/>
  <c r="M16" i="4"/>
  <c r="L16" i="4"/>
  <c r="K16" i="4"/>
  <c r="J16" i="4"/>
  <c r="I16" i="4"/>
  <c r="H16" i="4"/>
  <c r="G16" i="4"/>
  <c r="F16" i="4"/>
  <c r="C16" i="4"/>
  <c r="B16" i="4"/>
  <c r="Q15" i="4"/>
  <c r="P15" i="4"/>
  <c r="O15" i="4"/>
  <c r="N15" i="4"/>
  <c r="M15" i="4"/>
  <c r="L15" i="4"/>
  <c r="K15" i="4"/>
  <c r="J15" i="4"/>
  <c r="I15" i="4"/>
  <c r="H15" i="4"/>
  <c r="G15" i="4"/>
  <c r="F15" i="4"/>
  <c r="C15" i="4"/>
  <c r="B15" i="4"/>
  <c r="Q14" i="4"/>
  <c r="P14" i="4"/>
  <c r="O14" i="4"/>
  <c r="N14" i="4"/>
  <c r="M14" i="4"/>
  <c r="L14" i="4"/>
  <c r="K14" i="4"/>
  <c r="J14" i="4"/>
  <c r="I14" i="4"/>
  <c r="H14" i="4"/>
  <c r="G14" i="4"/>
  <c r="F14" i="4"/>
  <c r="C14" i="4"/>
  <c r="B14" i="4"/>
  <c r="Q13" i="4"/>
  <c r="P13" i="4"/>
  <c r="O13" i="4"/>
  <c r="N13" i="4"/>
  <c r="M13" i="4"/>
  <c r="L13" i="4"/>
  <c r="K13" i="4"/>
  <c r="J13" i="4"/>
  <c r="I13" i="4"/>
  <c r="H13" i="4"/>
  <c r="G13" i="4"/>
  <c r="F13" i="4"/>
  <c r="C13" i="4"/>
  <c r="B13" i="4"/>
  <c r="Q12" i="4"/>
  <c r="P12" i="4"/>
  <c r="O12" i="4"/>
  <c r="N12" i="4"/>
  <c r="M12" i="4"/>
  <c r="L12" i="4"/>
  <c r="K12" i="4"/>
  <c r="J12" i="4"/>
  <c r="I12" i="4"/>
  <c r="H12" i="4"/>
  <c r="G12" i="4"/>
  <c r="F12" i="4"/>
  <c r="C12" i="4"/>
  <c r="B12" i="4"/>
  <c r="Q11" i="4"/>
  <c r="P11" i="4"/>
  <c r="O11" i="4"/>
  <c r="N11" i="4"/>
  <c r="M11" i="4"/>
  <c r="L11" i="4"/>
  <c r="K11" i="4"/>
  <c r="J11" i="4"/>
  <c r="I11" i="4"/>
  <c r="H11" i="4"/>
  <c r="G11" i="4"/>
  <c r="F11" i="4"/>
  <c r="C11" i="4"/>
  <c r="B11" i="4"/>
  <c r="Q10" i="4"/>
  <c r="P10" i="4"/>
  <c r="O10" i="4"/>
  <c r="N10" i="4"/>
  <c r="M10" i="4"/>
  <c r="L10" i="4"/>
  <c r="K10" i="4"/>
  <c r="J10" i="4"/>
  <c r="I10" i="4"/>
  <c r="H10" i="4"/>
  <c r="G10" i="4"/>
  <c r="F10" i="4"/>
  <c r="C10" i="4"/>
  <c r="B10" i="4"/>
  <c r="Q9" i="4"/>
  <c r="P9" i="4"/>
  <c r="O9" i="4"/>
  <c r="N9" i="4"/>
  <c r="M9" i="4"/>
  <c r="L9" i="4"/>
  <c r="K9" i="4"/>
  <c r="J9" i="4"/>
  <c r="I9" i="4"/>
  <c r="H9" i="4"/>
  <c r="G9" i="4"/>
  <c r="F9" i="4"/>
  <c r="C9" i="4"/>
  <c r="B9" i="4"/>
  <c r="Q8" i="4"/>
  <c r="P8" i="4"/>
  <c r="O8" i="4"/>
  <c r="N8" i="4"/>
  <c r="M8" i="4"/>
  <c r="L8" i="4"/>
  <c r="K8" i="4"/>
  <c r="J8" i="4"/>
  <c r="I8" i="4"/>
  <c r="H8" i="4"/>
  <c r="G8" i="4"/>
  <c r="F8" i="4"/>
  <c r="C8" i="4"/>
  <c r="B8" i="4"/>
  <c r="Q7" i="4"/>
  <c r="P7" i="4"/>
  <c r="O7" i="4"/>
  <c r="N7" i="4"/>
  <c r="M7" i="4"/>
  <c r="L7" i="4"/>
  <c r="K7" i="4"/>
  <c r="J7" i="4"/>
  <c r="I7" i="4"/>
  <c r="H7" i="4"/>
  <c r="G7" i="4"/>
  <c r="F7" i="4"/>
  <c r="C7" i="4"/>
  <c r="B7" i="4"/>
  <c r="Q6" i="4"/>
  <c r="P6" i="4"/>
  <c r="O6" i="4"/>
  <c r="N6" i="4"/>
  <c r="M6" i="4"/>
  <c r="L6" i="4"/>
  <c r="K6" i="4"/>
  <c r="J6" i="4"/>
  <c r="I6" i="4"/>
  <c r="H6" i="4"/>
  <c r="G6" i="4"/>
  <c r="F6" i="4"/>
  <c r="C6" i="4"/>
  <c r="B6" i="4"/>
  <c r="Q5" i="4"/>
  <c r="P5" i="4"/>
  <c r="O5" i="4"/>
  <c r="N5" i="4"/>
  <c r="M5" i="4"/>
  <c r="L5" i="4"/>
  <c r="K5" i="4"/>
  <c r="J5" i="4"/>
  <c r="I5" i="4"/>
  <c r="H5" i="4"/>
  <c r="G5" i="4"/>
  <c r="F5" i="4"/>
  <c r="C5" i="4"/>
  <c r="B5" i="4"/>
  <c r="Q4" i="4"/>
  <c r="P4" i="4"/>
  <c r="O4" i="4"/>
  <c r="N4" i="4"/>
  <c r="M4" i="4"/>
  <c r="L4" i="4"/>
  <c r="K4" i="4"/>
  <c r="J4" i="4"/>
  <c r="I4" i="4"/>
  <c r="H4" i="4"/>
  <c r="G4" i="4"/>
  <c r="F4" i="4"/>
  <c r="C4" i="4"/>
  <c r="B4" i="4"/>
  <c r="Q3" i="4"/>
  <c r="O3" i="4"/>
  <c r="M3" i="4"/>
  <c r="K3" i="4"/>
  <c r="I3" i="4"/>
  <c r="G3" i="4"/>
  <c r="C3" i="4"/>
  <c r="Q2" i="4"/>
  <c r="O2" i="4"/>
  <c r="M2" i="4"/>
  <c r="K2" i="4"/>
  <c r="I2" i="4"/>
  <c r="G2" i="4"/>
  <c r="C2" i="4"/>
  <c r="C440" i="3"/>
  <c r="C439" i="3"/>
  <c r="G430" i="3"/>
  <c r="F430" i="3"/>
  <c r="H429" i="3"/>
  <c r="G429" i="3"/>
  <c r="F429" i="3"/>
  <c r="W425" i="3"/>
  <c r="W426" i="3" s="1"/>
  <c r="C417" i="3" s="1"/>
  <c r="U425" i="3"/>
  <c r="U426" i="3" s="1"/>
  <c r="M425" i="3"/>
  <c r="W423" i="3"/>
  <c r="T423" i="3"/>
  <c r="U423" i="3" s="1"/>
  <c r="Q423" i="3"/>
  <c r="G423" i="3"/>
  <c r="H423" i="3" s="1"/>
  <c r="F423" i="3"/>
  <c r="E423" i="3"/>
  <c r="S423" i="3" s="1"/>
  <c r="W422" i="3"/>
  <c r="T422" i="3"/>
  <c r="U422" i="3" s="1"/>
  <c r="Q422" i="3"/>
  <c r="G422" i="3"/>
  <c r="F422" i="3"/>
  <c r="F425" i="3" s="1"/>
  <c r="E422" i="3"/>
  <c r="G415" i="3"/>
  <c r="F415" i="3"/>
  <c r="C415" i="3"/>
  <c r="F411" i="3"/>
  <c r="G410" i="3"/>
  <c r="H409" i="3"/>
  <c r="G409" i="3"/>
  <c r="E409" i="3"/>
  <c r="G408" i="3"/>
  <c r="E408" i="3"/>
  <c r="H408" i="3" s="1"/>
  <c r="J407" i="3"/>
  <c r="H407" i="3"/>
  <c r="G407" i="3"/>
  <c r="E407" i="3"/>
  <c r="G406" i="3"/>
  <c r="E406" i="3"/>
  <c r="H406" i="3" s="1"/>
  <c r="H405" i="3"/>
  <c r="G405" i="3"/>
  <c r="E405" i="3"/>
  <c r="G404" i="3"/>
  <c r="E404" i="3"/>
  <c r="H404" i="3" s="1"/>
  <c r="J403" i="3"/>
  <c r="H403" i="3"/>
  <c r="G403" i="3"/>
  <c r="E403" i="3"/>
  <c r="G402" i="3"/>
  <c r="E402" i="3"/>
  <c r="H402" i="3" s="1"/>
  <c r="G401" i="3"/>
  <c r="E401" i="3"/>
  <c r="H401" i="3" s="1"/>
  <c r="H400" i="3"/>
  <c r="G400" i="3"/>
  <c r="E400" i="3"/>
  <c r="G399" i="3"/>
  <c r="E399" i="3"/>
  <c r="H399" i="3" s="1"/>
  <c r="H398" i="3"/>
  <c r="G398" i="3"/>
  <c r="E398" i="3"/>
  <c r="H397" i="3"/>
  <c r="J397" i="3" s="1"/>
  <c r="G397" i="3"/>
  <c r="E397" i="3"/>
  <c r="H396" i="3"/>
  <c r="G396" i="3"/>
  <c r="E396" i="3"/>
  <c r="G395" i="3"/>
  <c r="E395" i="3"/>
  <c r="H395" i="3" s="1"/>
  <c r="J395" i="3" s="1"/>
  <c r="G394" i="3"/>
  <c r="E394" i="3"/>
  <c r="H394" i="3" s="1"/>
  <c r="J393" i="3"/>
  <c r="H393" i="3"/>
  <c r="G393" i="3"/>
  <c r="E393" i="3"/>
  <c r="G392" i="3"/>
  <c r="E392" i="3"/>
  <c r="H392" i="3" s="1"/>
  <c r="G391" i="3"/>
  <c r="E391" i="3"/>
  <c r="H391" i="3" s="1"/>
  <c r="G390" i="3"/>
  <c r="E390" i="3"/>
  <c r="H390" i="3" s="1"/>
  <c r="H389" i="3"/>
  <c r="G389" i="3"/>
  <c r="E389" i="3"/>
  <c r="G388" i="3"/>
  <c r="E388" i="3"/>
  <c r="H388" i="3" s="1"/>
  <c r="G387" i="3"/>
  <c r="E387" i="3"/>
  <c r="H387" i="3" s="1"/>
  <c r="G386" i="3"/>
  <c r="E386" i="3"/>
  <c r="H386" i="3" s="1"/>
  <c r="J386" i="3" s="1"/>
  <c r="G385" i="3"/>
  <c r="E385" i="3"/>
  <c r="H385" i="3" s="1"/>
  <c r="J385" i="3" s="1"/>
  <c r="G384" i="3"/>
  <c r="E384" i="3"/>
  <c r="H384" i="3" s="1"/>
  <c r="H383" i="3"/>
  <c r="J383" i="3" s="1"/>
  <c r="G383" i="3"/>
  <c r="E383" i="3"/>
  <c r="G382" i="3"/>
  <c r="E382" i="3"/>
  <c r="H382" i="3" s="1"/>
  <c r="G381" i="3"/>
  <c r="E381" i="3"/>
  <c r="H381" i="3" s="1"/>
  <c r="H380" i="3"/>
  <c r="J380" i="3" s="1"/>
  <c r="G380" i="3"/>
  <c r="E380" i="3"/>
  <c r="G379" i="3"/>
  <c r="E379" i="3"/>
  <c r="H379" i="3" s="1"/>
  <c r="J378" i="3"/>
  <c r="H378" i="3"/>
  <c r="G378" i="3"/>
  <c r="E378" i="3"/>
  <c r="G377" i="3"/>
  <c r="E377" i="3"/>
  <c r="H377" i="3" s="1"/>
  <c r="G376" i="3"/>
  <c r="E376" i="3"/>
  <c r="H376" i="3" s="1"/>
  <c r="J376" i="3" s="1"/>
  <c r="G375" i="3"/>
  <c r="E375" i="3"/>
  <c r="H375" i="3" s="1"/>
  <c r="J374" i="3"/>
  <c r="H374" i="3"/>
  <c r="G374" i="3"/>
  <c r="E374" i="3"/>
  <c r="H373" i="3"/>
  <c r="G373" i="3"/>
  <c r="E373" i="3"/>
  <c r="G372" i="3"/>
  <c r="E372" i="3"/>
  <c r="H372" i="3" s="1"/>
  <c r="H371" i="3"/>
  <c r="J371" i="3" s="1"/>
  <c r="G371" i="3"/>
  <c r="E371" i="3"/>
  <c r="G370" i="3"/>
  <c r="E370" i="3"/>
  <c r="H370" i="3" s="1"/>
  <c r="J370" i="3" s="1"/>
  <c r="G369" i="3"/>
  <c r="E369" i="3"/>
  <c r="H369" i="3" s="1"/>
  <c r="J368" i="3"/>
  <c r="G368" i="3"/>
  <c r="E368" i="3"/>
  <c r="H368" i="3" s="1"/>
  <c r="H367" i="3"/>
  <c r="G367" i="3"/>
  <c r="E367" i="3"/>
  <c r="G366" i="3"/>
  <c r="E366" i="3"/>
  <c r="H366" i="3" s="1"/>
  <c r="G365" i="3"/>
  <c r="E365" i="3"/>
  <c r="H365" i="3" s="1"/>
  <c r="H364" i="3"/>
  <c r="J364" i="3" s="1"/>
  <c r="G364" i="3"/>
  <c r="E364" i="3"/>
  <c r="G363" i="3"/>
  <c r="E363" i="3"/>
  <c r="H363" i="3" s="1"/>
  <c r="G362" i="3"/>
  <c r="E362" i="3"/>
  <c r="H362" i="3" s="1"/>
  <c r="J361" i="3"/>
  <c r="H361" i="3"/>
  <c r="G361" i="3"/>
  <c r="E361" i="3"/>
  <c r="G360" i="3"/>
  <c r="E360" i="3"/>
  <c r="H360" i="3" s="1"/>
  <c r="G359" i="3"/>
  <c r="E359" i="3"/>
  <c r="H359" i="3" s="1"/>
  <c r="H358" i="3"/>
  <c r="J358" i="3" s="1"/>
  <c r="G358" i="3"/>
  <c r="E358" i="3"/>
  <c r="H357" i="3"/>
  <c r="G357" i="3"/>
  <c r="E357" i="3"/>
  <c r="H356" i="3"/>
  <c r="G356" i="3"/>
  <c r="E356" i="3"/>
  <c r="G355" i="3"/>
  <c r="E355" i="3"/>
  <c r="H355" i="3" s="1"/>
  <c r="G354" i="3"/>
  <c r="E354" i="3"/>
  <c r="H354" i="3" s="1"/>
  <c r="J354" i="3" s="1"/>
  <c r="H353" i="3"/>
  <c r="G353" i="3"/>
  <c r="E353" i="3"/>
  <c r="G352" i="3"/>
  <c r="E352" i="3"/>
  <c r="H352" i="3" s="1"/>
  <c r="G351" i="3"/>
  <c r="E351" i="3"/>
  <c r="H351" i="3" s="1"/>
  <c r="H350" i="3"/>
  <c r="G350" i="3"/>
  <c r="E350" i="3"/>
  <c r="G349" i="3"/>
  <c r="E349" i="3"/>
  <c r="H349" i="3" s="1"/>
  <c r="J349" i="3" s="1"/>
  <c r="H348" i="3"/>
  <c r="G348" i="3"/>
  <c r="E348" i="3"/>
  <c r="G347" i="3"/>
  <c r="E347" i="3"/>
  <c r="H347" i="3" s="1"/>
  <c r="G346" i="3"/>
  <c r="E346" i="3"/>
  <c r="H346" i="3" s="1"/>
  <c r="G345" i="3"/>
  <c r="E345" i="3"/>
  <c r="H345" i="3" s="1"/>
  <c r="G344" i="3"/>
  <c r="E344" i="3"/>
  <c r="H344" i="3" s="1"/>
  <c r="H343" i="3"/>
  <c r="J343" i="3" s="1"/>
  <c r="G343" i="3"/>
  <c r="E343" i="3"/>
  <c r="H342" i="3"/>
  <c r="G342" i="3"/>
  <c r="E342" i="3"/>
  <c r="H341" i="3"/>
  <c r="G341" i="3"/>
  <c r="E341" i="3"/>
  <c r="G340" i="3"/>
  <c r="E340" i="3"/>
  <c r="H340" i="3" s="1"/>
  <c r="J339" i="3"/>
  <c r="G339" i="3"/>
  <c r="E339" i="3"/>
  <c r="H339" i="3" s="1"/>
  <c r="G338" i="3"/>
  <c r="E338" i="3"/>
  <c r="H338" i="3" s="1"/>
  <c r="G337" i="3"/>
  <c r="E337" i="3"/>
  <c r="H337" i="3" s="1"/>
  <c r="G336" i="3"/>
  <c r="E336" i="3"/>
  <c r="H336" i="3" s="1"/>
  <c r="H335" i="3"/>
  <c r="J335" i="3" s="1"/>
  <c r="G335" i="3"/>
  <c r="E335" i="3"/>
  <c r="G334" i="3"/>
  <c r="E334" i="3"/>
  <c r="H334" i="3" s="1"/>
  <c r="G333" i="3"/>
  <c r="E333" i="3"/>
  <c r="H333" i="3" s="1"/>
  <c r="J333" i="3" s="1"/>
  <c r="H332" i="3"/>
  <c r="J332" i="3" s="1"/>
  <c r="G332" i="3"/>
  <c r="E332" i="3"/>
  <c r="J331" i="3"/>
  <c r="G331" i="3"/>
  <c r="E331" i="3"/>
  <c r="H331" i="3" s="1"/>
  <c r="G330" i="3"/>
  <c r="E330" i="3"/>
  <c r="H330" i="3" s="1"/>
  <c r="H329" i="3"/>
  <c r="G329" i="3"/>
  <c r="E329" i="3"/>
  <c r="G328" i="3"/>
  <c r="E328" i="3"/>
  <c r="H328" i="3" s="1"/>
  <c r="H327" i="3"/>
  <c r="G327" i="3"/>
  <c r="E327" i="3"/>
  <c r="H326" i="3"/>
  <c r="G326" i="3"/>
  <c r="E326" i="3"/>
  <c r="H325" i="3"/>
  <c r="G325" i="3"/>
  <c r="E325" i="3"/>
  <c r="J324" i="3"/>
  <c r="H324" i="3"/>
  <c r="G324" i="3"/>
  <c r="E324" i="3"/>
  <c r="G323" i="3"/>
  <c r="E323" i="3"/>
  <c r="H323" i="3" s="1"/>
  <c r="G322" i="3"/>
  <c r="E322" i="3"/>
  <c r="H322" i="3" s="1"/>
  <c r="J322" i="3" s="1"/>
  <c r="G321" i="3"/>
  <c r="E321" i="3"/>
  <c r="H321" i="3" s="1"/>
  <c r="J320" i="3"/>
  <c r="H320" i="3"/>
  <c r="G320" i="3"/>
  <c r="E320" i="3"/>
  <c r="G319" i="3"/>
  <c r="E319" i="3"/>
  <c r="H319" i="3" s="1"/>
  <c r="G318" i="3"/>
  <c r="E318" i="3"/>
  <c r="H318" i="3" s="1"/>
  <c r="H317" i="3"/>
  <c r="G317" i="3"/>
  <c r="E317" i="3"/>
  <c r="H316" i="3"/>
  <c r="G316" i="3"/>
  <c r="E316" i="3"/>
  <c r="G315" i="3"/>
  <c r="E315" i="3"/>
  <c r="H315" i="3" s="1"/>
  <c r="H314" i="3"/>
  <c r="J314" i="3" s="1"/>
  <c r="G314" i="3"/>
  <c r="E314" i="3"/>
  <c r="G313" i="3"/>
  <c r="E313" i="3"/>
  <c r="H313" i="3" s="1"/>
  <c r="G312" i="3"/>
  <c r="E312" i="3"/>
  <c r="H312" i="3" s="1"/>
  <c r="G311" i="3"/>
  <c r="E311" i="3"/>
  <c r="H311" i="3" s="1"/>
  <c r="H310" i="3"/>
  <c r="J310" i="3" s="1"/>
  <c r="G310" i="3"/>
  <c r="E310" i="3"/>
  <c r="H309" i="3"/>
  <c r="G309" i="3"/>
  <c r="E309" i="3"/>
  <c r="G308" i="3"/>
  <c r="E308" i="3"/>
  <c r="H308" i="3" s="1"/>
  <c r="G307" i="3"/>
  <c r="E307" i="3"/>
  <c r="H307" i="3" s="1"/>
  <c r="G306" i="3"/>
  <c r="E306" i="3"/>
  <c r="H306" i="3" s="1"/>
  <c r="G305" i="3"/>
  <c r="E305" i="3"/>
  <c r="H305" i="3" s="1"/>
  <c r="G304" i="3"/>
  <c r="E304" i="3"/>
  <c r="H304" i="3" s="1"/>
  <c r="G303" i="3"/>
  <c r="E303" i="3"/>
  <c r="H303" i="3" s="1"/>
  <c r="G302" i="3"/>
  <c r="E302" i="3"/>
  <c r="H302" i="3" s="1"/>
  <c r="G301" i="3"/>
  <c r="E301" i="3"/>
  <c r="H301" i="3" s="1"/>
  <c r="H300" i="3"/>
  <c r="G300" i="3"/>
  <c r="E300" i="3"/>
  <c r="G299" i="3"/>
  <c r="E299" i="3"/>
  <c r="H299" i="3" s="1"/>
  <c r="G298" i="3"/>
  <c r="E298" i="3"/>
  <c r="H298" i="3" s="1"/>
  <c r="G297" i="3"/>
  <c r="E297" i="3"/>
  <c r="H297" i="3" s="1"/>
  <c r="G296" i="3"/>
  <c r="E296" i="3"/>
  <c r="H296" i="3" s="1"/>
  <c r="J296" i="3" s="1"/>
  <c r="J295" i="3"/>
  <c r="H295" i="3"/>
  <c r="G295" i="3"/>
  <c r="E295" i="3"/>
  <c r="G294" i="3"/>
  <c r="E294" i="3"/>
  <c r="H294" i="3" s="1"/>
  <c r="H293" i="3"/>
  <c r="J293" i="3" s="1"/>
  <c r="G293" i="3"/>
  <c r="E293" i="3"/>
  <c r="G292" i="3"/>
  <c r="E292" i="3"/>
  <c r="H292" i="3" s="1"/>
  <c r="G291" i="3"/>
  <c r="E291" i="3"/>
  <c r="H291" i="3" s="1"/>
  <c r="G290" i="3"/>
  <c r="E290" i="3"/>
  <c r="H290" i="3" s="1"/>
  <c r="H289" i="3"/>
  <c r="G289" i="3"/>
  <c r="E289" i="3"/>
  <c r="H288" i="3"/>
  <c r="G288" i="3"/>
  <c r="E288" i="3"/>
  <c r="G287" i="3"/>
  <c r="E287" i="3"/>
  <c r="H287" i="3" s="1"/>
  <c r="H286" i="3"/>
  <c r="G286" i="3"/>
  <c r="E286" i="3"/>
  <c r="G285" i="3"/>
  <c r="E285" i="3"/>
  <c r="H285" i="3" s="1"/>
  <c r="J284" i="3"/>
  <c r="H284" i="3"/>
  <c r="G284" i="3"/>
  <c r="E284" i="3"/>
  <c r="G283" i="3"/>
  <c r="E283" i="3"/>
  <c r="H283" i="3" s="1"/>
  <c r="H282" i="3"/>
  <c r="G282" i="3"/>
  <c r="E282" i="3"/>
  <c r="H281" i="3"/>
  <c r="J281" i="3" s="1"/>
  <c r="G281" i="3"/>
  <c r="E281" i="3"/>
  <c r="G280" i="3"/>
  <c r="E280" i="3"/>
  <c r="H280" i="3" s="1"/>
  <c r="H279" i="3"/>
  <c r="G279" i="3"/>
  <c r="E279" i="3"/>
  <c r="G278" i="3"/>
  <c r="E278" i="3"/>
  <c r="H278" i="3" s="1"/>
  <c r="H277" i="3"/>
  <c r="G277" i="3"/>
  <c r="E277" i="3"/>
  <c r="G276" i="3"/>
  <c r="E276" i="3"/>
  <c r="H276" i="3" s="1"/>
  <c r="H275" i="3"/>
  <c r="J275" i="3" s="1"/>
  <c r="G275" i="3"/>
  <c r="E275" i="3"/>
  <c r="G274" i="3"/>
  <c r="E274" i="3"/>
  <c r="H274" i="3" s="1"/>
  <c r="H273" i="3"/>
  <c r="G273" i="3"/>
  <c r="E273" i="3"/>
  <c r="G272" i="3"/>
  <c r="E272" i="3"/>
  <c r="H272" i="3" s="1"/>
  <c r="H271" i="3"/>
  <c r="J271" i="3" s="1"/>
  <c r="G271" i="3"/>
  <c r="E271" i="3"/>
  <c r="H270" i="3"/>
  <c r="G270" i="3"/>
  <c r="E270" i="3"/>
  <c r="G269" i="3"/>
  <c r="E269" i="3"/>
  <c r="H269" i="3" s="1"/>
  <c r="H268" i="3"/>
  <c r="G268" i="3"/>
  <c r="E268" i="3"/>
  <c r="G267" i="3"/>
  <c r="E267" i="3"/>
  <c r="H267" i="3" s="1"/>
  <c r="G266" i="3"/>
  <c r="E266" i="3"/>
  <c r="H266" i="3" s="1"/>
  <c r="G265" i="3"/>
  <c r="E265" i="3"/>
  <c r="H265" i="3" s="1"/>
  <c r="G264" i="3"/>
  <c r="E264" i="3"/>
  <c r="H264" i="3" s="1"/>
  <c r="G263" i="3"/>
  <c r="E263" i="3"/>
  <c r="H263" i="3" s="1"/>
  <c r="G262" i="3"/>
  <c r="E262" i="3"/>
  <c r="H262" i="3" s="1"/>
  <c r="H261" i="3"/>
  <c r="G261" i="3"/>
  <c r="E261" i="3"/>
  <c r="G260" i="3"/>
  <c r="E260" i="3"/>
  <c r="H260" i="3" s="1"/>
  <c r="J259" i="3"/>
  <c r="G259" i="3"/>
  <c r="E259" i="3"/>
  <c r="H259" i="3" s="1"/>
  <c r="G258" i="3"/>
  <c r="E258" i="3"/>
  <c r="H258" i="3" s="1"/>
  <c r="G257" i="3"/>
  <c r="E257" i="3"/>
  <c r="H257" i="3" s="1"/>
  <c r="G256" i="3"/>
  <c r="E256" i="3"/>
  <c r="H256" i="3" s="1"/>
  <c r="G255" i="3"/>
  <c r="E255" i="3"/>
  <c r="H255" i="3" s="1"/>
  <c r="G254" i="3"/>
  <c r="E254" i="3"/>
  <c r="H254" i="3" s="1"/>
  <c r="G253" i="3"/>
  <c r="E253" i="3"/>
  <c r="H253" i="3" s="1"/>
  <c r="H252" i="3"/>
  <c r="G252" i="3"/>
  <c r="E252" i="3"/>
  <c r="G251" i="3"/>
  <c r="E251" i="3"/>
  <c r="H251" i="3" s="1"/>
  <c r="H250" i="3"/>
  <c r="J250" i="3" s="1"/>
  <c r="G250" i="3"/>
  <c r="E250" i="3"/>
  <c r="H249" i="3"/>
  <c r="G249" i="3"/>
  <c r="E249" i="3"/>
  <c r="G248" i="3"/>
  <c r="E248" i="3"/>
  <c r="H248" i="3" s="1"/>
  <c r="G247" i="3"/>
  <c r="E247" i="3"/>
  <c r="H247" i="3" s="1"/>
  <c r="H246" i="3"/>
  <c r="J246" i="3" s="1"/>
  <c r="G246" i="3"/>
  <c r="E246" i="3"/>
  <c r="H245" i="3"/>
  <c r="G245" i="3"/>
  <c r="E245" i="3"/>
  <c r="G244" i="3"/>
  <c r="E244" i="3"/>
  <c r="H244" i="3" s="1"/>
  <c r="H243" i="3"/>
  <c r="G243" i="3"/>
  <c r="E243" i="3"/>
  <c r="G242" i="3"/>
  <c r="E242" i="3"/>
  <c r="H242" i="3" s="1"/>
  <c r="H241" i="3"/>
  <c r="G241" i="3"/>
  <c r="E241" i="3"/>
  <c r="G240" i="3"/>
  <c r="E240" i="3"/>
  <c r="H240" i="3" s="1"/>
  <c r="J239" i="3"/>
  <c r="H239" i="3"/>
  <c r="G239" i="3"/>
  <c r="E239" i="3"/>
  <c r="G238" i="3"/>
  <c r="E238" i="3"/>
  <c r="H238" i="3" s="1"/>
  <c r="J237" i="3"/>
  <c r="H237" i="3"/>
  <c r="G237" i="3"/>
  <c r="E237" i="3"/>
  <c r="H236" i="3"/>
  <c r="G236" i="3"/>
  <c r="E236" i="3"/>
  <c r="G235" i="3"/>
  <c r="E235" i="3"/>
  <c r="H235" i="3" s="1"/>
  <c r="H234" i="3"/>
  <c r="G234" i="3"/>
  <c r="E234" i="3"/>
  <c r="G233" i="3"/>
  <c r="E233" i="3"/>
  <c r="H233" i="3" s="1"/>
  <c r="G232" i="3"/>
  <c r="E232" i="3"/>
  <c r="H232" i="3" s="1"/>
  <c r="G231" i="3"/>
  <c r="E231" i="3"/>
  <c r="H231" i="3" s="1"/>
  <c r="J230" i="3"/>
  <c r="G230" i="3"/>
  <c r="E230" i="3"/>
  <c r="H230" i="3" s="1"/>
  <c r="H229" i="3"/>
  <c r="G229" i="3"/>
  <c r="E229" i="3"/>
  <c r="H228" i="3"/>
  <c r="J228" i="3" s="1"/>
  <c r="G228" i="3"/>
  <c r="E228" i="3"/>
  <c r="H227" i="3"/>
  <c r="G227" i="3"/>
  <c r="E227" i="3"/>
  <c r="G226" i="3"/>
  <c r="E226" i="3"/>
  <c r="H226" i="3" s="1"/>
  <c r="J226" i="3" s="1"/>
  <c r="G225" i="3"/>
  <c r="E225" i="3"/>
  <c r="H225" i="3" s="1"/>
  <c r="J224" i="3"/>
  <c r="H224" i="3"/>
  <c r="G224" i="3"/>
  <c r="E224" i="3"/>
  <c r="G223" i="3"/>
  <c r="E223" i="3"/>
  <c r="H223" i="3" s="1"/>
  <c r="G222" i="3"/>
  <c r="E222" i="3"/>
  <c r="H222" i="3" s="1"/>
  <c r="G221" i="3"/>
  <c r="E221" i="3"/>
  <c r="H221" i="3" s="1"/>
  <c r="H220" i="3"/>
  <c r="J220" i="3" s="1"/>
  <c r="G220" i="3"/>
  <c r="E220" i="3"/>
  <c r="G219" i="3"/>
  <c r="E219" i="3"/>
  <c r="H219" i="3" s="1"/>
  <c r="G218" i="3"/>
  <c r="E218" i="3"/>
  <c r="H218" i="3" s="1"/>
  <c r="H217" i="3"/>
  <c r="J217" i="3" s="1"/>
  <c r="G217" i="3"/>
  <c r="E217" i="3"/>
  <c r="G216" i="3"/>
  <c r="E216" i="3"/>
  <c r="H216" i="3" s="1"/>
  <c r="G215" i="3"/>
  <c r="E215" i="3"/>
  <c r="H215" i="3" s="1"/>
  <c r="H214" i="3"/>
  <c r="G214" i="3"/>
  <c r="E214" i="3"/>
  <c r="H213" i="3"/>
  <c r="G213" i="3"/>
  <c r="E213" i="3"/>
  <c r="G212" i="3"/>
  <c r="E212" i="3"/>
  <c r="H212" i="3" s="1"/>
  <c r="G211" i="3"/>
  <c r="E211" i="3"/>
  <c r="H211" i="3" s="1"/>
  <c r="J210" i="3"/>
  <c r="G210" i="3"/>
  <c r="E210" i="3"/>
  <c r="H210" i="3" s="1"/>
  <c r="G209" i="3"/>
  <c r="E209" i="3"/>
  <c r="H209" i="3" s="1"/>
  <c r="G208" i="3"/>
  <c r="E208" i="3"/>
  <c r="H208" i="3" s="1"/>
  <c r="G207" i="3"/>
  <c r="E207" i="3"/>
  <c r="H207" i="3" s="1"/>
  <c r="G206" i="3"/>
  <c r="E206" i="3"/>
  <c r="H206" i="3" s="1"/>
  <c r="J205" i="3"/>
  <c r="H205" i="3"/>
  <c r="G205" i="3"/>
  <c r="E205" i="3"/>
  <c r="H204" i="3"/>
  <c r="G204" i="3"/>
  <c r="E204" i="3"/>
  <c r="G203" i="3"/>
  <c r="E203" i="3"/>
  <c r="H203" i="3" s="1"/>
  <c r="J203" i="3" s="1"/>
  <c r="G202" i="3"/>
  <c r="E202" i="3"/>
  <c r="H202" i="3" s="1"/>
  <c r="J201" i="3"/>
  <c r="H201" i="3"/>
  <c r="G201" i="3"/>
  <c r="E201" i="3"/>
  <c r="G200" i="3"/>
  <c r="E200" i="3"/>
  <c r="H200" i="3" s="1"/>
  <c r="G199" i="3"/>
  <c r="E199" i="3"/>
  <c r="H199" i="3" s="1"/>
  <c r="H198" i="3"/>
  <c r="J198" i="3" s="1"/>
  <c r="G198" i="3"/>
  <c r="E198" i="3"/>
  <c r="H197" i="3"/>
  <c r="G197" i="3"/>
  <c r="E197" i="3"/>
  <c r="G196" i="3"/>
  <c r="E196" i="3"/>
  <c r="H196" i="3" s="1"/>
  <c r="J195" i="3"/>
  <c r="H195" i="3"/>
  <c r="G195" i="3"/>
  <c r="E195" i="3"/>
  <c r="G194" i="3"/>
  <c r="E194" i="3"/>
  <c r="H194" i="3" s="1"/>
  <c r="G193" i="3"/>
  <c r="E193" i="3"/>
  <c r="H193" i="3" s="1"/>
  <c r="G192" i="3"/>
  <c r="E192" i="3"/>
  <c r="H192" i="3" s="1"/>
  <c r="H191" i="3"/>
  <c r="J191" i="3" s="1"/>
  <c r="G191" i="3"/>
  <c r="E191" i="3"/>
  <c r="H190" i="3"/>
  <c r="G190" i="3"/>
  <c r="E190" i="3"/>
  <c r="G189" i="3"/>
  <c r="E189" i="3"/>
  <c r="H189" i="3" s="1"/>
  <c r="J188" i="3"/>
  <c r="H188" i="3"/>
  <c r="G188" i="3"/>
  <c r="E188" i="3"/>
  <c r="J187" i="3"/>
  <c r="G187" i="3"/>
  <c r="E187" i="3"/>
  <c r="H187" i="3" s="1"/>
  <c r="G186" i="3"/>
  <c r="E186" i="3"/>
  <c r="H186" i="3" s="1"/>
  <c r="G185" i="3"/>
  <c r="E185" i="3"/>
  <c r="H185" i="3" s="1"/>
  <c r="J185" i="3" s="1"/>
  <c r="G184" i="3"/>
  <c r="E184" i="3"/>
  <c r="H184" i="3" s="1"/>
  <c r="G183" i="3"/>
  <c r="E183" i="3"/>
  <c r="H183" i="3" s="1"/>
  <c r="G182" i="3"/>
  <c r="E182" i="3"/>
  <c r="H182" i="3" s="1"/>
  <c r="H181" i="3"/>
  <c r="G181" i="3"/>
  <c r="E181" i="3"/>
  <c r="J180" i="3"/>
  <c r="H180" i="3"/>
  <c r="G180" i="3"/>
  <c r="E180" i="3"/>
  <c r="G179" i="3"/>
  <c r="E179" i="3"/>
  <c r="H179" i="3" s="1"/>
  <c r="G178" i="3"/>
  <c r="E178" i="3"/>
  <c r="H178" i="3" s="1"/>
  <c r="H177" i="3"/>
  <c r="J177" i="3" s="1"/>
  <c r="G177" i="3"/>
  <c r="E177" i="3"/>
  <c r="G176" i="3"/>
  <c r="E176" i="3"/>
  <c r="H176" i="3" s="1"/>
  <c r="J176" i="3" s="1"/>
  <c r="G175" i="3"/>
  <c r="E175" i="3"/>
  <c r="H175" i="3" s="1"/>
  <c r="H174" i="3"/>
  <c r="G174" i="3"/>
  <c r="E174" i="3"/>
  <c r="G173" i="3"/>
  <c r="E173" i="3"/>
  <c r="H173" i="3" s="1"/>
  <c r="H172" i="3"/>
  <c r="J172" i="3" s="1"/>
  <c r="G172" i="3"/>
  <c r="E172" i="3"/>
  <c r="G171" i="3"/>
  <c r="E171" i="3"/>
  <c r="H171" i="3" s="1"/>
  <c r="H170" i="3"/>
  <c r="G170" i="3"/>
  <c r="E170" i="3"/>
  <c r="H169" i="3"/>
  <c r="G169" i="3"/>
  <c r="E169" i="3"/>
  <c r="G168" i="3"/>
  <c r="E168" i="3"/>
  <c r="H168" i="3" s="1"/>
  <c r="G167" i="3"/>
  <c r="E167" i="3"/>
  <c r="H167" i="3" s="1"/>
  <c r="H166" i="3"/>
  <c r="G166" i="3"/>
  <c r="E166" i="3"/>
  <c r="H165" i="3"/>
  <c r="G165" i="3"/>
  <c r="E165" i="3"/>
  <c r="G164" i="3"/>
  <c r="E164" i="3"/>
  <c r="H164" i="3" s="1"/>
  <c r="G163" i="3"/>
  <c r="E163" i="3"/>
  <c r="H163" i="3" s="1"/>
  <c r="J162" i="3"/>
  <c r="G162" i="3"/>
  <c r="E162" i="3"/>
  <c r="H162" i="3" s="1"/>
  <c r="G161" i="3"/>
  <c r="E161" i="3"/>
  <c r="H161" i="3" s="1"/>
  <c r="H160" i="3"/>
  <c r="G160" i="3"/>
  <c r="E160" i="3"/>
  <c r="G159" i="3"/>
  <c r="E159" i="3"/>
  <c r="H159" i="3" s="1"/>
  <c r="H158" i="3"/>
  <c r="G158" i="3"/>
  <c r="E158" i="3"/>
  <c r="G157" i="3"/>
  <c r="E157" i="3"/>
  <c r="H157" i="3" s="1"/>
  <c r="H156" i="3"/>
  <c r="J156" i="3" s="1"/>
  <c r="G156" i="3"/>
  <c r="E156" i="3"/>
  <c r="G155" i="3"/>
  <c r="E155" i="3"/>
  <c r="H155" i="3" s="1"/>
  <c r="H154" i="3"/>
  <c r="G154" i="3"/>
  <c r="E154" i="3"/>
  <c r="G153" i="3"/>
  <c r="E153" i="3"/>
  <c r="H153" i="3" s="1"/>
  <c r="G152" i="3"/>
  <c r="E152" i="3"/>
  <c r="H152" i="3" s="1"/>
  <c r="H151" i="3"/>
  <c r="J151" i="3" s="1"/>
  <c r="G151" i="3"/>
  <c r="E151" i="3"/>
  <c r="G150" i="3"/>
  <c r="E150" i="3"/>
  <c r="H150" i="3" s="1"/>
  <c r="H149" i="3"/>
  <c r="J149" i="3" s="1"/>
  <c r="G149" i="3"/>
  <c r="E149" i="3"/>
  <c r="H148" i="3"/>
  <c r="G148" i="3"/>
  <c r="E148" i="3"/>
  <c r="H147" i="3"/>
  <c r="G147" i="3"/>
  <c r="E147" i="3"/>
  <c r="G146" i="3"/>
  <c r="E146" i="3"/>
  <c r="H146" i="3" s="1"/>
  <c r="G145" i="3"/>
  <c r="E145" i="3"/>
  <c r="H145" i="3" s="1"/>
  <c r="J144" i="3"/>
  <c r="H144" i="3"/>
  <c r="G144" i="3"/>
  <c r="E144" i="3"/>
  <c r="G143" i="3"/>
  <c r="E143" i="3"/>
  <c r="H143" i="3" s="1"/>
  <c r="G142" i="3"/>
  <c r="E142" i="3"/>
  <c r="H142" i="3" s="1"/>
  <c r="G141" i="3"/>
  <c r="E141" i="3"/>
  <c r="H141" i="3" s="1"/>
  <c r="J140" i="3"/>
  <c r="H140" i="3"/>
  <c r="G140" i="3"/>
  <c r="E140" i="3"/>
  <c r="G139" i="3"/>
  <c r="E139" i="3"/>
  <c r="H139" i="3" s="1"/>
  <c r="G138" i="3"/>
  <c r="E138" i="3"/>
  <c r="H138" i="3" s="1"/>
  <c r="G137" i="3"/>
  <c r="E137" i="3"/>
  <c r="H137" i="3" s="1"/>
  <c r="G136" i="3"/>
  <c r="E136" i="3"/>
  <c r="H136" i="3" s="1"/>
  <c r="G135" i="3"/>
  <c r="E135" i="3"/>
  <c r="H135" i="3" s="1"/>
  <c r="G134" i="3"/>
  <c r="E134" i="3"/>
  <c r="H134" i="3" s="1"/>
  <c r="H133" i="3"/>
  <c r="G133" i="3"/>
  <c r="E133" i="3"/>
  <c r="G132" i="3"/>
  <c r="E132" i="3"/>
  <c r="H132" i="3" s="1"/>
  <c r="H131" i="3"/>
  <c r="J131" i="3" s="1"/>
  <c r="G131" i="3"/>
  <c r="E131" i="3"/>
  <c r="G130" i="3"/>
  <c r="E130" i="3"/>
  <c r="H130" i="3" s="1"/>
  <c r="G129" i="3"/>
  <c r="E129" i="3"/>
  <c r="H129" i="3" s="1"/>
  <c r="G128" i="3"/>
  <c r="E128" i="3"/>
  <c r="H128" i="3" s="1"/>
  <c r="G127" i="3"/>
  <c r="E127" i="3"/>
  <c r="H127" i="3" s="1"/>
  <c r="H126" i="3"/>
  <c r="G126" i="3"/>
  <c r="E126" i="3"/>
  <c r="G125" i="3"/>
  <c r="E125" i="3"/>
  <c r="H125" i="3" s="1"/>
  <c r="H124" i="3"/>
  <c r="J124" i="3" s="1"/>
  <c r="G124" i="3"/>
  <c r="E124" i="3"/>
  <c r="G123" i="3"/>
  <c r="E123" i="3"/>
  <c r="H123" i="3" s="1"/>
  <c r="H122" i="3"/>
  <c r="G122" i="3"/>
  <c r="E122" i="3"/>
  <c r="G121" i="3"/>
  <c r="E121" i="3"/>
  <c r="H121" i="3" s="1"/>
  <c r="G120" i="3"/>
  <c r="E120" i="3"/>
  <c r="H120" i="3" s="1"/>
  <c r="J119" i="3"/>
  <c r="H119" i="3"/>
  <c r="G119" i="3"/>
  <c r="E119" i="3"/>
  <c r="H118" i="3"/>
  <c r="G118" i="3"/>
  <c r="E118" i="3"/>
  <c r="H117" i="3"/>
  <c r="G117" i="3"/>
  <c r="E117" i="3"/>
  <c r="G116" i="3"/>
  <c r="E116" i="3"/>
  <c r="H116" i="3" s="1"/>
  <c r="H115" i="3"/>
  <c r="G115" i="3"/>
  <c r="E115" i="3"/>
  <c r="G114" i="3"/>
  <c r="E114" i="3"/>
  <c r="H114" i="3" s="1"/>
  <c r="H113" i="3"/>
  <c r="G113" i="3"/>
  <c r="E113" i="3"/>
  <c r="G112" i="3"/>
  <c r="E112" i="3"/>
  <c r="H112" i="3" s="1"/>
  <c r="J111" i="3"/>
  <c r="H111" i="3"/>
  <c r="G111" i="3"/>
  <c r="E111" i="3"/>
  <c r="G110" i="3"/>
  <c r="E110" i="3"/>
  <c r="H110" i="3" s="1"/>
  <c r="J109" i="3"/>
  <c r="H109" i="3"/>
  <c r="G109" i="3"/>
  <c r="E109" i="3"/>
  <c r="H108" i="3"/>
  <c r="G108" i="3"/>
  <c r="E108" i="3"/>
  <c r="G107" i="3"/>
  <c r="E107" i="3"/>
  <c r="H107" i="3" s="1"/>
  <c r="G106" i="3"/>
  <c r="E106" i="3"/>
  <c r="H106" i="3" s="1"/>
  <c r="J105" i="3"/>
  <c r="H105" i="3"/>
  <c r="G105" i="3"/>
  <c r="E105" i="3"/>
  <c r="G104" i="3"/>
  <c r="E104" i="3"/>
  <c r="H104" i="3" s="1"/>
  <c r="G103" i="3"/>
  <c r="E103" i="3"/>
  <c r="H103" i="3" s="1"/>
  <c r="H102" i="3"/>
  <c r="J102" i="3" s="1"/>
  <c r="G102" i="3"/>
  <c r="E102" i="3"/>
  <c r="H101" i="3"/>
  <c r="J101" i="3" s="1"/>
  <c r="G101" i="3"/>
  <c r="E101" i="3"/>
  <c r="J100" i="3"/>
  <c r="H100" i="3"/>
  <c r="G100" i="3"/>
  <c r="E100" i="3"/>
  <c r="G99" i="3"/>
  <c r="E99" i="3"/>
  <c r="H99" i="3" s="1"/>
  <c r="G98" i="3"/>
  <c r="E98" i="3"/>
  <c r="H98" i="3" s="1"/>
  <c r="J98" i="3" s="1"/>
  <c r="H97" i="3"/>
  <c r="J97" i="3" s="1"/>
  <c r="G97" i="3"/>
  <c r="E97" i="3"/>
  <c r="G96" i="3"/>
  <c r="E96" i="3"/>
  <c r="H96" i="3" s="1"/>
  <c r="G95" i="3"/>
  <c r="E95" i="3"/>
  <c r="H95" i="3" s="1"/>
  <c r="H94" i="3"/>
  <c r="G94" i="3"/>
  <c r="E94" i="3"/>
  <c r="H93" i="3"/>
  <c r="G93" i="3"/>
  <c r="E93" i="3"/>
  <c r="H92" i="3"/>
  <c r="G92" i="3"/>
  <c r="E92" i="3"/>
  <c r="J91" i="3"/>
  <c r="H91" i="3"/>
  <c r="G91" i="3"/>
  <c r="E91" i="3"/>
  <c r="H90" i="3"/>
  <c r="G90" i="3"/>
  <c r="E90" i="3"/>
  <c r="G89" i="3"/>
  <c r="E89" i="3"/>
  <c r="H89" i="3" s="1"/>
  <c r="G88" i="3"/>
  <c r="E88" i="3"/>
  <c r="H88" i="3" s="1"/>
  <c r="J88" i="3" s="1"/>
  <c r="H87" i="3"/>
  <c r="J87" i="3" s="1"/>
  <c r="G87" i="3"/>
  <c r="E87" i="3"/>
  <c r="H86" i="3"/>
  <c r="G86" i="3"/>
  <c r="E86" i="3"/>
  <c r="G85" i="3"/>
  <c r="E85" i="3"/>
  <c r="H85" i="3" s="1"/>
  <c r="G84" i="3"/>
  <c r="E84" i="3"/>
  <c r="H84" i="3" s="1"/>
  <c r="H83" i="3"/>
  <c r="J83" i="3" s="1"/>
  <c r="G83" i="3"/>
  <c r="E83" i="3"/>
  <c r="G82" i="3"/>
  <c r="E82" i="3"/>
  <c r="H82" i="3" s="1"/>
  <c r="G81" i="3"/>
  <c r="E81" i="3"/>
  <c r="H81" i="3" s="1"/>
  <c r="G80" i="3"/>
  <c r="E80" i="3"/>
  <c r="H80" i="3" s="1"/>
  <c r="G79" i="3"/>
  <c r="E79" i="3"/>
  <c r="H79" i="3" s="1"/>
  <c r="H78" i="3"/>
  <c r="G78" i="3"/>
  <c r="E78" i="3"/>
  <c r="H77" i="3"/>
  <c r="J77" i="3" s="1"/>
  <c r="G77" i="3"/>
  <c r="E77" i="3"/>
  <c r="H76" i="3"/>
  <c r="G76" i="3"/>
  <c r="E76" i="3"/>
  <c r="G75" i="3"/>
  <c r="E75" i="3"/>
  <c r="H75" i="3" s="1"/>
  <c r="G74" i="3"/>
  <c r="E74" i="3"/>
  <c r="H74" i="3" s="1"/>
  <c r="J74" i="3" s="1"/>
  <c r="H73" i="3"/>
  <c r="J73" i="3" s="1"/>
  <c r="G73" i="3"/>
  <c r="E73" i="3"/>
  <c r="G72" i="3"/>
  <c r="E72" i="3"/>
  <c r="H72" i="3" s="1"/>
  <c r="G71" i="3"/>
  <c r="E71" i="3"/>
  <c r="H71" i="3" s="1"/>
  <c r="J70" i="3"/>
  <c r="H70" i="3"/>
  <c r="G70" i="3"/>
  <c r="E70" i="3"/>
  <c r="H69" i="3"/>
  <c r="G69" i="3"/>
  <c r="E69" i="3"/>
  <c r="G68" i="3"/>
  <c r="E68" i="3"/>
  <c r="H68" i="3" s="1"/>
  <c r="J67" i="3"/>
  <c r="H67" i="3"/>
  <c r="G67" i="3"/>
  <c r="E67" i="3"/>
  <c r="G66" i="3"/>
  <c r="E66" i="3"/>
  <c r="H66" i="3" s="1"/>
  <c r="G65" i="3"/>
  <c r="E65" i="3"/>
  <c r="H65" i="3" s="1"/>
  <c r="G64" i="3"/>
  <c r="E64" i="3"/>
  <c r="H64" i="3" s="1"/>
  <c r="G63" i="3"/>
  <c r="E63" i="3"/>
  <c r="H63" i="3" s="1"/>
  <c r="G62" i="3"/>
  <c r="E62" i="3"/>
  <c r="H62" i="3" s="1"/>
  <c r="J62" i="3" s="1"/>
  <c r="G61" i="3"/>
  <c r="E61" i="3"/>
  <c r="H61" i="3" s="1"/>
  <c r="H60" i="3"/>
  <c r="G60" i="3"/>
  <c r="E60" i="3"/>
  <c r="H59" i="3"/>
  <c r="G59" i="3"/>
  <c r="E59" i="3"/>
  <c r="G58" i="3"/>
  <c r="E58" i="3"/>
  <c r="H58" i="3" s="1"/>
  <c r="H57" i="3"/>
  <c r="G57" i="3"/>
  <c r="E57" i="3"/>
  <c r="G56" i="3"/>
  <c r="E56" i="3"/>
  <c r="H56" i="3" s="1"/>
  <c r="G55" i="3"/>
  <c r="E55" i="3"/>
  <c r="H55" i="3" s="1"/>
  <c r="G54" i="3"/>
  <c r="E54" i="3"/>
  <c r="H54" i="3" s="1"/>
  <c r="H53" i="3"/>
  <c r="G53" i="3"/>
  <c r="E53" i="3"/>
  <c r="H52" i="3"/>
  <c r="G52" i="3"/>
  <c r="E52" i="3"/>
  <c r="G51" i="3"/>
  <c r="E51" i="3"/>
  <c r="H51" i="3" s="1"/>
  <c r="G50" i="3"/>
  <c r="E50" i="3"/>
  <c r="H50" i="3" s="1"/>
  <c r="J50" i="3" s="1"/>
  <c r="J49" i="3"/>
  <c r="H49" i="3"/>
  <c r="G49" i="3"/>
  <c r="E49" i="3"/>
  <c r="H48" i="3"/>
  <c r="G48" i="3"/>
  <c r="E48" i="3"/>
  <c r="G47" i="3"/>
  <c r="E47" i="3"/>
  <c r="H47" i="3" s="1"/>
  <c r="G46" i="3"/>
  <c r="E46" i="3"/>
  <c r="H46" i="3" s="1"/>
  <c r="H45" i="3"/>
  <c r="J45" i="3" s="1"/>
  <c r="G45" i="3"/>
  <c r="E45" i="3"/>
  <c r="H44" i="3"/>
  <c r="G44" i="3"/>
  <c r="E44" i="3"/>
  <c r="G43" i="3"/>
  <c r="E43" i="3"/>
  <c r="H43" i="3" s="1"/>
  <c r="G42" i="3"/>
  <c r="E42" i="3"/>
  <c r="H42" i="3" s="1"/>
  <c r="G41" i="3"/>
  <c r="E41" i="3"/>
  <c r="H41" i="3" s="1"/>
  <c r="G40" i="3"/>
  <c r="E40" i="3"/>
  <c r="H40" i="3" s="1"/>
  <c r="J39" i="3"/>
  <c r="G39" i="3"/>
  <c r="E39" i="3"/>
  <c r="H39" i="3" s="1"/>
  <c r="H38" i="3"/>
  <c r="G38" i="3"/>
  <c r="E38" i="3"/>
  <c r="G37" i="3"/>
  <c r="E37" i="3"/>
  <c r="H37" i="3" s="1"/>
  <c r="G36" i="3"/>
  <c r="E36" i="3"/>
  <c r="H36" i="3" s="1"/>
  <c r="G35" i="3"/>
  <c r="E35" i="3"/>
  <c r="H35" i="3" s="1"/>
  <c r="G34" i="3"/>
  <c r="E34" i="3"/>
  <c r="H34" i="3" s="1"/>
  <c r="H33" i="3"/>
  <c r="G33" i="3"/>
  <c r="E33" i="3"/>
  <c r="G32" i="3"/>
  <c r="E32" i="3"/>
  <c r="H32" i="3" s="1"/>
  <c r="J31" i="3"/>
  <c r="G31" i="3"/>
  <c r="E31" i="3"/>
  <c r="H31" i="3" s="1"/>
  <c r="G30" i="3"/>
  <c r="E30" i="3"/>
  <c r="H30" i="3" s="1"/>
  <c r="G29" i="3"/>
  <c r="E29" i="3"/>
  <c r="H29" i="3" s="1"/>
  <c r="J29" i="3" s="1"/>
  <c r="H28" i="3"/>
  <c r="J28" i="3" s="1"/>
  <c r="G28" i="3"/>
  <c r="E28" i="3"/>
  <c r="G27" i="3"/>
  <c r="E27" i="3"/>
  <c r="H27" i="3" s="1"/>
  <c r="G26" i="3"/>
  <c r="E26" i="3"/>
  <c r="H26" i="3" s="1"/>
  <c r="H25" i="3"/>
  <c r="J25" i="3" s="1"/>
  <c r="G25" i="3"/>
  <c r="E25" i="3"/>
  <c r="G24" i="3"/>
  <c r="E24" i="3"/>
  <c r="H24" i="3" s="1"/>
  <c r="G23" i="3"/>
  <c r="E23" i="3"/>
  <c r="H23" i="3" s="1"/>
  <c r="G22" i="3"/>
  <c r="E22" i="3"/>
  <c r="H22" i="3" s="1"/>
  <c r="G21" i="3"/>
  <c r="E21" i="3"/>
  <c r="H21" i="3" s="1"/>
  <c r="G20" i="3"/>
  <c r="E20" i="3"/>
  <c r="H20" i="3" s="1"/>
  <c r="G19" i="3"/>
  <c r="E19" i="3"/>
  <c r="H19" i="3" s="1"/>
  <c r="J19" i="3" s="1"/>
  <c r="G18" i="3"/>
  <c r="E18" i="3"/>
  <c r="H18" i="3" s="1"/>
  <c r="G17" i="3"/>
  <c r="E17" i="3"/>
  <c r="H17" i="3" s="1"/>
  <c r="G16" i="3"/>
  <c r="E16" i="3"/>
  <c r="H16" i="3" s="1"/>
  <c r="M15" i="3"/>
  <c r="J15" i="3"/>
  <c r="G15" i="3"/>
  <c r="E15" i="3"/>
  <c r="H15" i="3" s="1"/>
  <c r="M14" i="3"/>
  <c r="G14" i="3"/>
  <c r="E14" i="3"/>
  <c r="H14" i="3" s="1"/>
  <c r="G13" i="3"/>
  <c r="E13" i="3"/>
  <c r="H13" i="3" s="1"/>
  <c r="G12" i="3"/>
  <c r="E12" i="3"/>
  <c r="H12" i="3" s="1"/>
  <c r="G11" i="3"/>
  <c r="E11" i="3"/>
  <c r="H11" i="3" s="1"/>
  <c r="J11" i="3" s="1"/>
  <c r="G10" i="3"/>
  <c r="E10" i="3"/>
  <c r="H10" i="3" s="1"/>
  <c r="G9" i="3"/>
  <c r="E9" i="3"/>
  <c r="H9" i="3" s="1"/>
  <c r="M8" i="3"/>
  <c r="J76" i="3" s="1"/>
  <c r="H8" i="3"/>
  <c r="J8" i="3" s="1"/>
  <c r="G8" i="3"/>
  <c r="E8" i="3"/>
  <c r="G7" i="3"/>
  <c r="E7" i="3"/>
  <c r="H7" i="3" s="1"/>
  <c r="G6" i="3"/>
  <c r="E6" i="3"/>
  <c r="H6" i="3" s="1"/>
  <c r="J6" i="3" s="1"/>
  <c r="J5" i="3"/>
  <c r="G5" i="3"/>
  <c r="E5" i="3"/>
  <c r="H5" i="3" s="1"/>
  <c r="H4" i="3"/>
  <c r="G4" i="3"/>
  <c r="E4" i="3"/>
  <c r="C28" i="2"/>
  <c r="C27" i="2"/>
  <c r="C25" i="2"/>
  <c r="C26" i="2" s="1"/>
  <c r="H19" i="2"/>
  <c r="G19" i="2"/>
  <c r="F19" i="2"/>
  <c r="G18" i="2"/>
  <c r="F18" i="2"/>
  <c r="H18" i="2" s="1"/>
  <c r="W14" i="2"/>
  <c r="W15" i="2" s="1"/>
  <c r="C6" i="2" s="1"/>
  <c r="M14" i="2"/>
  <c r="F14" i="2"/>
  <c r="H14" i="2" s="1"/>
  <c r="W12" i="2"/>
  <c r="T12" i="2"/>
  <c r="U12" i="2" s="1"/>
  <c r="S12" i="2"/>
  <c r="Q12" i="2"/>
  <c r="R12" i="2" s="1"/>
  <c r="G12" i="2"/>
  <c r="H12" i="2" s="1"/>
  <c r="F12" i="2"/>
  <c r="E12" i="2"/>
  <c r="I12" i="2" s="1"/>
  <c r="W11" i="2"/>
  <c r="T11" i="2"/>
  <c r="U11" i="2" s="1"/>
  <c r="S11" i="2"/>
  <c r="R11" i="2"/>
  <c r="Q11" i="2"/>
  <c r="J11" i="2"/>
  <c r="I11" i="2"/>
  <c r="I14" i="2" s="1"/>
  <c r="C14" i="2" s="1"/>
  <c r="G11" i="2"/>
  <c r="H11" i="2" s="1"/>
  <c r="F11" i="2"/>
  <c r="E11" i="2"/>
  <c r="G4" i="2"/>
  <c r="F4" i="2"/>
  <c r="C4" i="2"/>
  <c r="E411" i="1"/>
  <c r="I410" i="1"/>
  <c r="C410" i="1"/>
  <c r="B410" i="1"/>
  <c r="I409" i="1"/>
  <c r="C409" i="1"/>
  <c r="B409" i="1"/>
  <c r="I408" i="1"/>
  <c r="C408" i="1"/>
  <c r="B408" i="1"/>
  <c r="I407" i="1"/>
  <c r="B407" i="1"/>
  <c r="I406" i="1"/>
  <c r="D406" i="1"/>
  <c r="J406" i="1" s="1"/>
  <c r="C406" i="1"/>
  <c r="B406" i="1"/>
  <c r="I405" i="1"/>
  <c r="C405" i="1"/>
  <c r="B405" i="1"/>
  <c r="I404" i="1"/>
  <c r="C404" i="1"/>
  <c r="B404" i="1"/>
  <c r="I403" i="1"/>
  <c r="B403" i="1"/>
  <c r="I402" i="1"/>
  <c r="C402" i="1"/>
  <c r="B402" i="1"/>
  <c r="I401" i="1"/>
  <c r="B401" i="1"/>
  <c r="I400" i="1"/>
  <c r="C400" i="1"/>
  <c r="B400" i="1"/>
  <c r="I399" i="1"/>
  <c r="D399" i="1"/>
  <c r="J399" i="1" s="1"/>
  <c r="C399" i="1"/>
  <c r="B399" i="1"/>
  <c r="I398" i="1"/>
  <c r="C398" i="1"/>
  <c r="B398" i="1"/>
  <c r="I397" i="1"/>
  <c r="C397" i="1"/>
  <c r="B397" i="1"/>
  <c r="I396" i="1"/>
  <c r="B396" i="1"/>
  <c r="I395" i="1"/>
  <c r="B395" i="1"/>
  <c r="I394" i="1"/>
  <c r="C394" i="1"/>
  <c r="B394" i="1"/>
  <c r="I393" i="1"/>
  <c r="C393" i="1"/>
  <c r="B393" i="1"/>
  <c r="I392" i="1"/>
  <c r="C392" i="1"/>
  <c r="B392" i="1"/>
  <c r="I391" i="1"/>
  <c r="B391" i="1"/>
  <c r="I390" i="1"/>
  <c r="C390" i="1"/>
  <c r="B390" i="1"/>
  <c r="I389" i="1"/>
  <c r="C389" i="1"/>
  <c r="B389" i="1"/>
  <c r="I388" i="1"/>
  <c r="B388" i="1"/>
  <c r="I387" i="1"/>
  <c r="B387" i="1"/>
  <c r="I386" i="1"/>
  <c r="C386" i="1"/>
  <c r="B386" i="1"/>
  <c r="I385" i="1"/>
  <c r="D385" i="1"/>
  <c r="J385" i="1" s="1"/>
  <c r="C385" i="1"/>
  <c r="B385" i="1"/>
  <c r="I384" i="1"/>
  <c r="B384" i="1"/>
  <c r="I383" i="1"/>
  <c r="C383" i="1"/>
  <c r="B383" i="1"/>
  <c r="I382" i="1"/>
  <c r="C382" i="1"/>
  <c r="B382" i="1"/>
  <c r="I381" i="1"/>
  <c r="B381" i="1"/>
  <c r="I380" i="1"/>
  <c r="B380" i="1"/>
  <c r="I379" i="1"/>
  <c r="D379" i="1"/>
  <c r="J379" i="1" s="1"/>
  <c r="C379" i="1"/>
  <c r="B379" i="1"/>
  <c r="I378" i="1"/>
  <c r="C378" i="1"/>
  <c r="B378" i="1"/>
  <c r="I377" i="1"/>
  <c r="C377" i="1"/>
  <c r="B377" i="1"/>
  <c r="I376" i="1"/>
  <c r="B376" i="1"/>
  <c r="I375" i="1"/>
  <c r="C375" i="1"/>
  <c r="B375" i="1"/>
  <c r="I374" i="1"/>
  <c r="C374" i="1"/>
  <c r="B374" i="1"/>
  <c r="I373" i="1"/>
  <c r="B373" i="1"/>
  <c r="I372" i="1"/>
  <c r="C372" i="1"/>
  <c r="B372" i="1"/>
  <c r="I371" i="1"/>
  <c r="C371" i="1"/>
  <c r="B371" i="1"/>
  <c r="I370" i="1"/>
  <c r="C370" i="1"/>
  <c r="B370" i="1"/>
  <c r="I369" i="1"/>
  <c r="B369" i="1"/>
  <c r="I368" i="1"/>
  <c r="C368" i="1"/>
  <c r="B368" i="1"/>
  <c r="I367" i="1"/>
  <c r="C367" i="1"/>
  <c r="B367" i="1"/>
  <c r="I366" i="1"/>
  <c r="C366" i="1"/>
  <c r="B366" i="1"/>
  <c r="I365" i="1"/>
  <c r="C365" i="1"/>
  <c r="B365" i="1"/>
  <c r="I364" i="1"/>
  <c r="B364" i="1"/>
  <c r="I363" i="1"/>
  <c r="C363" i="1"/>
  <c r="B363" i="1"/>
  <c r="I362" i="1"/>
  <c r="C362" i="1"/>
  <c r="B362" i="1"/>
  <c r="I361" i="1"/>
  <c r="C361" i="1"/>
  <c r="B361" i="1"/>
  <c r="I360" i="1"/>
  <c r="C360" i="1"/>
  <c r="B360" i="1"/>
  <c r="I359" i="1"/>
  <c r="C359" i="1"/>
  <c r="B359" i="1"/>
  <c r="I358" i="1"/>
  <c r="D358" i="1"/>
  <c r="J358" i="1" s="1"/>
  <c r="C358" i="1"/>
  <c r="B358" i="1"/>
  <c r="I357" i="1"/>
  <c r="B357" i="1"/>
  <c r="I356" i="1"/>
  <c r="B356" i="1"/>
  <c r="I355" i="1"/>
  <c r="C355" i="1"/>
  <c r="B355" i="1"/>
  <c r="I354" i="1"/>
  <c r="C354" i="1"/>
  <c r="B354" i="1"/>
  <c r="I353" i="1"/>
  <c r="B353" i="1"/>
  <c r="I352" i="1"/>
  <c r="C352" i="1"/>
  <c r="B352" i="1"/>
  <c r="I351" i="1"/>
  <c r="C351" i="1"/>
  <c r="B351" i="1"/>
  <c r="I350" i="1"/>
  <c r="C350" i="1"/>
  <c r="B350" i="1"/>
  <c r="I349" i="1"/>
  <c r="B349" i="1"/>
  <c r="I348" i="1"/>
  <c r="C348" i="1"/>
  <c r="B348" i="1"/>
  <c r="I347" i="1"/>
  <c r="C347" i="1"/>
  <c r="B347" i="1"/>
  <c r="I346" i="1"/>
  <c r="C346" i="1"/>
  <c r="B346" i="1"/>
  <c r="I345" i="1"/>
  <c r="C345" i="1"/>
  <c r="B345" i="1"/>
  <c r="I344" i="1"/>
  <c r="C344" i="1"/>
  <c r="B344" i="1"/>
  <c r="I343" i="1"/>
  <c r="B343" i="1"/>
  <c r="I342" i="1"/>
  <c r="C342" i="1"/>
  <c r="B342" i="1"/>
  <c r="I341" i="1"/>
  <c r="C341" i="1"/>
  <c r="B341" i="1"/>
  <c r="I340" i="1"/>
  <c r="B340" i="1"/>
  <c r="I339" i="1"/>
  <c r="B339" i="1"/>
  <c r="I338" i="1"/>
  <c r="C338" i="1"/>
  <c r="B338" i="1"/>
  <c r="I337" i="1"/>
  <c r="B337" i="1"/>
  <c r="I336" i="1"/>
  <c r="C336" i="1"/>
  <c r="B336" i="1"/>
  <c r="I335" i="1"/>
  <c r="C335" i="1"/>
  <c r="B335" i="1"/>
  <c r="I334" i="1"/>
  <c r="C334" i="1"/>
  <c r="B334" i="1"/>
  <c r="I333" i="1"/>
  <c r="C333" i="1"/>
  <c r="B333" i="1"/>
  <c r="I332" i="1"/>
  <c r="B332" i="1"/>
  <c r="I331" i="1"/>
  <c r="C331" i="1"/>
  <c r="B331" i="1"/>
  <c r="I330" i="1"/>
  <c r="C330" i="1"/>
  <c r="B330" i="1"/>
  <c r="I329" i="1"/>
  <c r="C329" i="1"/>
  <c r="B329" i="1"/>
  <c r="I328" i="1"/>
  <c r="C328" i="1"/>
  <c r="B328" i="1"/>
  <c r="I327" i="1"/>
  <c r="C327" i="1"/>
  <c r="B327" i="1"/>
  <c r="I326" i="1"/>
  <c r="C326" i="1"/>
  <c r="B326" i="1"/>
  <c r="I325" i="1"/>
  <c r="C325" i="1"/>
  <c r="B325" i="1"/>
  <c r="I324" i="1"/>
  <c r="C324" i="1"/>
  <c r="B324" i="1"/>
  <c r="I323" i="1"/>
  <c r="B323" i="1"/>
  <c r="I322" i="1"/>
  <c r="C322" i="1"/>
  <c r="B322" i="1"/>
  <c r="I321" i="1"/>
  <c r="B321" i="1"/>
  <c r="I320" i="1"/>
  <c r="C320" i="1"/>
  <c r="B320" i="1"/>
  <c r="I319" i="1"/>
  <c r="C319" i="1"/>
  <c r="B319" i="1"/>
  <c r="I318" i="1"/>
  <c r="C318" i="1"/>
  <c r="B318" i="1"/>
  <c r="I317" i="1"/>
  <c r="C317" i="1"/>
  <c r="B317" i="1"/>
  <c r="I316" i="1"/>
  <c r="B316" i="1"/>
  <c r="I315" i="1"/>
  <c r="C315" i="1"/>
  <c r="B315" i="1"/>
  <c r="I314" i="1"/>
  <c r="C314" i="1"/>
  <c r="B314" i="1"/>
  <c r="I313" i="1"/>
  <c r="C313" i="1"/>
  <c r="B313" i="1"/>
  <c r="I312" i="1"/>
  <c r="C312" i="1"/>
  <c r="B312" i="1"/>
  <c r="I311" i="1"/>
  <c r="B311" i="1"/>
  <c r="I310" i="1"/>
  <c r="C310" i="1"/>
  <c r="B310" i="1"/>
  <c r="I309" i="1"/>
  <c r="B309" i="1"/>
  <c r="I308" i="1"/>
  <c r="C308" i="1"/>
  <c r="B308" i="1"/>
  <c r="I307" i="1"/>
  <c r="B307" i="1"/>
  <c r="I306" i="1"/>
  <c r="C306" i="1"/>
  <c r="B306" i="1"/>
  <c r="I305" i="1"/>
  <c r="C305" i="1"/>
  <c r="B305" i="1"/>
  <c r="I304" i="1"/>
  <c r="C304" i="1"/>
  <c r="B304" i="1"/>
  <c r="I303" i="1"/>
  <c r="C303" i="1"/>
  <c r="B303" i="1"/>
  <c r="I302" i="1"/>
  <c r="C302" i="1"/>
  <c r="B302" i="1"/>
  <c r="I301" i="1"/>
  <c r="B301" i="1"/>
  <c r="I300" i="1"/>
  <c r="B300" i="1"/>
  <c r="I299" i="1"/>
  <c r="C299" i="1"/>
  <c r="B299" i="1"/>
  <c r="I298" i="1"/>
  <c r="C298" i="1"/>
  <c r="B298" i="1"/>
  <c r="I297" i="1"/>
  <c r="C297" i="1"/>
  <c r="B297" i="1"/>
  <c r="I296" i="1"/>
  <c r="C296" i="1"/>
  <c r="B296" i="1"/>
  <c r="I295" i="1"/>
  <c r="C295" i="1"/>
  <c r="B295" i="1"/>
  <c r="I294" i="1"/>
  <c r="C294" i="1"/>
  <c r="B294" i="1"/>
  <c r="I293" i="1"/>
  <c r="B293" i="1"/>
  <c r="I292" i="1"/>
  <c r="C292" i="1"/>
  <c r="B292" i="1"/>
  <c r="I291" i="1"/>
  <c r="B291" i="1"/>
  <c r="I290" i="1"/>
  <c r="C290" i="1"/>
  <c r="B290" i="1"/>
  <c r="I289" i="1"/>
  <c r="C289" i="1"/>
  <c r="B289" i="1"/>
  <c r="I288" i="1"/>
  <c r="C288" i="1"/>
  <c r="B288" i="1"/>
  <c r="I287" i="1"/>
  <c r="B287" i="1"/>
  <c r="I286" i="1"/>
  <c r="C286" i="1"/>
  <c r="B286" i="1"/>
  <c r="I285" i="1"/>
  <c r="C285" i="1"/>
  <c r="B285" i="1"/>
  <c r="I284" i="1"/>
  <c r="B284" i="1"/>
  <c r="I283" i="1"/>
  <c r="C283" i="1"/>
  <c r="B283" i="1"/>
  <c r="I282" i="1"/>
  <c r="C282" i="1"/>
  <c r="B282" i="1"/>
  <c r="I281" i="1"/>
  <c r="B281" i="1"/>
  <c r="I280" i="1"/>
  <c r="C280" i="1"/>
  <c r="B280" i="1"/>
  <c r="I279" i="1"/>
  <c r="C279" i="1"/>
  <c r="B279" i="1"/>
  <c r="I278" i="1"/>
  <c r="C278" i="1"/>
  <c r="B278" i="1"/>
  <c r="I277" i="1"/>
  <c r="B277" i="1"/>
  <c r="I276" i="1"/>
  <c r="C276" i="1"/>
  <c r="B276" i="1"/>
  <c r="I275" i="1"/>
  <c r="C275" i="1"/>
  <c r="B275" i="1"/>
  <c r="I274" i="1"/>
  <c r="C274" i="1"/>
  <c r="B274" i="1"/>
  <c r="I273" i="1"/>
  <c r="B273" i="1"/>
  <c r="I272" i="1"/>
  <c r="C272" i="1"/>
  <c r="B272" i="1"/>
  <c r="I271" i="1"/>
  <c r="C271" i="1"/>
  <c r="B271" i="1"/>
  <c r="I270" i="1"/>
  <c r="C270" i="1"/>
  <c r="B270" i="1"/>
  <c r="I269" i="1"/>
  <c r="C269" i="1"/>
  <c r="B269" i="1"/>
  <c r="I268" i="1"/>
  <c r="C268" i="1"/>
  <c r="B268" i="1"/>
  <c r="I267" i="1"/>
  <c r="C267" i="1"/>
  <c r="B267" i="1"/>
  <c r="I266" i="1"/>
  <c r="C266" i="1"/>
  <c r="B266" i="1"/>
  <c r="I265" i="1"/>
  <c r="C265" i="1"/>
  <c r="B265" i="1"/>
  <c r="I264" i="1"/>
  <c r="C264" i="1"/>
  <c r="B264" i="1"/>
  <c r="I263" i="1"/>
  <c r="C263" i="1"/>
  <c r="B263" i="1"/>
  <c r="I262" i="1"/>
  <c r="C262" i="1"/>
  <c r="B262" i="1"/>
  <c r="I261" i="1"/>
  <c r="B261" i="1"/>
  <c r="I260" i="1"/>
  <c r="B260" i="1"/>
  <c r="I259" i="1"/>
  <c r="B259" i="1"/>
  <c r="I258" i="1"/>
  <c r="C258" i="1"/>
  <c r="B258" i="1"/>
  <c r="I257" i="1"/>
  <c r="B257" i="1"/>
  <c r="I256" i="1"/>
  <c r="B256" i="1"/>
  <c r="I255" i="1"/>
  <c r="C255" i="1"/>
  <c r="B255" i="1"/>
  <c r="I254" i="1"/>
  <c r="C254" i="1"/>
  <c r="B254" i="1"/>
  <c r="I253" i="1"/>
  <c r="B253" i="1"/>
  <c r="I252" i="1"/>
  <c r="B252" i="1"/>
  <c r="I251" i="1"/>
  <c r="C251" i="1"/>
  <c r="B251" i="1"/>
  <c r="I250" i="1"/>
  <c r="C250" i="1"/>
  <c r="B250" i="1"/>
  <c r="I249" i="1"/>
  <c r="C249" i="1"/>
  <c r="B249" i="1"/>
  <c r="I248" i="1"/>
  <c r="C248" i="1"/>
  <c r="B248" i="1"/>
  <c r="I247" i="1"/>
  <c r="C247" i="1"/>
  <c r="B247" i="1"/>
  <c r="I246" i="1"/>
  <c r="C246" i="1"/>
  <c r="B246" i="1"/>
  <c r="I245" i="1"/>
  <c r="B245" i="1"/>
  <c r="I244" i="1"/>
  <c r="C244" i="1"/>
  <c r="B244" i="1"/>
  <c r="I243" i="1"/>
  <c r="B243" i="1"/>
  <c r="I242" i="1"/>
  <c r="C242" i="1"/>
  <c r="B242" i="1"/>
  <c r="I241" i="1"/>
  <c r="C241" i="1"/>
  <c r="B241" i="1"/>
  <c r="I240" i="1"/>
  <c r="C240" i="1"/>
  <c r="B240" i="1"/>
  <c r="I239" i="1"/>
  <c r="B239" i="1"/>
  <c r="I238" i="1"/>
  <c r="C238" i="1"/>
  <c r="B238" i="1"/>
  <c r="I237" i="1"/>
  <c r="C237" i="1"/>
  <c r="B237" i="1"/>
  <c r="I236" i="1"/>
  <c r="B236" i="1"/>
  <c r="I235" i="1"/>
  <c r="C235" i="1"/>
  <c r="B235" i="1"/>
  <c r="I234" i="1"/>
  <c r="C234" i="1"/>
  <c r="B234" i="1"/>
  <c r="I233" i="1"/>
  <c r="B233" i="1"/>
  <c r="I232" i="1"/>
  <c r="C232" i="1"/>
  <c r="B232" i="1"/>
  <c r="I231" i="1"/>
  <c r="C231" i="1"/>
  <c r="B231" i="1"/>
  <c r="I230" i="1"/>
  <c r="C230" i="1"/>
  <c r="B230" i="1"/>
  <c r="I229" i="1"/>
  <c r="B229" i="1"/>
  <c r="I228" i="1"/>
  <c r="C228" i="1"/>
  <c r="B228" i="1"/>
  <c r="I227" i="1"/>
  <c r="B227" i="1"/>
  <c r="I226" i="1"/>
  <c r="C226" i="1"/>
  <c r="B226" i="1"/>
  <c r="I225" i="1"/>
  <c r="B225" i="1"/>
  <c r="I224" i="1"/>
  <c r="C224" i="1"/>
  <c r="B224" i="1"/>
  <c r="I223" i="1"/>
  <c r="C223" i="1"/>
  <c r="B223" i="1"/>
  <c r="I222" i="1"/>
  <c r="C222" i="1"/>
  <c r="B222" i="1"/>
  <c r="I221" i="1"/>
  <c r="C221" i="1"/>
  <c r="B221" i="1"/>
  <c r="I220" i="1"/>
  <c r="B220" i="1"/>
  <c r="I219" i="1"/>
  <c r="C219" i="1"/>
  <c r="B219" i="1"/>
  <c r="I218" i="1"/>
  <c r="C218" i="1"/>
  <c r="B218" i="1"/>
  <c r="I217" i="1"/>
  <c r="C217" i="1"/>
  <c r="B217" i="1"/>
  <c r="I216" i="1"/>
  <c r="C216" i="1"/>
  <c r="B216" i="1"/>
  <c r="I215" i="1"/>
  <c r="C215" i="1"/>
  <c r="B215" i="1"/>
  <c r="I214" i="1"/>
  <c r="C214" i="1"/>
  <c r="B214" i="1"/>
  <c r="I213" i="1"/>
  <c r="B213" i="1"/>
  <c r="I212" i="1"/>
  <c r="C212" i="1"/>
  <c r="B212" i="1"/>
  <c r="I211" i="1"/>
  <c r="C211" i="1"/>
  <c r="B211" i="1"/>
  <c r="I210" i="1"/>
  <c r="D210" i="1"/>
  <c r="J210" i="1" s="1"/>
  <c r="C210" i="1"/>
  <c r="B210" i="1"/>
  <c r="I209" i="1"/>
  <c r="B209" i="1"/>
  <c r="I208" i="1"/>
  <c r="C208" i="1"/>
  <c r="B208" i="1"/>
  <c r="I207" i="1"/>
  <c r="C207" i="1"/>
  <c r="B207" i="1"/>
  <c r="I206" i="1"/>
  <c r="C206" i="1"/>
  <c r="B206" i="1"/>
  <c r="I205" i="1"/>
  <c r="B205" i="1"/>
  <c r="I204" i="1"/>
  <c r="C204" i="1"/>
  <c r="B204" i="1"/>
  <c r="I203" i="1"/>
  <c r="B203" i="1"/>
  <c r="I202" i="1"/>
  <c r="C202" i="1"/>
  <c r="B202" i="1"/>
  <c r="I201" i="1"/>
  <c r="C201" i="1"/>
  <c r="B201" i="1"/>
  <c r="I200" i="1"/>
  <c r="C200" i="1"/>
  <c r="B200" i="1"/>
  <c r="I199" i="1"/>
  <c r="C199" i="1"/>
  <c r="B199" i="1"/>
  <c r="I198" i="1"/>
  <c r="C198" i="1"/>
  <c r="B198" i="1"/>
  <c r="I197" i="1"/>
  <c r="C197" i="1"/>
  <c r="B197" i="1"/>
  <c r="I196" i="1"/>
  <c r="C196" i="1"/>
  <c r="B196" i="1"/>
  <c r="I195" i="1"/>
  <c r="B195" i="1"/>
  <c r="I194" i="1"/>
  <c r="C194" i="1"/>
  <c r="B194" i="1"/>
  <c r="I193" i="1"/>
  <c r="D193" i="1"/>
  <c r="J193" i="1" s="1"/>
  <c r="B193" i="1"/>
  <c r="I192" i="1"/>
  <c r="C192" i="1"/>
  <c r="B192" i="1"/>
  <c r="I191" i="1"/>
  <c r="C191" i="1"/>
  <c r="B191" i="1"/>
  <c r="I190" i="1"/>
  <c r="C190" i="1"/>
  <c r="B190" i="1"/>
  <c r="I189" i="1"/>
  <c r="C189" i="1"/>
  <c r="B189" i="1"/>
  <c r="I188" i="1"/>
  <c r="B188" i="1"/>
  <c r="I187" i="1"/>
  <c r="C187" i="1"/>
  <c r="B187" i="1"/>
  <c r="I186" i="1"/>
  <c r="D186" i="1"/>
  <c r="J186" i="1" s="1"/>
  <c r="C186" i="1"/>
  <c r="B186" i="1"/>
  <c r="I185" i="1"/>
  <c r="C185" i="1"/>
  <c r="B185" i="1"/>
  <c r="I184" i="1"/>
  <c r="C184" i="1"/>
  <c r="B184" i="1"/>
  <c r="I183" i="1"/>
  <c r="C183" i="1"/>
  <c r="B183" i="1"/>
  <c r="I182" i="1"/>
  <c r="C182" i="1"/>
  <c r="B182" i="1"/>
  <c r="I181" i="1"/>
  <c r="B181" i="1"/>
  <c r="I180" i="1"/>
  <c r="C180" i="1"/>
  <c r="B180" i="1"/>
  <c r="I179" i="1"/>
  <c r="B179" i="1"/>
  <c r="I178" i="1"/>
  <c r="C178" i="1"/>
  <c r="B178" i="1"/>
  <c r="I177" i="1"/>
  <c r="B177" i="1"/>
  <c r="I176" i="1"/>
  <c r="C176" i="1"/>
  <c r="B176" i="1"/>
  <c r="I175" i="1"/>
  <c r="C175" i="1"/>
  <c r="B175" i="1"/>
  <c r="I174" i="1"/>
  <c r="C174" i="1"/>
  <c r="B174" i="1"/>
  <c r="I173" i="1"/>
  <c r="C173" i="1"/>
  <c r="B173" i="1"/>
  <c r="I172" i="1"/>
  <c r="C172" i="1"/>
  <c r="B172" i="1"/>
  <c r="I171" i="1"/>
  <c r="C171" i="1"/>
  <c r="B171" i="1"/>
  <c r="I170" i="1"/>
  <c r="C170" i="1"/>
  <c r="B170" i="1"/>
  <c r="I169" i="1"/>
  <c r="C169" i="1"/>
  <c r="B169" i="1"/>
  <c r="I168" i="1"/>
  <c r="C168" i="1"/>
  <c r="B168" i="1"/>
  <c r="I167" i="1"/>
  <c r="C167" i="1"/>
  <c r="B167" i="1"/>
  <c r="I166" i="1"/>
  <c r="C166" i="1"/>
  <c r="B166" i="1"/>
  <c r="I165" i="1"/>
  <c r="C165" i="1"/>
  <c r="B165" i="1"/>
  <c r="I164" i="1"/>
  <c r="C164" i="1"/>
  <c r="B164" i="1"/>
  <c r="I163" i="1"/>
  <c r="B163" i="1"/>
  <c r="I162" i="1"/>
  <c r="C162" i="1"/>
  <c r="B162" i="1"/>
  <c r="I161" i="1"/>
  <c r="C161" i="1"/>
  <c r="B161" i="1"/>
  <c r="I160" i="1"/>
  <c r="C160" i="1"/>
  <c r="B160" i="1"/>
  <c r="I159" i="1"/>
  <c r="C159" i="1"/>
  <c r="B159" i="1"/>
  <c r="I158" i="1"/>
  <c r="C158" i="1"/>
  <c r="B158" i="1"/>
  <c r="I157" i="1"/>
  <c r="C157" i="1"/>
  <c r="B157" i="1"/>
  <c r="I156" i="1"/>
  <c r="B156" i="1"/>
  <c r="I155" i="1"/>
  <c r="C155" i="1"/>
  <c r="B155" i="1"/>
  <c r="I154" i="1"/>
  <c r="C154" i="1"/>
  <c r="B154" i="1"/>
  <c r="I153" i="1"/>
  <c r="B153" i="1"/>
  <c r="I152" i="1"/>
  <c r="B152" i="1"/>
  <c r="I151" i="1"/>
  <c r="C151" i="1"/>
  <c r="B151" i="1"/>
  <c r="I150" i="1"/>
  <c r="C150" i="1"/>
  <c r="B150" i="1"/>
  <c r="I149" i="1"/>
  <c r="B149" i="1"/>
  <c r="I148" i="1"/>
  <c r="C148" i="1"/>
  <c r="B148" i="1"/>
  <c r="I147" i="1"/>
  <c r="B147" i="1"/>
  <c r="I146" i="1"/>
  <c r="C146" i="1"/>
  <c r="B146" i="1"/>
  <c r="I145" i="1"/>
  <c r="B145" i="1"/>
  <c r="I144" i="1"/>
  <c r="C144" i="1"/>
  <c r="B144" i="1"/>
  <c r="I143" i="1"/>
  <c r="B143" i="1"/>
  <c r="I142" i="1"/>
  <c r="C142" i="1"/>
  <c r="B142" i="1"/>
  <c r="I141" i="1"/>
  <c r="D141" i="1"/>
  <c r="J141" i="1" s="1"/>
  <c r="C141" i="1"/>
  <c r="B141" i="1"/>
  <c r="I140" i="1"/>
  <c r="B140" i="1"/>
  <c r="I139" i="1"/>
  <c r="C139" i="1"/>
  <c r="B139" i="1"/>
  <c r="I138" i="1"/>
  <c r="C138" i="1"/>
  <c r="B138" i="1"/>
  <c r="I137" i="1"/>
  <c r="B137" i="1"/>
  <c r="I136" i="1"/>
  <c r="B136" i="1"/>
  <c r="I135" i="1"/>
  <c r="C135" i="1"/>
  <c r="B135" i="1"/>
  <c r="I134" i="1"/>
  <c r="C134" i="1"/>
  <c r="B134" i="1"/>
  <c r="I133" i="1"/>
  <c r="B133" i="1"/>
  <c r="I132" i="1"/>
  <c r="B132" i="1"/>
  <c r="I131" i="1"/>
  <c r="C131" i="1"/>
  <c r="B131" i="1"/>
  <c r="I130" i="1"/>
  <c r="C130" i="1"/>
  <c r="B130" i="1"/>
  <c r="I129" i="1"/>
  <c r="B129" i="1"/>
  <c r="I128" i="1"/>
  <c r="C128" i="1"/>
  <c r="B128" i="1"/>
  <c r="I127" i="1"/>
  <c r="C127" i="1"/>
  <c r="B127" i="1"/>
  <c r="I126" i="1"/>
  <c r="C126" i="1"/>
  <c r="B126" i="1"/>
  <c r="I125" i="1"/>
  <c r="C125" i="1"/>
  <c r="B125" i="1"/>
  <c r="I124" i="1"/>
  <c r="C124" i="1"/>
  <c r="B124" i="1"/>
  <c r="I123" i="1"/>
  <c r="B123" i="1"/>
  <c r="I122" i="1"/>
  <c r="C122" i="1"/>
  <c r="B122" i="1"/>
  <c r="I121" i="1"/>
  <c r="C121" i="1"/>
  <c r="B121" i="1"/>
  <c r="I120" i="1"/>
  <c r="B120" i="1"/>
  <c r="I119" i="1"/>
  <c r="B119" i="1"/>
  <c r="I118" i="1"/>
  <c r="C118" i="1"/>
  <c r="B118" i="1"/>
  <c r="I117" i="1"/>
  <c r="C117" i="1"/>
  <c r="B117" i="1"/>
  <c r="I116" i="1"/>
  <c r="B116" i="1"/>
  <c r="I115" i="1"/>
  <c r="B115" i="1"/>
  <c r="I114" i="1"/>
  <c r="C114" i="1"/>
  <c r="B114" i="1"/>
  <c r="I113" i="1"/>
  <c r="B113" i="1"/>
  <c r="I112" i="1"/>
  <c r="C112" i="1"/>
  <c r="B112" i="1"/>
  <c r="I111" i="1"/>
  <c r="C111" i="1"/>
  <c r="B111" i="1"/>
  <c r="I110" i="1"/>
  <c r="C110" i="1"/>
  <c r="B110" i="1"/>
  <c r="I109" i="1"/>
  <c r="C109" i="1"/>
  <c r="B109" i="1"/>
  <c r="I108" i="1"/>
  <c r="B108" i="1"/>
  <c r="I107" i="1"/>
  <c r="C107" i="1"/>
  <c r="B107" i="1"/>
  <c r="I106" i="1"/>
  <c r="D106" i="1"/>
  <c r="C106" i="1"/>
  <c r="B106" i="1"/>
  <c r="I105" i="1"/>
  <c r="B105" i="1"/>
  <c r="I104" i="1"/>
  <c r="B104" i="1"/>
  <c r="I103" i="1"/>
  <c r="C103" i="1"/>
  <c r="B103" i="1"/>
  <c r="I102" i="1"/>
  <c r="C102" i="1"/>
  <c r="B102" i="1"/>
  <c r="I101" i="1"/>
  <c r="B101" i="1"/>
  <c r="I100" i="1"/>
  <c r="B100" i="1"/>
  <c r="I99" i="1"/>
  <c r="C99" i="1"/>
  <c r="B99" i="1"/>
  <c r="I98" i="1"/>
  <c r="C98" i="1"/>
  <c r="B98" i="1"/>
  <c r="I97" i="1"/>
  <c r="B97" i="1"/>
  <c r="I96" i="1"/>
  <c r="C96" i="1"/>
  <c r="B96" i="1"/>
  <c r="I95" i="1"/>
  <c r="C95" i="1"/>
  <c r="B95" i="1"/>
  <c r="I94" i="1"/>
  <c r="C94" i="1"/>
  <c r="B94" i="1"/>
  <c r="I93" i="1"/>
  <c r="C93" i="1"/>
  <c r="B93" i="1"/>
  <c r="I92" i="1"/>
  <c r="B92" i="1"/>
  <c r="I91" i="1"/>
  <c r="C91" i="1"/>
  <c r="B91" i="1"/>
  <c r="I90" i="1"/>
  <c r="C90" i="1"/>
  <c r="B90" i="1"/>
  <c r="I89" i="1"/>
  <c r="B89" i="1"/>
  <c r="I88" i="1"/>
  <c r="C88" i="1"/>
  <c r="B88" i="1"/>
  <c r="I87" i="1"/>
  <c r="C87" i="1"/>
  <c r="B87" i="1"/>
  <c r="I86" i="1"/>
  <c r="C86" i="1"/>
  <c r="B86" i="1"/>
  <c r="I85" i="1"/>
  <c r="B85" i="1"/>
  <c r="I84" i="1"/>
  <c r="C84" i="1"/>
  <c r="B84" i="1"/>
  <c r="I83" i="1"/>
  <c r="B83" i="1"/>
  <c r="I82" i="1"/>
  <c r="C82" i="1"/>
  <c r="B82" i="1"/>
  <c r="I81" i="1"/>
  <c r="B81" i="1"/>
  <c r="I80" i="1"/>
  <c r="C80" i="1"/>
  <c r="B80" i="1"/>
  <c r="I79" i="1"/>
  <c r="C79" i="1"/>
  <c r="B79" i="1"/>
  <c r="I78" i="1"/>
  <c r="C78" i="1"/>
  <c r="B78" i="1"/>
  <c r="I77" i="1"/>
  <c r="C77" i="1"/>
  <c r="B77" i="1"/>
  <c r="I76" i="1"/>
  <c r="B76" i="1"/>
  <c r="I75" i="1"/>
  <c r="C75" i="1"/>
  <c r="B75" i="1"/>
  <c r="I74" i="1"/>
  <c r="C74" i="1"/>
  <c r="B74" i="1"/>
  <c r="I73" i="1"/>
  <c r="C73" i="1"/>
  <c r="B73" i="1"/>
  <c r="I72" i="1"/>
  <c r="C72" i="1"/>
  <c r="B72" i="1"/>
  <c r="I71" i="1"/>
  <c r="C71" i="1"/>
  <c r="B71" i="1"/>
  <c r="I70" i="1"/>
  <c r="C70" i="1"/>
  <c r="B70" i="1"/>
  <c r="I69" i="1"/>
  <c r="C69" i="1"/>
  <c r="B69" i="1"/>
  <c r="I68" i="1"/>
  <c r="C68" i="1"/>
  <c r="B68" i="1"/>
  <c r="I67" i="1"/>
  <c r="B67" i="1"/>
  <c r="I66" i="1"/>
  <c r="C66" i="1"/>
  <c r="B66" i="1"/>
  <c r="I65" i="1"/>
  <c r="C65" i="1"/>
  <c r="B65" i="1"/>
  <c r="I64" i="1"/>
  <c r="B64" i="1"/>
  <c r="I63" i="1"/>
  <c r="B63" i="1"/>
  <c r="I62" i="1"/>
  <c r="C62" i="1"/>
  <c r="B62" i="1"/>
  <c r="I61" i="1"/>
  <c r="C61" i="1"/>
  <c r="B61" i="1"/>
  <c r="I60" i="1"/>
  <c r="B60" i="1"/>
  <c r="I59" i="1"/>
  <c r="C59" i="1"/>
  <c r="B59" i="1"/>
  <c r="I58" i="1"/>
  <c r="C58" i="1"/>
  <c r="B58" i="1"/>
  <c r="I57" i="1"/>
  <c r="C57" i="1"/>
  <c r="B57" i="1"/>
  <c r="I56" i="1"/>
  <c r="B56" i="1"/>
  <c r="I55" i="1"/>
  <c r="B55" i="1"/>
  <c r="I54" i="1"/>
  <c r="C54" i="1"/>
  <c r="B54" i="1"/>
  <c r="I53" i="1"/>
  <c r="B53" i="1"/>
  <c r="I52" i="1"/>
  <c r="B52" i="1"/>
  <c r="I51" i="1"/>
  <c r="B51" i="1"/>
  <c r="I50" i="1"/>
  <c r="C50" i="1"/>
  <c r="B50" i="1"/>
  <c r="I49" i="1"/>
  <c r="B49" i="1"/>
  <c r="I48" i="1"/>
  <c r="C48" i="1"/>
  <c r="B48" i="1"/>
  <c r="I47" i="1"/>
  <c r="C47" i="1"/>
  <c r="B47" i="1"/>
  <c r="I46" i="1"/>
  <c r="C46" i="1"/>
  <c r="B46" i="1"/>
  <c r="I45" i="1"/>
  <c r="C45" i="1"/>
  <c r="B45" i="1"/>
  <c r="I44" i="1"/>
  <c r="B44" i="1"/>
  <c r="I43" i="1"/>
  <c r="C43" i="1"/>
  <c r="B43" i="1"/>
  <c r="I42" i="1"/>
  <c r="C42" i="1"/>
  <c r="B42" i="1"/>
  <c r="I41" i="1"/>
  <c r="D41" i="1"/>
  <c r="C41" i="1"/>
  <c r="B41" i="1"/>
  <c r="I40" i="1"/>
  <c r="C40" i="1"/>
  <c r="B40" i="1"/>
  <c r="I39" i="1"/>
  <c r="C39" i="1"/>
  <c r="B39" i="1"/>
  <c r="I38" i="1"/>
  <c r="C38" i="1"/>
  <c r="B38" i="1"/>
  <c r="I37" i="1"/>
  <c r="B37" i="1"/>
  <c r="I36" i="1"/>
  <c r="B36" i="1"/>
  <c r="I35" i="1"/>
  <c r="C35" i="1"/>
  <c r="B35" i="1"/>
  <c r="I34" i="1"/>
  <c r="C34" i="1"/>
  <c r="B34" i="1"/>
  <c r="I33" i="1"/>
  <c r="B33" i="1"/>
  <c r="I32" i="1"/>
  <c r="C32" i="1"/>
  <c r="B32" i="1"/>
  <c r="I31" i="1"/>
  <c r="C31" i="1"/>
  <c r="B31" i="1"/>
  <c r="I30" i="1"/>
  <c r="C30" i="1"/>
  <c r="B30" i="1"/>
  <c r="I29" i="1"/>
  <c r="C29" i="1"/>
  <c r="B29" i="1"/>
  <c r="I28" i="1"/>
  <c r="B28" i="1"/>
  <c r="I27" i="1"/>
  <c r="G27" i="1"/>
  <c r="D27" i="1"/>
  <c r="J27" i="1" s="1"/>
  <c r="C27" i="1"/>
  <c r="B27" i="1"/>
  <c r="I26" i="1"/>
  <c r="C26" i="1"/>
  <c r="B26" i="1"/>
  <c r="I25" i="1"/>
  <c r="B25" i="1"/>
  <c r="I24" i="1"/>
  <c r="C24" i="1"/>
  <c r="B24" i="1"/>
  <c r="I23" i="1"/>
  <c r="C23" i="1"/>
  <c r="B23" i="1"/>
  <c r="I22" i="1"/>
  <c r="C22" i="1"/>
  <c r="B22" i="1"/>
  <c r="I21" i="1"/>
  <c r="B21" i="1"/>
  <c r="I20" i="1"/>
  <c r="C20" i="1"/>
  <c r="B20" i="1"/>
  <c r="I19" i="1"/>
  <c r="B19" i="1"/>
  <c r="N18" i="1"/>
  <c r="I18" i="1"/>
  <c r="C18" i="1"/>
  <c r="B18" i="1"/>
  <c r="I17" i="1"/>
  <c r="B17" i="1"/>
  <c r="I16" i="1"/>
  <c r="C16" i="1"/>
  <c r="B16" i="1"/>
  <c r="N15" i="1"/>
  <c r="I15" i="1"/>
  <c r="B15" i="1"/>
  <c r="N14" i="1"/>
  <c r="I14" i="1"/>
  <c r="D14" i="1"/>
  <c r="C14" i="1"/>
  <c r="B14" i="1"/>
  <c r="I13" i="1"/>
  <c r="B13" i="1"/>
  <c r="I12" i="1"/>
  <c r="D12" i="1"/>
  <c r="J12" i="1" s="1"/>
  <c r="C12" i="1"/>
  <c r="B12" i="1"/>
  <c r="I11" i="1"/>
  <c r="B11" i="1"/>
  <c r="I10" i="1"/>
  <c r="C10" i="1"/>
  <c r="B10" i="1"/>
  <c r="I9" i="1"/>
  <c r="B9" i="1"/>
  <c r="N8" i="1"/>
  <c r="I8" i="1"/>
  <c r="C8" i="1"/>
  <c r="B8" i="1"/>
  <c r="I7" i="1"/>
  <c r="B7" i="1"/>
  <c r="I6" i="1"/>
  <c r="C6" i="1"/>
  <c r="B6" i="1"/>
  <c r="I5" i="1"/>
  <c r="B5" i="1"/>
  <c r="E4" i="1"/>
  <c r="I4" i="1" s="1"/>
  <c r="C4" i="1"/>
  <c r="B4" i="1"/>
  <c r="J319" i="3" l="1"/>
  <c r="V12" i="2"/>
  <c r="J19" i="2" s="1"/>
  <c r="I81" i="3"/>
  <c r="S12" i="12"/>
  <c r="T12" i="12" s="1"/>
  <c r="M12" i="12"/>
  <c r="N12" i="12" s="1"/>
  <c r="BM12" i="12"/>
  <c r="K12" i="12"/>
  <c r="L12" i="12" s="1"/>
  <c r="AA12" i="12"/>
  <c r="AB12" i="12" s="1"/>
  <c r="J12" i="12"/>
  <c r="H12" i="12"/>
  <c r="AC12" i="12"/>
  <c r="AD12" i="12" s="1"/>
  <c r="G12" i="12"/>
  <c r="Y12" i="12"/>
  <c r="Z12" i="12" s="1"/>
  <c r="W12" i="12"/>
  <c r="X12" i="12" s="1"/>
  <c r="U12" i="12"/>
  <c r="V12" i="12" s="1"/>
  <c r="I12" i="12"/>
  <c r="O12" i="12"/>
  <c r="P12" i="12" s="1"/>
  <c r="Q12" i="12"/>
  <c r="R12" i="12" s="1"/>
  <c r="I63" i="3"/>
  <c r="J145" i="3"/>
  <c r="J260" i="3"/>
  <c r="C103" i="12"/>
  <c r="C105" i="1"/>
  <c r="D361" i="1"/>
  <c r="J46" i="3"/>
  <c r="J64" i="3"/>
  <c r="I64" i="3"/>
  <c r="J81" i="3"/>
  <c r="J170" i="3"/>
  <c r="J318" i="3"/>
  <c r="C436" i="3"/>
  <c r="C437" i="3" s="1"/>
  <c r="C438" i="3"/>
  <c r="H425" i="3"/>
  <c r="D50" i="12"/>
  <c r="F68" i="9" a="1"/>
  <c r="F68" i="9" s="1"/>
  <c r="D52" i="1"/>
  <c r="F84" i="9" a="1"/>
  <c r="F84" i="9" s="1"/>
  <c r="AH182" i="12"/>
  <c r="BH182" i="12"/>
  <c r="BO182" i="12"/>
  <c r="C227" i="12"/>
  <c r="C229" i="1"/>
  <c r="D408" i="12"/>
  <c r="D410" i="1"/>
  <c r="D15" i="1"/>
  <c r="D13" i="12"/>
  <c r="M231" i="8"/>
  <c r="M147" i="8"/>
  <c r="E30" i="8"/>
  <c r="C30" i="8" s="1"/>
  <c r="I335" i="8"/>
  <c r="I219" i="8"/>
  <c r="G291" i="8"/>
  <c r="C291" i="8" s="1"/>
  <c r="G255" i="8"/>
  <c r="G211" i="8"/>
  <c r="I300" i="8"/>
  <c r="K148" i="8"/>
  <c r="G114" i="8"/>
  <c r="K222" i="8"/>
  <c r="M232" i="8"/>
  <c r="G128" i="8"/>
  <c r="K139" i="8"/>
  <c r="E339" i="8"/>
  <c r="C339" i="8" s="1"/>
  <c r="G326" i="8"/>
  <c r="E269" i="8"/>
  <c r="M149" i="8"/>
  <c r="E232" i="8"/>
  <c r="K231" i="8"/>
  <c r="E149" i="8"/>
  <c r="C149" i="8" s="1"/>
  <c r="I136" i="8"/>
  <c r="I370" i="8"/>
  <c r="I204" i="8"/>
  <c r="E144" i="8"/>
  <c r="M230" i="8"/>
  <c r="G361" i="8"/>
  <c r="C361" i="8" s="1"/>
  <c r="G197" i="8"/>
  <c r="I265" i="8"/>
  <c r="G253" i="8"/>
  <c r="K233" i="8"/>
  <c r="K150" i="8"/>
  <c r="M148" i="8"/>
  <c r="E46" i="8"/>
  <c r="C46" i="8" s="1"/>
  <c r="I323" i="8"/>
  <c r="I247" i="8"/>
  <c r="K372" i="8"/>
  <c r="C372" i="8" s="1"/>
  <c r="G241" i="8"/>
  <c r="I194" i="8"/>
  <c r="I188" i="8"/>
  <c r="C188" i="8" s="1"/>
  <c r="K212" i="8"/>
  <c r="C212" i="8" s="1"/>
  <c r="I288" i="8"/>
  <c r="C288" i="8" s="1"/>
  <c r="I358" i="8"/>
  <c r="K302" i="8"/>
  <c r="K337" i="8"/>
  <c r="G165" i="8"/>
  <c r="M221" i="8"/>
  <c r="D374" i="12"/>
  <c r="D376" i="1"/>
  <c r="I21" i="3"/>
  <c r="J21" i="3"/>
  <c r="J40" i="3"/>
  <c r="I40" i="3"/>
  <c r="J141" i="3"/>
  <c r="J153" i="3"/>
  <c r="I153" i="3"/>
  <c r="I159" i="3"/>
  <c r="I171" i="3"/>
  <c r="J171" i="3"/>
  <c r="J189" i="3"/>
  <c r="J206" i="3"/>
  <c r="J359" i="3"/>
  <c r="J401" i="3"/>
  <c r="H422" i="3"/>
  <c r="C151" i="12"/>
  <c r="C153" i="1"/>
  <c r="AX157" i="12"/>
  <c r="AL157" i="12"/>
  <c r="AM157" i="12" s="1"/>
  <c r="BA157" i="12"/>
  <c r="BB157" i="12" s="1"/>
  <c r="BD157" i="12"/>
  <c r="BE157" i="12" s="1"/>
  <c r="AR157" i="12"/>
  <c r="AS157" i="12" s="1"/>
  <c r="AT157" i="12" s="1"/>
  <c r="AI157" i="12"/>
  <c r="AJ157" i="12" s="1"/>
  <c r="BG157" i="12"/>
  <c r="AO157" i="12"/>
  <c r="AP157" i="12" s="1"/>
  <c r="AU157" i="12"/>
  <c r="E227" i="8"/>
  <c r="C355" i="12"/>
  <c r="C357" i="1"/>
  <c r="D395" i="12"/>
  <c r="D397" i="1"/>
  <c r="S407" i="12"/>
  <c r="T407" i="12" s="1"/>
  <c r="AC407" i="12"/>
  <c r="AD407" i="12" s="1"/>
  <c r="K407" i="12"/>
  <c r="L407" i="12" s="1"/>
  <c r="J407" i="12"/>
  <c r="AA407" i="12"/>
  <c r="AB407" i="12" s="1"/>
  <c r="I407" i="12"/>
  <c r="BM407" i="12"/>
  <c r="H407" i="12"/>
  <c r="O407" i="12"/>
  <c r="P407" i="12" s="1"/>
  <c r="M407" i="12"/>
  <c r="N407" i="12" s="1"/>
  <c r="G407" i="12"/>
  <c r="Y407" i="12"/>
  <c r="Z407" i="12" s="1"/>
  <c r="Q407" i="12"/>
  <c r="R407" i="12" s="1"/>
  <c r="W407" i="12"/>
  <c r="X407" i="12" s="1"/>
  <c r="U407" i="12"/>
  <c r="V407" i="12" s="1"/>
  <c r="E124" i="8"/>
  <c r="C124" i="8" s="1"/>
  <c r="E293" i="8"/>
  <c r="C293" i="8" s="1"/>
  <c r="E328" i="8"/>
  <c r="C328" i="8" s="1"/>
  <c r="E207" i="8"/>
  <c r="E15" i="8"/>
  <c r="C15" i="8" s="1"/>
  <c r="E342" i="8"/>
  <c r="C342" i="8" s="1"/>
  <c r="G267" i="8"/>
  <c r="G131" i="8"/>
  <c r="G115" i="8"/>
  <c r="E31" i="8"/>
  <c r="C31" i="8" s="1"/>
  <c r="E272" i="8"/>
  <c r="E235" i="8"/>
  <c r="G198" i="8"/>
  <c r="E152" i="8"/>
  <c r="C152" i="8" s="1"/>
  <c r="G258" i="8"/>
  <c r="I359" i="8"/>
  <c r="I195" i="8"/>
  <c r="G347" i="8"/>
  <c r="C347" i="8" s="1"/>
  <c r="G175" i="8"/>
  <c r="C175" i="8" s="1"/>
  <c r="I324" i="8"/>
  <c r="C324" i="8" s="1"/>
  <c r="G312" i="8"/>
  <c r="I248" i="8"/>
  <c r="M222" i="8"/>
  <c r="G242" i="8"/>
  <c r="G166" i="8"/>
  <c r="G277" i="8"/>
  <c r="E47" i="8"/>
  <c r="C47" i="8" s="1"/>
  <c r="I189" i="8"/>
  <c r="C189" i="8" s="1"/>
  <c r="K207" i="8"/>
  <c r="I289" i="8"/>
  <c r="BF52" i="12"/>
  <c r="J80" i="3"/>
  <c r="J163" i="3"/>
  <c r="J303" i="3"/>
  <c r="C134" i="12"/>
  <c r="C136" i="1"/>
  <c r="D167" i="12"/>
  <c r="D169" i="1"/>
  <c r="BW29" i="12"/>
  <c r="BX29" i="12" s="1"/>
  <c r="AF29" i="12"/>
  <c r="AY29" i="12"/>
  <c r="BF48" i="12"/>
  <c r="G141" i="1"/>
  <c r="J297" i="3"/>
  <c r="I297" i="3"/>
  <c r="D54" i="12"/>
  <c r="F54" i="12" s="1"/>
  <c r="F78" i="9" a="1"/>
  <c r="F78" i="9" s="1"/>
  <c r="E77" i="8" s="1"/>
  <c r="C77" i="8" s="1"/>
  <c r="D56" i="1"/>
  <c r="C259" i="12"/>
  <c r="C261" i="1"/>
  <c r="D284" i="12"/>
  <c r="D286" i="1"/>
  <c r="J120" i="3"/>
  <c r="J346" i="3"/>
  <c r="J394" i="3"/>
  <c r="I394" i="3"/>
  <c r="C15" i="1"/>
  <c r="C13" i="12"/>
  <c r="D112" i="12"/>
  <c r="D114" i="1"/>
  <c r="BQ90" i="12"/>
  <c r="AE90" i="12"/>
  <c r="BS90" i="12"/>
  <c r="BT90" i="12" s="1"/>
  <c r="BL90" i="12"/>
  <c r="J32" i="3"/>
  <c r="J110" i="3"/>
  <c r="J279" i="3"/>
  <c r="J311" i="3"/>
  <c r="C51" i="12"/>
  <c r="C53" i="1"/>
  <c r="J63" i="3"/>
  <c r="J115" i="3"/>
  <c r="I212" i="3"/>
  <c r="AR96" i="12"/>
  <c r="AS96" i="12" s="1"/>
  <c r="AT96" i="12" s="1"/>
  <c r="BA96" i="12"/>
  <c r="BB96" i="12" s="1"/>
  <c r="AL96" i="12"/>
  <c r="AM96" i="12" s="1"/>
  <c r="AN96" i="12" s="1"/>
  <c r="AU96" i="12"/>
  <c r="BG96" i="12"/>
  <c r="AI96" i="12"/>
  <c r="AJ96" i="12" s="1"/>
  <c r="AK96" i="12" s="1"/>
  <c r="AO96" i="12"/>
  <c r="AP96" i="12" s="1"/>
  <c r="AQ96" i="12" s="1"/>
  <c r="AX96" i="12"/>
  <c r="BD96" i="12"/>
  <c r="BE96" i="12" s="1"/>
  <c r="AA191" i="12"/>
  <c r="AB191" i="12" s="1"/>
  <c r="K191" i="12"/>
  <c r="L191" i="12" s="1"/>
  <c r="J191" i="12"/>
  <c r="Q191" i="12"/>
  <c r="R191" i="12" s="1"/>
  <c r="Y191" i="12"/>
  <c r="Z191" i="12" s="1"/>
  <c r="M191" i="12"/>
  <c r="N191" i="12" s="1"/>
  <c r="I191" i="12"/>
  <c r="H191" i="12"/>
  <c r="G191" i="12"/>
  <c r="AC191" i="12"/>
  <c r="AD191" i="12" s="1"/>
  <c r="W191" i="12"/>
  <c r="X191" i="12" s="1"/>
  <c r="BM191" i="12"/>
  <c r="U191" i="12"/>
  <c r="V191" i="12" s="1"/>
  <c r="S191" i="12"/>
  <c r="T191" i="12" s="1"/>
  <c r="O191" i="12"/>
  <c r="P191" i="12" s="1"/>
  <c r="J106" i="1"/>
  <c r="G106" i="1"/>
  <c r="I100" i="3"/>
  <c r="J225" i="3"/>
  <c r="I225" i="3"/>
  <c r="J255" i="3"/>
  <c r="D44" i="12"/>
  <c r="D46" i="1"/>
  <c r="F73" i="9" a="1"/>
  <c r="F73" i="9" s="1"/>
  <c r="D155" i="12"/>
  <c r="D157" i="1"/>
  <c r="D376" i="12"/>
  <c r="D378" i="1"/>
  <c r="AH248" i="12"/>
  <c r="BO248" i="12"/>
  <c r="BH248" i="12"/>
  <c r="J106" i="3"/>
  <c r="I106" i="3"/>
  <c r="J207" i="3"/>
  <c r="I207" i="3"/>
  <c r="J307" i="3"/>
  <c r="J336" i="3"/>
  <c r="J372" i="3"/>
  <c r="I372" i="3"/>
  <c r="I383" i="3"/>
  <c r="V422" i="3"/>
  <c r="J6" i="1"/>
  <c r="G6" i="1"/>
  <c r="D43" i="12"/>
  <c r="D45" i="1"/>
  <c r="D405" i="12"/>
  <c r="D407" i="1"/>
  <c r="D48" i="12"/>
  <c r="F94" i="9" a="1"/>
  <c r="F94" i="9" s="1"/>
  <c r="E93" i="8" s="1"/>
  <c r="C93" i="8" s="1"/>
  <c r="D50" i="1"/>
  <c r="AU108" i="12"/>
  <c r="AX108" i="12"/>
  <c r="AO108" i="12"/>
  <c r="AP108" i="12" s="1"/>
  <c r="AQ108" i="12" s="1"/>
  <c r="AL108" i="12"/>
  <c r="AM108" i="12" s="1"/>
  <c r="AN108" i="12" s="1"/>
  <c r="BA108" i="12"/>
  <c r="BB108" i="12" s="1"/>
  <c r="BC108" i="12" s="1"/>
  <c r="AR108" i="12"/>
  <c r="AS108" i="12" s="1"/>
  <c r="AT108" i="12" s="1"/>
  <c r="AI108" i="12"/>
  <c r="AJ108" i="12" s="1"/>
  <c r="AK108" i="12" s="1"/>
  <c r="BD108" i="12"/>
  <c r="BE108" i="12" s="1"/>
  <c r="BG108" i="12"/>
  <c r="J59" i="3"/>
  <c r="J256" i="3"/>
  <c r="D41" i="12"/>
  <c r="F79" i="9" a="1"/>
  <c r="F79" i="9" s="1"/>
  <c r="E78" i="8" s="1"/>
  <c r="C78" i="8" s="1"/>
  <c r="D43" i="1"/>
  <c r="I355" i="3"/>
  <c r="J355" i="3"/>
  <c r="BN38" i="12"/>
  <c r="AE38" i="12"/>
  <c r="G358" i="1"/>
  <c r="J53" i="3"/>
  <c r="J84" i="3"/>
  <c r="I84" i="3"/>
  <c r="J130" i="3"/>
  <c r="J173" i="3"/>
  <c r="J238" i="3"/>
  <c r="I238" i="3"/>
  <c r="J257" i="3"/>
  <c r="I257" i="3"/>
  <c r="J270" i="3"/>
  <c r="J300" i="3"/>
  <c r="D216" i="12"/>
  <c r="D218" i="1"/>
  <c r="D373" i="12"/>
  <c r="D375" i="1"/>
  <c r="C374" i="12"/>
  <c r="C376" i="1"/>
  <c r="D192" i="12"/>
  <c r="D194" i="1"/>
  <c r="S4" i="12"/>
  <c r="T4" i="12" s="1"/>
  <c r="I4" i="12"/>
  <c r="G4" i="12"/>
  <c r="W4" i="12"/>
  <c r="X4" i="12" s="1"/>
  <c r="U4" i="12"/>
  <c r="V4" i="12" s="1"/>
  <c r="Q4" i="12"/>
  <c r="R4" i="12" s="1"/>
  <c r="BM4" i="12"/>
  <c r="O4" i="12"/>
  <c r="P4" i="12" s="1"/>
  <c r="M4" i="12"/>
  <c r="N4" i="12" s="1"/>
  <c r="K4" i="12"/>
  <c r="L4" i="12" s="1"/>
  <c r="AC4" i="12"/>
  <c r="AD4" i="12" s="1"/>
  <c r="Y4" i="12"/>
  <c r="Z4" i="12" s="1"/>
  <c r="AA4" i="12"/>
  <c r="AB4" i="12" s="1"/>
  <c r="J4" i="12"/>
  <c r="C30" i="2"/>
  <c r="J36" i="3"/>
  <c r="J54" i="3"/>
  <c r="J96" i="3"/>
  <c r="I185" i="3"/>
  <c r="J244" i="3"/>
  <c r="I314" i="3"/>
  <c r="I343" i="3"/>
  <c r="I397" i="3"/>
  <c r="H25" i="12"/>
  <c r="BM25" i="12"/>
  <c r="G25" i="12"/>
  <c r="W25" i="12"/>
  <c r="X25" i="12" s="1"/>
  <c r="U25" i="12"/>
  <c r="V25" i="12" s="1"/>
  <c r="K25" i="12"/>
  <c r="L25" i="12" s="1"/>
  <c r="I25" i="12"/>
  <c r="F25" i="12"/>
  <c r="AC25" i="12"/>
  <c r="AD25" i="12" s="1"/>
  <c r="AA25" i="12"/>
  <c r="AB25" i="12" s="1"/>
  <c r="Y25" i="12"/>
  <c r="Z25" i="12" s="1"/>
  <c r="Q25" i="12"/>
  <c r="R25" i="12" s="1"/>
  <c r="M25" i="12"/>
  <c r="N25" i="12" s="1"/>
  <c r="J25" i="12"/>
  <c r="S25" i="12"/>
  <c r="T25" i="12" s="1"/>
  <c r="D128" i="12"/>
  <c r="D130" i="1"/>
  <c r="D372" i="12"/>
  <c r="D374" i="1"/>
  <c r="F4" i="12"/>
  <c r="AQ212" i="12"/>
  <c r="J186" i="3"/>
  <c r="I186" i="3"/>
  <c r="D24" i="12"/>
  <c r="D26" i="1"/>
  <c r="H4" i="12"/>
  <c r="AY12" i="12"/>
  <c r="AZ12" i="12" s="1"/>
  <c r="F12" i="12"/>
  <c r="F20" i="12"/>
  <c r="AE94" i="12"/>
  <c r="BL94" i="12"/>
  <c r="M63" i="12"/>
  <c r="N63" i="12" s="1"/>
  <c r="J63" i="12"/>
  <c r="S63" i="12"/>
  <c r="T63" i="12" s="1"/>
  <c r="K63" i="12"/>
  <c r="L63" i="12" s="1"/>
  <c r="H63" i="12"/>
  <c r="G63" i="12"/>
  <c r="BM63" i="12"/>
  <c r="AC63" i="12"/>
  <c r="AD63" i="12" s="1"/>
  <c r="AA63" i="12"/>
  <c r="AB63" i="12" s="1"/>
  <c r="Q63" i="12"/>
  <c r="R63" i="12" s="1"/>
  <c r="O63" i="12"/>
  <c r="P63" i="12" s="1"/>
  <c r="I63" i="12"/>
  <c r="U63" i="12"/>
  <c r="V63" i="12" s="1"/>
  <c r="Y63" i="12"/>
  <c r="Z63" i="12" s="1"/>
  <c r="U14" i="2"/>
  <c r="U15" i="2" s="1"/>
  <c r="V11" i="2"/>
  <c r="J291" i="3"/>
  <c r="J340" i="3"/>
  <c r="I340" i="3"/>
  <c r="J369" i="3"/>
  <c r="I369" i="3"/>
  <c r="J14" i="1"/>
  <c r="G14" i="1"/>
  <c r="J199" i="3"/>
  <c r="J388" i="3"/>
  <c r="I388" i="3"/>
  <c r="C19" i="12"/>
  <c r="C21" i="1"/>
  <c r="C201" i="12"/>
  <c r="C203" i="1"/>
  <c r="G385" i="1"/>
  <c r="J253" i="3"/>
  <c r="I253" i="3"/>
  <c r="D105" i="12"/>
  <c r="D107" i="1"/>
  <c r="C118" i="12"/>
  <c r="C120" i="1"/>
  <c r="J20" i="3"/>
  <c r="I127" i="3"/>
  <c r="J127" i="3"/>
  <c r="J35" i="3"/>
  <c r="J167" i="3"/>
  <c r="J202" i="3"/>
  <c r="C299" i="12"/>
  <c r="C301" i="1"/>
  <c r="J137" i="3"/>
  <c r="C5" i="2"/>
  <c r="K16" i="2"/>
  <c r="I11" i="3"/>
  <c r="J138" i="3"/>
  <c r="J155" i="3"/>
  <c r="I221" i="3"/>
  <c r="I315" i="3"/>
  <c r="J315" i="3"/>
  <c r="G399" i="1"/>
  <c r="J30" i="3"/>
  <c r="J265" i="3"/>
  <c r="J289" i="3"/>
  <c r="I289" i="3"/>
  <c r="J344" i="3"/>
  <c r="I344" i="3"/>
  <c r="J362" i="3"/>
  <c r="D11" i="1"/>
  <c r="D9" i="12"/>
  <c r="F89" i="9" a="1"/>
  <c r="F89" i="9" s="1"/>
  <c r="E88" i="8" s="1"/>
  <c r="C88" i="8" s="1"/>
  <c r="C23" i="8"/>
  <c r="C61" i="12"/>
  <c r="C63" i="1"/>
  <c r="G214" i="8"/>
  <c r="BF212" i="12"/>
  <c r="D65" i="1"/>
  <c r="J266" i="3"/>
  <c r="I284" i="3"/>
  <c r="D131" i="12"/>
  <c r="D133" i="1"/>
  <c r="D159" i="12"/>
  <c r="F80" i="9" a="1"/>
  <c r="F80" i="9" s="1"/>
  <c r="E79" i="8" s="1"/>
  <c r="C79" i="8" s="1"/>
  <c r="D161" i="1"/>
  <c r="J375" i="3"/>
  <c r="C254" i="12"/>
  <c r="C256" i="1"/>
  <c r="J240" i="3"/>
  <c r="J285" i="3"/>
  <c r="D2" i="12"/>
  <c r="D4" i="1"/>
  <c r="J4" i="1" s="1"/>
  <c r="D19" i="1"/>
  <c r="D17" i="12"/>
  <c r="C121" i="12"/>
  <c r="C123" i="1"/>
  <c r="J235" i="3"/>
  <c r="J292" i="3"/>
  <c r="I292" i="3"/>
  <c r="D110" i="1"/>
  <c r="D108" i="12"/>
  <c r="I45" i="3"/>
  <c r="J305" i="3"/>
  <c r="C416" i="3"/>
  <c r="D303" i="12"/>
  <c r="D305" i="1"/>
  <c r="O359" i="12"/>
  <c r="P359" i="12" s="1"/>
  <c r="AA359" i="12"/>
  <c r="AB359" i="12" s="1"/>
  <c r="G359" i="12"/>
  <c r="F359" i="12"/>
  <c r="Y359" i="12"/>
  <c r="Z359" i="12" s="1"/>
  <c r="H359" i="12"/>
  <c r="AC359" i="12"/>
  <c r="AD359" i="12" s="1"/>
  <c r="BM359" i="12"/>
  <c r="W359" i="12"/>
  <c r="X359" i="12" s="1"/>
  <c r="U359" i="12"/>
  <c r="V359" i="12" s="1"/>
  <c r="Q359" i="12"/>
  <c r="R359" i="12" s="1"/>
  <c r="K359" i="12"/>
  <c r="L359" i="12" s="1"/>
  <c r="J359" i="12"/>
  <c r="I359" i="12"/>
  <c r="S359" i="12"/>
  <c r="T359" i="12" s="1"/>
  <c r="M359" i="12"/>
  <c r="N359" i="12" s="1"/>
  <c r="I242" i="3"/>
  <c r="J329" i="3"/>
  <c r="J390" i="3"/>
  <c r="D152" i="12"/>
  <c r="D154" i="1"/>
  <c r="C347" i="12"/>
  <c r="C349" i="1"/>
  <c r="J71" i="3"/>
  <c r="J142" i="3"/>
  <c r="AH70" i="12"/>
  <c r="BO70" i="12"/>
  <c r="BH70" i="12"/>
  <c r="C301" i="8"/>
  <c r="D32" i="12"/>
  <c r="D34" i="1"/>
  <c r="BE3" i="12"/>
  <c r="J41" i="1"/>
  <c r="G41" i="1"/>
  <c r="J166" i="3"/>
  <c r="BU187" i="12"/>
  <c r="BV187" i="12" s="1"/>
  <c r="BW187" i="12"/>
  <c r="BX187" i="12" s="1"/>
  <c r="AY187" i="12"/>
  <c r="J42" i="3"/>
  <c r="J160" i="3"/>
  <c r="J196" i="3"/>
  <c r="I196" i="3"/>
  <c r="J249" i="3"/>
  <c r="J408" i="3"/>
  <c r="D40" i="12"/>
  <c r="D42" i="1"/>
  <c r="D379" i="12"/>
  <c r="D381" i="1"/>
  <c r="I149" i="3"/>
  <c r="J215" i="3"/>
  <c r="D409" i="1"/>
  <c r="J12" i="3"/>
  <c r="J68" i="3"/>
  <c r="J216" i="3"/>
  <c r="I216" i="3"/>
  <c r="J278" i="3"/>
  <c r="I278" i="3"/>
  <c r="J351" i="3"/>
  <c r="AX34" i="12"/>
  <c r="BG34" i="12"/>
  <c r="AR34" i="12"/>
  <c r="AS34" i="12" s="1"/>
  <c r="AT34" i="12" s="1"/>
  <c r="BA34" i="12"/>
  <c r="BB34" i="12" s="1"/>
  <c r="AU34" i="12"/>
  <c r="AO34" i="12"/>
  <c r="AP34" i="12" s="1"/>
  <c r="AL34" i="12"/>
  <c r="AM34" i="12" s="1"/>
  <c r="BD34" i="12"/>
  <c r="BE34" i="12" s="1"/>
  <c r="C58" i="12"/>
  <c r="C60" i="1"/>
  <c r="AU50" i="12"/>
  <c r="AL50" i="12"/>
  <c r="AM50" i="12" s="1"/>
  <c r="BG50" i="12"/>
  <c r="AI50" i="12"/>
  <c r="AJ50" i="12" s="1"/>
  <c r="AK50" i="12" s="1"/>
  <c r="BD50" i="12"/>
  <c r="BE50" i="12" s="1"/>
  <c r="BF50" i="12" s="1"/>
  <c r="AX50" i="12"/>
  <c r="BA50" i="12"/>
  <c r="BB50" i="12" s="1"/>
  <c r="BC50" i="12" s="1"/>
  <c r="F63" i="12"/>
  <c r="AR191" i="12"/>
  <c r="AS191" i="12" s="1"/>
  <c r="AT191" i="12" s="1"/>
  <c r="BD191" i="12"/>
  <c r="BE191" i="12" s="1"/>
  <c r="BF191" i="12" s="1"/>
  <c r="AI191" i="12"/>
  <c r="AJ191" i="12" s="1"/>
  <c r="AK191" i="12" s="1"/>
  <c r="AU191" i="12"/>
  <c r="AL191" i="12"/>
  <c r="AM191" i="12" s="1"/>
  <c r="AN191" i="12" s="1"/>
  <c r="BA191" i="12"/>
  <c r="BB191" i="12" s="1"/>
  <c r="BC191" i="12" s="1"/>
  <c r="AX191" i="12"/>
  <c r="BG191" i="12"/>
  <c r="D39" i="12"/>
  <c r="F91" i="9" a="1"/>
  <c r="F91" i="9" s="1"/>
  <c r="E90" i="8" s="1"/>
  <c r="C90" i="8" s="1"/>
  <c r="D52" i="12"/>
  <c r="AQ52" i="12" s="1"/>
  <c r="F71" i="9" a="1"/>
  <c r="F71" i="9" s="1"/>
  <c r="F69" i="9" a="1"/>
  <c r="F69" i="9" s="1"/>
  <c r="F67" i="9" a="1"/>
  <c r="F67" i="9" s="1"/>
  <c r="F72" i="9" a="1"/>
  <c r="F72" i="9" s="1"/>
  <c r="AX73" i="12"/>
  <c r="AR73" i="12"/>
  <c r="AS73" i="12" s="1"/>
  <c r="AT73" i="12" s="1"/>
  <c r="BD73" i="12"/>
  <c r="BE73" i="12" s="1"/>
  <c r="AO73" i="12"/>
  <c r="AP73" i="12" s="1"/>
  <c r="AQ73" i="12" s="1"/>
  <c r="AL73" i="12"/>
  <c r="AM73" i="12" s="1"/>
  <c r="AN73" i="12" s="1"/>
  <c r="AU73" i="12"/>
  <c r="BA73" i="12"/>
  <c r="BB73" i="12" s="1"/>
  <c r="BG73" i="12"/>
  <c r="H104" i="12"/>
  <c r="W104" i="12"/>
  <c r="X104" i="12" s="1"/>
  <c r="G104" i="12"/>
  <c r="Y104" i="12"/>
  <c r="Z104" i="12" s="1"/>
  <c r="U104" i="12"/>
  <c r="V104" i="12" s="1"/>
  <c r="AA104" i="12"/>
  <c r="AB104" i="12" s="1"/>
  <c r="S104" i="12"/>
  <c r="T104" i="12" s="1"/>
  <c r="AC104" i="12"/>
  <c r="AD104" i="12" s="1"/>
  <c r="Q104" i="12"/>
  <c r="R104" i="12" s="1"/>
  <c r="O104" i="12"/>
  <c r="P104" i="12" s="1"/>
  <c r="BM104" i="12"/>
  <c r="M104" i="12"/>
  <c r="N104" i="12" s="1"/>
  <c r="Q119" i="12"/>
  <c r="R119" i="12" s="1"/>
  <c r="O119" i="12"/>
  <c r="P119" i="12" s="1"/>
  <c r="AC119" i="12"/>
  <c r="AD119" i="12" s="1"/>
  <c r="J119" i="12"/>
  <c r="I119" i="12"/>
  <c r="AA119" i="12"/>
  <c r="AB119" i="12" s="1"/>
  <c r="H119" i="12"/>
  <c r="M119" i="12"/>
  <c r="N119" i="12" s="1"/>
  <c r="Y119" i="12"/>
  <c r="Z119" i="12" s="1"/>
  <c r="K119" i="12"/>
  <c r="L119" i="12" s="1"/>
  <c r="G119" i="12"/>
  <c r="BM119" i="12"/>
  <c r="S119" i="12"/>
  <c r="T119" i="12" s="1"/>
  <c r="W119" i="12"/>
  <c r="X119" i="12" s="1"/>
  <c r="U119" i="12"/>
  <c r="V119" i="12" s="1"/>
  <c r="C141" i="12"/>
  <c r="C143" i="1"/>
  <c r="C233" i="8"/>
  <c r="BD341" i="12"/>
  <c r="BE341" i="12" s="1"/>
  <c r="AL341" i="12"/>
  <c r="AM341" i="12" s="1"/>
  <c r="AN341" i="12" s="1"/>
  <c r="AI341" i="12"/>
  <c r="AJ341" i="12" s="1"/>
  <c r="BA341" i="12"/>
  <c r="BB341" i="12" s="1"/>
  <c r="AX341" i="12"/>
  <c r="AU341" i="12"/>
  <c r="BG341" i="12"/>
  <c r="AR341" i="12"/>
  <c r="AS341" i="12" s="1"/>
  <c r="AT341" i="12" s="1"/>
  <c r="AO341" i="12"/>
  <c r="AP341" i="12" s="1"/>
  <c r="AQ341" i="12" s="1"/>
  <c r="J301" i="3"/>
  <c r="J384" i="3"/>
  <c r="C282" i="12"/>
  <c r="C284" i="1"/>
  <c r="C393" i="12"/>
  <c r="C395" i="1"/>
  <c r="AF120" i="12"/>
  <c r="AY120" i="12"/>
  <c r="AO191" i="12"/>
  <c r="AP191" i="12" s="1"/>
  <c r="AQ191" i="12" s="1"/>
  <c r="G406" i="1"/>
  <c r="I16" i="3"/>
  <c r="J16" i="3"/>
  <c r="J398" i="3"/>
  <c r="C31" i="12"/>
  <c r="C33" i="1"/>
  <c r="AR57" i="12"/>
  <c r="AS57" i="12" s="1"/>
  <c r="AT57" i="12" s="1"/>
  <c r="BD57" i="12"/>
  <c r="BE57" i="12" s="1"/>
  <c r="AI57" i="12"/>
  <c r="AJ57" i="12" s="1"/>
  <c r="AK57" i="12" s="1"/>
  <c r="AO57" i="12"/>
  <c r="AP57" i="12" s="1"/>
  <c r="AQ57" i="12" s="1"/>
  <c r="AL57" i="12"/>
  <c r="AM57" i="12" s="1"/>
  <c r="AN57" i="12" s="1"/>
  <c r="BA57" i="12"/>
  <c r="BB57" i="12" s="1"/>
  <c r="AX57" i="12"/>
  <c r="C99" i="12"/>
  <c r="C101" i="1"/>
  <c r="C138" i="12"/>
  <c r="C140" i="1"/>
  <c r="J55" i="3"/>
  <c r="J221" i="3"/>
  <c r="AR197" i="12"/>
  <c r="AS197" i="12" s="1"/>
  <c r="AT197" i="12" s="1"/>
  <c r="BD197" i="12"/>
  <c r="BE197" i="12" s="1"/>
  <c r="AI197" i="12"/>
  <c r="AJ197" i="12" s="1"/>
  <c r="AO197" i="12"/>
  <c r="AP197" i="12" s="1"/>
  <c r="AL197" i="12"/>
  <c r="AM197" i="12" s="1"/>
  <c r="AX197" i="12"/>
  <c r="C309" i="12"/>
  <c r="C311" i="1"/>
  <c r="AX379" i="12"/>
  <c r="AR379" i="12"/>
  <c r="AS379" i="12" s="1"/>
  <c r="AT379" i="12" s="1"/>
  <c r="AU379" i="12"/>
  <c r="BG379" i="12"/>
  <c r="AI379" i="12"/>
  <c r="AJ379" i="12" s="1"/>
  <c r="AK379" i="12" s="1"/>
  <c r="BD379" i="12"/>
  <c r="BE379" i="12" s="1"/>
  <c r="BF379" i="12" s="1"/>
  <c r="BA379" i="12"/>
  <c r="BB379" i="12" s="1"/>
  <c r="AL379" i="12"/>
  <c r="AM379" i="12" s="1"/>
  <c r="AN379" i="12" s="1"/>
  <c r="AO379" i="12"/>
  <c r="AP379" i="12" s="1"/>
  <c r="AQ379" i="12" s="1"/>
  <c r="D401" i="12"/>
  <c r="D403" i="1"/>
  <c r="AY18" i="12"/>
  <c r="BW18" i="12"/>
  <c r="BX18" i="12" s="1"/>
  <c r="AE25" i="12"/>
  <c r="BQ25" i="12"/>
  <c r="BR25" i="12" s="1"/>
  <c r="J183" i="3"/>
  <c r="E52" i="8"/>
  <c r="C52" i="8" s="1"/>
  <c r="AX69" i="12"/>
  <c r="AL69" i="12"/>
  <c r="AM69" i="12" s="1"/>
  <c r="AN69" i="12" s="1"/>
  <c r="AO69" i="12"/>
  <c r="AP69" i="12" s="1"/>
  <c r="AQ69" i="12" s="1"/>
  <c r="BA69" i="12"/>
  <c r="BB69" i="12" s="1"/>
  <c r="BG69" i="12"/>
  <c r="BD69" i="12"/>
  <c r="BE69" i="12" s="1"/>
  <c r="AU69" i="12"/>
  <c r="AR69" i="12"/>
  <c r="AS69" i="12" s="1"/>
  <c r="AT69" i="12" s="1"/>
  <c r="D163" i="12"/>
  <c r="D165" i="1"/>
  <c r="E243" i="8"/>
  <c r="Y377" i="12"/>
  <c r="Z377" i="12" s="1"/>
  <c r="G377" i="12"/>
  <c r="Q377" i="12"/>
  <c r="R377" i="12" s="1"/>
  <c r="O377" i="12"/>
  <c r="P377" i="12" s="1"/>
  <c r="M377" i="12"/>
  <c r="N377" i="12" s="1"/>
  <c r="BM377" i="12"/>
  <c r="K377" i="12"/>
  <c r="L377" i="12" s="1"/>
  <c r="J377" i="12"/>
  <c r="U377" i="12"/>
  <c r="V377" i="12" s="1"/>
  <c r="S377" i="12"/>
  <c r="T377" i="12" s="1"/>
  <c r="I377" i="12"/>
  <c r="H377" i="12"/>
  <c r="AC377" i="12"/>
  <c r="AD377" i="12" s="1"/>
  <c r="AA377" i="12"/>
  <c r="AB377" i="12" s="1"/>
  <c r="W377" i="12"/>
  <c r="X377" i="12" s="1"/>
  <c r="C397" i="8"/>
  <c r="AY25" i="12"/>
  <c r="AZ25" i="12" s="1"/>
  <c r="BH172" i="12"/>
  <c r="AH172" i="12"/>
  <c r="I102" i="3"/>
  <c r="BG130" i="12"/>
  <c r="AO130" i="12"/>
  <c r="AP130" i="12" s="1"/>
  <c r="AQ130" i="12" s="1"/>
  <c r="BD130" i="12"/>
  <c r="BE130" i="12" s="1"/>
  <c r="AI130" i="12"/>
  <c r="AJ130" i="12" s="1"/>
  <c r="AR130" i="12"/>
  <c r="AS130" i="12" s="1"/>
  <c r="AT130" i="12" s="1"/>
  <c r="AL130" i="12"/>
  <c r="AM130" i="12" s="1"/>
  <c r="AN130" i="12" s="1"/>
  <c r="AX130" i="12"/>
  <c r="BA130" i="12"/>
  <c r="BB130" i="12" s="1"/>
  <c r="AU130" i="12"/>
  <c r="BH205" i="12"/>
  <c r="BO205" i="12"/>
  <c r="AH205" i="12"/>
  <c r="C337" i="12"/>
  <c r="C339" i="1"/>
  <c r="E381" i="8"/>
  <c r="C381" i="8" s="1"/>
  <c r="E382" i="8"/>
  <c r="C382" i="8" s="1"/>
  <c r="M303" i="8"/>
  <c r="K290" i="8"/>
  <c r="G276" i="8"/>
  <c r="G269" i="8"/>
  <c r="K294" i="8"/>
  <c r="M296" i="8"/>
  <c r="BO172" i="12"/>
  <c r="AH224" i="12"/>
  <c r="BO224" i="12"/>
  <c r="BH224" i="12"/>
  <c r="G12" i="1"/>
  <c r="C132" i="1"/>
  <c r="J122" i="3"/>
  <c r="I198" i="3"/>
  <c r="J247" i="3"/>
  <c r="J308" i="3"/>
  <c r="J405" i="3"/>
  <c r="R423" i="3"/>
  <c r="AU46" i="12"/>
  <c r="BA46" i="12"/>
  <c r="BB46" i="12" s="1"/>
  <c r="AI46" i="12"/>
  <c r="AJ46" i="12" s="1"/>
  <c r="AK46" i="12" s="1"/>
  <c r="BD46" i="12"/>
  <c r="BE46" i="12" s="1"/>
  <c r="AL46" i="12"/>
  <c r="AM46" i="12" s="1"/>
  <c r="AR46" i="12"/>
  <c r="AS46" i="12" s="1"/>
  <c r="AT46" i="12" s="1"/>
  <c r="AO46" i="12"/>
  <c r="AP46" i="12" s="1"/>
  <c r="BG46" i="12"/>
  <c r="C97" i="1"/>
  <c r="C95" i="12"/>
  <c r="C127" i="8"/>
  <c r="AO173" i="12"/>
  <c r="AP173" i="12" s="1"/>
  <c r="BG173" i="12"/>
  <c r="BA173" i="12"/>
  <c r="BB173" i="12" s="1"/>
  <c r="AL173" i="12"/>
  <c r="AM173" i="12" s="1"/>
  <c r="BD173" i="12"/>
  <c r="BE173" i="12" s="1"/>
  <c r="AR173" i="12"/>
  <c r="AS173" i="12" s="1"/>
  <c r="AT173" i="12" s="1"/>
  <c r="AI173" i="12"/>
  <c r="AJ173" i="12" s="1"/>
  <c r="AX173" i="12"/>
  <c r="C308" i="8"/>
  <c r="C367" i="12"/>
  <c r="C369" i="1"/>
  <c r="C385" i="12"/>
  <c r="C387" i="1"/>
  <c r="BB3" i="12"/>
  <c r="BF63" i="12"/>
  <c r="BC105" i="12"/>
  <c r="U107" i="12"/>
  <c r="V107" i="12" s="1"/>
  <c r="I178" i="12"/>
  <c r="AU197" i="12"/>
  <c r="AH306" i="12"/>
  <c r="BO306" i="12"/>
  <c r="BH306" i="12"/>
  <c r="D408" i="1"/>
  <c r="J93" i="3"/>
  <c r="J103" i="3"/>
  <c r="J113" i="3"/>
  <c r="J218" i="3"/>
  <c r="I228" i="3"/>
  <c r="J242" i="3"/>
  <c r="J282" i="3"/>
  <c r="J298" i="3"/>
  <c r="J406" i="3"/>
  <c r="V423" i="3"/>
  <c r="J430" i="3" s="1"/>
  <c r="K430" i="3" s="1"/>
  <c r="D6" i="12"/>
  <c r="F95" i="9" a="1"/>
  <c r="F95" i="9" s="1"/>
  <c r="E94" i="8" s="1"/>
  <c r="C94" i="8" s="1"/>
  <c r="F99" i="9" a="1"/>
  <c r="F99" i="9" s="1"/>
  <c r="E98" i="8" s="1"/>
  <c r="C98" i="8" s="1"/>
  <c r="D8" i="1"/>
  <c r="AR27" i="12"/>
  <c r="AS27" i="12" s="1"/>
  <c r="AT27" i="12" s="1"/>
  <c r="AO27" i="12"/>
  <c r="AP27" i="12" s="1"/>
  <c r="AQ27" i="12" s="1"/>
  <c r="AI27" i="12"/>
  <c r="AJ27" i="12" s="1"/>
  <c r="AK27" i="12" s="1"/>
  <c r="BD27" i="12"/>
  <c r="BE27" i="12" s="1"/>
  <c r="BG27" i="12"/>
  <c r="BA27" i="12"/>
  <c r="BB27" i="12" s="1"/>
  <c r="AL27" i="12"/>
  <c r="AM27" i="12" s="1"/>
  <c r="AN27" i="12" s="1"/>
  <c r="C127" i="12"/>
  <c r="C129" i="1"/>
  <c r="BA158" i="12"/>
  <c r="BB158" i="12" s="1"/>
  <c r="AI158" i="12"/>
  <c r="AJ158" i="12" s="1"/>
  <c r="AR158" i="12"/>
  <c r="AS158" i="12" s="1"/>
  <c r="AT158" i="12" s="1"/>
  <c r="AL158" i="12"/>
  <c r="AM158" i="12" s="1"/>
  <c r="AU158" i="12"/>
  <c r="AO158" i="12"/>
  <c r="AP158" i="12" s="1"/>
  <c r="BG158" i="12"/>
  <c r="E181" i="8"/>
  <c r="C181" i="8" s="1"/>
  <c r="G270" i="8"/>
  <c r="K291" i="8"/>
  <c r="E300" i="8"/>
  <c r="C305" i="8"/>
  <c r="C345" i="8"/>
  <c r="C387" i="8"/>
  <c r="BH8" i="12"/>
  <c r="BO10" i="12"/>
  <c r="F17" i="12"/>
  <c r="AU27" i="12"/>
  <c r="AR33" i="12"/>
  <c r="AS33" i="12" s="1"/>
  <c r="AT33" i="12" s="1"/>
  <c r="AX33" i="12"/>
  <c r="AU33" i="12"/>
  <c r="AO33" i="12"/>
  <c r="AP33" i="12" s="1"/>
  <c r="AQ33" i="12" s="1"/>
  <c r="AL33" i="12"/>
  <c r="AM33" i="12" s="1"/>
  <c r="AN33" i="12" s="1"/>
  <c r="AI33" i="12"/>
  <c r="AJ33" i="12" s="1"/>
  <c r="AK33" i="12" s="1"/>
  <c r="BA33" i="12"/>
  <c r="BB33" i="12" s="1"/>
  <c r="AX37" i="12"/>
  <c r="AU37" i="12"/>
  <c r="AL37" i="12"/>
  <c r="AM37" i="12" s="1"/>
  <c r="AR37" i="12"/>
  <c r="AS37" i="12" s="1"/>
  <c r="AT37" i="12" s="1"/>
  <c r="AO37" i="12"/>
  <c r="AP37" i="12" s="1"/>
  <c r="BD37" i="12"/>
  <c r="BE37" i="12" s="1"/>
  <c r="AU42" i="12"/>
  <c r="BA42" i="12"/>
  <c r="BB42" i="12" s="1"/>
  <c r="BC42" i="12" s="1"/>
  <c r="AI42" i="12"/>
  <c r="AJ42" i="12" s="1"/>
  <c r="AK42" i="12" s="1"/>
  <c r="AX42" i="12"/>
  <c r="BG42" i="12"/>
  <c r="BD42" i="12"/>
  <c r="BE42" i="12" s="1"/>
  <c r="BF42" i="12" s="1"/>
  <c r="AR42" i="12"/>
  <c r="AS42" i="12" s="1"/>
  <c r="AT42" i="12" s="1"/>
  <c r="AO42" i="12"/>
  <c r="AP42" i="12" s="1"/>
  <c r="AQ42" i="12" s="1"/>
  <c r="AL42" i="12"/>
  <c r="AM42" i="12" s="1"/>
  <c r="AN42" i="12" s="1"/>
  <c r="F43" i="12"/>
  <c r="BO63" i="12"/>
  <c r="BH63" i="12"/>
  <c r="BI63" i="12" s="1"/>
  <c r="AH63" i="12"/>
  <c r="AE76" i="12"/>
  <c r="BL76" i="12"/>
  <c r="BS85" i="12"/>
  <c r="BT85" i="12" s="1"/>
  <c r="BL85" i="12"/>
  <c r="BQ85" i="12"/>
  <c r="AE85" i="12"/>
  <c r="AX90" i="12"/>
  <c r="BD90" i="12"/>
  <c r="BE90" i="12" s="1"/>
  <c r="AI90" i="12"/>
  <c r="AJ90" i="12" s="1"/>
  <c r="AK90" i="12" s="1"/>
  <c r="AR90" i="12"/>
  <c r="AS90" i="12" s="1"/>
  <c r="AT90" i="12" s="1"/>
  <c r="BG90" i="12"/>
  <c r="BA90" i="12"/>
  <c r="BB90" i="12" s="1"/>
  <c r="K104" i="12"/>
  <c r="L104" i="12" s="1"/>
  <c r="AL278" i="12"/>
  <c r="AM278" i="12" s="1"/>
  <c r="AN278" i="12" s="1"/>
  <c r="AI278" i="12"/>
  <c r="AJ278" i="12" s="1"/>
  <c r="BD278" i="12"/>
  <c r="BE278" i="12" s="1"/>
  <c r="BA278" i="12"/>
  <c r="BB278" i="12" s="1"/>
  <c r="BG278" i="12"/>
  <c r="AO278" i="12"/>
  <c r="AP278" i="12" s="1"/>
  <c r="AQ278" i="12" s="1"/>
  <c r="AR278" i="12"/>
  <c r="AS278" i="12" s="1"/>
  <c r="AT278" i="12" s="1"/>
  <c r="AU278" i="12"/>
  <c r="AX278" i="12"/>
  <c r="C36" i="1"/>
  <c r="C381" i="1"/>
  <c r="C384" i="1"/>
  <c r="J18" i="3"/>
  <c r="J99" i="3"/>
  <c r="I99" i="3"/>
  <c r="I113" i="3"/>
  <c r="J118" i="3"/>
  <c r="I133" i="3"/>
  <c r="J164" i="3"/>
  <c r="J194" i="3"/>
  <c r="J208" i="3"/>
  <c r="J213" i="3"/>
  <c r="J252" i="3"/>
  <c r="I258" i="3"/>
  <c r="J258" i="3"/>
  <c r="J268" i="3"/>
  <c r="J283" i="3"/>
  <c r="J317" i="3"/>
  <c r="I327" i="3"/>
  <c r="J337" i="3"/>
  <c r="I337" i="3"/>
  <c r="H430" i="3"/>
  <c r="C13" i="1"/>
  <c r="C11" i="12"/>
  <c r="C29" i="8"/>
  <c r="C35" i="8"/>
  <c r="AX36" i="12"/>
  <c r="AO36" i="12"/>
  <c r="AP36" i="12" s="1"/>
  <c r="AL36" i="12"/>
  <c r="AM36" i="12" s="1"/>
  <c r="AI36" i="12"/>
  <c r="AJ36" i="12" s="1"/>
  <c r="AK36" i="12" s="1"/>
  <c r="BG36" i="12"/>
  <c r="BD36" i="12"/>
  <c r="BE36" i="12" s="1"/>
  <c r="BF36" i="12" s="1"/>
  <c r="AU36" i="12"/>
  <c r="BA36" i="12"/>
  <c r="BB36" i="12" s="1"/>
  <c r="BC36" i="12" s="1"/>
  <c r="E48" i="8"/>
  <c r="C48" i="8" s="1"/>
  <c r="BG155" i="12"/>
  <c r="AL155" i="12"/>
  <c r="AM155" i="12" s="1"/>
  <c r="AI155" i="12"/>
  <c r="AJ155" i="12" s="1"/>
  <c r="AO155" i="12"/>
  <c r="AP155" i="12" s="1"/>
  <c r="AR155" i="12"/>
  <c r="AS155" i="12" s="1"/>
  <c r="AT155" i="12" s="1"/>
  <c r="BA155" i="12"/>
  <c r="BB155" i="12" s="1"/>
  <c r="BD155" i="12"/>
  <c r="BE155" i="12" s="1"/>
  <c r="AX155" i="12"/>
  <c r="AU155" i="12"/>
  <c r="C161" i="12"/>
  <c r="C163" i="1"/>
  <c r="I190" i="8"/>
  <c r="I196" i="8"/>
  <c r="C196" i="8" s="1"/>
  <c r="S208" i="12"/>
  <c r="T208" i="12" s="1"/>
  <c r="BM208" i="12"/>
  <c r="W208" i="12"/>
  <c r="X208" i="12" s="1"/>
  <c r="O208" i="12"/>
  <c r="P208" i="12" s="1"/>
  <c r="M208" i="12"/>
  <c r="N208" i="12" s="1"/>
  <c r="AC208" i="12"/>
  <c r="AD208" i="12" s="1"/>
  <c r="Q208" i="12"/>
  <c r="R208" i="12" s="1"/>
  <c r="K208" i="12"/>
  <c r="L208" i="12" s="1"/>
  <c r="U208" i="12"/>
  <c r="V208" i="12" s="1"/>
  <c r="J208" i="12"/>
  <c r="I208" i="12"/>
  <c r="G208" i="12"/>
  <c r="F208" i="12"/>
  <c r="Y208" i="12"/>
  <c r="Z208" i="12" s="1"/>
  <c r="H208" i="12"/>
  <c r="BA230" i="12"/>
  <c r="BB230" i="12" s="1"/>
  <c r="AO230" i="12"/>
  <c r="AP230" i="12" s="1"/>
  <c r="AL230" i="12"/>
  <c r="AM230" i="12" s="1"/>
  <c r="BG230" i="12"/>
  <c r="BD230" i="12"/>
  <c r="BE230" i="12" s="1"/>
  <c r="AU230" i="12"/>
  <c r="AX230" i="12"/>
  <c r="AR230" i="12"/>
  <c r="AS230" i="12" s="1"/>
  <c r="AT230" i="12" s="1"/>
  <c r="AI230" i="12"/>
  <c r="AJ230" i="12" s="1"/>
  <c r="BG245" i="12"/>
  <c r="AO245" i="12"/>
  <c r="AP245" i="12" s="1"/>
  <c r="BA245" i="12"/>
  <c r="BB245" i="12" s="1"/>
  <c r="AR245" i="12"/>
  <c r="AS245" i="12" s="1"/>
  <c r="AT245" i="12" s="1"/>
  <c r="BD245" i="12"/>
  <c r="BE245" i="12" s="1"/>
  <c r="AI245" i="12"/>
  <c r="AJ245" i="12" s="1"/>
  <c r="AL245" i="12"/>
  <c r="AM245" i="12" s="1"/>
  <c r="AX245" i="12"/>
  <c r="AU245" i="12"/>
  <c r="E265" i="8"/>
  <c r="C275" i="8"/>
  <c r="AU286" i="12"/>
  <c r="AX286" i="12"/>
  <c r="BD286" i="12"/>
  <c r="BE286" i="12" s="1"/>
  <c r="BA286" i="12"/>
  <c r="BB286" i="12" s="1"/>
  <c r="AR286" i="12"/>
  <c r="AS286" i="12" s="1"/>
  <c r="AT286" i="12" s="1"/>
  <c r="AI286" i="12"/>
  <c r="AJ286" i="12" s="1"/>
  <c r="BG286" i="12"/>
  <c r="AL286" i="12"/>
  <c r="AM286" i="12" s="1"/>
  <c r="AN286" i="12" s="1"/>
  <c r="AO286" i="12"/>
  <c r="AP286" i="12" s="1"/>
  <c r="AQ286" i="12" s="1"/>
  <c r="AR334" i="12"/>
  <c r="AS334" i="12" s="1"/>
  <c r="AT334" i="12" s="1"/>
  <c r="AU334" i="12"/>
  <c r="AL334" i="12"/>
  <c r="AM334" i="12" s="1"/>
  <c r="AN334" i="12" s="1"/>
  <c r="BA334" i="12"/>
  <c r="BB334" i="12" s="1"/>
  <c r="BD334" i="12"/>
  <c r="BE334" i="12" s="1"/>
  <c r="AX334" i="12"/>
  <c r="BG334" i="12"/>
  <c r="AO334" i="12"/>
  <c r="AP334" i="12" s="1"/>
  <c r="AQ334" i="12" s="1"/>
  <c r="AI334" i="12"/>
  <c r="AJ334" i="12" s="1"/>
  <c r="AX359" i="12"/>
  <c r="AU359" i="12"/>
  <c r="AL359" i="12"/>
  <c r="AM359" i="12" s="1"/>
  <c r="AN359" i="12" s="1"/>
  <c r="BD359" i="12"/>
  <c r="BE359" i="12" s="1"/>
  <c r="BF359" i="12" s="1"/>
  <c r="AR359" i="12"/>
  <c r="AS359" i="12" s="1"/>
  <c r="AT359" i="12" s="1"/>
  <c r="AI359" i="12"/>
  <c r="AJ359" i="12" s="1"/>
  <c r="AK359" i="12" s="1"/>
  <c r="BG359" i="12"/>
  <c r="BA359" i="12"/>
  <c r="BB359" i="12" s="1"/>
  <c r="BC359" i="12" s="1"/>
  <c r="AO359" i="12"/>
  <c r="AP359" i="12" s="1"/>
  <c r="AQ359" i="12" s="1"/>
  <c r="AY7" i="12"/>
  <c r="AF7" i="12"/>
  <c r="BW7" i="12"/>
  <c r="BX7" i="12" s="1"/>
  <c r="AX27" i="12"/>
  <c r="D42" i="12"/>
  <c r="AQ48" i="12"/>
  <c r="AU57" i="12"/>
  <c r="AE164" i="12"/>
  <c r="BN164" i="12"/>
  <c r="BA197" i="12"/>
  <c r="BB197" i="12" s="1"/>
  <c r="J389" i="3"/>
  <c r="G186" i="1"/>
  <c r="J302" i="3"/>
  <c r="J399" i="3"/>
  <c r="S178" i="12"/>
  <c r="T178" i="12" s="1"/>
  <c r="Y178" i="12"/>
  <c r="Z178" i="12" s="1"/>
  <c r="G178" i="12"/>
  <c r="W178" i="12"/>
  <c r="X178" i="12" s="1"/>
  <c r="AA178" i="12"/>
  <c r="AB178" i="12" s="1"/>
  <c r="Q178" i="12"/>
  <c r="R178" i="12" s="1"/>
  <c r="U178" i="12"/>
  <c r="V178" i="12" s="1"/>
  <c r="H178" i="12"/>
  <c r="M178" i="12"/>
  <c r="N178" i="12" s="1"/>
  <c r="BM178" i="12"/>
  <c r="K178" i="12"/>
  <c r="L178" i="12" s="1"/>
  <c r="O178" i="12"/>
  <c r="P178" i="12" s="1"/>
  <c r="AC178" i="12"/>
  <c r="AD178" i="12" s="1"/>
  <c r="J269" i="3"/>
  <c r="J382" i="3"/>
  <c r="C17" i="12"/>
  <c r="C19" i="1"/>
  <c r="C62" i="12"/>
  <c r="C64" i="1"/>
  <c r="C65" i="12"/>
  <c r="C67" i="1"/>
  <c r="G137" i="8"/>
  <c r="C137" i="8" s="1"/>
  <c r="AL137" i="12"/>
  <c r="AM137" i="12" s="1"/>
  <c r="AN137" i="12" s="1"/>
  <c r="BD137" i="12"/>
  <c r="BE137" i="12" s="1"/>
  <c r="AR137" i="12"/>
  <c r="AS137" i="12" s="1"/>
  <c r="AT137" i="12" s="1"/>
  <c r="AI137" i="12"/>
  <c r="AJ137" i="12" s="1"/>
  <c r="BG137" i="12"/>
  <c r="BA137" i="12"/>
  <c r="BB137" i="12" s="1"/>
  <c r="AX137" i="12"/>
  <c r="AU137" i="12"/>
  <c r="AO137" i="12"/>
  <c r="AP137" i="12" s="1"/>
  <c r="AQ137" i="12" s="1"/>
  <c r="C154" i="8"/>
  <c r="C204" i="8"/>
  <c r="I218" i="8"/>
  <c r="C237" i="12"/>
  <c r="C239" i="1"/>
  <c r="G265" i="8"/>
  <c r="AR265" i="12"/>
  <c r="AS265" i="12" s="1"/>
  <c r="AT265" i="12" s="1"/>
  <c r="AO265" i="12"/>
  <c r="AP265" i="12" s="1"/>
  <c r="AQ265" i="12" s="1"/>
  <c r="BG265" i="12"/>
  <c r="AU265" i="12"/>
  <c r="AI265" i="12"/>
  <c r="AJ265" i="12" s="1"/>
  <c r="AX265" i="12"/>
  <c r="BD265" i="12"/>
  <c r="BE265" i="12" s="1"/>
  <c r="C319" i="12"/>
  <c r="C321" i="1"/>
  <c r="AX381" i="12"/>
  <c r="AU381" i="12"/>
  <c r="AR381" i="12"/>
  <c r="AS381" i="12" s="1"/>
  <c r="AT381" i="12" s="1"/>
  <c r="BA381" i="12"/>
  <c r="BB381" i="12" s="1"/>
  <c r="BD381" i="12"/>
  <c r="BE381" i="12" s="1"/>
  <c r="BG381" i="12"/>
  <c r="AL381" i="12"/>
  <c r="AM381" i="12" s="1"/>
  <c r="AN381" i="12" s="1"/>
  <c r="AI381" i="12"/>
  <c r="AJ381" i="12" s="1"/>
  <c r="AK381" i="12" s="1"/>
  <c r="AO381" i="12"/>
  <c r="AP381" i="12" s="1"/>
  <c r="AQ381" i="12" s="1"/>
  <c r="F93" i="9" a="1"/>
  <c r="F93" i="9" s="1"/>
  <c r="E92" i="8" s="1"/>
  <c r="C92" i="8" s="1"/>
  <c r="BN4" i="12"/>
  <c r="AE4" i="12"/>
  <c r="BQ4" i="12"/>
  <c r="BR4" i="12" s="1"/>
  <c r="AX20" i="12"/>
  <c r="AO20" i="12"/>
  <c r="AP20" i="12" s="1"/>
  <c r="AQ20" i="12" s="1"/>
  <c r="AL20" i="12"/>
  <c r="AM20" i="12" s="1"/>
  <c r="AN20" i="12" s="1"/>
  <c r="AR20" i="12"/>
  <c r="AS20" i="12" s="1"/>
  <c r="AT20" i="12" s="1"/>
  <c r="AI20" i="12"/>
  <c r="AJ20" i="12" s="1"/>
  <c r="AK20" i="12" s="1"/>
  <c r="AU20" i="12"/>
  <c r="BG20" i="12"/>
  <c r="BD20" i="12"/>
  <c r="BE20" i="12" s="1"/>
  <c r="BF20" i="12" s="1"/>
  <c r="BS25" i="12"/>
  <c r="BT25" i="12" s="1"/>
  <c r="BN28" i="12"/>
  <c r="AE28" i="12"/>
  <c r="F42" i="12"/>
  <c r="BO59" i="12"/>
  <c r="AH59" i="12"/>
  <c r="AK104" i="12"/>
  <c r="AF149" i="12"/>
  <c r="BU149" i="12"/>
  <c r="BV149" i="12" s="1"/>
  <c r="AY149" i="12"/>
  <c r="D11" i="12"/>
  <c r="D13" i="1"/>
  <c r="F85" i="9" a="1"/>
  <c r="F85" i="9" s="1"/>
  <c r="E84" i="8" s="1"/>
  <c r="C84" i="8" s="1"/>
  <c r="D36" i="12"/>
  <c r="F60" i="9" a="1"/>
  <c r="F60" i="9" s="1"/>
  <c r="D117" i="12"/>
  <c r="D119" i="1"/>
  <c r="BG251" i="12"/>
  <c r="AO251" i="12"/>
  <c r="AP251" i="12" s="1"/>
  <c r="AX251" i="12"/>
  <c r="AU251" i="12"/>
  <c r="BD251" i="12"/>
  <c r="BE251" i="12" s="1"/>
  <c r="AR251" i="12"/>
  <c r="AS251" i="12" s="1"/>
  <c r="AT251" i="12" s="1"/>
  <c r="AI251" i="12"/>
  <c r="AJ251" i="12" s="1"/>
  <c r="BA251" i="12"/>
  <c r="BB251" i="12" s="1"/>
  <c r="AL251" i="12"/>
  <c r="AM251" i="12" s="1"/>
  <c r="D291" i="12"/>
  <c r="D293" i="1"/>
  <c r="D316" i="12"/>
  <c r="D318" i="1"/>
  <c r="AU338" i="12"/>
  <c r="AO338" i="12"/>
  <c r="AP338" i="12" s="1"/>
  <c r="AQ338" i="12" s="1"/>
  <c r="AI338" i="12"/>
  <c r="AJ338" i="12" s="1"/>
  <c r="AL338" i="12"/>
  <c r="AM338" i="12" s="1"/>
  <c r="AN338" i="12" s="1"/>
  <c r="BG338" i="12"/>
  <c r="AX338" i="12"/>
  <c r="AR338" i="12"/>
  <c r="AS338" i="12" s="1"/>
  <c r="AT338" i="12" s="1"/>
  <c r="BD338" i="12"/>
  <c r="BE338" i="12" s="1"/>
  <c r="BA338" i="12"/>
  <c r="BB338" i="12" s="1"/>
  <c r="C16" i="8"/>
  <c r="E274" i="8"/>
  <c r="E344" i="8"/>
  <c r="C344" i="8" s="1"/>
  <c r="I225" i="8"/>
  <c r="E32" i="8"/>
  <c r="C32" i="8" s="1"/>
  <c r="E309" i="8"/>
  <c r="I142" i="8"/>
  <c r="G216" i="8"/>
  <c r="C216" i="8" s="1"/>
  <c r="G260" i="8"/>
  <c r="G133" i="8"/>
  <c r="AQ40" i="12"/>
  <c r="J41" i="3"/>
  <c r="J116" i="3"/>
  <c r="I116" i="3"/>
  <c r="J146" i="3"/>
  <c r="J211" i="3"/>
  <c r="J231" i="3"/>
  <c r="AU54" i="12"/>
  <c r="BG54" i="12"/>
  <c r="AL54" i="12"/>
  <c r="AM54" i="12" s="1"/>
  <c r="AN54" i="12" s="1"/>
  <c r="AO54" i="12"/>
  <c r="AP54" i="12" s="1"/>
  <c r="BD54" i="12"/>
  <c r="BE54" i="12" s="1"/>
  <c r="AR54" i="12"/>
  <c r="AS54" i="12" s="1"/>
  <c r="AT54" i="12" s="1"/>
  <c r="AI54" i="12"/>
  <c r="AJ54" i="12" s="1"/>
  <c r="AK54" i="12" s="1"/>
  <c r="BA54" i="12"/>
  <c r="O107" i="12"/>
  <c r="P107" i="12" s="1"/>
  <c r="AA107" i="12"/>
  <c r="AB107" i="12" s="1"/>
  <c r="I107" i="12"/>
  <c r="BM107" i="12"/>
  <c r="H107" i="12"/>
  <c r="Y107" i="12"/>
  <c r="Z107" i="12" s="1"/>
  <c r="G107" i="12"/>
  <c r="S107" i="12"/>
  <c r="T107" i="12" s="1"/>
  <c r="J107" i="12"/>
  <c r="Q107" i="12"/>
  <c r="R107" i="12" s="1"/>
  <c r="M107" i="12"/>
  <c r="N107" i="12" s="1"/>
  <c r="AC107" i="12"/>
  <c r="AD107" i="12" s="1"/>
  <c r="K107" i="12"/>
  <c r="L107" i="12" s="1"/>
  <c r="C150" i="12"/>
  <c r="C152" i="1"/>
  <c r="D342" i="12"/>
  <c r="D344" i="1"/>
  <c r="BM404" i="12"/>
  <c r="AA404" i="12"/>
  <c r="AB404" i="12" s="1"/>
  <c r="K404" i="12"/>
  <c r="L404" i="12" s="1"/>
  <c r="Y404" i="12"/>
  <c r="Z404" i="12" s="1"/>
  <c r="G404" i="12"/>
  <c r="W404" i="12"/>
  <c r="X404" i="12" s="1"/>
  <c r="O404" i="12"/>
  <c r="P404" i="12" s="1"/>
  <c r="M404" i="12"/>
  <c r="N404" i="12" s="1"/>
  <c r="J404" i="12"/>
  <c r="I404" i="12"/>
  <c r="H404" i="12"/>
  <c r="U404" i="12"/>
  <c r="V404" i="12" s="1"/>
  <c r="S404" i="12"/>
  <c r="T404" i="12" s="1"/>
  <c r="AC404" i="12"/>
  <c r="AD404" i="12" s="1"/>
  <c r="Q404" i="12"/>
  <c r="R404" i="12" s="1"/>
  <c r="I291" i="8"/>
  <c r="I326" i="8"/>
  <c r="G177" i="8"/>
  <c r="C177" i="8" s="1"/>
  <c r="M224" i="8"/>
  <c r="C224" i="8" s="1"/>
  <c r="I361" i="8"/>
  <c r="BN24" i="12"/>
  <c r="AE24" i="12"/>
  <c r="BS24" i="12"/>
  <c r="BT24" i="12" s="1"/>
  <c r="BN165" i="12"/>
  <c r="BS165" i="12"/>
  <c r="BT165" i="12" s="1"/>
  <c r="BQ165" i="12"/>
  <c r="BR165" i="12" s="1"/>
  <c r="AE165" i="12"/>
  <c r="J69" i="3"/>
  <c r="J276" i="3"/>
  <c r="J404" i="3"/>
  <c r="I404" i="3"/>
  <c r="W55" i="12"/>
  <c r="X55" i="12" s="1"/>
  <c r="G55" i="12"/>
  <c r="S55" i="12"/>
  <c r="T55" i="12" s="1"/>
  <c r="Q55" i="12"/>
  <c r="R55" i="12" s="1"/>
  <c r="Y55" i="12"/>
  <c r="Z55" i="12" s="1"/>
  <c r="I55" i="12"/>
  <c r="AA55" i="12"/>
  <c r="AB55" i="12" s="1"/>
  <c r="BM55" i="12"/>
  <c r="K55" i="12"/>
  <c r="L55" i="12" s="1"/>
  <c r="J55" i="12"/>
  <c r="AC55" i="12"/>
  <c r="AD55" i="12" s="1"/>
  <c r="U55" i="12"/>
  <c r="V55" i="12" s="1"/>
  <c r="M55" i="12"/>
  <c r="N55" i="12" s="1"/>
  <c r="H55" i="12"/>
  <c r="BG214" i="12"/>
  <c r="AL214" i="12"/>
  <c r="AM214" i="12" s="1"/>
  <c r="BD214" i="12"/>
  <c r="BE214" i="12" s="1"/>
  <c r="AR214" i="12"/>
  <c r="AS214" i="12" s="1"/>
  <c r="AT214" i="12" s="1"/>
  <c r="AX214" i="12"/>
  <c r="AI214" i="12"/>
  <c r="AJ214" i="12" s="1"/>
  <c r="AO214" i="12"/>
  <c r="AP214" i="12" s="1"/>
  <c r="BA214" i="12"/>
  <c r="BB214" i="12" s="1"/>
  <c r="AU214" i="12"/>
  <c r="C271" i="8"/>
  <c r="C335" i="12"/>
  <c r="C337" i="1"/>
  <c r="D384" i="12"/>
  <c r="D386" i="1"/>
  <c r="D394" i="12"/>
  <c r="D396" i="1"/>
  <c r="C405" i="12"/>
  <c r="C407" i="1"/>
  <c r="C34" i="8"/>
  <c r="AX91" i="12"/>
  <c r="AR91" i="12"/>
  <c r="AS91" i="12" s="1"/>
  <c r="AT91" i="12" s="1"/>
  <c r="BG91" i="12"/>
  <c r="AL91" i="12"/>
  <c r="AM91" i="12" s="1"/>
  <c r="AN91" i="12" s="1"/>
  <c r="AU91" i="12"/>
  <c r="AO91" i="12"/>
  <c r="AP91" i="12" s="1"/>
  <c r="AQ91" i="12" s="1"/>
  <c r="AI91" i="12"/>
  <c r="AJ91" i="12" s="1"/>
  <c r="AK91" i="12" s="1"/>
  <c r="BA91" i="12"/>
  <c r="BB91" i="12" s="1"/>
  <c r="AX117" i="12"/>
  <c r="AU117" i="12"/>
  <c r="BG117" i="12"/>
  <c r="AL117" i="12"/>
  <c r="AM117" i="12" s="1"/>
  <c r="AN117" i="12" s="1"/>
  <c r="AR117" i="12"/>
  <c r="AS117" i="12" s="1"/>
  <c r="AT117" i="12" s="1"/>
  <c r="BD117" i="12"/>
  <c r="BE117" i="12" s="1"/>
  <c r="BF117" i="12" s="1"/>
  <c r="AI117" i="12"/>
  <c r="AJ117" i="12" s="1"/>
  <c r="AK117" i="12" s="1"/>
  <c r="BA117" i="12"/>
  <c r="BB117" i="12" s="1"/>
  <c r="BC117" i="12" s="1"/>
  <c r="AO117" i="12"/>
  <c r="AP117" i="12" s="1"/>
  <c r="AQ117" i="12" s="1"/>
  <c r="J79" i="3"/>
  <c r="I97" i="3"/>
  <c r="J126" i="3"/>
  <c r="I126" i="3"/>
  <c r="J286" i="3"/>
  <c r="J379" i="3"/>
  <c r="D26" i="12"/>
  <c r="D28" i="1"/>
  <c r="C49" i="1"/>
  <c r="C47" i="12"/>
  <c r="AA139" i="12"/>
  <c r="AB139" i="12" s="1"/>
  <c r="K139" i="12"/>
  <c r="L139" i="12" s="1"/>
  <c r="O139" i="12"/>
  <c r="P139" i="12" s="1"/>
  <c r="M139" i="12"/>
  <c r="N139" i="12" s="1"/>
  <c r="Y139" i="12"/>
  <c r="Z139" i="12" s="1"/>
  <c r="W139" i="12"/>
  <c r="X139" i="12" s="1"/>
  <c r="F139" i="12"/>
  <c r="AC139" i="12"/>
  <c r="AD139" i="12" s="1"/>
  <c r="Q139" i="12"/>
  <c r="R139" i="12" s="1"/>
  <c r="S139" i="12"/>
  <c r="T139" i="12" s="1"/>
  <c r="BM139" i="12"/>
  <c r="H139" i="12"/>
  <c r="G139" i="12"/>
  <c r="U139" i="12"/>
  <c r="V139" i="12" s="1"/>
  <c r="J139" i="12"/>
  <c r="I139" i="12"/>
  <c r="I197" i="8"/>
  <c r="AR203" i="12"/>
  <c r="AS203" i="12" s="1"/>
  <c r="AT203" i="12" s="1"/>
  <c r="BA203" i="12"/>
  <c r="BB203" i="12" s="1"/>
  <c r="AU203" i="12"/>
  <c r="BG203" i="12"/>
  <c r="AO203" i="12"/>
  <c r="AP203" i="12" s="1"/>
  <c r="AL203" i="12"/>
  <c r="AM203" i="12" s="1"/>
  <c r="AI203" i="12"/>
  <c r="AJ203" i="12" s="1"/>
  <c r="BD203" i="12"/>
  <c r="BE203" i="12" s="1"/>
  <c r="D387" i="12"/>
  <c r="D389" i="1"/>
  <c r="BM406" i="12"/>
  <c r="AA406" i="12"/>
  <c r="AB406" i="12" s="1"/>
  <c r="K406" i="12"/>
  <c r="L406" i="12" s="1"/>
  <c r="I406" i="12"/>
  <c r="H406" i="12"/>
  <c r="Y406" i="12"/>
  <c r="Z406" i="12" s="1"/>
  <c r="G406" i="12"/>
  <c r="O406" i="12"/>
  <c r="P406" i="12" s="1"/>
  <c r="M406" i="12"/>
  <c r="N406" i="12" s="1"/>
  <c r="S406" i="12"/>
  <c r="T406" i="12" s="1"/>
  <c r="Q406" i="12"/>
  <c r="R406" i="12" s="1"/>
  <c r="W406" i="12"/>
  <c r="X406" i="12" s="1"/>
  <c r="U406" i="12"/>
  <c r="V406" i="12" s="1"/>
  <c r="J406" i="12"/>
  <c r="AC406" i="12"/>
  <c r="AD406" i="12" s="1"/>
  <c r="BH10" i="12"/>
  <c r="BI10" i="12" s="1"/>
  <c r="BN18" i="12"/>
  <c r="AE18" i="12"/>
  <c r="BF40" i="12"/>
  <c r="G193" i="1"/>
  <c r="I60" i="3"/>
  <c r="J60" i="3"/>
  <c r="J92" i="3"/>
  <c r="J112" i="3"/>
  <c r="J192" i="3"/>
  <c r="I227" i="3"/>
  <c r="J227" i="3"/>
  <c r="J287" i="3"/>
  <c r="I287" i="3"/>
  <c r="J321" i="3"/>
  <c r="J350" i="3"/>
  <c r="F102" i="9" a="1"/>
  <c r="F102" i="9" s="1"/>
  <c r="E101" i="8" s="1"/>
  <c r="C101" i="8" s="1"/>
  <c r="F70" i="9" a="1"/>
  <c r="F70" i="9" s="1"/>
  <c r="F66" i="9" a="1"/>
  <c r="F66" i="9" s="1"/>
  <c r="D35" i="12"/>
  <c r="D37" i="1"/>
  <c r="F98" i="9" a="1"/>
  <c r="F98" i="9" s="1"/>
  <c r="E97" i="8" s="1"/>
  <c r="C97" i="8" s="1"/>
  <c r="AX87" i="12"/>
  <c r="AR87" i="12"/>
  <c r="AS87" i="12" s="1"/>
  <c r="AT87" i="12" s="1"/>
  <c r="BG87" i="12"/>
  <c r="AI87" i="12"/>
  <c r="AJ87" i="12" s="1"/>
  <c r="AK87" i="12" s="1"/>
  <c r="AU87" i="12"/>
  <c r="AO87" i="12"/>
  <c r="AP87" i="12" s="1"/>
  <c r="AQ87" i="12" s="1"/>
  <c r="BA87" i="12"/>
  <c r="BB87" i="12" s="1"/>
  <c r="AL87" i="12"/>
  <c r="AM87" i="12" s="1"/>
  <c r="AN87" i="12" s="1"/>
  <c r="BD87" i="12"/>
  <c r="BE87" i="12" s="1"/>
  <c r="O103" i="12"/>
  <c r="P103" i="12" s="1"/>
  <c r="W103" i="12"/>
  <c r="X103" i="12" s="1"/>
  <c r="U103" i="12"/>
  <c r="V103" i="12" s="1"/>
  <c r="J103" i="12"/>
  <c r="I103" i="12"/>
  <c r="AC103" i="12"/>
  <c r="AD103" i="12" s="1"/>
  <c r="H103" i="12"/>
  <c r="Q103" i="12"/>
  <c r="R103" i="12" s="1"/>
  <c r="AA103" i="12"/>
  <c r="AB103" i="12" s="1"/>
  <c r="G103" i="12"/>
  <c r="BM103" i="12"/>
  <c r="K103" i="12"/>
  <c r="L103" i="12" s="1"/>
  <c r="F103" i="12"/>
  <c r="S103" i="12"/>
  <c r="T103" i="12" s="1"/>
  <c r="M103" i="12"/>
  <c r="N103" i="12" s="1"/>
  <c r="C271" i="12"/>
  <c r="C273" i="1"/>
  <c r="C20" i="8"/>
  <c r="AO50" i="12"/>
  <c r="AP50" i="12" s="1"/>
  <c r="J51" i="3"/>
  <c r="J75" i="3"/>
  <c r="I177" i="3"/>
  <c r="J222" i="3"/>
  <c r="J267" i="3"/>
  <c r="C53" i="12"/>
  <c r="C55" i="1"/>
  <c r="BA194" i="12"/>
  <c r="BB194" i="12" s="1"/>
  <c r="AI194" i="12"/>
  <c r="AJ194" i="12" s="1"/>
  <c r="BD194" i="12"/>
  <c r="BE194" i="12" s="1"/>
  <c r="AR194" i="12"/>
  <c r="AS194" i="12" s="1"/>
  <c r="AT194" i="12" s="1"/>
  <c r="BG194" i="12"/>
  <c r="AO194" i="12"/>
  <c r="AP194" i="12" s="1"/>
  <c r="AL194" i="12"/>
  <c r="AM194" i="12" s="1"/>
  <c r="AX194" i="12"/>
  <c r="AU194" i="12"/>
  <c r="BD325" i="12"/>
  <c r="BE325" i="12" s="1"/>
  <c r="AL325" i="12"/>
  <c r="AM325" i="12" s="1"/>
  <c r="BA325" i="12"/>
  <c r="BB325" i="12" s="1"/>
  <c r="AX325" i="12"/>
  <c r="AU325" i="12"/>
  <c r="AR325" i="12"/>
  <c r="AS325" i="12" s="1"/>
  <c r="AT325" i="12" s="1"/>
  <c r="BG325" i="12"/>
  <c r="AI325" i="12"/>
  <c r="AJ325" i="12" s="1"/>
  <c r="AO325" i="12"/>
  <c r="AP325" i="12" s="1"/>
  <c r="AU382" i="12"/>
  <c r="AX382" i="12"/>
  <c r="AR382" i="12"/>
  <c r="AS382" i="12" s="1"/>
  <c r="AT382" i="12" s="1"/>
  <c r="AI382" i="12"/>
  <c r="AJ382" i="12" s="1"/>
  <c r="AK382" i="12" s="1"/>
  <c r="BG382" i="12"/>
  <c r="AO382" i="12"/>
  <c r="AP382" i="12" s="1"/>
  <c r="AQ382" i="12" s="1"/>
  <c r="AL382" i="12"/>
  <c r="AM382" i="12" s="1"/>
  <c r="AN382" i="12" s="1"/>
  <c r="BD382" i="12"/>
  <c r="BE382" i="12" s="1"/>
  <c r="BA382" i="12"/>
  <c r="BB382" i="12" s="1"/>
  <c r="D390" i="12"/>
  <c r="D392" i="1"/>
  <c r="C401" i="12"/>
  <c r="C403" i="1"/>
  <c r="E409" i="12"/>
  <c r="C45" i="7"/>
  <c r="BL24" i="12"/>
  <c r="AI69" i="12"/>
  <c r="AJ69" i="12" s="1"/>
  <c r="AK69" i="12" s="1"/>
  <c r="F104" i="12"/>
  <c r="AY182" i="12"/>
  <c r="AF182" i="12"/>
  <c r="BU182" i="12"/>
  <c r="BV182" i="12" s="1"/>
  <c r="J12" i="2"/>
  <c r="J14" i="2" s="1"/>
  <c r="J13" i="3"/>
  <c r="J212" i="3"/>
  <c r="J262" i="3"/>
  <c r="C111" i="12"/>
  <c r="C113" i="1"/>
  <c r="G161" i="8"/>
  <c r="C161" i="8" s="1"/>
  <c r="C362" i="12"/>
  <c r="C364" i="1"/>
  <c r="S397" i="12"/>
  <c r="T397" i="12" s="1"/>
  <c r="Q397" i="12"/>
  <c r="R397" i="12" s="1"/>
  <c r="O397" i="12"/>
  <c r="P397" i="12" s="1"/>
  <c r="Y397" i="12"/>
  <c r="Z397" i="12" s="1"/>
  <c r="W397" i="12"/>
  <c r="X397" i="12" s="1"/>
  <c r="AC397" i="12"/>
  <c r="AD397" i="12" s="1"/>
  <c r="AA397" i="12"/>
  <c r="AB397" i="12" s="1"/>
  <c r="J397" i="12"/>
  <c r="I397" i="12"/>
  <c r="H397" i="12"/>
  <c r="G397" i="12"/>
  <c r="U397" i="12"/>
  <c r="V397" i="12" s="1"/>
  <c r="BM397" i="12"/>
  <c r="M397" i="12"/>
  <c r="N397" i="12" s="1"/>
  <c r="K397" i="12"/>
  <c r="L397" i="12" s="1"/>
  <c r="D180" i="1"/>
  <c r="G210" i="1"/>
  <c r="C253" i="1"/>
  <c r="J223" i="3"/>
  <c r="J44" i="1"/>
  <c r="G44" i="1"/>
  <c r="AU135" i="12"/>
  <c r="AO135" i="12"/>
  <c r="AP135" i="12" s="1"/>
  <c r="AQ135" i="12" s="1"/>
  <c r="BA135" i="12"/>
  <c r="BB135" i="12" s="1"/>
  <c r="AI135" i="12"/>
  <c r="AJ135" i="12" s="1"/>
  <c r="BD135" i="12"/>
  <c r="BE135" i="12" s="1"/>
  <c r="AR135" i="12"/>
  <c r="AS135" i="12" s="1"/>
  <c r="AT135" i="12" s="1"/>
  <c r="BG135" i="12"/>
  <c r="AL135" i="12"/>
  <c r="AM135" i="12" s="1"/>
  <c r="AN135" i="12" s="1"/>
  <c r="AX135" i="12"/>
  <c r="D172" i="12"/>
  <c r="D174" i="1"/>
  <c r="D375" i="12"/>
  <c r="D377" i="1"/>
  <c r="M299" i="8"/>
  <c r="I279" i="8"/>
  <c r="K293" i="8"/>
  <c r="G272" i="8"/>
  <c r="M300" i="8"/>
  <c r="G273" i="8"/>
  <c r="C273" i="8" s="1"/>
  <c r="M297" i="8"/>
  <c r="I280" i="8"/>
  <c r="C280" i="8" s="1"/>
  <c r="K287" i="8"/>
  <c r="E383" i="8"/>
  <c r="C383" i="8" s="1"/>
  <c r="BQ24" i="12"/>
  <c r="BR24" i="12" s="1"/>
  <c r="C116" i="1"/>
  <c r="J4" i="3"/>
  <c r="J52" i="3"/>
  <c r="J114" i="3"/>
  <c r="J148" i="3"/>
  <c r="J288" i="3"/>
  <c r="J299" i="3"/>
  <c r="J327" i="3"/>
  <c r="J342" i="3"/>
  <c r="J357" i="3"/>
  <c r="J377" i="3"/>
  <c r="I377" i="3"/>
  <c r="J396" i="3"/>
  <c r="C340" i="1"/>
  <c r="C343" i="1"/>
  <c r="I5" i="3"/>
  <c r="J10" i="3"/>
  <c r="J14" i="3"/>
  <c r="J33" i="3"/>
  <c r="J38" i="3"/>
  <c r="J48" i="3"/>
  <c r="J57" i="3"/>
  <c r="J85" i="3"/>
  <c r="J94" i="3"/>
  <c r="J129" i="3"/>
  <c r="J134" i="3"/>
  <c r="J159" i="3"/>
  <c r="J209" i="3"/>
  <c r="I209" i="3"/>
  <c r="J243" i="3"/>
  <c r="J338" i="3"/>
  <c r="C19" i="8"/>
  <c r="C23" i="12"/>
  <c r="C25" i="1"/>
  <c r="BD39" i="12"/>
  <c r="BE39" i="12" s="1"/>
  <c r="AL39" i="12"/>
  <c r="AM39" i="12" s="1"/>
  <c r="AX39" i="12"/>
  <c r="AU39" i="12"/>
  <c r="AR39" i="12"/>
  <c r="AS39" i="12" s="1"/>
  <c r="AT39" i="12" s="1"/>
  <c r="BA39" i="12"/>
  <c r="BB39" i="12" s="1"/>
  <c r="BC39" i="12" s="1"/>
  <c r="AO39" i="12"/>
  <c r="AP39" i="12" s="1"/>
  <c r="BG39" i="12"/>
  <c r="C83" i="12"/>
  <c r="C85" i="1"/>
  <c r="C121" i="8"/>
  <c r="BA190" i="12"/>
  <c r="BB190" i="12" s="1"/>
  <c r="AI190" i="12"/>
  <c r="AJ190" i="12" s="1"/>
  <c r="AX190" i="12"/>
  <c r="AU190" i="12"/>
  <c r="BG190" i="12"/>
  <c r="AR190" i="12"/>
  <c r="AS190" i="12" s="1"/>
  <c r="AT190" i="12" s="1"/>
  <c r="AL190" i="12"/>
  <c r="AM190" i="12" s="1"/>
  <c r="BD190" i="12"/>
  <c r="BE190" i="12" s="1"/>
  <c r="AO190" i="12"/>
  <c r="AP190" i="12" s="1"/>
  <c r="C195" i="1"/>
  <c r="C193" i="12"/>
  <c r="K230" i="8"/>
  <c r="C234" i="12"/>
  <c r="C236" i="1"/>
  <c r="C275" i="12"/>
  <c r="C277" i="1"/>
  <c r="C371" i="12"/>
  <c r="C373" i="1"/>
  <c r="AY4" i="12"/>
  <c r="AZ4" i="12" s="1"/>
  <c r="AH8" i="12"/>
  <c r="AI39" i="12"/>
  <c r="AJ39" i="12" s="1"/>
  <c r="AK39" i="12" s="1"/>
  <c r="AX46" i="12"/>
  <c r="BH56" i="12"/>
  <c r="BH59" i="12"/>
  <c r="AI73" i="12"/>
  <c r="AJ73" i="12" s="1"/>
  <c r="AK73" i="12" s="1"/>
  <c r="BO85" i="12"/>
  <c r="AH85" i="12"/>
  <c r="BH85" i="12"/>
  <c r="AL90" i="12"/>
  <c r="AM90" i="12" s="1"/>
  <c r="AN90" i="12" s="1"/>
  <c r="AX158" i="12"/>
  <c r="AU173" i="12"/>
  <c r="C179" i="12"/>
  <c r="BG197" i="12"/>
  <c r="BN202" i="12"/>
  <c r="AE202" i="12"/>
  <c r="AX67" i="12"/>
  <c r="BA67" i="12"/>
  <c r="BB67" i="12" s="1"/>
  <c r="AU67" i="12"/>
  <c r="AL67" i="12"/>
  <c r="AM67" i="12" s="1"/>
  <c r="AN67" i="12" s="1"/>
  <c r="BG67" i="12"/>
  <c r="AR67" i="12"/>
  <c r="AS67" i="12" s="1"/>
  <c r="AT67" i="12" s="1"/>
  <c r="AI67" i="12"/>
  <c r="AJ67" i="12" s="1"/>
  <c r="AK67" i="12" s="1"/>
  <c r="BD67" i="12"/>
  <c r="BE67" i="12" s="1"/>
  <c r="C106" i="12"/>
  <c r="C108" i="1"/>
  <c r="AA199" i="12"/>
  <c r="AB199" i="12" s="1"/>
  <c r="K199" i="12"/>
  <c r="L199" i="12" s="1"/>
  <c r="J199" i="12"/>
  <c r="AC199" i="12"/>
  <c r="AD199" i="12" s="1"/>
  <c r="G199" i="12"/>
  <c r="Y199" i="12"/>
  <c r="Z199" i="12" s="1"/>
  <c r="Q199" i="12"/>
  <c r="R199" i="12" s="1"/>
  <c r="W199" i="12"/>
  <c r="X199" i="12" s="1"/>
  <c r="O199" i="12"/>
  <c r="P199" i="12" s="1"/>
  <c r="U199" i="12"/>
  <c r="V199" i="12" s="1"/>
  <c r="BM199" i="12"/>
  <c r="H199" i="12"/>
  <c r="S199" i="12"/>
  <c r="T199" i="12" s="1"/>
  <c r="C285" i="12"/>
  <c r="C287" i="1"/>
  <c r="H356" i="12"/>
  <c r="Y356" i="12"/>
  <c r="Z356" i="12" s="1"/>
  <c r="G356" i="12"/>
  <c r="W356" i="12"/>
  <c r="X356" i="12" s="1"/>
  <c r="BM356" i="12"/>
  <c r="U356" i="12"/>
  <c r="V356" i="12" s="1"/>
  <c r="M356" i="12"/>
  <c r="N356" i="12" s="1"/>
  <c r="AC356" i="12"/>
  <c r="AD356" i="12" s="1"/>
  <c r="I356" i="12"/>
  <c r="F356" i="12"/>
  <c r="O356" i="12"/>
  <c r="P356" i="12" s="1"/>
  <c r="AA356" i="12"/>
  <c r="AB356" i="12" s="1"/>
  <c r="S356" i="12"/>
  <c r="T356" i="12" s="1"/>
  <c r="K356" i="12"/>
  <c r="L356" i="12" s="1"/>
  <c r="J356" i="12"/>
  <c r="Q356" i="12"/>
  <c r="R356" i="12" s="1"/>
  <c r="M223" i="8"/>
  <c r="I283" i="8"/>
  <c r="G167" i="8"/>
  <c r="C167" i="8" s="1"/>
  <c r="K208" i="8"/>
  <c r="G176" i="8"/>
  <c r="C176" i="8" s="1"/>
  <c r="G313" i="8"/>
  <c r="C313" i="8" s="1"/>
  <c r="I249" i="8"/>
  <c r="I353" i="8"/>
  <c r="K366" i="8"/>
  <c r="I290" i="8"/>
  <c r="I252" i="8"/>
  <c r="K296" i="8"/>
  <c r="G348" i="8"/>
  <c r="BO66" i="12"/>
  <c r="AH66" i="12"/>
  <c r="AE120" i="12"/>
  <c r="BN120" i="12"/>
  <c r="BS312" i="12"/>
  <c r="BT312" i="12" s="1"/>
  <c r="BN312" i="12"/>
  <c r="BQ312" i="12"/>
  <c r="BR312" i="12" s="1"/>
  <c r="AE312" i="12"/>
  <c r="J7" i="3"/>
  <c r="J26" i="3"/>
  <c r="I26" i="3"/>
  <c r="I201" i="3"/>
  <c r="I374" i="3"/>
  <c r="C211" i="12"/>
  <c r="C213" i="1"/>
  <c r="D339" i="12"/>
  <c r="D341" i="1"/>
  <c r="Q391" i="12"/>
  <c r="R391" i="12" s="1"/>
  <c r="O391" i="12"/>
  <c r="P391" i="12" s="1"/>
  <c r="M391" i="12"/>
  <c r="N391" i="12" s="1"/>
  <c r="AC391" i="12"/>
  <c r="AD391" i="12" s="1"/>
  <c r="G391" i="12"/>
  <c r="F391" i="12"/>
  <c r="AA391" i="12"/>
  <c r="AB391" i="12" s="1"/>
  <c r="U391" i="12"/>
  <c r="V391" i="12" s="1"/>
  <c r="S391" i="12"/>
  <c r="T391" i="12" s="1"/>
  <c r="Y391" i="12"/>
  <c r="Z391" i="12" s="1"/>
  <c r="W391" i="12"/>
  <c r="X391" i="12" s="1"/>
  <c r="J391" i="12"/>
  <c r="I391" i="12"/>
  <c r="H391" i="12"/>
  <c r="BM391" i="12"/>
  <c r="K391" i="12"/>
  <c r="L391" i="12" s="1"/>
  <c r="E346" i="8"/>
  <c r="C346" i="8" s="1"/>
  <c r="I139" i="8"/>
  <c r="G371" i="8"/>
  <c r="G335" i="8"/>
  <c r="G219" i="8"/>
  <c r="G203" i="8"/>
  <c r="I138" i="8"/>
  <c r="E17" i="8"/>
  <c r="C17" i="8" s="1"/>
  <c r="I222" i="8"/>
  <c r="G300" i="8"/>
  <c r="E276" i="8"/>
  <c r="G266" i="8"/>
  <c r="I221" i="8"/>
  <c r="G136" i="8"/>
  <c r="G370" i="8"/>
  <c r="G336" i="8"/>
  <c r="AR29" i="12"/>
  <c r="AS29" i="12" s="1"/>
  <c r="AT29" i="12" s="1"/>
  <c r="BA29" i="12"/>
  <c r="BB29" i="12" s="1"/>
  <c r="AL29" i="12"/>
  <c r="AM29" i="12" s="1"/>
  <c r="AN29" i="12" s="1"/>
  <c r="AI29" i="12"/>
  <c r="AJ29" i="12" s="1"/>
  <c r="AK29" i="12" s="1"/>
  <c r="BG29" i="12"/>
  <c r="AU29" i="12"/>
  <c r="AO29" i="12"/>
  <c r="AP29" i="12" s="1"/>
  <c r="AQ29" i="12" s="1"/>
  <c r="BH44" i="12"/>
  <c r="BI44" i="12" s="1"/>
  <c r="BO44" i="12"/>
  <c r="AH44" i="12"/>
  <c r="BH66" i="12"/>
  <c r="D121" i="1"/>
  <c r="J181" i="3"/>
  <c r="J345" i="3"/>
  <c r="S184" i="12"/>
  <c r="T184" i="12" s="1"/>
  <c r="M184" i="12"/>
  <c r="N184" i="12" s="1"/>
  <c r="K184" i="12"/>
  <c r="L184" i="12" s="1"/>
  <c r="J184" i="12"/>
  <c r="I184" i="12"/>
  <c r="O184" i="12"/>
  <c r="P184" i="12" s="1"/>
  <c r="H184" i="12"/>
  <c r="AA184" i="12"/>
  <c r="AB184" i="12" s="1"/>
  <c r="G184" i="12"/>
  <c r="BM184" i="12"/>
  <c r="Q184" i="12"/>
  <c r="R184" i="12" s="1"/>
  <c r="Y184" i="12"/>
  <c r="Z184" i="12" s="1"/>
  <c r="U184" i="12"/>
  <c r="V184" i="12" s="1"/>
  <c r="AC184" i="12"/>
  <c r="AD184" i="12" s="1"/>
  <c r="W184" i="12"/>
  <c r="X184" i="12" s="1"/>
  <c r="D212" i="12"/>
  <c r="D214" i="1"/>
  <c r="BG386" i="12"/>
  <c r="AL386" i="12"/>
  <c r="AM386" i="12" s="1"/>
  <c r="AN386" i="12" s="1"/>
  <c r="AR386" i="12"/>
  <c r="AS386" i="12" s="1"/>
  <c r="AT386" i="12" s="1"/>
  <c r="AO386" i="12"/>
  <c r="AP386" i="12" s="1"/>
  <c r="AQ386" i="12" s="1"/>
  <c r="AI386" i="12"/>
  <c r="AJ386" i="12" s="1"/>
  <c r="AK386" i="12" s="1"/>
  <c r="AX386" i="12"/>
  <c r="AU386" i="12"/>
  <c r="BD386" i="12"/>
  <c r="BE386" i="12" s="1"/>
  <c r="BA386" i="12"/>
  <c r="BB386" i="12" s="1"/>
  <c r="F74" i="9" a="1"/>
  <c r="F74" i="9" s="1"/>
  <c r="E73" i="8" s="1"/>
  <c r="C73" i="8" s="1"/>
  <c r="BS349" i="12"/>
  <c r="BT349" i="12" s="1"/>
  <c r="BN349" i="12"/>
  <c r="AE349" i="12"/>
  <c r="D38" i="1"/>
  <c r="C56" i="1"/>
  <c r="G379" i="1"/>
  <c r="I131" i="3"/>
  <c r="J182" i="3"/>
  <c r="I335" i="3"/>
  <c r="C9" i="12"/>
  <c r="C11" i="1"/>
  <c r="C102" i="12"/>
  <c r="C104" i="1"/>
  <c r="C133" i="8"/>
  <c r="C241" i="12"/>
  <c r="C243" i="1"/>
  <c r="F83" i="9" a="1"/>
  <c r="F83" i="9" s="1"/>
  <c r="BO33" i="12"/>
  <c r="AH33" i="12"/>
  <c r="BH37" i="12"/>
  <c r="F117" i="12"/>
  <c r="AX203" i="12"/>
  <c r="D393" i="1"/>
  <c r="J17" i="3"/>
  <c r="I151" i="3"/>
  <c r="J272" i="3"/>
  <c r="J365" i="3"/>
  <c r="I253" i="8"/>
  <c r="C279" i="12"/>
  <c r="C281" i="1"/>
  <c r="D350" i="12"/>
  <c r="D352" i="1"/>
  <c r="AX389" i="12"/>
  <c r="BA389" i="12"/>
  <c r="BB389" i="12" s="1"/>
  <c r="AL389" i="12"/>
  <c r="AM389" i="12" s="1"/>
  <c r="AN389" i="12" s="1"/>
  <c r="AR389" i="12"/>
  <c r="AS389" i="12" s="1"/>
  <c r="AT389" i="12" s="1"/>
  <c r="BD389" i="12"/>
  <c r="BE389" i="12" s="1"/>
  <c r="BG389" i="12"/>
  <c r="AU389" i="12"/>
  <c r="AI389" i="12"/>
  <c r="AJ389" i="12" s="1"/>
  <c r="AK389" i="12" s="1"/>
  <c r="AO389" i="12"/>
  <c r="AP389" i="12" s="1"/>
  <c r="AQ389" i="12" s="1"/>
  <c r="E370" i="8"/>
  <c r="C370" i="8" s="1"/>
  <c r="E334" i="8"/>
  <c r="C334" i="8" s="1"/>
  <c r="E258" i="8"/>
  <c r="E218" i="8"/>
  <c r="C218" i="8" s="1"/>
  <c r="E214" i="8"/>
  <c r="C214" i="8" s="1"/>
  <c r="E198" i="8"/>
  <c r="C198" i="8" s="1"/>
  <c r="E186" i="8"/>
  <c r="C186" i="8" s="1"/>
  <c r="E174" i="8"/>
  <c r="C174" i="8" s="1"/>
  <c r="E166" i="8"/>
  <c r="C166" i="8" s="1"/>
  <c r="E102" i="8"/>
  <c r="C102" i="8" s="1"/>
  <c r="I299" i="8"/>
  <c r="I203" i="8"/>
  <c r="I135" i="8"/>
  <c r="G327" i="8"/>
  <c r="C327" i="8" s="1"/>
  <c r="G283" i="8"/>
  <c r="C283" i="8" s="1"/>
  <c r="G263" i="8"/>
  <c r="G243" i="8"/>
  <c r="G227" i="8"/>
  <c r="G123" i="8"/>
  <c r="C123" i="8" s="1"/>
  <c r="G107" i="8"/>
  <c r="C107" i="8" s="1"/>
  <c r="I334" i="8"/>
  <c r="E299" i="8"/>
  <c r="E131" i="8"/>
  <c r="E219" i="8"/>
  <c r="K149" i="8"/>
  <c r="I122" i="8"/>
  <c r="K336" i="8"/>
  <c r="E369" i="8"/>
  <c r="C369" i="8" s="1"/>
  <c r="G368" i="8"/>
  <c r="G362" i="8"/>
  <c r="E335" i="8"/>
  <c r="E312" i="8"/>
  <c r="K266" i="8"/>
  <c r="E241" i="8"/>
  <c r="K142" i="8"/>
  <c r="E103" i="8"/>
  <c r="C103" i="8" s="1"/>
  <c r="I369" i="8"/>
  <c r="G249" i="8"/>
  <c r="K232" i="8"/>
  <c r="I205" i="8"/>
  <c r="C205" i="8" s="1"/>
  <c r="E135" i="8"/>
  <c r="E159" i="8"/>
  <c r="G333" i="8"/>
  <c r="C333" i="8" s="1"/>
  <c r="G229" i="8"/>
  <c r="E115" i="8"/>
  <c r="C115" i="8" s="1"/>
  <c r="G353" i="8"/>
  <c r="C353" i="8" s="1"/>
  <c r="G298" i="8"/>
  <c r="E4" i="8"/>
  <c r="C4" i="8" s="1"/>
  <c r="K137" i="8"/>
  <c r="K147" i="8"/>
  <c r="G144" i="8"/>
  <c r="K301" i="8"/>
  <c r="E244" i="8"/>
  <c r="E136" i="8"/>
  <c r="E247" i="8"/>
  <c r="E267" i="8"/>
  <c r="E117" i="8"/>
  <c r="C117" i="8" s="1"/>
  <c r="O228" i="8"/>
  <c r="G159" i="8"/>
  <c r="I286" i="8"/>
  <c r="K205" i="8"/>
  <c r="G180" i="8"/>
  <c r="I356" i="8"/>
  <c r="C356" i="8" s="1"/>
  <c r="I321" i="8"/>
  <c r="C321" i="8" s="1"/>
  <c r="BQ6" i="12"/>
  <c r="BR6" i="12" s="1"/>
  <c r="BN6" i="12"/>
  <c r="AE6" i="12"/>
  <c r="F13" i="12"/>
  <c r="BN55" i="12"/>
  <c r="AE55" i="12"/>
  <c r="BQ55" i="12"/>
  <c r="BR55" i="12" s="1"/>
  <c r="J37" i="3"/>
  <c r="J56" i="3"/>
  <c r="I56" i="3"/>
  <c r="J132" i="3"/>
  <c r="I132" i="3"/>
  <c r="J193" i="3"/>
  <c r="J261" i="3"/>
  <c r="J366" i="3"/>
  <c r="I366" i="3"/>
  <c r="I385" i="3"/>
  <c r="C81" i="12"/>
  <c r="C83" i="1"/>
  <c r="BG114" i="12"/>
  <c r="AO114" i="12"/>
  <c r="AP114" i="12" s="1"/>
  <c r="AQ114" i="12" s="1"/>
  <c r="BD114" i="12"/>
  <c r="BE114" i="12" s="1"/>
  <c r="AI114" i="12"/>
  <c r="AJ114" i="12" s="1"/>
  <c r="AL114" i="12"/>
  <c r="AM114" i="12" s="1"/>
  <c r="AN114" i="12" s="1"/>
  <c r="BA114" i="12"/>
  <c r="BB114" i="12" s="1"/>
  <c r="AU114" i="12"/>
  <c r="BD238" i="12"/>
  <c r="BE238" i="12" s="1"/>
  <c r="AL238" i="12"/>
  <c r="AM238" i="12" s="1"/>
  <c r="AN238" i="12" s="1"/>
  <c r="AO238" i="12"/>
  <c r="AP238" i="12" s="1"/>
  <c r="AQ238" i="12" s="1"/>
  <c r="BA238" i="12"/>
  <c r="BB238" i="12" s="1"/>
  <c r="AU238" i="12"/>
  <c r="AI238" i="12"/>
  <c r="AJ238" i="12" s="1"/>
  <c r="AR238" i="12"/>
  <c r="AS238" i="12" s="1"/>
  <c r="AT238" i="12" s="1"/>
  <c r="BG238" i="12"/>
  <c r="AX238" i="12"/>
  <c r="C289" i="12"/>
  <c r="C291" i="1"/>
  <c r="I325" i="8"/>
  <c r="C325" i="8" s="1"/>
  <c r="BW3" i="12"/>
  <c r="BX3" i="12" s="1"/>
  <c r="AF3" i="12"/>
  <c r="BU3" i="12"/>
  <c r="BV3" i="12" s="1"/>
  <c r="AY3" i="12"/>
  <c r="AR50" i="12"/>
  <c r="AS50" i="12" s="1"/>
  <c r="AT50" i="12" s="1"/>
  <c r="M199" i="12"/>
  <c r="N199" i="12" s="1"/>
  <c r="J22" i="3"/>
  <c r="J47" i="3"/>
  <c r="I178" i="3"/>
  <c r="J178" i="3"/>
  <c r="J233" i="3"/>
  <c r="I233" i="3"/>
  <c r="J326" i="3"/>
  <c r="I423" i="3"/>
  <c r="D20" i="12"/>
  <c r="D22" i="1"/>
  <c r="D115" i="12"/>
  <c r="BF115" i="12" s="1"/>
  <c r="D117" i="1"/>
  <c r="E311" i="8"/>
  <c r="S383" i="12"/>
  <c r="T383" i="12" s="1"/>
  <c r="AC383" i="12"/>
  <c r="AD383" i="12" s="1"/>
  <c r="J383" i="12"/>
  <c r="I383" i="12"/>
  <c r="Q383" i="12"/>
  <c r="R383" i="12" s="1"/>
  <c r="O383" i="12"/>
  <c r="P383" i="12" s="1"/>
  <c r="BM383" i="12"/>
  <c r="W383" i="12"/>
  <c r="X383" i="12" s="1"/>
  <c r="Y383" i="12"/>
  <c r="Z383" i="12" s="1"/>
  <c r="U383" i="12"/>
  <c r="V383" i="12" s="1"/>
  <c r="M383" i="12"/>
  <c r="N383" i="12" s="1"/>
  <c r="AA383" i="12"/>
  <c r="AB383" i="12" s="1"/>
  <c r="K383" i="12"/>
  <c r="L383" i="12" s="1"/>
  <c r="H383" i="12"/>
  <c r="G383" i="12"/>
  <c r="F383" i="12"/>
  <c r="D402" i="12"/>
  <c r="D404" i="1"/>
  <c r="F2" i="12"/>
  <c r="F6" i="12"/>
  <c r="BN25" i="12"/>
  <c r="F35" i="12"/>
  <c r="AU43" i="12"/>
  <c r="AL43" i="12"/>
  <c r="AM43" i="12" s="1"/>
  <c r="AN43" i="12" s="1"/>
  <c r="BG43" i="12"/>
  <c r="BD43" i="12"/>
  <c r="BE43" i="12" s="1"/>
  <c r="BF43" i="12" s="1"/>
  <c r="AR43" i="12"/>
  <c r="AS43" i="12" s="1"/>
  <c r="AT43" i="12" s="1"/>
  <c r="BA43" i="12"/>
  <c r="BB43" i="12" s="1"/>
  <c r="BC43" i="12" s="1"/>
  <c r="AX43" i="12"/>
  <c r="AO43" i="12"/>
  <c r="AP43" i="12" s="1"/>
  <c r="AQ43" i="12" s="1"/>
  <c r="I104" i="12"/>
  <c r="J23" i="3"/>
  <c r="I23" i="3"/>
  <c r="J158" i="3"/>
  <c r="I158" i="3"/>
  <c r="I203" i="3"/>
  <c r="D10" i="12"/>
  <c r="F92" i="9" a="1"/>
  <c r="F92" i="9" s="1"/>
  <c r="E91" i="8" s="1"/>
  <c r="C91" i="8" s="1"/>
  <c r="C145" i="12"/>
  <c r="C147" i="1"/>
  <c r="BA182" i="12"/>
  <c r="BB182" i="12" s="1"/>
  <c r="AI182" i="12"/>
  <c r="AJ182" i="12" s="1"/>
  <c r="AO182" i="12"/>
  <c r="AP182" i="12" s="1"/>
  <c r="AL182" i="12"/>
  <c r="AM182" i="12" s="1"/>
  <c r="AU182" i="12"/>
  <c r="AR182" i="12"/>
  <c r="AS182" i="12" s="1"/>
  <c r="AT182" i="12" s="1"/>
  <c r="C250" i="12"/>
  <c r="C252" i="1"/>
  <c r="G278" i="8"/>
  <c r="D363" i="12"/>
  <c r="D365" i="1"/>
  <c r="C400" i="8"/>
  <c r="C399" i="8"/>
  <c r="F39" i="12"/>
  <c r="J104" i="12"/>
  <c r="BO119" i="12"/>
  <c r="BH119" i="12"/>
  <c r="BI119" i="12" s="1"/>
  <c r="AH119" i="12"/>
  <c r="D105" i="1"/>
  <c r="J363" i="3"/>
  <c r="J316" i="3"/>
  <c r="J197" i="3"/>
  <c r="J107" i="3"/>
  <c r="J400" i="3"/>
  <c r="J356" i="3"/>
  <c r="J325" i="3"/>
  <c r="J245" i="3"/>
  <c r="J147" i="3"/>
  <c r="J165" i="3"/>
  <c r="J86" i="3"/>
  <c r="J367" i="3"/>
  <c r="J306" i="3"/>
  <c r="J154" i="3"/>
  <c r="J43" i="3"/>
  <c r="J66" i="3"/>
  <c r="J89" i="3"/>
  <c r="J108" i="3"/>
  <c r="J263" i="3"/>
  <c r="I263" i="3"/>
  <c r="I293" i="3"/>
  <c r="J381" i="3"/>
  <c r="I381" i="3"/>
  <c r="D38" i="12"/>
  <c r="F77" i="9" a="1"/>
  <c r="F77" i="9" s="1"/>
  <c r="E76" i="8" s="1"/>
  <c r="C76" i="8" s="1"/>
  <c r="D40" i="1"/>
  <c r="C51" i="1"/>
  <c r="C49" i="12"/>
  <c r="C98" i="12"/>
  <c r="C100" i="1"/>
  <c r="G190" i="8"/>
  <c r="D57" i="1"/>
  <c r="D109" i="1"/>
  <c r="D201" i="1"/>
  <c r="J123" i="3"/>
  <c r="J133" i="3"/>
  <c r="J169" i="3"/>
  <c r="I169" i="3"/>
  <c r="J264" i="3"/>
  <c r="J294" i="3"/>
  <c r="J313" i="3"/>
  <c r="J323" i="3"/>
  <c r="I323" i="3"/>
  <c r="D54" i="1"/>
  <c r="C89" i="1"/>
  <c r="C137" i="1"/>
  <c r="C205" i="1"/>
  <c r="C388" i="1"/>
  <c r="C391" i="1"/>
  <c r="J34" i="3"/>
  <c r="I39" i="3"/>
  <c r="J44" i="3"/>
  <c r="J58" i="3"/>
  <c r="J90" i="3"/>
  <c r="J95" i="3"/>
  <c r="I154" i="3"/>
  <c r="J175" i="3"/>
  <c r="J229" i="3"/>
  <c r="J234" i="3"/>
  <c r="J274" i="3"/>
  <c r="J304" i="3"/>
  <c r="J353" i="3"/>
  <c r="J387" i="3"/>
  <c r="J402" i="3"/>
  <c r="I422" i="3"/>
  <c r="S422" i="3"/>
  <c r="S425" i="3" s="1"/>
  <c r="S426" i="3" s="1"/>
  <c r="BH4" i="12"/>
  <c r="BI4" i="12" s="1"/>
  <c r="BO4" i="12"/>
  <c r="AH4" i="12"/>
  <c r="C54" i="8"/>
  <c r="C112" i="8"/>
  <c r="G157" i="8"/>
  <c r="C157" i="8" s="1"/>
  <c r="AL169" i="12"/>
  <c r="AM169" i="12" s="1"/>
  <c r="BD169" i="12"/>
  <c r="BE169" i="12" s="1"/>
  <c r="AX169" i="12"/>
  <c r="AU169" i="12"/>
  <c r="AI169" i="12"/>
  <c r="AJ169" i="12" s="1"/>
  <c r="AR169" i="12"/>
  <c r="AS169" i="12" s="1"/>
  <c r="AT169" i="12" s="1"/>
  <c r="BG169" i="12"/>
  <c r="BA169" i="12"/>
  <c r="BB169" i="12" s="1"/>
  <c r="AO169" i="12"/>
  <c r="AP169" i="12" s="1"/>
  <c r="C175" i="12"/>
  <c r="C177" i="1"/>
  <c r="AR187" i="12"/>
  <c r="AS187" i="12" s="1"/>
  <c r="AT187" i="12" s="1"/>
  <c r="BA187" i="12"/>
  <c r="BB187" i="12" s="1"/>
  <c r="AU187" i="12"/>
  <c r="BG187" i="12"/>
  <c r="BD187" i="12"/>
  <c r="BE187" i="12" s="1"/>
  <c r="AI187" i="12"/>
  <c r="AJ187" i="12" s="1"/>
  <c r="AL187" i="12"/>
  <c r="AM187" i="12" s="1"/>
  <c r="AO187" i="12"/>
  <c r="AP187" i="12" s="1"/>
  <c r="AX215" i="12"/>
  <c r="AI215" i="12"/>
  <c r="AJ215" i="12" s="1"/>
  <c r="BA215" i="12"/>
  <c r="BB215" i="12" s="1"/>
  <c r="BD215" i="12"/>
  <c r="BE215" i="12" s="1"/>
  <c r="AR215" i="12"/>
  <c r="AS215" i="12" s="1"/>
  <c r="AT215" i="12" s="1"/>
  <c r="AL215" i="12"/>
  <c r="AM215" i="12" s="1"/>
  <c r="AU215" i="12"/>
  <c r="BG215" i="12"/>
  <c r="AO215" i="12"/>
  <c r="AP215" i="12" s="1"/>
  <c r="G220" i="8"/>
  <c r="C220" i="8" s="1"/>
  <c r="K225" i="8"/>
  <c r="BD295" i="12"/>
  <c r="BE295" i="12" s="1"/>
  <c r="AL295" i="12"/>
  <c r="AM295" i="12" s="1"/>
  <c r="AI295" i="12"/>
  <c r="AJ295" i="12" s="1"/>
  <c r="BG295" i="12"/>
  <c r="AX295" i="12"/>
  <c r="AU295" i="12"/>
  <c r="AO295" i="12"/>
  <c r="AP295" i="12" s="1"/>
  <c r="AR295" i="12"/>
  <c r="AS295" i="12" s="1"/>
  <c r="AT295" i="12" s="1"/>
  <c r="BA295" i="12"/>
  <c r="BB295" i="12" s="1"/>
  <c r="G318" i="8"/>
  <c r="BE12" i="12"/>
  <c r="BF12" i="12" s="1"/>
  <c r="BU25" i="12"/>
  <c r="BV25" i="12" s="1"/>
  <c r="BG57" i="12"/>
  <c r="AX114" i="12"/>
  <c r="BD158" i="12"/>
  <c r="BE158" i="12" s="1"/>
  <c r="BL160" i="12"/>
  <c r="AE160" i="12"/>
  <c r="BN160" i="12"/>
  <c r="AY202" i="12"/>
  <c r="BD232" i="12"/>
  <c r="BE232" i="12" s="1"/>
  <c r="AL232" i="12"/>
  <c r="AM232" i="12" s="1"/>
  <c r="AO232" i="12"/>
  <c r="AP232" i="12" s="1"/>
  <c r="AX232" i="12"/>
  <c r="AU232" i="12"/>
  <c r="AR232" i="12"/>
  <c r="AS232" i="12" s="1"/>
  <c r="AT232" i="12" s="1"/>
  <c r="BG232" i="12"/>
  <c r="AI232" i="12"/>
  <c r="AJ232" i="12" s="1"/>
  <c r="BA232" i="12"/>
  <c r="BB232" i="12" s="1"/>
  <c r="BO16" i="12"/>
  <c r="AH16" i="12"/>
  <c r="BC24" i="12"/>
  <c r="AX28" i="12"/>
  <c r="AR28" i="12"/>
  <c r="AS28" i="12" s="1"/>
  <c r="AT28" i="12" s="1"/>
  <c r="AO28" i="12"/>
  <c r="AP28" i="12" s="1"/>
  <c r="AQ28" i="12" s="1"/>
  <c r="BG28" i="12"/>
  <c r="AI28" i="12"/>
  <c r="AL28" i="12"/>
  <c r="AM28" i="12" s="1"/>
  <c r="AN28" i="12" s="1"/>
  <c r="BD28" i="12"/>
  <c r="BE28" i="12" s="1"/>
  <c r="AL55" i="12"/>
  <c r="AM55" i="12" s="1"/>
  <c r="AN55" i="12" s="1"/>
  <c r="BO107" i="12"/>
  <c r="AH107" i="12"/>
  <c r="AH174" i="12"/>
  <c r="BO174" i="12"/>
  <c r="BU212" i="12"/>
  <c r="BV212" i="12" s="1"/>
  <c r="AH312" i="12"/>
  <c r="BO312" i="12"/>
  <c r="BH312" i="12"/>
  <c r="J128" i="3"/>
  <c r="J150" i="3"/>
  <c r="J328" i="3"/>
  <c r="AU7" i="12"/>
  <c r="AI7" i="12"/>
  <c r="AJ7" i="12" s="1"/>
  <c r="AK7" i="12" s="1"/>
  <c r="BG7" i="12"/>
  <c r="BD7" i="12"/>
  <c r="BE7" i="12" s="1"/>
  <c r="BA7" i="12"/>
  <c r="AX30" i="12"/>
  <c r="AL30" i="12"/>
  <c r="AM30" i="12" s="1"/>
  <c r="AN30" i="12" s="1"/>
  <c r="BD30" i="12"/>
  <c r="BE30" i="12" s="1"/>
  <c r="AU30" i="12"/>
  <c r="BA30" i="12"/>
  <c r="BB30" i="12" s="1"/>
  <c r="AR30" i="12"/>
  <c r="AS30" i="12" s="1"/>
  <c r="AT30" i="12" s="1"/>
  <c r="AO30" i="12"/>
  <c r="AP30" i="12" s="1"/>
  <c r="AQ30" i="12" s="1"/>
  <c r="AR64" i="12"/>
  <c r="AS64" i="12" s="1"/>
  <c r="AT64" i="12" s="1"/>
  <c r="AU64" i="12"/>
  <c r="AX64" i="12"/>
  <c r="AO64" i="12"/>
  <c r="AP64" i="12" s="1"/>
  <c r="AQ64" i="12" s="1"/>
  <c r="AI64" i="12"/>
  <c r="AJ64" i="12" s="1"/>
  <c r="AK64" i="12" s="1"/>
  <c r="AL64" i="12"/>
  <c r="AM64" i="12" s="1"/>
  <c r="AN64" i="12" s="1"/>
  <c r="AY74" i="12"/>
  <c r="AX77" i="12"/>
  <c r="BG77" i="12"/>
  <c r="AL77" i="12"/>
  <c r="AM77" i="12" s="1"/>
  <c r="AN77" i="12" s="1"/>
  <c r="AO77" i="12"/>
  <c r="AP77" i="12" s="1"/>
  <c r="AQ77" i="12" s="1"/>
  <c r="AI77" i="12"/>
  <c r="AJ77" i="12" s="1"/>
  <c r="AK77" i="12" s="1"/>
  <c r="BD77" i="12"/>
  <c r="BE77" i="12" s="1"/>
  <c r="AR77" i="12"/>
  <c r="AS77" i="12" s="1"/>
  <c r="AT77" i="12" s="1"/>
  <c r="C154" i="12"/>
  <c r="C156" i="1"/>
  <c r="C225" i="12"/>
  <c r="C227" i="1"/>
  <c r="BD262" i="12"/>
  <c r="BE262" i="12" s="1"/>
  <c r="AI262" i="12"/>
  <c r="AJ262" i="12" s="1"/>
  <c r="BA262" i="12"/>
  <c r="BB262" i="12" s="1"/>
  <c r="AR262" i="12"/>
  <c r="AS262" i="12" s="1"/>
  <c r="AT262" i="12" s="1"/>
  <c r="BG262" i="12"/>
  <c r="AL262" i="12"/>
  <c r="AM262" i="12" s="1"/>
  <c r="AN262" i="12" s="1"/>
  <c r="AX262" i="12"/>
  <c r="AU262" i="12"/>
  <c r="AO262" i="12"/>
  <c r="AP262" i="12" s="1"/>
  <c r="AQ262" i="12" s="1"/>
  <c r="I281" i="8"/>
  <c r="C281" i="8" s="1"/>
  <c r="AO302" i="12"/>
  <c r="AP302" i="12" s="1"/>
  <c r="BA302" i="12"/>
  <c r="BB302" i="12" s="1"/>
  <c r="AX302" i="12"/>
  <c r="AU302" i="12"/>
  <c r="AR302" i="12"/>
  <c r="AS302" i="12" s="1"/>
  <c r="AT302" i="12" s="1"/>
  <c r="AI302" i="12"/>
  <c r="AJ302" i="12" s="1"/>
  <c r="BG302" i="12"/>
  <c r="AL302" i="12"/>
  <c r="AM302" i="12" s="1"/>
  <c r="BD302" i="12"/>
  <c r="BE302" i="12" s="1"/>
  <c r="C305" i="12"/>
  <c r="C307" i="1"/>
  <c r="AR322" i="12"/>
  <c r="AS322" i="12" s="1"/>
  <c r="AT322" i="12" s="1"/>
  <c r="AO322" i="12"/>
  <c r="AP322" i="12" s="1"/>
  <c r="BG322" i="12"/>
  <c r="AL322" i="12"/>
  <c r="AM322" i="12" s="1"/>
  <c r="AU322" i="12"/>
  <c r="AI322" i="12"/>
  <c r="AJ322" i="12" s="1"/>
  <c r="BD322" i="12"/>
  <c r="BE322" i="12" s="1"/>
  <c r="BA322" i="12"/>
  <c r="BB322" i="12" s="1"/>
  <c r="AX322" i="12"/>
  <c r="BD358" i="12"/>
  <c r="BE358" i="12" s="1"/>
  <c r="AL358" i="12"/>
  <c r="AM358" i="12" s="1"/>
  <c r="AI358" i="12"/>
  <c r="AJ358" i="12" s="1"/>
  <c r="BG358" i="12"/>
  <c r="AX358" i="12"/>
  <c r="AR358" i="12"/>
  <c r="AS358" i="12" s="1"/>
  <c r="AT358" i="12" s="1"/>
  <c r="AO358" i="12"/>
  <c r="AP358" i="12" s="1"/>
  <c r="AU358" i="12"/>
  <c r="AX361" i="12"/>
  <c r="AU361" i="12"/>
  <c r="AL361" i="12"/>
  <c r="AM361" i="12" s="1"/>
  <c r="AN361" i="12" s="1"/>
  <c r="AR361" i="12"/>
  <c r="AS361" i="12" s="1"/>
  <c r="AT361" i="12" s="1"/>
  <c r="BA361" i="12"/>
  <c r="BB361" i="12" s="1"/>
  <c r="BG361" i="12"/>
  <c r="BD361" i="12"/>
  <c r="BE361" i="12" s="1"/>
  <c r="AI361" i="12"/>
  <c r="AJ361" i="12" s="1"/>
  <c r="AO361" i="12"/>
  <c r="AP361" i="12" s="1"/>
  <c r="AQ361" i="12" s="1"/>
  <c r="AX375" i="12"/>
  <c r="AR375" i="12"/>
  <c r="AS375" i="12" s="1"/>
  <c r="AT375" i="12" s="1"/>
  <c r="AO375" i="12"/>
  <c r="AP375" i="12" s="1"/>
  <c r="AQ375" i="12" s="1"/>
  <c r="AL375" i="12"/>
  <c r="AM375" i="12" s="1"/>
  <c r="AN375" i="12" s="1"/>
  <c r="AI375" i="12"/>
  <c r="AJ375" i="12" s="1"/>
  <c r="AK375" i="12" s="1"/>
  <c r="BG375" i="12"/>
  <c r="BA375" i="12"/>
  <c r="BB375" i="12" s="1"/>
  <c r="BC375" i="12" s="1"/>
  <c r="AU375" i="12"/>
  <c r="BD375" i="12"/>
  <c r="BE375" i="12" s="1"/>
  <c r="C378" i="12"/>
  <c r="C380" i="1"/>
  <c r="C50" i="8"/>
  <c r="C379" i="8"/>
  <c r="I316" i="8"/>
  <c r="G309" i="8"/>
  <c r="M333" i="8"/>
  <c r="K323" i="8"/>
  <c r="M336" i="8"/>
  <c r="G306" i="8"/>
  <c r="AN2" i="12"/>
  <c r="AU3" i="12"/>
  <c r="AR3" i="12"/>
  <c r="AS3" i="12" s="1"/>
  <c r="AT3" i="12" s="1"/>
  <c r="AO3" i="12"/>
  <c r="AP3" i="12" s="1"/>
  <c r="AQ3" i="12" s="1"/>
  <c r="BG3" i="12"/>
  <c r="AI3" i="12"/>
  <c r="AJ3" i="12" s="1"/>
  <c r="AK3" i="12" s="1"/>
  <c r="AL3" i="12"/>
  <c r="BH16" i="12"/>
  <c r="BO24" i="12"/>
  <c r="BH24" i="12"/>
  <c r="BI24" i="12" s="1"/>
  <c r="BA28" i="12"/>
  <c r="BB28" i="12" s="1"/>
  <c r="F52" i="12"/>
  <c r="BG64" i="12"/>
  <c r="AX71" i="12"/>
  <c r="AI71" i="12"/>
  <c r="AJ71" i="12" s="1"/>
  <c r="AK71" i="12" s="1"/>
  <c r="BD71" i="12"/>
  <c r="BE71" i="12" s="1"/>
  <c r="BA71" i="12"/>
  <c r="BB71" i="12" s="1"/>
  <c r="AO71" i="12"/>
  <c r="AP71" i="12" s="1"/>
  <c r="AQ71" i="12" s="1"/>
  <c r="AR71" i="12"/>
  <c r="AS71" i="12" s="1"/>
  <c r="AT71" i="12" s="1"/>
  <c r="BG71" i="12"/>
  <c r="AU71" i="12"/>
  <c r="BO75" i="12"/>
  <c r="AH75" i="12"/>
  <c r="BH75" i="12"/>
  <c r="BH107" i="12"/>
  <c r="BI107" i="12" s="1"/>
  <c r="BH174" i="12"/>
  <c r="AY212" i="12"/>
  <c r="AZ212" i="12" s="1"/>
  <c r="AR177" i="12"/>
  <c r="AS177" i="12" s="1"/>
  <c r="AT177" i="12" s="1"/>
  <c r="AO177" i="12"/>
  <c r="AP177" i="12" s="1"/>
  <c r="AI177" i="12"/>
  <c r="AJ177" i="12" s="1"/>
  <c r="BD177" i="12"/>
  <c r="BE177" i="12" s="1"/>
  <c r="AL177" i="12"/>
  <c r="AM177" i="12" s="1"/>
  <c r="BA177" i="12"/>
  <c r="BB177" i="12" s="1"/>
  <c r="AX177" i="12"/>
  <c r="AU177" i="12"/>
  <c r="J65" i="3"/>
  <c r="I65" i="3"/>
  <c r="J125" i="3"/>
  <c r="J204" i="3"/>
  <c r="R422" i="3"/>
  <c r="C8" i="8"/>
  <c r="AU66" i="12"/>
  <c r="AX66" i="12"/>
  <c r="BA66" i="12"/>
  <c r="BB66" i="12" s="1"/>
  <c r="AR66" i="12"/>
  <c r="AS66" i="12" s="1"/>
  <c r="AT66" i="12" s="1"/>
  <c r="AL66" i="12"/>
  <c r="AM66" i="12" s="1"/>
  <c r="AN66" i="12" s="1"/>
  <c r="BD66" i="12"/>
  <c r="BE66" i="12" s="1"/>
  <c r="AI66" i="12"/>
  <c r="AJ66" i="12" s="1"/>
  <c r="AK66" i="12" s="1"/>
  <c r="C131" i="12"/>
  <c r="C133" i="1"/>
  <c r="AX231" i="12"/>
  <c r="AU231" i="12"/>
  <c r="BD231" i="12"/>
  <c r="BE231" i="12" s="1"/>
  <c r="AI231" i="12"/>
  <c r="AJ231" i="12" s="1"/>
  <c r="AO231" i="12"/>
  <c r="AP231" i="12" s="1"/>
  <c r="AR231" i="12"/>
  <c r="AS231" i="12" s="1"/>
  <c r="AT231" i="12" s="1"/>
  <c r="BA231" i="12"/>
  <c r="BB231" i="12" s="1"/>
  <c r="AR283" i="12"/>
  <c r="AS283" i="12" s="1"/>
  <c r="AT283" i="12" s="1"/>
  <c r="BG283" i="12"/>
  <c r="AL283" i="12"/>
  <c r="AM283" i="12" s="1"/>
  <c r="BA283" i="12"/>
  <c r="BB283" i="12" s="1"/>
  <c r="AX283" i="12"/>
  <c r="AO283" i="12"/>
  <c r="AP283" i="12" s="1"/>
  <c r="AU283" i="12"/>
  <c r="AI283" i="12"/>
  <c r="AJ283" i="12" s="1"/>
  <c r="BD283" i="12"/>
  <c r="BE283" i="12" s="1"/>
  <c r="BD315" i="12"/>
  <c r="BE315" i="12" s="1"/>
  <c r="AL315" i="12"/>
  <c r="AM315" i="12" s="1"/>
  <c r="AR315" i="12"/>
  <c r="AS315" i="12" s="1"/>
  <c r="AT315" i="12" s="1"/>
  <c r="AO315" i="12"/>
  <c r="AP315" i="12" s="1"/>
  <c r="BA315" i="12"/>
  <c r="BB315" i="12" s="1"/>
  <c r="BG315" i="12"/>
  <c r="AX315" i="12"/>
  <c r="AU315" i="12"/>
  <c r="AI315" i="12"/>
  <c r="AJ315" i="12" s="1"/>
  <c r="C351" i="12"/>
  <c r="C353" i="1"/>
  <c r="C393" i="8"/>
  <c r="C394" i="12"/>
  <c r="C396" i="1"/>
  <c r="BD397" i="12"/>
  <c r="BE397" i="12" s="1"/>
  <c r="BF397" i="12" s="1"/>
  <c r="AL397" i="12"/>
  <c r="AM397" i="12" s="1"/>
  <c r="AN397" i="12" s="1"/>
  <c r="BA397" i="12"/>
  <c r="BB397" i="12" s="1"/>
  <c r="BC397" i="12" s="1"/>
  <c r="AI397" i="12"/>
  <c r="AJ397" i="12" s="1"/>
  <c r="AK397" i="12" s="1"/>
  <c r="AR397" i="12"/>
  <c r="AS397" i="12" s="1"/>
  <c r="AT397" i="12" s="1"/>
  <c r="BG397" i="12"/>
  <c r="AO397" i="12"/>
  <c r="AP397" i="12" s="1"/>
  <c r="AQ397" i="12" s="1"/>
  <c r="AX397" i="12"/>
  <c r="AU397" i="12"/>
  <c r="BG30" i="12"/>
  <c r="AO66" i="12"/>
  <c r="AP66" i="12" s="1"/>
  <c r="AQ66" i="12" s="1"/>
  <c r="BO86" i="12"/>
  <c r="AH86" i="12"/>
  <c r="BB185" i="12"/>
  <c r="AL231" i="12"/>
  <c r="AM231" i="12" s="1"/>
  <c r="AF287" i="12"/>
  <c r="AY287" i="12"/>
  <c r="BU287" i="12"/>
  <c r="BV287" i="12" s="1"/>
  <c r="J139" i="3"/>
  <c r="J152" i="3"/>
  <c r="I156" i="3"/>
  <c r="J161" i="3"/>
  <c r="J290" i="3"/>
  <c r="C37" i="1"/>
  <c r="C35" i="12"/>
  <c r="C147" i="12"/>
  <c r="C149" i="1"/>
  <c r="BD165" i="12"/>
  <c r="BE165" i="12" s="1"/>
  <c r="AI165" i="12"/>
  <c r="AJ165" i="12" s="1"/>
  <c r="AR165" i="12"/>
  <c r="AS165" i="12" s="1"/>
  <c r="AT165" i="12" s="1"/>
  <c r="BA165" i="12"/>
  <c r="BB165" i="12" s="1"/>
  <c r="BG165" i="12"/>
  <c r="AL165" i="12"/>
  <c r="AM165" i="12" s="1"/>
  <c r="AX165" i="12"/>
  <c r="AO165" i="12"/>
  <c r="AP165" i="12" s="1"/>
  <c r="C183" i="8"/>
  <c r="AX221" i="12"/>
  <c r="AU221" i="12"/>
  <c r="AL221" i="12"/>
  <c r="AM221" i="12" s="1"/>
  <c r="AR221" i="12"/>
  <c r="AS221" i="12" s="1"/>
  <c r="AT221" i="12" s="1"/>
  <c r="BD221" i="12"/>
  <c r="BE221" i="12" s="1"/>
  <c r="BG221" i="12"/>
  <c r="AO221" i="12"/>
  <c r="AP221" i="12" s="1"/>
  <c r="AI221" i="12"/>
  <c r="AJ221" i="12" s="1"/>
  <c r="BA221" i="12"/>
  <c r="BB221" i="12" s="1"/>
  <c r="C255" i="12"/>
  <c r="C257" i="1"/>
  <c r="BG261" i="12"/>
  <c r="AO261" i="12"/>
  <c r="AP261" i="12" s="1"/>
  <c r="AR261" i="12"/>
  <c r="AS261" i="12" s="1"/>
  <c r="AT261" i="12" s="1"/>
  <c r="AU261" i="12"/>
  <c r="BD261" i="12"/>
  <c r="BE261" i="12" s="1"/>
  <c r="AX261" i="12"/>
  <c r="AI261" i="12"/>
  <c r="AJ261" i="12" s="1"/>
  <c r="AL261" i="12"/>
  <c r="AM261" i="12" s="1"/>
  <c r="BA261" i="12"/>
  <c r="BB261" i="12" s="1"/>
  <c r="AR318" i="12"/>
  <c r="AS318" i="12" s="1"/>
  <c r="AT318" i="12" s="1"/>
  <c r="AX318" i="12"/>
  <c r="BG318" i="12"/>
  <c r="AL318" i="12"/>
  <c r="AM318" i="12" s="1"/>
  <c r="AO318" i="12"/>
  <c r="AP318" i="12" s="1"/>
  <c r="BA318" i="12"/>
  <c r="BB318" i="12" s="1"/>
  <c r="AI318" i="12"/>
  <c r="AJ318" i="12" s="1"/>
  <c r="BD318" i="12"/>
  <c r="BE318" i="12" s="1"/>
  <c r="AU318" i="12"/>
  <c r="BD329" i="12"/>
  <c r="BE329" i="12" s="1"/>
  <c r="AL329" i="12"/>
  <c r="AM329" i="12" s="1"/>
  <c r="AN329" i="12" s="1"/>
  <c r="AU329" i="12"/>
  <c r="BA329" i="12"/>
  <c r="BB329" i="12" s="1"/>
  <c r="AX329" i="12"/>
  <c r="BG329" i="12"/>
  <c r="AI329" i="12"/>
  <c r="AJ329" i="12" s="1"/>
  <c r="AR329" i="12"/>
  <c r="AS329" i="12" s="1"/>
  <c r="AT329" i="12" s="1"/>
  <c r="AO329" i="12"/>
  <c r="AP329" i="12" s="1"/>
  <c r="AQ329" i="12" s="1"/>
  <c r="C390" i="8"/>
  <c r="C169" i="8"/>
  <c r="C386" i="8"/>
  <c r="BE2" i="12"/>
  <c r="BN21" i="12"/>
  <c r="BS21" i="12"/>
  <c r="BT21" i="12" s="1"/>
  <c r="BQ21" i="12"/>
  <c r="BR21" i="12" s="1"/>
  <c r="AF44" i="12"/>
  <c r="AG44" i="12" s="1"/>
  <c r="BU44" i="12"/>
  <c r="BV44" i="12" s="1"/>
  <c r="BB76" i="12"/>
  <c r="BH86" i="12"/>
  <c r="BO93" i="12"/>
  <c r="BH93" i="12"/>
  <c r="BF104" i="12"/>
  <c r="AH300" i="12"/>
  <c r="BH300" i="12"/>
  <c r="BO300" i="12"/>
  <c r="G271" i="8"/>
  <c r="I277" i="8"/>
  <c r="C277" i="8" s="1"/>
  <c r="K284" i="8"/>
  <c r="C284" i="8" s="1"/>
  <c r="BA68" i="12"/>
  <c r="BB68" i="12" s="1"/>
  <c r="AX68" i="12"/>
  <c r="AU68" i="12"/>
  <c r="AR68" i="12"/>
  <c r="AS68" i="12" s="1"/>
  <c r="AT68" i="12" s="1"/>
  <c r="AO68" i="12"/>
  <c r="AP68" i="12" s="1"/>
  <c r="AQ68" i="12" s="1"/>
  <c r="AI68" i="12"/>
  <c r="AJ68" i="12" s="1"/>
  <c r="AK68" i="12" s="1"/>
  <c r="BG68" i="12"/>
  <c r="BD68" i="12"/>
  <c r="BE68" i="12" s="1"/>
  <c r="AF196" i="12"/>
  <c r="AY196" i="12"/>
  <c r="J9" i="3"/>
  <c r="I86" i="3"/>
  <c r="I316" i="3"/>
  <c r="J334" i="3"/>
  <c r="I334" i="3"/>
  <c r="AX79" i="12"/>
  <c r="BG79" i="12"/>
  <c r="AL79" i="12"/>
  <c r="AM79" i="12" s="1"/>
  <c r="AN79" i="12" s="1"/>
  <c r="AI79" i="12"/>
  <c r="AJ79" i="12" s="1"/>
  <c r="AK79" i="12" s="1"/>
  <c r="AU79" i="12"/>
  <c r="AR79" i="12"/>
  <c r="AS79" i="12" s="1"/>
  <c r="AT79" i="12" s="1"/>
  <c r="AO79" i="12"/>
  <c r="AP79" i="12" s="1"/>
  <c r="AQ79" i="12" s="1"/>
  <c r="BA210" i="12"/>
  <c r="BB210" i="12" s="1"/>
  <c r="AI210" i="12"/>
  <c r="AJ210" i="12" s="1"/>
  <c r="BD210" i="12"/>
  <c r="BE210" i="12" s="1"/>
  <c r="AR210" i="12"/>
  <c r="AS210" i="12" s="1"/>
  <c r="AT210" i="12" s="1"/>
  <c r="BG210" i="12"/>
  <c r="AO210" i="12"/>
  <c r="AP210" i="12" s="1"/>
  <c r="AL210" i="12"/>
  <c r="AM210" i="12" s="1"/>
  <c r="AX210" i="12"/>
  <c r="AU210" i="12"/>
  <c r="C221" i="8"/>
  <c r="AR269" i="12"/>
  <c r="AS269" i="12" s="1"/>
  <c r="AT269" i="12" s="1"/>
  <c r="AX269" i="12"/>
  <c r="AU269" i="12"/>
  <c r="AL269" i="12"/>
  <c r="AM269" i="12" s="1"/>
  <c r="AN269" i="12" s="1"/>
  <c r="BG269" i="12"/>
  <c r="AO269" i="12"/>
  <c r="AP269" i="12" s="1"/>
  <c r="AQ269" i="12" s="1"/>
  <c r="BD269" i="12"/>
  <c r="BE269" i="12" s="1"/>
  <c r="AI269" i="12"/>
  <c r="AJ269" i="12" s="1"/>
  <c r="BA269" i="12"/>
  <c r="BB269" i="12" s="1"/>
  <c r="C401" i="8"/>
  <c r="C233" i="1"/>
  <c r="I9" i="3"/>
  <c r="I61" i="3"/>
  <c r="J61" i="3"/>
  <c r="J121" i="3"/>
  <c r="I121" i="3"/>
  <c r="J179" i="3"/>
  <c r="J236" i="3"/>
  <c r="J254" i="3"/>
  <c r="I254" i="3"/>
  <c r="J330" i="3"/>
  <c r="J347" i="3"/>
  <c r="J352" i="3"/>
  <c r="AX107" i="12"/>
  <c r="AU107" i="12"/>
  <c r="AR107" i="12"/>
  <c r="AS107" i="12" s="1"/>
  <c r="AT107" i="12" s="1"/>
  <c r="AO107" i="12"/>
  <c r="AP107" i="12" s="1"/>
  <c r="AQ107" i="12" s="1"/>
  <c r="AI107" i="12"/>
  <c r="AJ107" i="12" s="1"/>
  <c r="AK107" i="12" s="1"/>
  <c r="BD107" i="12"/>
  <c r="BE107" i="12" s="1"/>
  <c r="BF107" i="12" s="1"/>
  <c r="BA107" i="12"/>
  <c r="BB107" i="12" s="1"/>
  <c r="BC107" i="12" s="1"/>
  <c r="AL107" i="12"/>
  <c r="AM107" i="12" s="1"/>
  <c r="AN107" i="12" s="1"/>
  <c r="AX110" i="12"/>
  <c r="AU110" i="12"/>
  <c r="AI110" i="12"/>
  <c r="AJ110" i="12" s="1"/>
  <c r="AO110" i="12"/>
  <c r="AP110" i="12" s="1"/>
  <c r="AQ110" i="12" s="1"/>
  <c r="AL110" i="12"/>
  <c r="AM110" i="12" s="1"/>
  <c r="AN110" i="12" s="1"/>
  <c r="BA110" i="12"/>
  <c r="BB110" i="12" s="1"/>
  <c r="AR110" i="12"/>
  <c r="AS110" i="12" s="1"/>
  <c r="AT110" i="12" s="1"/>
  <c r="AX125" i="12"/>
  <c r="AU125" i="12"/>
  <c r="AR125" i="12"/>
  <c r="AS125" i="12" s="1"/>
  <c r="AT125" i="12" s="1"/>
  <c r="BG125" i="12"/>
  <c r="AI125" i="12"/>
  <c r="AJ125" i="12" s="1"/>
  <c r="BD125" i="12"/>
  <c r="BE125" i="12" s="1"/>
  <c r="AO125" i="12"/>
  <c r="AP125" i="12" s="1"/>
  <c r="AQ125" i="12" s="1"/>
  <c r="BA162" i="12"/>
  <c r="BB162" i="12" s="1"/>
  <c r="AI162" i="12"/>
  <c r="AJ162" i="12" s="1"/>
  <c r="AX162" i="12"/>
  <c r="AU162" i="12"/>
  <c r="BD162" i="12"/>
  <c r="BE162" i="12" s="1"/>
  <c r="BG162" i="12"/>
  <c r="AL162" i="12"/>
  <c r="AM162" i="12" s="1"/>
  <c r="AO162" i="12"/>
  <c r="AP162" i="12" s="1"/>
  <c r="AR183" i="12"/>
  <c r="AS183" i="12" s="1"/>
  <c r="AT183" i="12" s="1"/>
  <c r="AX183" i="12"/>
  <c r="AU183" i="12"/>
  <c r="AL183" i="12"/>
  <c r="AM183" i="12" s="1"/>
  <c r="BA183" i="12"/>
  <c r="BB183" i="12" s="1"/>
  <c r="BD183" i="12"/>
  <c r="BE183" i="12" s="1"/>
  <c r="AO183" i="12"/>
  <c r="AP183" i="12" s="1"/>
  <c r="BG183" i="12"/>
  <c r="BG247" i="12"/>
  <c r="AO247" i="12"/>
  <c r="AP247" i="12" s="1"/>
  <c r="AR247" i="12"/>
  <c r="AS247" i="12" s="1"/>
  <c r="AT247" i="12" s="1"/>
  <c r="AL247" i="12"/>
  <c r="AM247" i="12" s="1"/>
  <c r="BA247" i="12"/>
  <c r="BB247" i="12" s="1"/>
  <c r="BD247" i="12"/>
  <c r="BE247" i="12" s="1"/>
  <c r="AX247" i="12"/>
  <c r="AU247" i="12"/>
  <c r="M301" i="8"/>
  <c r="BD301" i="12"/>
  <c r="BE301" i="12" s="1"/>
  <c r="AL301" i="12"/>
  <c r="AM301" i="12" s="1"/>
  <c r="AU301" i="12"/>
  <c r="AR301" i="12"/>
  <c r="AS301" i="12" s="1"/>
  <c r="AT301" i="12" s="1"/>
  <c r="AO301" i="12"/>
  <c r="AP301" i="12" s="1"/>
  <c r="AI301" i="12"/>
  <c r="AJ301" i="12" s="1"/>
  <c r="BG301" i="12"/>
  <c r="AX301" i="12"/>
  <c r="BA301" i="12"/>
  <c r="BB301" i="12" s="1"/>
  <c r="C320" i="8"/>
  <c r="AU342" i="12"/>
  <c r="BG342" i="12"/>
  <c r="AL342" i="12"/>
  <c r="AM342" i="12" s="1"/>
  <c r="AN342" i="12" s="1"/>
  <c r="BA342" i="12"/>
  <c r="BB342" i="12" s="1"/>
  <c r="BC342" i="12" s="1"/>
  <c r="AX342" i="12"/>
  <c r="AO342" i="12"/>
  <c r="AP342" i="12" s="1"/>
  <c r="AQ342" i="12" s="1"/>
  <c r="AI342" i="12"/>
  <c r="AJ342" i="12" s="1"/>
  <c r="AK342" i="12" s="1"/>
  <c r="BD342" i="12"/>
  <c r="BE342" i="12" s="1"/>
  <c r="BF342" i="12" s="1"/>
  <c r="AR342" i="12"/>
  <c r="AS342" i="12" s="1"/>
  <c r="AT342" i="12" s="1"/>
  <c r="C389" i="8"/>
  <c r="AO7" i="12"/>
  <c r="AP7" i="12" s="1"/>
  <c r="AQ7" i="12" s="1"/>
  <c r="BW21" i="12"/>
  <c r="BX21" i="12" s="1"/>
  <c r="AF21" i="12"/>
  <c r="AZ44" i="12"/>
  <c r="AU77" i="12"/>
  <c r="BO92" i="12"/>
  <c r="BG110" i="12"/>
  <c r="BG177" i="12"/>
  <c r="BG231" i="12"/>
  <c r="BA358" i="12"/>
  <c r="BB358" i="12" s="1"/>
  <c r="BA55" i="12"/>
  <c r="BB55" i="12" s="1"/>
  <c r="BC55" i="12" s="1"/>
  <c r="AR55" i="12"/>
  <c r="AS55" i="12" s="1"/>
  <c r="AT55" i="12" s="1"/>
  <c r="AX55" i="12"/>
  <c r="AI55" i="12"/>
  <c r="AJ55" i="12" s="1"/>
  <c r="AK55" i="12" s="1"/>
  <c r="BD55" i="12"/>
  <c r="BE55" i="12" s="1"/>
  <c r="BF55" i="12" s="1"/>
  <c r="BG55" i="12"/>
  <c r="AX72" i="12"/>
  <c r="BD72" i="12"/>
  <c r="BE72" i="12" s="1"/>
  <c r="BA72" i="12"/>
  <c r="BB72" i="12" s="1"/>
  <c r="AO72" i="12"/>
  <c r="AP72" i="12" s="1"/>
  <c r="AQ72" i="12" s="1"/>
  <c r="AI72" i="12"/>
  <c r="AJ72" i="12" s="1"/>
  <c r="AK72" i="12" s="1"/>
  <c r="AU72" i="12"/>
  <c r="BG72" i="12"/>
  <c r="AR72" i="12"/>
  <c r="AS72" i="12" s="1"/>
  <c r="AT72" i="12" s="1"/>
  <c r="BU180" i="12"/>
  <c r="BV180" i="12" s="1"/>
  <c r="AY180" i="12"/>
  <c r="J82" i="3"/>
  <c r="J143" i="3"/>
  <c r="J200" i="3"/>
  <c r="J391" i="3"/>
  <c r="C201" i="8"/>
  <c r="C207" i="12"/>
  <c r="C209" i="1"/>
  <c r="AI224" i="12"/>
  <c r="AJ224" i="12" s="1"/>
  <c r="BA224" i="12"/>
  <c r="BB224" i="12" s="1"/>
  <c r="AR224" i="12"/>
  <c r="AS224" i="12" s="1"/>
  <c r="AT224" i="12" s="1"/>
  <c r="BD224" i="12"/>
  <c r="BE224" i="12" s="1"/>
  <c r="AX224" i="12"/>
  <c r="AU224" i="12"/>
  <c r="AO224" i="12"/>
  <c r="AP224" i="12" s="1"/>
  <c r="AX258" i="12"/>
  <c r="AR258" i="12"/>
  <c r="AS258" i="12" s="1"/>
  <c r="AT258" i="12" s="1"/>
  <c r="BA258" i="12"/>
  <c r="BB258" i="12" s="1"/>
  <c r="AU258" i="12"/>
  <c r="BG258" i="12"/>
  <c r="AO258" i="12"/>
  <c r="AP258" i="12" s="1"/>
  <c r="AQ258" i="12" s="1"/>
  <c r="AI258" i="12"/>
  <c r="AJ258" i="12" s="1"/>
  <c r="BD258" i="12"/>
  <c r="BE258" i="12" s="1"/>
  <c r="AL258" i="12"/>
  <c r="AM258" i="12" s="1"/>
  <c r="AN258" i="12" s="1"/>
  <c r="G274" i="8"/>
  <c r="AU354" i="12"/>
  <c r="BA354" i="12"/>
  <c r="BB354" i="12" s="1"/>
  <c r="AL354" i="12"/>
  <c r="AM354" i="12" s="1"/>
  <c r="BG354" i="12"/>
  <c r="BD354" i="12"/>
  <c r="BE354" i="12" s="1"/>
  <c r="AI354" i="12"/>
  <c r="AJ354" i="12" s="1"/>
  <c r="AX354" i="12"/>
  <c r="AO354" i="12"/>
  <c r="AP354" i="12" s="1"/>
  <c r="AR354" i="12"/>
  <c r="AS354" i="12" s="1"/>
  <c r="AT354" i="12" s="1"/>
  <c r="C260" i="1"/>
  <c r="C356" i="1"/>
  <c r="S14" i="2"/>
  <c r="S15" i="2" s="1"/>
  <c r="J27" i="3"/>
  <c r="I48" i="3"/>
  <c r="J78" i="3"/>
  <c r="I78" i="3"/>
  <c r="I91" i="3"/>
  <c r="J135" i="3"/>
  <c r="J157" i="3"/>
  <c r="J174" i="3"/>
  <c r="J184" i="3"/>
  <c r="J214" i="3"/>
  <c r="J232" i="3"/>
  <c r="J241" i="3"/>
  <c r="J277" i="3"/>
  <c r="J409" i="3"/>
  <c r="I409" i="3"/>
  <c r="D420" i="12"/>
  <c r="D419" i="12"/>
  <c r="D418" i="12"/>
  <c r="D417" i="12"/>
  <c r="BK404" i="12" s="1"/>
  <c r="C5" i="12"/>
  <c r="C7" i="1"/>
  <c r="BG25" i="12"/>
  <c r="AR25" i="12"/>
  <c r="AS25" i="12" s="1"/>
  <c r="AT25" i="12" s="1"/>
  <c r="AO25" i="12"/>
  <c r="AP25" i="12" s="1"/>
  <c r="AQ25" i="12" s="1"/>
  <c r="BD25" i="12"/>
  <c r="BE25" i="12" s="1"/>
  <c r="BF25" i="12" s="1"/>
  <c r="BA25" i="12"/>
  <c r="BB25" i="12" s="1"/>
  <c r="BC25" i="12" s="1"/>
  <c r="C28" i="8"/>
  <c r="AX38" i="12"/>
  <c r="BL38" i="12" s="1"/>
  <c r="AR38" i="12"/>
  <c r="AS38" i="12" s="1"/>
  <c r="AT38" i="12" s="1"/>
  <c r="AL38" i="12"/>
  <c r="AM38" i="12" s="1"/>
  <c r="AN38" i="12" s="1"/>
  <c r="AI38" i="12"/>
  <c r="AO38" i="12"/>
  <c r="AP38" i="12" s="1"/>
  <c r="AQ38" i="12" s="1"/>
  <c r="BG38" i="12"/>
  <c r="BA38" i="12"/>
  <c r="BB38" i="12" s="1"/>
  <c r="BC38" i="12" s="1"/>
  <c r="BD38" i="12"/>
  <c r="BE38" i="12" s="1"/>
  <c r="BF38" i="12" s="1"/>
  <c r="BG45" i="12"/>
  <c r="BD45" i="12"/>
  <c r="BE45" i="12" s="1"/>
  <c r="AX45" i="12"/>
  <c r="BA45" i="12"/>
  <c r="BB45" i="12" s="1"/>
  <c r="AU45" i="12"/>
  <c r="C113" i="12"/>
  <c r="C115" i="1"/>
  <c r="C186" i="12"/>
  <c r="C188" i="1"/>
  <c r="C218" i="12"/>
  <c r="C220" i="1"/>
  <c r="K288" i="8"/>
  <c r="BD293" i="12"/>
  <c r="BE293" i="12" s="1"/>
  <c r="AL293" i="12"/>
  <c r="AM293" i="12" s="1"/>
  <c r="AN293" i="12" s="1"/>
  <c r="AI293" i="12"/>
  <c r="AJ293" i="12" s="1"/>
  <c r="AR293" i="12"/>
  <c r="AS293" i="12" s="1"/>
  <c r="AT293" i="12" s="1"/>
  <c r="AO293" i="12"/>
  <c r="AP293" i="12" s="1"/>
  <c r="AQ293" i="12" s="1"/>
  <c r="BA293" i="12"/>
  <c r="BB293" i="12" s="1"/>
  <c r="AX293" i="12"/>
  <c r="AU293" i="12"/>
  <c r="BG293" i="12"/>
  <c r="C298" i="12"/>
  <c r="C300" i="1"/>
  <c r="BD331" i="12"/>
  <c r="BE331" i="12" s="1"/>
  <c r="AL331" i="12"/>
  <c r="AM331" i="12" s="1"/>
  <c r="BG331" i="12"/>
  <c r="AO331" i="12"/>
  <c r="AP331" i="12" s="1"/>
  <c r="AI331" i="12"/>
  <c r="AJ331" i="12" s="1"/>
  <c r="AR331" i="12"/>
  <c r="AS331" i="12" s="1"/>
  <c r="AT331" i="12" s="1"/>
  <c r="BA331" i="12"/>
  <c r="BB331" i="12" s="1"/>
  <c r="AX331" i="12"/>
  <c r="AU331" i="12"/>
  <c r="C341" i="8"/>
  <c r="BD345" i="12"/>
  <c r="BE345" i="12" s="1"/>
  <c r="AL345" i="12"/>
  <c r="AM345" i="12" s="1"/>
  <c r="AN345" i="12" s="1"/>
  <c r="AI345" i="12"/>
  <c r="AJ345" i="12" s="1"/>
  <c r="BA345" i="12"/>
  <c r="BB345" i="12" s="1"/>
  <c r="AX345" i="12"/>
  <c r="AU345" i="12"/>
  <c r="BG345" i="12"/>
  <c r="AO345" i="12"/>
  <c r="AP345" i="12" s="1"/>
  <c r="AQ345" i="12" s="1"/>
  <c r="AR345" i="12"/>
  <c r="AS345" i="12" s="1"/>
  <c r="AT345" i="12" s="1"/>
  <c r="C365" i="8"/>
  <c r="AX365" i="12"/>
  <c r="AU365" i="12"/>
  <c r="AR365" i="12"/>
  <c r="AS365" i="12" s="1"/>
  <c r="AT365" i="12" s="1"/>
  <c r="BA365" i="12"/>
  <c r="BB365" i="12" s="1"/>
  <c r="AL365" i="12"/>
  <c r="AM365" i="12" s="1"/>
  <c r="AI365" i="12"/>
  <c r="AJ365" i="12" s="1"/>
  <c r="BG365" i="12"/>
  <c r="AO365" i="12"/>
  <c r="AP365" i="12" s="1"/>
  <c r="BD365" i="12"/>
  <c r="BE365" i="12" s="1"/>
  <c r="AX370" i="12"/>
  <c r="AO370" i="12"/>
  <c r="AP370" i="12" s="1"/>
  <c r="AQ370" i="12" s="1"/>
  <c r="AI370" i="12"/>
  <c r="AJ370" i="12" s="1"/>
  <c r="BG370" i="12"/>
  <c r="AU370" i="12"/>
  <c r="BA370" i="12"/>
  <c r="BB370" i="12" s="1"/>
  <c r="BD370" i="12"/>
  <c r="BE370" i="12" s="1"/>
  <c r="AR370" i="12"/>
  <c r="AS370" i="12" s="1"/>
  <c r="AT370" i="12" s="1"/>
  <c r="AL370" i="12"/>
  <c r="AM370" i="12" s="1"/>
  <c r="AN370" i="12" s="1"/>
  <c r="BA390" i="12"/>
  <c r="BB390" i="12" s="1"/>
  <c r="BC390" i="12" s="1"/>
  <c r="BG390" i="12"/>
  <c r="AI390" i="12"/>
  <c r="AJ390" i="12" s="1"/>
  <c r="AK390" i="12" s="1"/>
  <c r="BD390" i="12"/>
  <c r="BE390" i="12" s="1"/>
  <c r="AO390" i="12"/>
  <c r="AP390" i="12" s="1"/>
  <c r="AQ390" i="12" s="1"/>
  <c r="AL390" i="12"/>
  <c r="AM390" i="12" s="1"/>
  <c r="AN390" i="12" s="1"/>
  <c r="AR390" i="12"/>
  <c r="AS390" i="12" s="1"/>
  <c r="AT390" i="12" s="1"/>
  <c r="AX390" i="12"/>
  <c r="AU390" i="12"/>
  <c r="BO2" i="12"/>
  <c r="BH2" i="12"/>
  <c r="C15" i="12"/>
  <c r="AY16" i="12"/>
  <c r="AY21" i="12"/>
  <c r="BH74" i="12"/>
  <c r="AH74" i="12"/>
  <c r="BO74" i="12"/>
  <c r="BA77" i="12"/>
  <c r="BB77" i="12" s="1"/>
  <c r="BO129" i="12"/>
  <c r="AH129" i="12"/>
  <c r="BH129" i="12"/>
  <c r="BW146" i="12"/>
  <c r="BX146" i="12" s="1"/>
  <c r="AY146" i="12"/>
  <c r="BU146" i="12"/>
  <c r="BV146" i="12" s="1"/>
  <c r="AF146" i="12"/>
  <c r="F184" i="12"/>
  <c r="AF274" i="12"/>
  <c r="AY274" i="12"/>
  <c r="BU274" i="12"/>
  <c r="BV274" i="12" s="1"/>
  <c r="BF284" i="12"/>
  <c r="AI94" i="12"/>
  <c r="AJ94" i="12" s="1"/>
  <c r="AK94" i="12" s="1"/>
  <c r="BA94" i="12"/>
  <c r="BB94" i="12" s="1"/>
  <c r="AX94" i="12"/>
  <c r="BG94" i="12"/>
  <c r="AX109" i="12"/>
  <c r="AU109" i="12"/>
  <c r="AO109" i="12"/>
  <c r="AP109" i="12" s="1"/>
  <c r="AQ109" i="12" s="1"/>
  <c r="AL109" i="12"/>
  <c r="AM109" i="12" s="1"/>
  <c r="AN109" i="12" s="1"/>
  <c r="AI109" i="12"/>
  <c r="AJ109" i="12" s="1"/>
  <c r="BD321" i="12"/>
  <c r="BE321" i="12" s="1"/>
  <c r="AL321" i="12"/>
  <c r="AM321" i="12" s="1"/>
  <c r="AN321" i="12" s="1"/>
  <c r="AX321" i="12"/>
  <c r="BA321" i="12"/>
  <c r="BB321" i="12" s="1"/>
  <c r="AU321" i="12"/>
  <c r="AO321" i="12"/>
  <c r="AP321" i="12" s="1"/>
  <c r="AQ321" i="12" s="1"/>
  <c r="AR321" i="12"/>
  <c r="AS321" i="12" s="1"/>
  <c r="AT321" i="12" s="1"/>
  <c r="BG321" i="12"/>
  <c r="AI321" i="12"/>
  <c r="AJ321" i="12" s="1"/>
  <c r="AR350" i="12"/>
  <c r="AS350" i="12" s="1"/>
  <c r="AT350" i="12" s="1"/>
  <c r="AO350" i="12"/>
  <c r="AP350" i="12" s="1"/>
  <c r="AQ350" i="12" s="1"/>
  <c r="BA350" i="12"/>
  <c r="BB350" i="12" s="1"/>
  <c r="BC350" i="12" s="1"/>
  <c r="AL350" i="12"/>
  <c r="AM350" i="12" s="1"/>
  <c r="AN350" i="12" s="1"/>
  <c r="BG350" i="12"/>
  <c r="AU350" i="12"/>
  <c r="AI350" i="12"/>
  <c r="AJ350" i="12" s="1"/>
  <c r="AK350" i="12" s="1"/>
  <c r="AX350" i="12"/>
  <c r="BD350" i="12"/>
  <c r="BE350" i="12" s="1"/>
  <c r="BF350" i="12" s="1"/>
  <c r="AY6" i="12"/>
  <c r="AZ6" i="12" s="1"/>
  <c r="F108" i="12"/>
  <c r="AR109" i="12"/>
  <c r="AS109" i="12" s="1"/>
  <c r="AT109" i="12" s="1"/>
  <c r="BN159" i="12"/>
  <c r="AE159" i="12"/>
  <c r="BQ159" i="12"/>
  <c r="BR159" i="12" s="1"/>
  <c r="BN185" i="12"/>
  <c r="AE185" i="12"/>
  <c r="AX26" i="12"/>
  <c r="AO26" i="12"/>
  <c r="AP26" i="12" s="1"/>
  <c r="AQ26" i="12" s="1"/>
  <c r="AU26" i="12"/>
  <c r="BD133" i="12"/>
  <c r="BE133" i="12" s="1"/>
  <c r="AI133" i="12"/>
  <c r="AJ133" i="12" s="1"/>
  <c r="AO133" i="12"/>
  <c r="AP133" i="12" s="1"/>
  <c r="AQ133" i="12" s="1"/>
  <c r="BA133" i="12"/>
  <c r="BB133" i="12" s="1"/>
  <c r="BG133" i="12"/>
  <c r="AX133" i="12"/>
  <c r="AR133" i="12"/>
  <c r="AS133" i="12" s="1"/>
  <c r="AT133" i="12" s="1"/>
  <c r="AL133" i="12"/>
  <c r="AM133" i="12" s="1"/>
  <c r="AN133" i="12" s="1"/>
  <c r="BA143" i="12"/>
  <c r="BB143" i="12" s="1"/>
  <c r="AX143" i="12"/>
  <c r="AU143" i="12"/>
  <c r="AI143" i="12"/>
  <c r="AJ143" i="12" s="1"/>
  <c r="AO143" i="12"/>
  <c r="AP143" i="12" s="1"/>
  <c r="AQ143" i="12" s="1"/>
  <c r="AR143" i="12"/>
  <c r="AS143" i="12" s="1"/>
  <c r="AT143" i="12" s="1"/>
  <c r="AL143" i="12"/>
  <c r="AM143" i="12" s="1"/>
  <c r="AN143" i="12" s="1"/>
  <c r="BG143" i="12"/>
  <c r="AR213" i="12"/>
  <c r="AS213" i="12" s="1"/>
  <c r="AT213" i="12" s="1"/>
  <c r="BD213" i="12"/>
  <c r="BE213" i="12" s="1"/>
  <c r="AI213" i="12"/>
  <c r="AJ213" i="12" s="1"/>
  <c r="AO213" i="12"/>
  <c r="AP213" i="12" s="1"/>
  <c r="AL213" i="12"/>
  <c r="AM213" i="12" s="1"/>
  <c r="AU213" i="12"/>
  <c r="BG213" i="12"/>
  <c r="BA213" i="12"/>
  <c r="BB213" i="12" s="1"/>
  <c r="AX213" i="12"/>
  <c r="BG243" i="12"/>
  <c r="AO243" i="12"/>
  <c r="AP243" i="12" s="1"/>
  <c r="AQ243" i="12" s="1"/>
  <c r="AR243" i="12"/>
  <c r="AS243" i="12" s="1"/>
  <c r="AT243" i="12" s="1"/>
  <c r="AX243" i="12"/>
  <c r="AU243" i="12"/>
  <c r="AL243" i="12"/>
  <c r="AM243" i="12" s="1"/>
  <c r="AN243" i="12" s="1"/>
  <c r="AI243" i="12"/>
  <c r="AJ243" i="12" s="1"/>
  <c r="BA243" i="12"/>
  <c r="BB243" i="12" s="1"/>
  <c r="AR267" i="12"/>
  <c r="AS267" i="12" s="1"/>
  <c r="AT267" i="12" s="1"/>
  <c r="AI267" i="12"/>
  <c r="AJ267" i="12" s="1"/>
  <c r="BA267" i="12"/>
  <c r="BB267" i="12" s="1"/>
  <c r="AX267" i="12"/>
  <c r="BD267" i="12"/>
  <c r="BE267" i="12" s="1"/>
  <c r="AO267" i="12"/>
  <c r="AP267" i="12" s="1"/>
  <c r="AU267" i="12"/>
  <c r="BG267" i="12"/>
  <c r="AL267" i="12"/>
  <c r="AM267" i="12" s="1"/>
  <c r="AO274" i="12"/>
  <c r="AP274" i="12" s="1"/>
  <c r="AQ274" i="12" s="1"/>
  <c r="BG274" i="12"/>
  <c r="AL274" i="12"/>
  <c r="AM274" i="12" s="1"/>
  <c r="AN274" i="12" s="1"/>
  <c r="AI274" i="12"/>
  <c r="AJ274" i="12" s="1"/>
  <c r="BA274" i="12"/>
  <c r="BB274" i="12" s="1"/>
  <c r="BD274" i="12"/>
  <c r="BE274" i="12" s="1"/>
  <c r="AR274" i="12"/>
  <c r="AS274" i="12" s="1"/>
  <c r="AT274" i="12" s="1"/>
  <c r="AU274" i="12"/>
  <c r="E362" i="8"/>
  <c r="E350" i="8"/>
  <c r="C350" i="8" s="1"/>
  <c r="E338" i="8"/>
  <c r="C338" i="8" s="1"/>
  <c r="E298" i="8"/>
  <c r="C298" i="8" s="1"/>
  <c r="E286" i="8"/>
  <c r="C286" i="8" s="1"/>
  <c r="E278" i="8"/>
  <c r="C278" i="8" s="1"/>
  <c r="E206" i="8"/>
  <c r="C206" i="8" s="1"/>
  <c r="E182" i="8"/>
  <c r="C182" i="8" s="1"/>
  <c r="E178" i="8"/>
  <c r="C178" i="8" s="1"/>
  <c r="M143" i="8"/>
  <c r="E142" i="8"/>
  <c r="E134" i="8"/>
  <c r="C134" i="8" s="1"/>
  <c r="E130" i="8"/>
  <c r="C130" i="8" s="1"/>
  <c r="E110" i="8"/>
  <c r="C110" i="8" s="1"/>
  <c r="I367" i="8"/>
  <c r="I287" i="8"/>
  <c r="I251" i="8"/>
  <c r="I231" i="8"/>
  <c r="C231" i="8" s="1"/>
  <c r="G299" i="8"/>
  <c r="G223" i="8"/>
  <c r="C223" i="8" s="1"/>
  <c r="G135" i="8"/>
  <c r="E368" i="8"/>
  <c r="C368" i="8" s="1"/>
  <c r="I297" i="8"/>
  <c r="C297" i="8" s="1"/>
  <c r="E150" i="8"/>
  <c r="C150" i="8" s="1"/>
  <c r="I327" i="8"/>
  <c r="I123" i="8"/>
  <c r="G367" i="8"/>
  <c r="G323" i="8"/>
  <c r="G287" i="8"/>
  <c r="C287" i="8" s="1"/>
  <c r="G279" i="8"/>
  <c r="C279" i="8" s="1"/>
  <c r="G251" i="8"/>
  <c r="G111" i="8"/>
  <c r="C111" i="8" s="1"/>
  <c r="I362" i="8"/>
  <c r="BH52" i="12"/>
  <c r="BI52" i="12" s="1"/>
  <c r="AU100" i="12"/>
  <c r="BG100" i="12"/>
  <c r="AI100" i="12"/>
  <c r="AJ100" i="12" s="1"/>
  <c r="AK100" i="12" s="1"/>
  <c r="BD100" i="12"/>
  <c r="BE100" i="12" s="1"/>
  <c r="BA100" i="12"/>
  <c r="BB100" i="12" s="1"/>
  <c r="AR100" i="12"/>
  <c r="AS100" i="12" s="1"/>
  <c r="AT100" i="12" s="1"/>
  <c r="BA109" i="12"/>
  <c r="BB109" i="12" s="1"/>
  <c r="BS222" i="12"/>
  <c r="BT222" i="12" s="1"/>
  <c r="BQ222" i="12"/>
  <c r="BR222" i="12" s="1"/>
  <c r="AE222" i="12"/>
  <c r="AU226" i="12"/>
  <c r="BD226" i="12"/>
  <c r="BE226" i="12" s="1"/>
  <c r="AR226" i="12"/>
  <c r="AS226" i="12" s="1"/>
  <c r="AT226" i="12" s="1"/>
  <c r="BG226" i="12"/>
  <c r="BA226" i="12"/>
  <c r="BB226" i="12" s="1"/>
  <c r="AI226" i="12"/>
  <c r="AJ226" i="12" s="1"/>
  <c r="BG253" i="12"/>
  <c r="AO253" i="12"/>
  <c r="AP253" i="12" s="1"/>
  <c r="AQ253" i="12" s="1"/>
  <c r="AL253" i="12"/>
  <c r="AM253" i="12" s="1"/>
  <c r="AN253" i="12" s="1"/>
  <c r="BA253" i="12"/>
  <c r="BB253" i="12" s="1"/>
  <c r="AR253" i="12"/>
  <c r="AS253" i="12" s="1"/>
  <c r="AT253" i="12" s="1"/>
  <c r="BD253" i="12"/>
  <c r="BE253" i="12" s="1"/>
  <c r="AI253" i="12"/>
  <c r="AJ253" i="12" s="1"/>
  <c r="AU253" i="12"/>
  <c r="E259" i="8"/>
  <c r="G349" i="8"/>
  <c r="C349" i="8" s="1"/>
  <c r="AX373" i="12"/>
  <c r="AO373" i="12"/>
  <c r="AP373" i="12" s="1"/>
  <c r="AQ373" i="12" s="1"/>
  <c r="BD373" i="12"/>
  <c r="BE373" i="12" s="1"/>
  <c r="AI373" i="12"/>
  <c r="AJ373" i="12" s="1"/>
  <c r="AK373" i="12" s="1"/>
  <c r="AR373" i="12"/>
  <c r="AS373" i="12" s="1"/>
  <c r="AT373" i="12" s="1"/>
  <c r="BG373" i="12"/>
  <c r="BA373" i="12"/>
  <c r="BB373" i="12" s="1"/>
  <c r="AU373" i="12"/>
  <c r="AL373" i="12"/>
  <c r="AM373" i="12" s="1"/>
  <c r="AN373" i="12" s="1"/>
  <c r="E326" i="8"/>
  <c r="C326" i="8" s="1"/>
  <c r="E302" i="8"/>
  <c r="E290" i="8"/>
  <c r="E282" i="8"/>
  <c r="C282" i="8" s="1"/>
  <c r="E266" i="8"/>
  <c r="E246" i="8"/>
  <c r="E238" i="8"/>
  <c r="E230" i="8"/>
  <c r="E158" i="8"/>
  <c r="C158" i="8" s="1"/>
  <c r="E146" i="8"/>
  <c r="C146" i="8" s="1"/>
  <c r="E122" i="8"/>
  <c r="C122" i="8" s="1"/>
  <c r="E114" i="8"/>
  <c r="I363" i="8"/>
  <c r="I331" i="8"/>
  <c r="I303" i="8"/>
  <c r="I235" i="8"/>
  <c r="I207" i="8"/>
  <c r="G359" i="8"/>
  <c r="G355" i="8"/>
  <c r="C355" i="8" s="1"/>
  <c r="G315" i="8"/>
  <c r="G235" i="8"/>
  <c r="G195" i="8"/>
  <c r="C195" i="8" s="1"/>
  <c r="G151" i="8"/>
  <c r="G127" i="8"/>
  <c r="AX115" i="12"/>
  <c r="AU115" i="12"/>
  <c r="AR115" i="12"/>
  <c r="AS115" i="12" s="1"/>
  <c r="AT115" i="12" s="1"/>
  <c r="AL115" i="12"/>
  <c r="AM115" i="12" s="1"/>
  <c r="AN115" i="12" s="1"/>
  <c r="BA115" i="12"/>
  <c r="BB115" i="12" s="1"/>
  <c r="BC115" i="12" s="1"/>
  <c r="AI115" i="12"/>
  <c r="AJ115" i="12" s="1"/>
  <c r="AK115" i="12" s="1"/>
  <c r="AR149" i="12"/>
  <c r="AS149" i="12" s="1"/>
  <c r="AT149" i="12" s="1"/>
  <c r="BD149" i="12"/>
  <c r="BE149" i="12" s="1"/>
  <c r="AO149" i="12"/>
  <c r="AP149" i="12" s="1"/>
  <c r="AQ149" i="12" s="1"/>
  <c r="AU149" i="12"/>
  <c r="BG149" i="12"/>
  <c r="AL149" i="12"/>
  <c r="AM149" i="12" s="1"/>
  <c r="AN149" i="12" s="1"/>
  <c r="AI149" i="12"/>
  <c r="AJ149" i="12" s="1"/>
  <c r="AX239" i="12"/>
  <c r="AU239" i="12"/>
  <c r="BG239" i="12"/>
  <c r="AL239" i="12"/>
  <c r="AM239" i="12" s="1"/>
  <c r="AN239" i="12" s="1"/>
  <c r="AI239" i="12"/>
  <c r="AJ239" i="12" s="1"/>
  <c r="AR239" i="12"/>
  <c r="AS239" i="12" s="1"/>
  <c r="AT239" i="12" s="1"/>
  <c r="AO239" i="12"/>
  <c r="AP239" i="12" s="1"/>
  <c r="AQ239" i="12" s="1"/>
  <c r="BD239" i="12"/>
  <c r="BE239" i="12" s="1"/>
  <c r="BA239" i="12"/>
  <c r="BB239" i="12" s="1"/>
  <c r="C9" i="1"/>
  <c r="J72" i="3"/>
  <c r="J280" i="3"/>
  <c r="I341" i="3"/>
  <c r="J348" i="3"/>
  <c r="I363" i="3"/>
  <c r="E9" i="8"/>
  <c r="C9" i="8" s="1"/>
  <c r="BA14" i="12"/>
  <c r="BB14" i="12" s="1"/>
  <c r="AI14" i="12"/>
  <c r="AJ14" i="12" s="1"/>
  <c r="AK14" i="12" s="1"/>
  <c r="BG14" i="12"/>
  <c r="AL14" i="12"/>
  <c r="AM14" i="12" s="1"/>
  <c r="AN14" i="12" s="1"/>
  <c r="BD14" i="12"/>
  <c r="BE14" i="12" s="1"/>
  <c r="BA18" i="12"/>
  <c r="BL18" i="12" s="1"/>
  <c r="AI18" i="12"/>
  <c r="BG18" i="12"/>
  <c r="BD18" i="12"/>
  <c r="BE18" i="12" s="1"/>
  <c r="AO82" i="12"/>
  <c r="AP82" i="12" s="1"/>
  <c r="AQ82" i="12" s="1"/>
  <c r="AL82" i="12"/>
  <c r="AM82" i="12" s="1"/>
  <c r="AN82" i="12" s="1"/>
  <c r="AU82" i="12"/>
  <c r="AX97" i="12"/>
  <c r="AO97" i="12"/>
  <c r="AP97" i="12" s="1"/>
  <c r="AQ97" i="12" s="1"/>
  <c r="BG97" i="12"/>
  <c r="AR97" i="12"/>
  <c r="AS97" i="12" s="1"/>
  <c r="AT97" i="12" s="1"/>
  <c r="AL97" i="12"/>
  <c r="AM97" i="12" s="1"/>
  <c r="AN97" i="12" s="1"/>
  <c r="AX119" i="12"/>
  <c r="AU119" i="12"/>
  <c r="BA119" i="12"/>
  <c r="BB119" i="12" s="1"/>
  <c r="BC119" i="12" s="1"/>
  <c r="AL119" i="12"/>
  <c r="AM119" i="12" s="1"/>
  <c r="AN119" i="12" s="1"/>
  <c r="BD119" i="12"/>
  <c r="BE119" i="12" s="1"/>
  <c r="BF119" i="12" s="1"/>
  <c r="AO119" i="12"/>
  <c r="AP119" i="12" s="1"/>
  <c r="AQ119" i="12" s="1"/>
  <c r="AR119" i="12"/>
  <c r="AS119" i="12" s="1"/>
  <c r="AT119" i="12" s="1"/>
  <c r="E128" i="8"/>
  <c r="E145" i="8"/>
  <c r="E180" i="8"/>
  <c r="C180" i="8" s="1"/>
  <c r="BA202" i="12"/>
  <c r="AI202" i="12"/>
  <c r="BS202" i="12" s="1"/>
  <c r="BT202" i="12" s="1"/>
  <c r="AR202" i="12"/>
  <c r="AS202" i="12" s="1"/>
  <c r="AT202" i="12" s="1"/>
  <c r="AO202" i="12"/>
  <c r="AP202" i="12" s="1"/>
  <c r="BD202" i="12"/>
  <c r="BE202" i="12" s="1"/>
  <c r="AL202" i="12"/>
  <c r="AM202" i="12" s="1"/>
  <c r="BG202" i="12"/>
  <c r="AR209" i="12"/>
  <c r="AS209" i="12" s="1"/>
  <c r="AT209" i="12" s="1"/>
  <c r="AX209" i="12"/>
  <c r="BG209" i="12"/>
  <c r="AL209" i="12"/>
  <c r="AM209" i="12" s="1"/>
  <c r="BA209" i="12"/>
  <c r="BB209" i="12" s="1"/>
  <c r="AU209" i="12"/>
  <c r="AI209" i="12"/>
  <c r="AJ209" i="12" s="1"/>
  <c r="AO209" i="12"/>
  <c r="AP209" i="12" s="1"/>
  <c r="E215" i="8"/>
  <c r="C215" i="8" s="1"/>
  <c r="M226" i="8"/>
  <c r="E245" i="8"/>
  <c r="AO270" i="12"/>
  <c r="AP270" i="12" s="1"/>
  <c r="AQ270" i="12" s="1"/>
  <c r="BG270" i="12"/>
  <c r="AI270" i="12"/>
  <c r="AJ270" i="12" s="1"/>
  <c r="BD270" i="12"/>
  <c r="BE270" i="12" s="1"/>
  <c r="AX270" i="12"/>
  <c r="AU270" i="12"/>
  <c r="AR270" i="12"/>
  <c r="AS270" i="12" s="1"/>
  <c r="AT270" i="12" s="1"/>
  <c r="BA270" i="12"/>
  <c r="BB270" i="12" s="1"/>
  <c r="AL270" i="12"/>
  <c r="AM270" i="12" s="1"/>
  <c r="AN270" i="12" s="1"/>
  <c r="BD303" i="12"/>
  <c r="BE303" i="12" s="1"/>
  <c r="BF303" i="12" s="1"/>
  <c r="AL303" i="12"/>
  <c r="AM303" i="12" s="1"/>
  <c r="AN303" i="12" s="1"/>
  <c r="BG303" i="12"/>
  <c r="AI303" i="12"/>
  <c r="AJ303" i="12" s="1"/>
  <c r="AK303" i="12" s="1"/>
  <c r="BA303" i="12"/>
  <c r="BB303" i="12" s="1"/>
  <c r="BC303" i="12" s="1"/>
  <c r="AX303" i="12"/>
  <c r="AO303" i="12"/>
  <c r="AP303" i="12" s="1"/>
  <c r="AQ303" i="12" s="1"/>
  <c r="AR303" i="12"/>
  <c r="AS303" i="12" s="1"/>
  <c r="AT303" i="12" s="1"/>
  <c r="AU303" i="12"/>
  <c r="AO310" i="12"/>
  <c r="AP310" i="12" s="1"/>
  <c r="AQ310" i="12" s="1"/>
  <c r="BA310" i="12"/>
  <c r="BB310" i="12" s="1"/>
  <c r="AL310" i="12"/>
  <c r="AM310" i="12" s="1"/>
  <c r="AN310" i="12" s="1"/>
  <c r="AI310" i="12"/>
  <c r="AJ310" i="12" s="1"/>
  <c r="BG310" i="12"/>
  <c r="BD310" i="12"/>
  <c r="BE310" i="12" s="1"/>
  <c r="AX310" i="12"/>
  <c r="AU310" i="12"/>
  <c r="AR310" i="12"/>
  <c r="AS310" i="12" s="1"/>
  <c r="AT310" i="12" s="1"/>
  <c r="BD317" i="12"/>
  <c r="BE317" i="12" s="1"/>
  <c r="AL317" i="12"/>
  <c r="AM317" i="12" s="1"/>
  <c r="BA317" i="12"/>
  <c r="BB317" i="12" s="1"/>
  <c r="AO317" i="12"/>
  <c r="AP317" i="12" s="1"/>
  <c r="AR317" i="12"/>
  <c r="AS317" i="12" s="1"/>
  <c r="AT317" i="12" s="1"/>
  <c r="BG317" i="12"/>
  <c r="AX317" i="12"/>
  <c r="AU317" i="12"/>
  <c r="BD333" i="12"/>
  <c r="BE333" i="12" s="1"/>
  <c r="AL333" i="12"/>
  <c r="AM333" i="12" s="1"/>
  <c r="AN333" i="12" s="1"/>
  <c r="AX333" i="12"/>
  <c r="AU333" i="12"/>
  <c r="AI333" i="12"/>
  <c r="AJ333" i="12" s="1"/>
  <c r="AO333" i="12"/>
  <c r="AP333" i="12" s="1"/>
  <c r="AQ333" i="12" s="1"/>
  <c r="BG333" i="12"/>
  <c r="AR333" i="12"/>
  <c r="AS333" i="12" s="1"/>
  <c r="AT333" i="12" s="1"/>
  <c r="BA333" i="12"/>
  <c r="BB333" i="12" s="1"/>
  <c r="BD353" i="12"/>
  <c r="BE353" i="12" s="1"/>
  <c r="AL353" i="12"/>
  <c r="AM353" i="12" s="1"/>
  <c r="AX353" i="12"/>
  <c r="AO353" i="12"/>
  <c r="AP353" i="12" s="1"/>
  <c r="AI353" i="12"/>
  <c r="AJ353" i="12" s="1"/>
  <c r="BG353" i="12"/>
  <c r="AU353" i="12"/>
  <c r="AR353" i="12"/>
  <c r="AS353" i="12" s="1"/>
  <c r="AT353" i="12" s="1"/>
  <c r="BA353" i="12"/>
  <c r="BB353" i="12" s="1"/>
  <c r="E359" i="8"/>
  <c r="C359" i="8" s="1"/>
  <c r="AX363" i="12"/>
  <c r="AU363" i="12"/>
  <c r="AO363" i="12"/>
  <c r="AP363" i="12" s="1"/>
  <c r="AQ363" i="12" s="1"/>
  <c r="BA363" i="12"/>
  <c r="BB363" i="12" s="1"/>
  <c r="BC363" i="12" s="1"/>
  <c r="AR363" i="12"/>
  <c r="AS363" i="12" s="1"/>
  <c r="AT363" i="12" s="1"/>
  <c r="AL363" i="12"/>
  <c r="AM363" i="12" s="1"/>
  <c r="AN363" i="12" s="1"/>
  <c r="BD363" i="12"/>
  <c r="BE363" i="12" s="1"/>
  <c r="BF363" i="12" s="1"/>
  <c r="BG363" i="12"/>
  <c r="AI363" i="12"/>
  <c r="AJ363" i="12" s="1"/>
  <c r="AK363" i="12" s="1"/>
  <c r="AR366" i="12"/>
  <c r="AS366" i="12" s="1"/>
  <c r="AT366" i="12" s="1"/>
  <c r="AO366" i="12"/>
  <c r="AP366" i="12" s="1"/>
  <c r="AL366" i="12"/>
  <c r="AM366" i="12" s="1"/>
  <c r="AX366" i="12"/>
  <c r="BG366" i="12"/>
  <c r="BA366" i="12"/>
  <c r="BB366" i="12" s="1"/>
  <c r="AU366" i="12"/>
  <c r="BD366" i="12"/>
  <c r="BE366" i="12" s="1"/>
  <c r="BD395" i="12"/>
  <c r="BE395" i="12" s="1"/>
  <c r="BF395" i="12" s="1"/>
  <c r="AL395" i="12"/>
  <c r="AM395" i="12" s="1"/>
  <c r="AN395" i="12" s="1"/>
  <c r="BA395" i="12"/>
  <c r="BB395" i="12" s="1"/>
  <c r="AI395" i="12"/>
  <c r="AJ395" i="12" s="1"/>
  <c r="AK395" i="12" s="1"/>
  <c r="BG395" i="12"/>
  <c r="AR395" i="12"/>
  <c r="AS395" i="12" s="1"/>
  <c r="AT395" i="12" s="1"/>
  <c r="AX395" i="12"/>
  <c r="AU395" i="12"/>
  <c r="AO395" i="12"/>
  <c r="AP395" i="12" s="1"/>
  <c r="AQ395" i="12" s="1"/>
  <c r="AL18" i="12"/>
  <c r="AM18" i="12" s="1"/>
  <c r="AN18" i="12" s="1"/>
  <c r="AX24" i="12"/>
  <c r="AR24" i="12"/>
  <c r="AS24" i="12" s="1"/>
  <c r="AT24" i="12" s="1"/>
  <c r="AO24" i="12"/>
  <c r="AP24" i="12" s="1"/>
  <c r="AQ24" i="12" s="1"/>
  <c r="AL24" i="12"/>
  <c r="AM24" i="12" s="1"/>
  <c r="AN24" i="12" s="1"/>
  <c r="BO32" i="12"/>
  <c r="BH32" i="12"/>
  <c r="BI32" i="12" s="1"/>
  <c r="AU44" i="12"/>
  <c r="AO44" i="12"/>
  <c r="AP44" i="12" s="1"/>
  <c r="AQ44" i="12" s="1"/>
  <c r="AR44" i="12"/>
  <c r="AS44" i="12" s="1"/>
  <c r="AT44" i="12" s="1"/>
  <c r="BA44" i="12"/>
  <c r="BD44" i="12"/>
  <c r="BE44" i="12" s="1"/>
  <c r="BF44" i="12" s="1"/>
  <c r="AI44" i="12"/>
  <c r="AJ44" i="12" s="1"/>
  <c r="AK44" i="12" s="1"/>
  <c r="AH52" i="12"/>
  <c r="BD70" i="12"/>
  <c r="BE70" i="12" s="1"/>
  <c r="BH84" i="12"/>
  <c r="AL94" i="12"/>
  <c r="AM94" i="12" s="1"/>
  <c r="AN94" i="12" s="1"/>
  <c r="AU97" i="12"/>
  <c r="BF112" i="12"/>
  <c r="BD143" i="12"/>
  <c r="BE143" i="12" s="1"/>
  <c r="AF200" i="12"/>
  <c r="BW200" i="12"/>
  <c r="BX200" i="12" s="1"/>
  <c r="AY200" i="12"/>
  <c r="AX226" i="12"/>
  <c r="AX253" i="12"/>
  <c r="AI317" i="12"/>
  <c r="AJ317" i="12" s="1"/>
  <c r="AX123" i="12"/>
  <c r="AU123" i="12"/>
  <c r="BD123" i="12"/>
  <c r="BE123" i="12" s="1"/>
  <c r="AI123" i="12"/>
  <c r="AJ123" i="12" s="1"/>
  <c r="AR123" i="12"/>
  <c r="AS123" i="12" s="1"/>
  <c r="AT123" i="12" s="1"/>
  <c r="BG123" i="12"/>
  <c r="BA123" i="12"/>
  <c r="BB123" i="12" s="1"/>
  <c r="AO123" i="12"/>
  <c r="AP123" i="12" s="1"/>
  <c r="AQ123" i="12" s="1"/>
  <c r="AL123" i="12"/>
  <c r="AM123" i="12" s="1"/>
  <c r="AN123" i="12" s="1"/>
  <c r="AX217" i="12"/>
  <c r="AR217" i="12"/>
  <c r="AS217" i="12" s="1"/>
  <c r="AT217" i="12" s="1"/>
  <c r="AI217" i="12"/>
  <c r="AJ217" i="12" s="1"/>
  <c r="BD217" i="12"/>
  <c r="BE217" i="12" s="1"/>
  <c r="BA217" i="12"/>
  <c r="BB217" i="12" s="1"/>
  <c r="AO217" i="12"/>
  <c r="AP217" i="12" s="1"/>
  <c r="BG217" i="12"/>
  <c r="AU217" i="12"/>
  <c r="AL217" i="12"/>
  <c r="AM217" i="12" s="1"/>
  <c r="AX233" i="12"/>
  <c r="AU233" i="12"/>
  <c r="AR233" i="12"/>
  <c r="AS233" i="12" s="1"/>
  <c r="AT233" i="12" s="1"/>
  <c r="BG233" i="12"/>
  <c r="BD233" i="12"/>
  <c r="BE233" i="12" s="1"/>
  <c r="AO233" i="12"/>
  <c r="AP233" i="12" s="1"/>
  <c r="AL233" i="12"/>
  <c r="AM233" i="12" s="1"/>
  <c r="BA233" i="12"/>
  <c r="BB233" i="12" s="1"/>
  <c r="AI233" i="12"/>
  <c r="AJ233" i="12" s="1"/>
  <c r="BG257" i="12"/>
  <c r="AO257" i="12"/>
  <c r="AP257" i="12" s="1"/>
  <c r="AQ257" i="12" s="1"/>
  <c r="AL257" i="12"/>
  <c r="AM257" i="12" s="1"/>
  <c r="AN257" i="12" s="1"/>
  <c r="AX257" i="12"/>
  <c r="AI257" i="12"/>
  <c r="AJ257" i="12" s="1"/>
  <c r="AU257" i="12"/>
  <c r="AR257" i="12"/>
  <c r="AS257" i="12" s="1"/>
  <c r="AT257" i="12" s="1"/>
  <c r="BD257" i="12"/>
  <c r="BE257" i="12" s="1"/>
  <c r="BD314" i="12"/>
  <c r="BE314" i="12" s="1"/>
  <c r="AI314" i="12"/>
  <c r="AJ314" i="12" s="1"/>
  <c r="AR314" i="12"/>
  <c r="AS314" i="12" s="1"/>
  <c r="AT314" i="12" s="1"/>
  <c r="AO314" i="12"/>
  <c r="AP314" i="12" s="1"/>
  <c r="AQ314" i="12" s="1"/>
  <c r="AU314" i="12"/>
  <c r="AX314" i="12"/>
  <c r="AL314" i="12"/>
  <c r="AM314" i="12" s="1"/>
  <c r="AN314" i="12" s="1"/>
  <c r="BG314" i="12"/>
  <c r="AX377" i="12"/>
  <c r="AL377" i="12"/>
  <c r="AM377" i="12" s="1"/>
  <c r="AN377" i="12" s="1"/>
  <c r="AI377" i="12"/>
  <c r="AJ377" i="12" s="1"/>
  <c r="AK377" i="12" s="1"/>
  <c r="AU377" i="12"/>
  <c r="BA377" i="12"/>
  <c r="BB377" i="12" s="1"/>
  <c r="BC377" i="12" s="1"/>
  <c r="BG377" i="12"/>
  <c r="BD377" i="12"/>
  <c r="BE377" i="12" s="1"/>
  <c r="BF377" i="12" s="1"/>
  <c r="AR377" i="12"/>
  <c r="AS377" i="12" s="1"/>
  <c r="AT377" i="12" s="1"/>
  <c r="AO377" i="12"/>
  <c r="AP377" i="12" s="1"/>
  <c r="AQ377" i="12" s="1"/>
  <c r="BS8" i="12"/>
  <c r="BT8" i="12" s="1"/>
  <c r="AX89" i="12"/>
  <c r="AI89" i="12"/>
  <c r="AJ89" i="12" s="1"/>
  <c r="AK89" i="12" s="1"/>
  <c r="AU89" i="12"/>
  <c r="AR89" i="12"/>
  <c r="AS89" i="12" s="1"/>
  <c r="AT89" i="12" s="1"/>
  <c r="BD89" i="12"/>
  <c r="BE89" i="12" s="1"/>
  <c r="BA89" i="12"/>
  <c r="BB89" i="12" s="1"/>
  <c r="BO105" i="12"/>
  <c r="AH105" i="12"/>
  <c r="AE126" i="12"/>
  <c r="BN126" i="12"/>
  <c r="AH180" i="12"/>
  <c r="BO180" i="12"/>
  <c r="BH180" i="12"/>
  <c r="AX246" i="12"/>
  <c r="BG246" i="12"/>
  <c r="AL246" i="12"/>
  <c r="AM246" i="12" s="1"/>
  <c r="AO246" i="12"/>
  <c r="AP246" i="12" s="1"/>
  <c r="AR246" i="12"/>
  <c r="AS246" i="12" s="1"/>
  <c r="AT246" i="12" s="1"/>
  <c r="BD246" i="12"/>
  <c r="BE246" i="12" s="1"/>
  <c r="AU246" i="12"/>
  <c r="AI246" i="12"/>
  <c r="AJ246" i="12" s="1"/>
  <c r="F291" i="12"/>
  <c r="BD41" i="12"/>
  <c r="BE41" i="12" s="1"/>
  <c r="BF41" i="12" s="1"/>
  <c r="AL41" i="12"/>
  <c r="AM41" i="12" s="1"/>
  <c r="AN41" i="12" s="1"/>
  <c r="AX41" i="12"/>
  <c r="AU41" i="12"/>
  <c r="BA41" i="12"/>
  <c r="BB41" i="12" s="1"/>
  <c r="BC41" i="12" s="1"/>
  <c r="BG41" i="12"/>
  <c r="AX75" i="12"/>
  <c r="BD75" i="12"/>
  <c r="BE75" i="12" s="1"/>
  <c r="AL75" i="12"/>
  <c r="AM75" i="12" s="1"/>
  <c r="AN75" i="12" s="1"/>
  <c r="AI75" i="12"/>
  <c r="AJ75" i="12" s="1"/>
  <c r="AK75" i="12" s="1"/>
  <c r="AU75" i="12"/>
  <c r="BG126" i="12"/>
  <c r="AO126" i="12"/>
  <c r="AP126" i="12" s="1"/>
  <c r="AQ126" i="12" s="1"/>
  <c r="BA126" i="12"/>
  <c r="BB126" i="12" s="1"/>
  <c r="BD126" i="12"/>
  <c r="BE126" i="12" s="1"/>
  <c r="AI126" i="12"/>
  <c r="AJ126" i="12" s="1"/>
  <c r="AX126" i="12"/>
  <c r="BA146" i="12"/>
  <c r="BB146" i="12" s="1"/>
  <c r="AI146" i="12"/>
  <c r="AJ146" i="12" s="1"/>
  <c r="BG146" i="12"/>
  <c r="AL146" i="12"/>
  <c r="AM146" i="12" s="1"/>
  <c r="AN146" i="12" s="1"/>
  <c r="AO146" i="12"/>
  <c r="AP146" i="12" s="1"/>
  <c r="AQ146" i="12" s="1"/>
  <c r="AR146" i="12"/>
  <c r="AS146" i="12" s="1"/>
  <c r="AT146" i="12" s="1"/>
  <c r="AU146" i="12"/>
  <c r="AO291" i="12"/>
  <c r="AP291" i="12" s="1"/>
  <c r="AQ291" i="12" s="1"/>
  <c r="BG291" i="12"/>
  <c r="AI291" i="12"/>
  <c r="AJ291" i="12" s="1"/>
  <c r="AK291" i="12" s="1"/>
  <c r="BD291" i="12"/>
  <c r="BE291" i="12" s="1"/>
  <c r="BF291" i="12" s="1"/>
  <c r="AR291" i="12"/>
  <c r="AS291" i="12" s="1"/>
  <c r="AT291" i="12" s="1"/>
  <c r="AL291" i="12"/>
  <c r="AM291" i="12" s="1"/>
  <c r="AN291" i="12" s="1"/>
  <c r="BA291" i="12"/>
  <c r="BB291" i="12" s="1"/>
  <c r="BC291" i="12" s="1"/>
  <c r="AX291" i="12"/>
  <c r="AU291" i="12"/>
  <c r="BD307" i="12"/>
  <c r="BE307" i="12" s="1"/>
  <c r="AL307" i="12"/>
  <c r="AM307" i="12" s="1"/>
  <c r="AN307" i="12" s="1"/>
  <c r="BG307" i="12"/>
  <c r="AI307" i="12"/>
  <c r="AJ307" i="12" s="1"/>
  <c r="AU307" i="12"/>
  <c r="AR307" i="12"/>
  <c r="AS307" i="12" s="1"/>
  <c r="AT307" i="12" s="1"/>
  <c r="AO307" i="12"/>
  <c r="AP307" i="12" s="1"/>
  <c r="AQ307" i="12" s="1"/>
  <c r="AX307" i="12"/>
  <c r="BA307" i="12"/>
  <c r="BB307" i="12" s="1"/>
  <c r="BD327" i="12"/>
  <c r="BE327" i="12" s="1"/>
  <c r="AL327" i="12"/>
  <c r="AM327" i="12" s="1"/>
  <c r="AN327" i="12" s="1"/>
  <c r="BG327" i="12"/>
  <c r="AI327" i="12"/>
  <c r="AJ327" i="12" s="1"/>
  <c r="AO327" i="12"/>
  <c r="AP327" i="12" s="1"/>
  <c r="AQ327" i="12" s="1"/>
  <c r="AU327" i="12"/>
  <c r="BA327" i="12"/>
  <c r="BB327" i="12" s="1"/>
  <c r="AR327" i="12"/>
  <c r="AS327" i="12" s="1"/>
  <c r="AT327" i="12" s="1"/>
  <c r="AO330" i="12"/>
  <c r="AP330" i="12" s="1"/>
  <c r="BD330" i="12"/>
  <c r="BE330" i="12" s="1"/>
  <c r="AI330" i="12"/>
  <c r="AJ330" i="12" s="1"/>
  <c r="AL330" i="12"/>
  <c r="AM330" i="12" s="1"/>
  <c r="BA330" i="12"/>
  <c r="BB330" i="12" s="1"/>
  <c r="AX330" i="12"/>
  <c r="AU330" i="12"/>
  <c r="AR330" i="12"/>
  <c r="AS330" i="12" s="1"/>
  <c r="AT330" i="12" s="1"/>
  <c r="BG330" i="12"/>
  <c r="AX357" i="12"/>
  <c r="AL357" i="12"/>
  <c r="AM357" i="12" s="1"/>
  <c r="AU357" i="12"/>
  <c r="AO357" i="12"/>
  <c r="AP357" i="12" s="1"/>
  <c r="BD357" i="12"/>
  <c r="BE357" i="12" s="1"/>
  <c r="BA357" i="12"/>
  <c r="BB357" i="12" s="1"/>
  <c r="BG357" i="12"/>
  <c r="AR357" i="12"/>
  <c r="AS357" i="12" s="1"/>
  <c r="AT357" i="12" s="1"/>
  <c r="AI357" i="12"/>
  <c r="AJ357" i="12" s="1"/>
  <c r="BD399" i="12"/>
  <c r="BE399" i="12" s="1"/>
  <c r="AL399" i="12"/>
  <c r="AM399" i="12" s="1"/>
  <c r="AN399" i="12" s="1"/>
  <c r="BA399" i="12"/>
  <c r="BB399" i="12" s="1"/>
  <c r="AI399" i="12"/>
  <c r="AJ399" i="12" s="1"/>
  <c r="AK399" i="12" s="1"/>
  <c r="BG399" i="12"/>
  <c r="AU399" i="12"/>
  <c r="AR399" i="12"/>
  <c r="AS399" i="12" s="1"/>
  <c r="AT399" i="12" s="1"/>
  <c r="AO399" i="12"/>
  <c r="AP399" i="12" s="1"/>
  <c r="AQ399" i="12" s="1"/>
  <c r="AX399" i="12"/>
  <c r="BB40" i="12"/>
  <c r="BC40" i="12" s="1"/>
  <c r="AI41" i="12"/>
  <c r="AJ41" i="12" s="1"/>
  <c r="AK41" i="12" s="1"/>
  <c r="AL59" i="12"/>
  <c r="AM59" i="12" s="1"/>
  <c r="AN59" i="12" s="1"/>
  <c r="AU59" i="12"/>
  <c r="AX59" i="12"/>
  <c r="AO59" i="12"/>
  <c r="AP59" i="12" s="1"/>
  <c r="AQ59" i="12" s="1"/>
  <c r="BW82" i="12"/>
  <c r="BX82" i="12" s="1"/>
  <c r="AF82" i="12"/>
  <c r="BO101" i="12"/>
  <c r="BH101" i="12"/>
  <c r="F119" i="12"/>
  <c r="AU133" i="12"/>
  <c r="BQ219" i="12"/>
  <c r="BR219" i="12" s="1"/>
  <c r="BN219" i="12"/>
  <c r="AE219" i="12"/>
  <c r="G4" i="1"/>
  <c r="C245" i="1"/>
  <c r="C293" i="1"/>
  <c r="C309" i="1"/>
  <c r="J117" i="3"/>
  <c r="J168" i="3"/>
  <c r="J373" i="3"/>
  <c r="AX22" i="12"/>
  <c r="BA22" i="12"/>
  <c r="BB22" i="12" s="1"/>
  <c r="BG22" i="12"/>
  <c r="AU56" i="12"/>
  <c r="AX56" i="12"/>
  <c r="BA56" i="12"/>
  <c r="BB56" i="12" s="1"/>
  <c r="AR56" i="12"/>
  <c r="AS56" i="12" s="1"/>
  <c r="AT56" i="12" s="1"/>
  <c r="AU86" i="12"/>
  <c r="AR86" i="12"/>
  <c r="AS86" i="12" s="1"/>
  <c r="AT86" i="12" s="1"/>
  <c r="AL86" i="12"/>
  <c r="AM86" i="12" s="1"/>
  <c r="AN86" i="12" s="1"/>
  <c r="AO86" i="12"/>
  <c r="AP86" i="12" s="1"/>
  <c r="AQ86" i="12" s="1"/>
  <c r="AI86" i="12"/>
  <c r="AJ86" i="12" s="1"/>
  <c r="AK86" i="12" s="1"/>
  <c r="AX101" i="12"/>
  <c r="AO101" i="12"/>
  <c r="AP101" i="12" s="1"/>
  <c r="AQ101" i="12" s="1"/>
  <c r="AU101" i="12"/>
  <c r="BD101" i="12"/>
  <c r="BE101" i="12" s="1"/>
  <c r="AL101" i="12"/>
  <c r="AM101" i="12" s="1"/>
  <c r="AN101" i="12" s="1"/>
  <c r="AX105" i="12"/>
  <c r="AU105" i="12"/>
  <c r="AO105" i="12"/>
  <c r="AP105" i="12" s="1"/>
  <c r="AQ105" i="12" s="1"/>
  <c r="AI105" i="12"/>
  <c r="AJ105" i="12" s="1"/>
  <c r="AK105" i="12" s="1"/>
  <c r="BD105" i="12"/>
  <c r="BE105" i="12" s="1"/>
  <c r="AR105" i="12"/>
  <c r="AS105" i="12" s="1"/>
  <c r="AT105" i="12" s="1"/>
  <c r="AU167" i="12"/>
  <c r="AX167" i="12"/>
  <c r="AR167" i="12"/>
  <c r="AS167" i="12" s="1"/>
  <c r="AT167" i="12" s="1"/>
  <c r="AI167" i="12"/>
  <c r="AJ167" i="12" s="1"/>
  <c r="AO167" i="12"/>
  <c r="AP167" i="12" s="1"/>
  <c r="BA167" i="12"/>
  <c r="BB167" i="12" s="1"/>
  <c r="AL167" i="12"/>
  <c r="AM167" i="12" s="1"/>
  <c r="BG167" i="12"/>
  <c r="BA174" i="12"/>
  <c r="BB174" i="12" s="1"/>
  <c r="AI174" i="12"/>
  <c r="AJ174" i="12" s="1"/>
  <c r="AL174" i="12"/>
  <c r="AM174" i="12" s="1"/>
  <c r="BD174" i="12"/>
  <c r="BE174" i="12" s="1"/>
  <c r="AO174" i="12"/>
  <c r="AP174" i="12" s="1"/>
  <c r="AX174" i="12"/>
  <c r="AU174" i="12"/>
  <c r="AR174" i="12"/>
  <c r="AS174" i="12" s="1"/>
  <c r="AT174" i="12" s="1"/>
  <c r="G184" i="8"/>
  <c r="C184" i="8" s="1"/>
  <c r="AX223" i="12"/>
  <c r="BG223" i="12"/>
  <c r="AL223" i="12"/>
  <c r="AM223" i="12" s="1"/>
  <c r="AU223" i="12"/>
  <c r="AI223" i="12"/>
  <c r="AJ223" i="12" s="1"/>
  <c r="AR223" i="12"/>
  <c r="AS223" i="12" s="1"/>
  <c r="AT223" i="12" s="1"/>
  <c r="BD223" i="12"/>
  <c r="BE223" i="12" s="1"/>
  <c r="AO223" i="12"/>
  <c r="AP223" i="12" s="1"/>
  <c r="BA223" i="12"/>
  <c r="BB223" i="12" s="1"/>
  <c r="K229" i="8"/>
  <c r="BD294" i="12"/>
  <c r="BE294" i="12" s="1"/>
  <c r="AI294" i="12"/>
  <c r="AJ294" i="12" s="1"/>
  <c r="BG294" i="12"/>
  <c r="AX294" i="12"/>
  <c r="AU294" i="12"/>
  <c r="AR294" i="12"/>
  <c r="AS294" i="12" s="1"/>
  <c r="AT294" i="12" s="1"/>
  <c r="AL294" i="12"/>
  <c r="AM294" i="12" s="1"/>
  <c r="AN294" i="12" s="1"/>
  <c r="AO294" i="12"/>
  <c r="AP294" i="12" s="1"/>
  <c r="AQ294" i="12" s="1"/>
  <c r="BA294" i="12"/>
  <c r="BB294" i="12" s="1"/>
  <c r="E316" i="8"/>
  <c r="E234" i="8"/>
  <c r="C234" i="8" s="1"/>
  <c r="G199" i="8"/>
  <c r="C199" i="8" s="1"/>
  <c r="BD26" i="12"/>
  <c r="BE26" i="12" s="1"/>
  <c r="AX100" i="12"/>
  <c r="BD109" i="12"/>
  <c r="BE109" i="12" s="1"/>
  <c r="BG115" i="12"/>
  <c r="AF142" i="12"/>
  <c r="AY142" i="12"/>
  <c r="BS159" i="12"/>
  <c r="BT159" i="12" s="1"/>
  <c r="F172" i="12"/>
  <c r="AX189" i="12"/>
  <c r="BQ200" i="12"/>
  <c r="BR200" i="12" s="1"/>
  <c r="AE200" i="12"/>
  <c r="BN200" i="12"/>
  <c r="BW222" i="12"/>
  <c r="BX222" i="12" s="1"/>
  <c r="BU222" i="12"/>
  <c r="BV222" i="12" s="1"/>
  <c r="AF222" i="12"/>
  <c r="AO226" i="12"/>
  <c r="AP226" i="12" s="1"/>
  <c r="C28" i="1"/>
  <c r="C76" i="1"/>
  <c r="C259" i="1"/>
  <c r="C316" i="1"/>
  <c r="C323" i="1"/>
  <c r="C332" i="1"/>
  <c r="J136" i="3"/>
  <c r="I226" i="3"/>
  <c r="J251" i="3"/>
  <c r="J341" i="3"/>
  <c r="J392" i="3"/>
  <c r="BA10" i="12"/>
  <c r="BB10" i="12" s="1"/>
  <c r="AI10" i="12"/>
  <c r="AJ10" i="12" s="1"/>
  <c r="AK10" i="12" s="1"/>
  <c r="AL10" i="12"/>
  <c r="AM10" i="12" s="1"/>
  <c r="AN10" i="12" s="1"/>
  <c r="AX10" i="12"/>
  <c r="AU10" i="12"/>
  <c r="E24" i="8"/>
  <c r="C24" i="8" s="1"/>
  <c r="AX63" i="12"/>
  <c r="AU63" i="12"/>
  <c r="AR63" i="12"/>
  <c r="AS63" i="12" s="1"/>
  <c r="AT63" i="12" s="1"/>
  <c r="BG78" i="12"/>
  <c r="AL78" i="12"/>
  <c r="AM78" i="12" s="1"/>
  <c r="AN78" i="12" s="1"/>
  <c r="AR78" i="12"/>
  <c r="AS78" i="12" s="1"/>
  <c r="AT78" i="12" s="1"/>
  <c r="AO78" i="12"/>
  <c r="AP78" i="12" s="1"/>
  <c r="AQ78" i="12" s="1"/>
  <c r="AX78" i="12"/>
  <c r="AU78" i="12"/>
  <c r="AX93" i="12"/>
  <c r="AL93" i="12"/>
  <c r="AM93" i="12" s="1"/>
  <c r="AN93" i="12" s="1"/>
  <c r="BD93" i="12"/>
  <c r="BE93" i="12" s="1"/>
  <c r="AO93" i="12"/>
  <c r="AP93" i="12" s="1"/>
  <c r="AQ93" i="12" s="1"/>
  <c r="BA93" i="12"/>
  <c r="BB93" i="12" s="1"/>
  <c r="AR93" i="12"/>
  <c r="AS93" i="12" s="1"/>
  <c r="AT93" i="12" s="1"/>
  <c r="AU93" i="12"/>
  <c r="BG122" i="12"/>
  <c r="AO122" i="12"/>
  <c r="AP122" i="12" s="1"/>
  <c r="AQ122" i="12" s="1"/>
  <c r="AX122" i="12"/>
  <c r="AU122" i="12"/>
  <c r="AL122" i="12"/>
  <c r="AM122" i="12" s="1"/>
  <c r="AN122" i="12" s="1"/>
  <c r="AR122" i="12"/>
  <c r="AS122" i="12" s="1"/>
  <c r="AT122" i="12" s="1"/>
  <c r="AI122" i="12"/>
  <c r="AJ122" i="12" s="1"/>
  <c r="BA122" i="12"/>
  <c r="BB122" i="12" s="1"/>
  <c r="I125" i="8"/>
  <c r="C125" i="8" s="1"/>
  <c r="AX129" i="12"/>
  <c r="AU129" i="12"/>
  <c r="BA129" i="12"/>
  <c r="BB129" i="12" s="1"/>
  <c r="BD129" i="12"/>
  <c r="BE129" i="12" s="1"/>
  <c r="AL129" i="12"/>
  <c r="AM129" i="12" s="1"/>
  <c r="AN129" i="12" s="1"/>
  <c r="AR129" i="12"/>
  <c r="AS129" i="12" s="1"/>
  <c r="AT129" i="12" s="1"/>
  <c r="AI129" i="12"/>
  <c r="AJ129" i="12" s="1"/>
  <c r="AX139" i="12"/>
  <c r="AU139" i="12"/>
  <c r="AR139" i="12"/>
  <c r="AS139" i="12" s="1"/>
  <c r="AT139" i="12" s="1"/>
  <c r="BG139" i="12"/>
  <c r="AO139" i="12"/>
  <c r="AP139" i="12" s="1"/>
  <c r="AQ139" i="12" s="1"/>
  <c r="BD139" i="12"/>
  <c r="BE139" i="12" s="1"/>
  <c r="BF139" i="12" s="1"/>
  <c r="BA139" i="12"/>
  <c r="BB139" i="12" s="1"/>
  <c r="BC139" i="12" s="1"/>
  <c r="AR163" i="12"/>
  <c r="AS163" i="12" s="1"/>
  <c r="AT163" i="12" s="1"/>
  <c r="AO163" i="12"/>
  <c r="AP163" i="12" s="1"/>
  <c r="AQ163" i="12" s="1"/>
  <c r="AI163" i="12"/>
  <c r="AJ163" i="12" s="1"/>
  <c r="AX163" i="12"/>
  <c r="AU163" i="12"/>
  <c r="AL163" i="12"/>
  <c r="AM163" i="12" s="1"/>
  <c r="AN163" i="12" s="1"/>
  <c r="BG163" i="12"/>
  <c r="BA163" i="12"/>
  <c r="BB163" i="12" s="1"/>
  <c r="BC163" i="12" s="1"/>
  <c r="BA170" i="12"/>
  <c r="BB170" i="12" s="1"/>
  <c r="AI170" i="12"/>
  <c r="AJ170" i="12" s="1"/>
  <c r="AL170" i="12"/>
  <c r="AM170" i="12" s="1"/>
  <c r="AU170" i="12"/>
  <c r="AX170" i="12"/>
  <c r="AO170" i="12"/>
  <c r="AP170" i="12" s="1"/>
  <c r="BD170" i="12"/>
  <c r="BE170" i="12" s="1"/>
  <c r="AR170" i="12"/>
  <c r="AS170" i="12" s="1"/>
  <c r="AT170" i="12" s="1"/>
  <c r="BG170" i="12"/>
  <c r="AR181" i="12"/>
  <c r="AS181" i="12" s="1"/>
  <c r="AT181" i="12" s="1"/>
  <c r="BD181" i="12"/>
  <c r="BE181" i="12" s="1"/>
  <c r="AI181" i="12"/>
  <c r="AJ181" i="12" s="1"/>
  <c r="AL181" i="12"/>
  <c r="AM181" i="12" s="1"/>
  <c r="AU181" i="12"/>
  <c r="AO181" i="12"/>
  <c r="AP181" i="12" s="1"/>
  <c r="BG181" i="12"/>
  <c r="AX181" i="12"/>
  <c r="BA181" i="12"/>
  <c r="BB181" i="12" s="1"/>
  <c r="AR195" i="12"/>
  <c r="AS195" i="12" s="1"/>
  <c r="AT195" i="12" s="1"/>
  <c r="AO195" i="12"/>
  <c r="AP195" i="12" s="1"/>
  <c r="BA195" i="12"/>
  <c r="BB195" i="12" s="1"/>
  <c r="BG195" i="12"/>
  <c r="AU195" i="12"/>
  <c r="AL195" i="12"/>
  <c r="AM195" i="12" s="1"/>
  <c r="BD195" i="12"/>
  <c r="BE195" i="12" s="1"/>
  <c r="AI195" i="12"/>
  <c r="AJ195" i="12" s="1"/>
  <c r="AX195" i="12"/>
  <c r="I208" i="8"/>
  <c r="E225" i="8"/>
  <c r="C225" i="8" s="1"/>
  <c r="E228" i="8"/>
  <c r="C228" i="8" s="1"/>
  <c r="AX229" i="12"/>
  <c r="AU229" i="12"/>
  <c r="BA229" i="12"/>
  <c r="BB229" i="12" s="1"/>
  <c r="AO229" i="12"/>
  <c r="AP229" i="12" s="1"/>
  <c r="AL229" i="12"/>
  <c r="AM229" i="12" s="1"/>
  <c r="BG229" i="12"/>
  <c r="AR229" i="12"/>
  <c r="AS229" i="12" s="1"/>
  <c r="AT229" i="12" s="1"/>
  <c r="AI229" i="12"/>
  <c r="AJ229" i="12" s="1"/>
  <c r="BD229" i="12"/>
  <c r="BE229" i="12" s="1"/>
  <c r="E255" i="8"/>
  <c r="AR277" i="12"/>
  <c r="AS277" i="12" s="1"/>
  <c r="AT277" i="12" s="1"/>
  <c r="BD277" i="12"/>
  <c r="BE277" i="12" s="1"/>
  <c r="AI277" i="12"/>
  <c r="AJ277" i="12" s="1"/>
  <c r="BG277" i="12"/>
  <c r="BA277" i="12"/>
  <c r="BB277" i="12" s="1"/>
  <c r="AX277" i="12"/>
  <c r="AU277" i="12"/>
  <c r="AL277" i="12"/>
  <c r="AM277" i="12" s="1"/>
  <c r="BG287" i="12"/>
  <c r="AL287" i="12"/>
  <c r="AM287" i="12" s="1"/>
  <c r="BD287" i="12"/>
  <c r="BE287" i="12" s="1"/>
  <c r="BA287" i="12"/>
  <c r="BB287" i="12" s="1"/>
  <c r="AI287" i="12"/>
  <c r="AJ287" i="12" s="1"/>
  <c r="AR287" i="12"/>
  <c r="AS287" i="12" s="1"/>
  <c r="AT287" i="12" s="1"/>
  <c r="AU287" i="12"/>
  <c r="AO287" i="12"/>
  <c r="AP287" i="12" s="1"/>
  <c r="BD297" i="12"/>
  <c r="BE297" i="12" s="1"/>
  <c r="AL297" i="12"/>
  <c r="AM297" i="12" s="1"/>
  <c r="AN297" i="12" s="1"/>
  <c r="BG297" i="12"/>
  <c r="AO297" i="12"/>
  <c r="AP297" i="12" s="1"/>
  <c r="AQ297" i="12" s="1"/>
  <c r="AI297" i="12"/>
  <c r="AJ297" i="12" s="1"/>
  <c r="AR297" i="12"/>
  <c r="AS297" i="12" s="1"/>
  <c r="AT297" i="12" s="1"/>
  <c r="BA297" i="12"/>
  <c r="BB297" i="12" s="1"/>
  <c r="AX297" i="12"/>
  <c r="AU297" i="12"/>
  <c r="G332" i="8"/>
  <c r="BD339" i="12"/>
  <c r="BE339" i="12" s="1"/>
  <c r="BF339" i="12" s="1"/>
  <c r="AL339" i="12"/>
  <c r="AM339" i="12" s="1"/>
  <c r="AN339" i="12" s="1"/>
  <c r="AR339" i="12"/>
  <c r="AS339" i="12" s="1"/>
  <c r="AT339" i="12" s="1"/>
  <c r="AO339" i="12"/>
  <c r="AP339" i="12" s="1"/>
  <c r="AQ339" i="12" s="1"/>
  <c r="BA339" i="12"/>
  <c r="BB339" i="12" s="1"/>
  <c r="BC339" i="12" s="1"/>
  <c r="AU339" i="12"/>
  <c r="AX339" i="12"/>
  <c r="BA346" i="12"/>
  <c r="BB346" i="12" s="1"/>
  <c r="AX346" i="12"/>
  <c r="AO346" i="12"/>
  <c r="AP346" i="12" s="1"/>
  <c r="AL346" i="12"/>
  <c r="AM346" i="12" s="1"/>
  <c r="BD346" i="12"/>
  <c r="BE346" i="12" s="1"/>
  <c r="AU346" i="12"/>
  <c r="AR346" i="12"/>
  <c r="AS346" i="12" s="1"/>
  <c r="AT346" i="12" s="1"/>
  <c r="AI346" i="12"/>
  <c r="AJ346" i="12" s="1"/>
  <c r="BG346" i="12"/>
  <c r="I352" i="8"/>
  <c r="C352" i="8" s="1"/>
  <c r="M366" i="8"/>
  <c r="M372" i="8"/>
  <c r="AO402" i="12"/>
  <c r="AP402" i="12" s="1"/>
  <c r="AQ402" i="12" s="1"/>
  <c r="BG402" i="12"/>
  <c r="AR402" i="12"/>
  <c r="AS402" i="12" s="1"/>
  <c r="AT402" i="12" s="1"/>
  <c r="AL402" i="12"/>
  <c r="AM402" i="12" s="1"/>
  <c r="AN402" i="12" s="1"/>
  <c r="AX402" i="12"/>
  <c r="AU402" i="12"/>
  <c r="AI402" i="12"/>
  <c r="AJ402" i="12" s="1"/>
  <c r="AK402" i="12" s="1"/>
  <c r="BD402" i="12"/>
  <c r="BE402" i="12" s="1"/>
  <c r="BF402" i="12" s="1"/>
  <c r="BA402" i="12"/>
  <c r="BB402" i="12" s="1"/>
  <c r="BC402" i="12" s="1"/>
  <c r="AU406" i="12"/>
  <c r="AR406" i="12"/>
  <c r="AS406" i="12" s="1"/>
  <c r="AT406" i="12" s="1"/>
  <c r="AL406" i="12"/>
  <c r="AM406" i="12" s="1"/>
  <c r="AN406" i="12" s="1"/>
  <c r="BG406" i="12"/>
  <c r="AI406" i="12"/>
  <c r="AJ406" i="12" s="1"/>
  <c r="AK406" i="12" s="1"/>
  <c r="BA406" i="12"/>
  <c r="BB406" i="12" s="1"/>
  <c r="BC406" i="12" s="1"/>
  <c r="BD406" i="12"/>
  <c r="BE406" i="12" s="1"/>
  <c r="BF406" i="12" s="1"/>
  <c r="AX406" i="12"/>
  <c r="AO406" i="12"/>
  <c r="AP406" i="12" s="1"/>
  <c r="AQ406" i="12" s="1"/>
  <c r="M219" i="8"/>
  <c r="G171" i="8"/>
  <c r="C171" i="8" s="1"/>
  <c r="AO18" i="12"/>
  <c r="AP18" i="12" s="1"/>
  <c r="AQ18" i="12" s="1"/>
  <c r="BD24" i="12"/>
  <c r="BE24" i="12" s="1"/>
  <c r="BF24" i="12" s="1"/>
  <c r="AH32" i="12"/>
  <c r="AU52" i="12"/>
  <c r="AX52" i="12"/>
  <c r="BA52" i="12"/>
  <c r="BB52" i="12" s="1"/>
  <c r="BC52" i="12" s="1"/>
  <c r="AR52" i="12"/>
  <c r="AS52" i="12" s="1"/>
  <c r="AT52" i="12" s="1"/>
  <c r="AL52" i="12"/>
  <c r="AM52" i="12" s="1"/>
  <c r="AN52" i="12" s="1"/>
  <c r="AI52" i="12"/>
  <c r="AJ52" i="12" s="1"/>
  <c r="AK52" i="12" s="1"/>
  <c r="BH60" i="12"/>
  <c r="AR75" i="12"/>
  <c r="AS75" i="12" s="1"/>
  <c r="AT75" i="12" s="1"/>
  <c r="BA82" i="12"/>
  <c r="BG89" i="12"/>
  <c r="AO94" i="12"/>
  <c r="AP94" i="12" s="1"/>
  <c r="AQ94" i="12" s="1"/>
  <c r="BA112" i="12"/>
  <c r="BB112" i="12" s="1"/>
  <c r="BC112" i="12" s="1"/>
  <c r="AI112" i="12"/>
  <c r="AJ112" i="12" s="1"/>
  <c r="AK112" i="12" s="1"/>
  <c r="AX112" i="12"/>
  <c r="AU112" i="12"/>
  <c r="BG112" i="12"/>
  <c r="AE116" i="12"/>
  <c r="BS116" i="12"/>
  <c r="BT116" i="12" s="1"/>
  <c r="BQ116" i="12"/>
  <c r="BR116" i="12" s="1"/>
  <c r="BS126" i="12"/>
  <c r="BT126" i="12" s="1"/>
  <c r="AE136" i="12"/>
  <c r="BN136" i="12"/>
  <c r="AP184" i="12"/>
  <c r="AQ184" i="12" s="1"/>
  <c r="AX327" i="12"/>
  <c r="AI339" i="12"/>
  <c r="AJ339" i="12" s="1"/>
  <c r="AK339" i="12" s="1"/>
  <c r="AX153" i="12"/>
  <c r="AU153" i="12"/>
  <c r="AL153" i="12"/>
  <c r="AM153" i="12" s="1"/>
  <c r="BG153" i="12"/>
  <c r="BD153" i="12"/>
  <c r="BE153" i="12" s="1"/>
  <c r="AO153" i="12"/>
  <c r="AP153" i="12" s="1"/>
  <c r="BA153" i="12"/>
  <c r="BB153" i="12" s="1"/>
  <c r="AI153" i="12"/>
  <c r="AJ153" i="12" s="1"/>
  <c r="J190" i="3"/>
  <c r="BA6" i="12"/>
  <c r="AI6" i="12"/>
  <c r="AJ6" i="12" s="1"/>
  <c r="AK6" i="12" s="1"/>
  <c r="AR6" i="12"/>
  <c r="AS6" i="12" s="1"/>
  <c r="AT6" i="12" s="1"/>
  <c r="AO74" i="12"/>
  <c r="AP74" i="12" s="1"/>
  <c r="AQ74" i="12" s="1"/>
  <c r="BD74" i="12"/>
  <c r="BE74" i="12" s="1"/>
  <c r="BA74" i="12"/>
  <c r="AL74" i="12"/>
  <c r="AM74" i="12" s="1"/>
  <c r="AN74" i="12" s="1"/>
  <c r="AU74" i="12"/>
  <c r="BA142" i="12"/>
  <c r="BB142" i="12" s="1"/>
  <c r="AI142" i="12"/>
  <c r="AJ142" i="12" s="1"/>
  <c r="AL142" i="12"/>
  <c r="AM142" i="12" s="1"/>
  <c r="AN142" i="12" s="1"/>
  <c r="BD142" i="12"/>
  <c r="BE142" i="12" s="1"/>
  <c r="BG142" i="12"/>
  <c r="AR142" i="12"/>
  <c r="AS142" i="12" s="1"/>
  <c r="AT142" i="12" s="1"/>
  <c r="AU142" i="12"/>
  <c r="I148" i="8"/>
  <c r="G194" i="8"/>
  <c r="E211" i="8"/>
  <c r="C211" i="8" s="1"/>
  <c r="AX219" i="12"/>
  <c r="AL219" i="12"/>
  <c r="AM219" i="12" s="1"/>
  <c r="BD219" i="12"/>
  <c r="BE219" i="12" s="1"/>
  <c r="AI219" i="12"/>
  <c r="AJ219" i="12" s="1"/>
  <c r="BG219" i="12"/>
  <c r="AO219" i="12"/>
  <c r="AP219" i="12" s="1"/>
  <c r="BA219" i="12"/>
  <c r="BB219" i="12" s="1"/>
  <c r="AR219" i="12"/>
  <c r="AS219" i="12" s="1"/>
  <c r="AT219" i="12" s="1"/>
  <c r="AX235" i="12"/>
  <c r="AU235" i="12"/>
  <c r="AO235" i="12"/>
  <c r="AP235" i="12" s="1"/>
  <c r="AQ235" i="12" s="1"/>
  <c r="BA235" i="12"/>
  <c r="BB235" i="12" s="1"/>
  <c r="AL235" i="12"/>
  <c r="AM235" i="12" s="1"/>
  <c r="AN235" i="12" s="1"/>
  <c r="BD235" i="12"/>
  <c r="BE235" i="12" s="1"/>
  <c r="AR235" i="12"/>
  <c r="AS235" i="12" s="1"/>
  <c r="AT235" i="12" s="1"/>
  <c r="BG235" i="12"/>
  <c r="AI235" i="12"/>
  <c r="AJ235" i="12" s="1"/>
  <c r="AO242" i="12"/>
  <c r="AP242" i="12" s="1"/>
  <c r="AQ242" i="12" s="1"/>
  <c r="BG242" i="12"/>
  <c r="BA242" i="12"/>
  <c r="BB242" i="12" s="1"/>
  <c r="BD242" i="12"/>
  <c r="BE242" i="12" s="1"/>
  <c r="AI242" i="12"/>
  <c r="AJ242" i="12" s="1"/>
  <c r="AX242" i="12"/>
  <c r="AU242" i="12"/>
  <c r="BG249" i="12"/>
  <c r="AO249" i="12"/>
  <c r="AP249" i="12" s="1"/>
  <c r="AQ249" i="12" s="1"/>
  <c r="BD249" i="12"/>
  <c r="BE249" i="12" s="1"/>
  <c r="AI249" i="12"/>
  <c r="AJ249" i="12" s="1"/>
  <c r="AL249" i="12"/>
  <c r="AM249" i="12" s="1"/>
  <c r="AN249" i="12" s="1"/>
  <c r="AX249" i="12"/>
  <c r="AU249" i="12"/>
  <c r="BA249" i="12"/>
  <c r="BB249" i="12" s="1"/>
  <c r="AR249" i="12"/>
  <c r="AS249" i="12" s="1"/>
  <c r="AT249" i="12" s="1"/>
  <c r="AR263" i="12"/>
  <c r="AS263" i="12" s="1"/>
  <c r="AT263" i="12" s="1"/>
  <c r="AX263" i="12"/>
  <c r="AO263" i="12"/>
  <c r="AP263" i="12" s="1"/>
  <c r="AQ263" i="12" s="1"/>
  <c r="BA263" i="12"/>
  <c r="BB263" i="12" s="1"/>
  <c r="BD263" i="12"/>
  <c r="BE263" i="12" s="1"/>
  <c r="AU263" i="12"/>
  <c r="BG263" i="12"/>
  <c r="AL263" i="12"/>
  <c r="AM263" i="12" s="1"/>
  <c r="AN263" i="12" s="1"/>
  <c r="AI263" i="12"/>
  <c r="AJ263" i="12" s="1"/>
  <c r="AL266" i="12"/>
  <c r="AM266" i="12" s="1"/>
  <c r="BD266" i="12"/>
  <c r="BE266" i="12" s="1"/>
  <c r="BG266" i="12"/>
  <c r="BA266" i="12"/>
  <c r="BB266" i="12" s="1"/>
  <c r="AO266" i="12"/>
  <c r="AP266" i="12" s="1"/>
  <c r="AI266" i="12"/>
  <c r="AJ266" i="12" s="1"/>
  <c r="AX266" i="12"/>
  <c r="AU266" i="12"/>
  <c r="AU290" i="12"/>
  <c r="AR290" i="12"/>
  <c r="AS290" i="12" s="1"/>
  <c r="AT290" i="12" s="1"/>
  <c r="AX290" i="12"/>
  <c r="BG290" i="12"/>
  <c r="BD290" i="12"/>
  <c r="BE290" i="12" s="1"/>
  <c r="AI290" i="12"/>
  <c r="AJ290" i="12" s="1"/>
  <c r="AO290" i="12"/>
  <c r="AP290" i="12" s="1"/>
  <c r="AL290" i="12"/>
  <c r="AM290" i="12" s="1"/>
  <c r="BA290" i="12"/>
  <c r="BB290" i="12" s="1"/>
  <c r="I293" i="8"/>
  <c r="BA306" i="12"/>
  <c r="BB306" i="12" s="1"/>
  <c r="AO306" i="12"/>
  <c r="AP306" i="12" s="1"/>
  <c r="AQ306" i="12" s="1"/>
  <c r="AL306" i="12"/>
  <c r="AM306" i="12" s="1"/>
  <c r="AN306" i="12" s="1"/>
  <c r="AR306" i="12"/>
  <c r="AS306" i="12" s="1"/>
  <c r="AT306" i="12" s="1"/>
  <c r="AI306" i="12"/>
  <c r="AJ306" i="12" s="1"/>
  <c r="AX306" i="12"/>
  <c r="AU306" i="12"/>
  <c r="BD306" i="12"/>
  <c r="BE306" i="12" s="1"/>
  <c r="BD323" i="12"/>
  <c r="BE323" i="12" s="1"/>
  <c r="AL323" i="12"/>
  <c r="AM323" i="12" s="1"/>
  <c r="AI323" i="12"/>
  <c r="AJ323" i="12" s="1"/>
  <c r="AR323" i="12"/>
  <c r="AS323" i="12" s="1"/>
  <c r="AT323" i="12" s="1"/>
  <c r="AO323" i="12"/>
  <c r="AP323" i="12" s="1"/>
  <c r="AU323" i="12"/>
  <c r="AX323" i="12"/>
  <c r="BG323" i="12"/>
  <c r="AR326" i="12"/>
  <c r="AS326" i="12" s="1"/>
  <c r="AT326" i="12" s="1"/>
  <c r="AL326" i="12"/>
  <c r="AM326" i="12" s="1"/>
  <c r="AN326" i="12" s="1"/>
  <c r="BD326" i="12"/>
  <c r="BE326" i="12" s="1"/>
  <c r="AI326" i="12"/>
  <c r="AJ326" i="12" s="1"/>
  <c r="AU326" i="12"/>
  <c r="AX326" i="12"/>
  <c r="BA326" i="12"/>
  <c r="BB326" i="12" s="1"/>
  <c r="AO326" i="12"/>
  <c r="AP326" i="12" s="1"/>
  <c r="AQ326" i="12" s="1"/>
  <c r="BG326" i="12"/>
  <c r="I329" i="8"/>
  <c r="C329" i="8" s="1"/>
  <c r="I332" i="8"/>
  <c r="AX369" i="12"/>
  <c r="AU369" i="12"/>
  <c r="BG369" i="12"/>
  <c r="AO369" i="12"/>
  <c r="AP369" i="12" s="1"/>
  <c r="AQ369" i="12" s="1"/>
  <c r="AL369" i="12"/>
  <c r="AM369" i="12" s="1"/>
  <c r="AN369" i="12" s="1"/>
  <c r="BA369" i="12"/>
  <c r="BB369" i="12" s="1"/>
  <c r="BD369" i="12"/>
  <c r="BE369" i="12" s="1"/>
  <c r="AR369" i="12"/>
  <c r="AS369" i="12" s="1"/>
  <c r="AT369" i="12" s="1"/>
  <c r="AI369" i="12"/>
  <c r="AJ369" i="12" s="1"/>
  <c r="AI387" i="12"/>
  <c r="AJ387" i="12" s="1"/>
  <c r="AK387" i="12" s="1"/>
  <c r="BA387" i="12"/>
  <c r="BB387" i="12" s="1"/>
  <c r="BC387" i="12" s="1"/>
  <c r="BD387" i="12"/>
  <c r="BE387" i="12" s="1"/>
  <c r="BF387" i="12" s="1"/>
  <c r="AX387" i="12"/>
  <c r="AU387" i="12"/>
  <c r="AR387" i="12"/>
  <c r="AS387" i="12" s="1"/>
  <c r="AT387" i="12" s="1"/>
  <c r="AO387" i="12"/>
  <c r="AP387" i="12" s="1"/>
  <c r="AQ387" i="12" s="1"/>
  <c r="BG387" i="12"/>
  <c r="AL387" i="12"/>
  <c r="AM387" i="12" s="1"/>
  <c r="AN387" i="12" s="1"/>
  <c r="BD391" i="12"/>
  <c r="BE391" i="12" s="1"/>
  <c r="BF391" i="12" s="1"/>
  <c r="AL391" i="12"/>
  <c r="AM391" i="12" s="1"/>
  <c r="AN391" i="12" s="1"/>
  <c r="BA391" i="12"/>
  <c r="BB391" i="12" s="1"/>
  <c r="BC391" i="12" s="1"/>
  <c r="BG391" i="12"/>
  <c r="AI391" i="12"/>
  <c r="AJ391" i="12" s="1"/>
  <c r="AK391" i="12" s="1"/>
  <c r="AX391" i="12"/>
  <c r="AU391" i="12"/>
  <c r="AO391" i="12"/>
  <c r="AP391" i="12" s="1"/>
  <c r="AQ391" i="12" s="1"/>
  <c r="AR391" i="12"/>
  <c r="AS391" i="12" s="1"/>
  <c r="AT391" i="12" s="1"/>
  <c r="BD398" i="12"/>
  <c r="BE398" i="12" s="1"/>
  <c r="AI398" i="12"/>
  <c r="AJ398" i="12" s="1"/>
  <c r="AK398" i="12" s="1"/>
  <c r="AO398" i="12"/>
  <c r="AP398" i="12" s="1"/>
  <c r="AQ398" i="12" s="1"/>
  <c r="AL398" i="12"/>
  <c r="AM398" i="12" s="1"/>
  <c r="AN398" i="12" s="1"/>
  <c r="AX398" i="12"/>
  <c r="AU398" i="12"/>
  <c r="AR398" i="12"/>
  <c r="AS398" i="12" s="1"/>
  <c r="AT398" i="12" s="1"/>
  <c r="BA398" i="12"/>
  <c r="BB398" i="12" s="1"/>
  <c r="BG398" i="12"/>
  <c r="BG6" i="12"/>
  <c r="AU14" i="12"/>
  <c r="AU22" i="12"/>
  <c r="BG26" i="12"/>
  <c r="AO41" i="12"/>
  <c r="AP41" i="12" s="1"/>
  <c r="AQ41" i="12" s="1"/>
  <c r="BD56" i="12"/>
  <c r="BE56" i="12" s="1"/>
  <c r="BD82" i="12"/>
  <c r="BE82" i="12" s="1"/>
  <c r="AE88" i="12"/>
  <c r="BS88" i="12"/>
  <c r="BT88" i="12" s="1"/>
  <c r="BG109" i="12"/>
  <c r="AF136" i="12"/>
  <c r="BW136" i="12"/>
  <c r="BX136" i="12" s="1"/>
  <c r="BU136" i="12"/>
  <c r="BV136" i="12" s="1"/>
  <c r="BD167" i="12"/>
  <c r="BE167" i="12" s="1"/>
  <c r="F212" i="12"/>
  <c r="AR242" i="12"/>
  <c r="AS242" i="12" s="1"/>
  <c r="AT242" i="12" s="1"/>
  <c r="BA246" i="12"/>
  <c r="BB246" i="12" s="1"/>
  <c r="AR266" i="12"/>
  <c r="AS266" i="12" s="1"/>
  <c r="AT266" i="12" s="1"/>
  <c r="BA314" i="12"/>
  <c r="BB314" i="12" s="1"/>
  <c r="BG339" i="12"/>
  <c r="AX171" i="12"/>
  <c r="AU171" i="12"/>
  <c r="BA171" i="12"/>
  <c r="BB171" i="12" s="1"/>
  <c r="AI171" i="12"/>
  <c r="AJ171" i="12" s="1"/>
  <c r="BG171" i="12"/>
  <c r="AR171" i="12"/>
  <c r="AS171" i="12" s="1"/>
  <c r="AT171" i="12" s="1"/>
  <c r="AL171" i="12"/>
  <c r="AM171" i="12" s="1"/>
  <c r="AR189" i="12"/>
  <c r="AS189" i="12" s="1"/>
  <c r="AT189" i="12" s="1"/>
  <c r="AO189" i="12"/>
  <c r="AP189" i="12" s="1"/>
  <c r="BD189" i="12"/>
  <c r="BE189" i="12" s="1"/>
  <c r="AL189" i="12"/>
  <c r="AM189" i="12" s="1"/>
  <c r="AU189" i="12"/>
  <c r="AI189" i="12"/>
  <c r="AJ189" i="12" s="1"/>
  <c r="BA206" i="12"/>
  <c r="BB206" i="12" s="1"/>
  <c r="AI206" i="12"/>
  <c r="AJ206" i="12" s="1"/>
  <c r="AX206" i="12"/>
  <c r="AU206" i="12"/>
  <c r="BG206" i="12"/>
  <c r="AR206" i="12"/>
  <c r="AS206" i="12" s="1"/>
  <c r="AT206" i="12" s="1"/>
  <c r="BD206" i="12"/>
  <c r="BE206" i="12" s="1"/>
  <c r="C303" i="8"/>
  <c r="BB60" i="12"/>
  <c r="J312" i="3"/>
  <c r="BA178" i="12"/>
  <c r="BB178" i="12" s="1"/>
  <c r="BC178" i="12" s="1"/>
  <c r="AI178" i="12"/>
  <c r="AJ178" i="12" s="1"/>
  <c r="AK178" i="12" s="1"/>
  <c r="AO178" i="12"/>
  <c r="AP178" i="12" s="1"/>
  <c r="AQ178" i="12" s="1"/>
  <c r="AX178" i="12"/>
  <c r="AU178" i="12"/>
  <c r="BG178" i="12"/>
  <c r="AL178" i="12"/>
  <c r="AM178" i="12" s="1"/>
  <c r="AN178" i="12" s="1"/>
  <c r="AR178" i="12"/>
  <c r="AS178" i="12" s="1"/>
  <c r="AT178" i="12" s="1"/>
  <c r="BL264" i="12"/>
  <c r="BQ264" i="12"/>
  <c r="BR264" i="12" s="1"/>
  <c r="AR281" i="12"/>
  <c r="AS281" i="12" s="1"/>
  <c r="AT281" i="12" s="1"/>
  <c r="BG281" i="12"/>
  <c r="AL281" i="12"/>
  <c r="AM281" i="12" s="1"/>
  <c r="BD281" i="12"/>
  <c r="BE281" i="12" s="1"/>
  <c r="BA281" i="12"/>
  <c r="BB281" i="12" s="1"/>
  <c r="AI281" i="12"/>
  <c r="AJ281" i="12" s="1"/>
  <c r="AU281" i="12"/>
  <c r="AO281" i="12"/>
  <c r="AP281" i="12" s="1"/>
  <c r="AX281" i="12"/>
  <c r="AR185" i="12"/>
  <c r="AS185" i="12" s="1"/>
  <c r="AT185" i="12" s="1"/>
  <c r="BG185" i="12"/>
  <c r="AL185" i="12"/>
  <c r="AM185" i="12" s="1"/>
  <c r="AI185" i="12"/>
  <c r="AX185" i="12"/>
  <c r="AO185" i="12"/>
  <c r="AP185" i="12" s="1"/>
  <c r="AR199" i="12"/>
  <c r="AS199" i="12" s="1"/>
  <c r="AT199" i="12" s="1"/>
  <c r="AX199" i="12"/>
  <c r="AU199" i="12"/>
  <c r="BD199" i="12"/>
  <c r="BE199" i="12" s="1"/>
  <c r="BF199" i="12" s="1"/>
  <c r="BG199" i="12"/>
  <c r="AL199" i="12"/>
  <c r="AM199" i="12" s="1"/>
  <c r="AN199" i="12" s="1"/>
  <c r="AI199" i="12"/>
  <c r="AJ199" i="12" s="1"/>
  <c r="AK199" i="12" s="1"/>
  <c r="AO199" i="12"/>
  <c r="AP199" i="12" s="1"/>
  <c r="AQ199" i="12" s="1"/>
  <c r="BA199" i="12"/>
  <c r="BB199" i="12" s="1"/>
  <c r="BC199" i="12" s="1"/>
  <c r="I232" i="8"/>
  <c r="BD343" i="12"/>
  <c r="BE343" i="12" s="1"/>
  <c r="AL343" i="12"/>
  <c r="AM343" i="12" s="1"/>
  <c r="AN343" i="12" s="1"/>
  <c r="AX343" i="12"/>
  <c r="AU343" i="12"/>
  <c r="BA343" i="12"/>
  <c r="BB343" i="12" s="1"/>
  <c r="AI343" i="12"/>
  <c r="AJ343" i="12" s="1"/>
  <c r="AR343" i="12"/>
  <c r="AS343" i="12" s="1"/>
  <c r="AT343" i="12" s="1"/>
  <c r="BG343" i="12"/>
  <c r="AO343" i="12"/>
  <c r="AP343" i="12" s="1"/>
  <c r="AQ343" i="12" s="1"/>
  <c r="J24" i="3"/>
  <c r="J248" i="3"/>
  <c r="J273" i="3"/>
  <c r="H411" i="3"/>
  <c r="M9" i="3" s="1"/>
  <c r="I359" i="3" s="1"/>
  <c r="G138" i="8"/>
  <c r="I145" i="8"/>
  <c r="AN152" i="12"/>
  <c r="C81" i="1"/>
  <c r="C145" i="1"/>
  <c r="C225" i="1"/>
  <c r="C401" i="1"/>
  <c r="J104" i="3"/>
  <c r="I136" i="3"/>
  <c r="J219" i="3"/>
  <c r="I273" i="3"/>
  <c r="J309" i="3"/>
  <c r="J360" i="3"/>
  <c r="BA2" i="12"/>
  <c r="AI2" i="12"/>
  <c r="AX2" i="12"/>
  <c r="AU2" i="12"/>
  <c r="AO2" i="12"/>
  <c r="BD21" i="12"/>
  <c r="BG21" i="12"/>
  <c r="AL21" i="12"/>
  <c r="AM21" i="12" s="1"/>
  <c r="AN21" i="12" s="1"/>
  <c r="AL70" i="12"/>
  <c r="AM70" i="12" s="1"/>
  <c r="AN70" i="12" s="1"/>
  <c r="AX70" i="12"/>
  <c r="AR70" i="12"/>
  <c r="AS70" i="12" s="1"/>
  <c r="AT70" i="12" s="1"/>
  <c r="AO70" i="12"/>
  <c r="AP70" i="12" s="1"/>
  <c r="AQ70" i="12" s="1"/>
  <c r="AI70" i="12"/>
  <c r="AJ70" i="12" s="1"/>
  <c r="AK70" i="12" s="1"/>
  <c r="AU70" i="12"/>
  <c r="AX85" i="12"/>
  <c r="BA85" i="12"/>
  <c r="BB85" i="12" s="1"/>
  <c r="AR85" i="12"/>
  <c r="AS85" i="12" s="1"/>
  <c r="AT85" i="12" s="1"/>
  <c r="AO85" i="12"/>
  <c r="AP85" i="12" s="1"/>
  <c r="AQ85" i="12" s="1"/>
  <c r="BD85" i="12"/>
  <c r="BE85" i="12" s="1"/>
  <c r="BH104" i="12"/>
  <c r="BI104" i="12" s="1"/>
  <c r="AH104" i="12"/>
  <c r="E141" i="8"/>
  <c r="C141" i="8" s="1"/>
  <c r="E151" i="8"/>
  <c r="C151" i="8" s="1"/>
  <c r="AO159" i="12"/>
  <c r="AP159" i="12" s="1"/>
  <c r="AQ159" i="12" s="1"/>
  <c r="BG159" i="12"/>
  <c r="AR159" i="12"/>
  <c r="AS159" i="12" s="1"/>
  <c r="AT159" i="12" s="1"/>
  <c r="AL159" i="12"/>
  <c r="AM159" i="12" s="1"/>
  <c r="BA159" i="12"/>
  <c r="BB159" i="12" s="1"/>
  <c r="BD159" i="12"/>
  <c r="BE159" i="12" s="1"/>
  <c r="BF159" i="12" s="1"/>
  <c r="AX159" i="12"/>
  <c r="E165" i="8"/>
  <c r="C165" i="8" s="1"/>
  <c r="BA166" i="12"/>
  <c r="BB166" i="12" s="1"/>
  <c r="AI166" i="12"/>
  <c r="AJ166" i="12" s="1"/>
  <c r="AX166" i="12"/>
  <c r="BG166" i="12"/>
  <c r="AR166" i="12"/>
  <c r="AS166" i="12" s="1"/>
  <c r="AT166" i="12" s="1"/>
  <c r="AL166" i="12"/>
  <c r="AM166" i="12" s="1"/>
  <c r="AU166" i="12"/>
  <c r="AO166" i="12"/>
  <c r="AP166" i="12" s="1"/>
  <c r="BD166" i="12"/>
  <c r="BE166" i="12" s="1"/>
  <c r="E172" i="8"/>
  <c r="C172" i="8" s="1"/>
  <c r="E197" i="8"/>
  <c r="BA198" i="12"/>
  <c r="BB198" i="12" s="1"/>
  <c r="AI198" i="12"/>
  <c r="AJ198" i="12" s="1"/>
  <c r="AO198" i="12"/>
  <c r="AP198" i="12" s="1"/>
  <c r="AX198" i="12"/>
  <c r="AU198" i="12"/>
  <c r="BD198" i="12"/>
  <c r="BE198" i="12" s="1"/>
  <c r="BG198" i="12"/>
  <c r="AR205" i="12"/>
  <c r="AS205" i="12" s="1"/>
  <c r="AT205" i="12" s="1"/>
  <c r="AO205" i="12"/>
  <c r="AP205" i="12" s="1"/>
  <c r="BD205" i="12"/>
  <c r="BE205" i="12" s="1"/>
  <c r="BA205" i="12"/>
  <c r="BB205" i="12" s="1"/>
  <c r="AX205" i="12"/>
  <c r="AU205" i="12"/>
  <c r="AI205" i="12"/>
  <c r="AJ205" i="12" s="1"/>
  <c r="AR222" i="12"/>
  <c r="AS222" i="12" s="1"/>
  <c r="AT222" i="12" s="1"/>
  <c r="BA222" i="12"/>
  <c r="BB222" i="12" s="1"/>
  <c r="AO222" i="12"/>
  <c r="AP222" i="12" s="1"/>
  <c r="BG222" i="12"/>
  <c r="BD222" i="12"/>
  <c r="AL222" i="12"/>
  <c r="AM222" i="12" s="1"/>
  <c r="AI222" i="12"/>
  <c r="AJ222" i="12" s="1"/>
  <c r="I228" i="8"/>
  <c r="AR273" i="12"/>
  <c r="AS273" i="12" s="1"/>
  <c r="AT273" i="12" s="1"/>
  <c r="AU273" i="12"/>
  <c r="AO273" i="12"/>
  <c r="AP273" i="12" s="1"/>
  <c r="AQ273" i="12" s="1"/>
  <c r="AI273" i="12"/>
  <c r="AJ273" i="12" s="1"/>
  <c r="BD273" i="12"/>
  <c r="BE273" i="12" s="1"/>
  <c r="BA273" i="12"/>
  <c r="BB273" i="12" s="1"/>
  <c r="BG273" i="12"/>
  <c r="AX273" i="12"/>
  <c r="AL273" i="12"/>
  <c r="AM273" i="12" s="1"/>
  <c r="AN273" i="12" s="1"/>
  <c r="E289" i="8"/>
  <c r="I296" i="8"/>
  <c r="C296" i="8" s="1"/>
  <c r="BD313" i="12"/>
  <c r="BE313" i="12" s="1"/>
  <c r="AL313" i="12"/>
  <c r="AM313" i="12" s="1"/>
  <c r="AN313" i="12" s="1"/>
  <c r="AU313" i="12"/>
  <c r="AI313" i="12"/>
  <c r="AJ313" i="12" s="1"/>
  <c r="AX313" i="12"/>
  <c r="BG313" i="12"/>
  <c r="BA313" i="12"/>
  <c r="BB313" i="12" s="1"/>
  <c r="AO313" i="12"/>
  <c r="AP313" i="12" s="1"/>
  <c r="AQ313" i="12" s="1"/>
  <c r="AR313" i="12"/>
  <c r="AS313" i="12" s="1"/>
  <c r="AT313" i="12" s="1"/>
  <c r="I338" i="8"/>
  <c r="E348" i="8"/>
  <c r="BD349" i="12"/>
  <c r="BE349" i="12" s="1"/>
  <c r="AL349" i="12"/>
  <c r="AM349" i="12" s="1"/>
  <c r="AN349" i="12" s="1"/>
  <c r="AR349" i="12"/>
  <c r="AS349" i="12" s="1"/>
  <c r="AT349" i="12" s="1"/>
  <c r="AO349" i="12"/>
  <c r="AP349" i="12" s="1"/>
  <c r="AQ349" i="12" s="1"/>
  <c r="AI349" i="12"/>
  <c r="AJ349" i="12" s="1"/>
  <c r="BG349" i="12"/>
  <c r="BA349" i="12"/>
  <c r="BB349" i="12" s="1"/>
  <c r="AX349" i="12"/>
  <c r="BA383" i="12"/>
  <c r="BB383" i="12" s="1"/>
  <c r="BC383" i="12" s="1"/>
  <c r="BD383" i="12"/>
  <c r="BE383" i="12" s="1"/>
  <c r="BF383" i="12" s="1"/>
  <c r="AX383" i="12"/>
  <c r="AU383" i="12"/>
  <c r="AO383" i="12"/>
  <c r="AP383" i="12" s="1"/>
  <c r="AQ383" i="12" s="1"/>
  <c r="BG383" i="12"/>
  <c r="AR383" i="12"/>
  <c r="AS383" i="12" s="1"/>
  <c r="AT383" i="12" s="1"/>
  <c r="AL383" i="12"/>
  <c r="AM383" i="12" s="1"/>
  <c r="AN383" i="12" s="1"/>
  <c r="AI383" i="12"/>
  <c r="AJ383" i="12" s="1"/>
  <c r="AK383" i="12" s="1"/>
  <c r="E404" i="8"/>
  <c r="C404" i="8" s="1"/>
  <c r="E310" i="8"/>
  <c r="C310" i="8" s="1"/>
  <c r="E270" i="8"/>
  <c r="I371" i="8"/>
  <c r="C371" i="8" s="1"/>
  <c r="G363" i="8"/>
  <c r="G207" i="8"/>
  <c r="G337" i="8"/>
  <c r="C337" i="8" s="1"/>
  <c r="AR2" i="12"/>
  <c r="BD10" i="12"/>
  <c r="BE10" i="12" s="1"/>
  <c r="AX14" i="12"/>
  <c r="AR18" i="12"/>
  <c r="AS18" i="12" s="1"/>
  <c r="AT18" i="12" s="1"/>
  <c r="AL44" i="12"/>
  <c r="AM44" i="12" s="1"/>
  <c r="AN44" i="12" s="1"/>
  <c r="AU60" i="12"/>
  <c r="AI60" i="12"/>
  <c r="AJ60" i="12" s="1"/>
  <c r="AK60" i="12" s="1"/>
  <c r="BD60" i="12"/>
  <c r="BE60" i="12" s="1"/>
  <c r="AO60" i="12"/>
  <c r="AP60" i="12" s="1"/>
  <c r="AQ60" i="12" s="1"/>
  <c r="AX60" i="12"/>
  <c r="BA63" i="12"/>
  <c r="BB63" i="12" s="1"/>
  <c r="BC63" i="12" s="1"/>
  <c r="AY80" i="12"/>
  <c r="BG82" i="12"/>
  <c r="AX86" i="12"/>
  <c r="BW88" i="12"/>
  <c r="BX88" i="12" s="1"/>
  <c r="BU88" i="12"/>
  <c r="BV88" i="12" s="1"/>
  <c r="AY88" i="12"/>
  <c r="BA97" i="12"/>
  <c r="BB97" i="12" s="1"/>
  <c r="AI119" i="12"/>
  <c r="AJ119" i="12" s="1"/>
  <c r="AK119" i="12" s="1"/>
  <c r="BD122" i="12"/>
  <c r="BE122" i="12" s="1"/>
  <c r="AJ124" i="12"/>
  <c r="AY136" i="12"/>
  <c r="AI139" i="12"/>
  <c r="AJ139" i="12" s="1"/>
  <c r="AK139" i="12" s="1"/>
  <c r="AY184" i="12"/>
  <c r="AZ184" i="12" s="1"/>
  <c r="BG189" i="12"/>
  <c r="BN222" i="12"/>
  <c r="AF76" i="12"/>
  <c r="AN208" i="12"/>
  <c r="BD236" i="12"/>
  <c r="BE236" i="12" s="1"/>
  <c r="AL236" i="12"/>
  <c r="AM236" i="12" s="1"/>
  <c r="AN236" i="12" s="1"/>
  <c r="AX236" i="12"/>
  <c r="AU236" i="12"/>
  <c r="AR236" i="12"/>
  <c r="AS236" i="12" s="1"/>
  <c r="AT236" i="12" s="1"/>
  <c r="AI236" i="12"/>
  <c r="AJ236" i="12" s="1"/>
  <c r="BG236" i="12"/>
  <c r="BA236" i="12"/>
  <c r="BB236" i="12" s="1"/>
  <c r="AY308" i="12"/>
  <c r="BG116" i="12"/>
  <c r="AO116" i="12"/>
  <c r="AP116" i="12" s="1"/>
  <c r="AQ116" i="12" s="1"/>
  <c r="AX116" i="12"/>
  <c r="AL116" i="12"/>
  <c r="AM116" i="12" s="1"/>
  <c r="AN116" i="12" s="1"/>
  <c r="AI116" i="12"/>
  <c r="AJ116" i="12" s="1"/>
  <c r="BA116" i="12"/>
  <c r="BB116" i="12" s="1"/>
  <c r="BG124" i="12"/>
  <c r="AO124" i="12"/>
  <c r="AP124" i="12" s="1"/>
  <c r="AQ124" i="12" s="1"/>
  <c r="AL124" i="12"/>
  <c r="AM124" i="12" s="1"/>
  <c r="AN124" i="12" s="1"/>
  <c r="BD124" i="12"/>
  <c r="BE124" i="12" s="1"/>
  <c r="AX124" i="12"/>
  <c r="AU124" i="12"/>
  <c r="BN128" i="12"/>
  <c r="BA132" i="12"/>
  <c r="BB132" i="12" s="1"/>
  <c r="AO132" i="12"/>
  <c r="AP132" i="12" s="1"/>
  <c r="AQ132" i="12" s="1"/>
  <c r="BG132" i="12"/>
  <c r="AX132" i="12"/>
  <c r="AU132" i="12"/>
  <c r="AL132" i="12"/>
  <c r="AM132" i="12" s="1"/>
  <c r="AN132" i="12" s="1"/>
  <c r="AI132" i="12"/>
  <c r="AJ132" i="12" s="1"/>
  <c r="BD132" i="12"/>
  <c r="BE132" i="12" s="1"/>
  <c r="AQ152" i="12"/>
  <c r="BD311" i="12"/>
  <c r="BE311" i="12" s="1"/>
  <c r="AL311" i="12"/>
  <c r="AM311" i="12" s="1"/>
  <c r="BA311" i="12"/>
  <c r="BB311" i="12" s="1"/>
  <c r="AI311" i="12"/>
  <c r="AJ311" i="12" s="1"/>
  <c r="BG311" i="12"/>
  <c r="AX311" i="12"/>
  <c r="AU311" i="12"/>
  <c r="AO311" i="12"/>
  <c r="AP311" i="12" s="1"/>
  <c r="AR311" i="12"/>
  <c r="AS311" i="12" s="1"/>
  <c r="AT311" i="12" s="1"/>
  <c r="E330" i="8"/>
  <c r="C330" i="8" s="1"/>
  <c r="E262" i="8"/>
  <c r="E202" i="8"/>
  <c r="C202" i="8" s="1"/>
  <c r="E6" i="8"/>
  <c r="C6" i="8" s="1"/>
  <c r="I267" i="8"/>
  <c r="I151" i="8"/>
  <c r="I131" i="8"/>
  <c r="G247" i="8"/>
  <c r="E366" i="8"/>
  <c r="C366" i="8" s="1"/>
  <c r="E294" i="8"/>
  <c r="C294" i="8" s="1"/>
  <c r="E250" i="8"/>
  <c r="M227" i="8"/>
  <c r="E170" i="8"/>
  <c r="C170" i="8" s="1"/>
  <c r="E138" i="8"/>
  <c r="C138" i="8" s="1"/>
  <c r="E22" i="8"/>
  <c r="C22" i="8" s="1"/>
  <c r="I147" i="8"/>
  <c r="E38" i="8"/>
  <c r="C38" i="8" s="1"/>
  <c r="G163" i="8"/>
  <c r="C163" i="8" s="1"/>
  <c r="M331" i="8"/>
  <c r="G311" i="8"/>
  <c r="AU48" i="12"/>
  <c r="AX48" i="12"/>
  <c r="BA48" i="12"/>
  <c r="BB48" i="12" s="1"/>
  <c r="BC48" i="12" s="1"/>
  <c r="AR48" i="12"/>
  <c r="AS48" i="12" s="1"/>
  <c r="AT48" i="12" s="1"/>
  <c r="BG48" i="12"/>
  <c r="BG76" i="12"/>
  <c r="AL76" i="12"/>
  <c r="AM76" i="12" s="1"/>
  <c r="AN76" i="12" s="1"/>
  <c r="BD76" i="12"/>
  <c r="BE76" i="12" s="1"/>
  <c r="AO76" i="12"/>
  <c r="AP76" i="12" s="1"/>
  <c r="AQ76" i="12" s="1"/>
  <c r="AI76" i="12"/>
  <c r="BL84" i="12"/>
  <c r="BS84" i="12"/>
  <c r="BT84" i="12" s="1"/>
  <c r="AO92" i="12"/>
  <c r="AP92" i="12" s="1"/>
  <c r="AQ92" i="12" s="1"/>
  <c r="AX92" i="12"/>
  <c r="AU92" i="12"/>
  <c r="BD92" i="12"/>
  <c r="BE92" i="12" s="1"/>
  <c r="AL92" i="12"/>
  <c r="AM92" i="12" s="1"/>
  <c r="AN92" i="12" s="1"/>
  <c r="BD116" i="12"/>
  <c r="BE116" i="12" s="1"/>
  <c r="F199" i="12"/>
  <c r="BC284" i="12"/>
  <c r="BD403" i="12"/>
  <c r="BE403" i="12" s="1"/>
  <c r="AL403" i="12"/>
  <c r="AM403" i="12" s="1"/>
  <c r="AN403" i="12" s="1"/>
  <c r="BA403" i="12"/>
  <c r="BB403" i="12" s="1"/>
  <c r="AI403" i="12"/>
  <c r="AJ403" i="12" s="1"/>
  <c r="AK403" i="12" s="1"/>
  <c r="AO403" i="12"/>
  <c r="AP403" i="12" s="1"/>
  <c r="AQ403" i="12" s="1"/>
  <c r="AR403" i="12"/>
  <c r="AS403" i="12" s="1"/>
  <c r="AT403" i="12" s="1"/>
  <c r="BG403" i="12"/>
  <c r="AX403" i="12"/>
  <c r="AU403" i="12"/>
  <c r="BD407" i="12"/>
  <c r="BE407" i="12" s="1"/>
  <c r="BF407" i="12" s="1"/>
  <c r="AL407" i="12"/>
  <c r="AM407" i="12" s="1"/>
  <c r="AN407" i="12" s="1"/>
  <c r="BA407" i="12"/>
  <c r="BB407" i="12" s="1"/>
  <c r="BC407" i="12" s="1"/>
  <c r="AI407" i="12"/>
  <c r="AJ407" i="12" s="1"/>
  <c r="AK407" i="12" s="1"/>
  <c r="AU407" i="12"/>
  <c r="AR407" i="12"/>
  <c r="AS407" i="12" s="1"/>
  <c r="AT407" i="12" s="1"/>
  <c r="AX407" i="12"/>
  <c r="AO407" i="12"/>
  <c r="AP407" i="12" s="1"/>
  <c r="AQ407" i="12" s="1"/>
  <c r="BG407" i="12"/>
  <c r="E358" i="8"/>
  <c r="E354" i="8"/>
  <c r="C354" i="8" s="1"/>
  <c r="E322" i="8"/>
  <c r="C322" i="8" s="1"/>
  <c r="E318" i="8"/>
  <c r="C318" i="8" s="1"/>
  <c r="E314" i="8"/>
  <c r="C314" i="8" s="1"/>
  <c r="E254" i="8"/>
  <c r="M235" i="8"/>
  <c r="E222" i="8"/>
  <c r="E210" i="8"/>
  <c r="C210" i="8" s="1"/>
  <c r="E194" i="8"/>
  <c r="E190" i="8"/>
  <c r="E162" i="8"/>
  <c r="C162" i="8" s="1"/>
  <c r="E126" i="8"/>
  <c r="C126" i="8" s="1"/>
  <c r="I295" i="8"/>
  <c r="I227" i="8"/>
  <c r="I119" i="8"/>
  <c r="G147" i="8"/>
  <c r="G143" i="8"/>
  <c r="C143" i="8" s="1"/>
  <c r="E306" i="8"/>
  <c r="C306" i="8" s="1"/>
  <c r="E226" i="8"/>
  <c r="M151" i="8"/>
  <c r="I127" i="8"/>
  <c r="G331" i="8"/>
  <c r="C331" i="8" s="1"/>
  <c r="G303" i="8"/>
  <c r="G295" i="8"/>
  <c r="G139" i="8"/>
  <c r="C139" i="8" s="1"/>
  <c r="G119" i="8"/>
  <c r="I187" i="8"/>
  <c r="C187" i="8" s="1"/>
  <c r="G155" i="8"/>
  <c r="C155" i="8" s="1"/>
  <c r="E394" i="8"/>
  <c r="C394" i="8" s="1"/>
  <c r="M335" i="8"/>
  <c r="I315" i="8"/>
  <c r="G307" i="8"/>
  <c r="C307" i="8" s="1"/>
  <c r="AX32" i="12"/>
  <c r="AU32" i="12"/>
  <c r="BA32" i="12"/>
  <c r="BB32" i="12" s="1"/>
  <c r="AX40" i="12"/>
  <c r="AU40" i="12"/>
  <c r="AL40" i="12"/>
  <c r="AM40" i="12" s="1"/>
  <c r="AN40" i="12" s="1"/>
  <c r="BG40" i="12"/>
  <c r="F48" i="12"/>
  <c r="F384" i="12"/>
  <c r="BA4" i="12"/>
  <c r="AI4" i="12"/>
  <c r="AJ4" i="12" s="1"/>
  <c r="AK4" i="12" s="1"/>
  <c r="BA8" i="12"/>
  <c r="AI8" i="12"/>
  <c r="BA12" i="12"/>
  <c r="BW12" i="12" s="1"/>
  <c r="BX12" i="12" s="1"/>
  <c r="AI12" i="12"/>
  <c r="AJ12" i="12" s="1"/>
  <c r="AK12" i="12" s="1"/>
  <c r="BA16" i="12"/>
  <c r="AF16" i="12" s="1"/>
  <c r="AI16" i="12"/>
  <c r="AJ16" i="12" s="1"/>
  <c r="AK16" i="12" s="1"/>
  <c r="AI80" i="12"/>
  <c r="AJ80" i="12" s="1"/>
  <c r="AK80" i="12" s="1"/>
  <c r="AO80" i="12"/>
  <c r="AP80" i="12" s="1"/>
  <c r="AQ80" i="12" s="1"/>
  <c r="BG80" i="12"/>
  <c r="AL80" i="12"/>
  <c r="AM80" i="12" s="1"/>
  <c r="AN80" i="12" s="1"/>
  <c r="BA80" i="12"/>
  <c r="BD84" i="12"/>
  <c r="BE84" i="12" s="1"/>
  <c r="AR84" i="12"/>
  <c r="AS84" i="12" s="1"/>
  <c r="AT84" i="12" s="1"/>
  <c r="AX84" i="12"/>
  <c r="BG88" i="12"/>
  <c r="AR88" i="12"/>
  <c r="AS88" i="12" s="1"/>
  <c r="AT88" i="12" s="1"/>
  <c r="BA88" i="12"/>
  <c r="AO104" i="12"/>
  <c r="AP104" i="12" s="1"/>
  <c r="AQ104" i="12" s="1"/>
  <c r="AX104" i="12"/>
  <c r="AU104" i="12"/>
  <c r="BA104" i="12"/>
  <c r="BB104" i="12" s="1"/>
  <c r="BC104" i="12" s="1"/>
  <c r="BG120" i="12"/>
  <c r="AO120" i="12"/>
  <c r="AP120" i="12" s="1"/>
  <c r="AQ120" i="12" s="1"/>
  <c r="BD120" i="12"/>
  <c r="BE120" i="12" s="1"/>
  <c r="AI120" i="12"/>
  <c r="AL120" i="12"/>
  <c r="AM120" i="12" s="1"/>
  <c r="AN120" i="12" s="1"/>
  <c r="BG128" i="12"/>
  <c r="BL128" i="12" s="1"/>
  <c r="AO128" i="12"/>
  <c r="AP128" i="12" s="1"/>
  <c r="AQ128" i="12" s="1"/>
  <c r="AR128" i="12"/>
  <c r="AS128" i="12" s="1"/>
  <c r="AT128" i="12" s="1"/>
  <c r="AI128" i="12"/>
  <c r="AX128" i="12"/>
  <c r="BA128" i="12"/>
  <c r="BB128" i="12" s="1"/>
  <c r="BA136" i="12"/>
  <c r="BB136" i="12" s="1"/>
  <c r="AI136" i="12"/>
  <c r="AO136" i="12"/>
  <c r="AP136" i="12" s="1"/>
  <c r="AQ136" i="12" s="1"/>
  <c r="BD136" i="12"/>
  <c r="BE136" i="12" s="1"/>
  <c r="BG136" i="12"/>
  <c r="BA140" i="12"/>
  <c r="BB140" i="12" s="1"/>
  <c r="AI140" i="12"/>
  <c r="AJ140" i="12" s="1"/>
  <c r="AR140" i="12"/>
  <c r="AS140" i="12" s="1"/>
  <c r="AT140" i="12" s="1"/>
  <c r="BG140" i="12"/>
  <c r="AL140" i="12"/>
  <c r="AM140" i="12" s="1"/>
  <c r="AN140" i="12" s="1"/>
  <c r="AX140" i="12"/>
  <c r="AU140" i="12"/>
  <c r="BA144" i="12"/>
  <c r="BB144" i="12" s="1"/>
  <c r="AI144" i="12"/>
  <c r="AJ144" i="12" s="1"/>
  <c r="AU144" i="12"/>
  <c r="AL144" i="12"/>
  <c r="AM144" i="12" s="1"/>
  <c r="AN144" i="12" s="1"/>
  <c r="AR144" i="12"/>
  <c r="AS144" i="12" s="1"/>
  <c r="AT144" i="12" s="1"/>
  <c r="AX144" i="12"/>
  <c r="BG144" i="12"/>
  <c r="AO144" i="12"/>
  <c r="AP144" i="12" s="1"/>
  <c r="AQ144" i="12" s="1"/>
  <c r="BA148" i="12"/>
  <c r="BB148" i="12" s="1"/>
  <c r="AI148" i="12"/>
  <c r="AJ148" i="12" s="1"/>
  <c r="AX148" i="12"/>
  <c r="AU148" i="12"/>
  <c r="AO148" i="12"/>
  <c r="AP148" i="12" s="1"/>
  <c r="AQ148" i="12" s="1"/>
  <c r="AL148" i="12"/>
  <c r="AM148" i="12" s="1"/>
  <c r="AN148" i="12" s="1"/>
  <c r="BG148" i="12"/>
  <c r="BA152" i="12"/>
  <c r="BB152" i="12" s="1"/>
  <c r="BC152" i="12" s="1"/>
  <c r="AI152" i="12"/>
  <c r="AJ152" i="12" s="1"/>
  <c r="AR152" i="12"/>
  <c r="AS152" i="12" s="1"/>
  <c r="AT152" i="12" s="1"/>
  <c r="BD152" i="12"/>
  <c r="BE152" i="12" s="1"/>
  <c r="BG152" i="12"/>
  <c r="AX152" i="12"/>
  <c r="AU152" i="12"/>
  <c r="BA156" i="12"/>
  <c r="BB156" i="12" s="1"/>
  <c r="AI156" i="12"/>
  <c r="AJ156" i="12" s="1"/>
  <c r="BD156" i="12"/>
  <c r="BE156" i="12" s="1"/>
  <c r="AX156" i="12"/>
  <c r="AU156" i="12"/>
  <c r="BG156" i="12"/>
  <c r="AL156" i="12"/>
  <c r="AM156" i="12" s="1"/>
  <c r="BA160" i="12"/>
  <c r="BB160" i="12" s="1"/>
  <c r="AI160" i="12"/>
  <c r="AL160" i="12"/>
  <c r="AM160" i="12" s="1"/>
  <c r="BD160" i="12"/>
  <c r="BE160" i="12" s="1"/>
  <c r="AX160" i="12"/>
  <c r="AO160" i="12"/>
  <c r="AP160" i="12" s="1"/>
  <c r="AR160" i="12"/>
  <c r="AS160" i="12" s="1"/>
  <c r="AT160" i="12" s="1"/>
  <c r="BG160" i="12"/>
  <c r="BA164" i="12"/>
  <c r="BB164" i="12" s="1"/>
  <c r="AI164" i="12"/>
  <c r="BS164" i="12" s="1"/>
  <c r="BT164" i="12" s="1"/>
  <c r="AO164" i="12"/>
  <c r="AP164" i="12" s="1"/>
  <c r="BG164" i="12"/>
  <c r="BD164" i="12"/>
  <c r="BE164" i="12" s="1"/>
  <c r="AR164" i="12"/>
  <c r="AS164" i="12" s="1"/>
  <c r="AT164" i="12" s="1"/>
  <c r="AX164" i="12"/>
  <c r="BA168" i="12"/>
  <c r="BB168" i="12" s="1"/>
  <c r="AI168" i="12"/>
  <c r="AJ168" i="12" s="1"/>
  <c r="AO168" i="12"/>
  <c r="AP168" i="12" s="1"/>
  <c r="BG168" i="12"/>
  <c r="AU168" i="12"/>
  <c r="BD168" i="12"/>
  <c r="BE168" i="12" s="1"/>
  <c r="AX168" i="12"/>
  <c r="BA172" i="12"/>
  <c r="BB172" i="12" s="1"/>
  <c r="AI172" i="12"/>
  <c r="AJ172" i="12" s="1"/>
  <c r="AR172" i="12"/>
  <c r="AS172" i="12" s="1"/>
  <c r="AT172" i="12" s="1"/>
  <c r="AL172" i="12"/>
  <c r="AM172" i="12" s="1"/>
  <c r="AN172" i="12" s="1"/>
  <c r="BD172" i="12"/>
  <c r="BE172" i="12" s="1"/>
  <c r="BF172" i="12" s="1"/>
  <c r="AX172" i="12"/>
  <c r="AU172" i="12"/>
  <c r="BA176" i="12"/>
  <c r="BB176" i="12" s="1"/>
  <c r="AI176" i="12"/>
  <c r="AJ176" i="12" s="1"/>
  <c r="AU176" i="12"/>
  <c r="AO176" i="12"/>
  <c r="AP176" i="12" s="1"/>
  <c r="BD176" i="12"/>
  <c r="BE176" i="12" s="1"/>
  <c r="BG176" i="12"/>
  <c r="AX176" i="12"/>
  <c r="AR176" i="12"/>
  <c r="AS176" i="12" s="1"/>
  <c r="AT176" i="12" s="1"/>
  <c r="AL176" i="12"/>
  <c r="AM176" i="12" s="1"/>
  <c r="BA180" i="12"/>
  <c r="AI180" i="12"/>
  <c r="AJ180" i="12" s="1"/>
  <c r="AU180" i="12"/>
  <c r="AO180" i="12"/>
  <c r="AP180" i="12" s="1"/>
  <c r="BD180" i="12"/>
  <c r="BE180" i="12" s="1"/>
  <c r="AL180" i="12"/>
  <c r="AM180" i="12" s="1"/>
  <c r="AR180" i="12"/>
  <c r="AS180" i="12" s="1"/>
  <c r="AT180" i="12" s="1"/>
  <c r="BA184" i="12"/>
  <c r="AI184" i="12"/>
  <c r="AJ184" i="12" s="1"/>
  <c r="AK184" i="12" s="1"/>
  <c r="BD184" i="12"/>
  <c r="BE184" i="12" s="1"/>
  <c r="BF184" i="12" s="1"/>
  <c r="AL184" i="12"/>
  <c r="AM184" i="12" s="1"/>
  <c r="AN184" i="12" s="1"/>
  <c r="AR184" i="12"/>
  <c r="AS184" i="12" s="1"/>
  <c r="AT184" i="12" s="1"/>
  <c r="AU184" i="12"/>
  <c r="BG184" i="12"/>
  <c r="BA188" i="12"/>
  <c r="BB188" i="12" s="1"/>
  <c r="AI188" i="12"/>
  <c r="AJ188" i="12" s="1"/>
  <c r="BG188" i="12"/>
  <c r="AL188" i="12"/>
  <c r="AM188" i="12" s="1"/>
  <c r="AX188" i="12"/>
  <c r="BD188" i="12"/>
  <c r="BE188" i="12" s="1"/>
  <c r="AU188" i="12"/>
  <c r="AO188" i="12"/>
  <c r="AP188" i="12" s="1"/>
  <c r="I191" i="8"/>
  <c r="C191" i="8" s="1"/>
  <c r="BA192" i="12"/>
  <c r="BB192" i="12" s="1"/>
  <c r="BC192" i="12" s="1"/>
  <c r="AI192" i="12"/>
  <c r="AJ192" i="12" s="1"/>
  <c r="AK192" i="12" s="1"/>
  <c r="AO192" i="12"/>
  <c r="AP192" i="12" s="1"/>
  <c r="AQ192" i="12" s="1"/>
  <c r="AR192" i="12"/>
  <c r="AS192" i="12" s="1"/>
  <c r="AT192" i="12" s="1"/>
  <c r="BG192" i="12"/>
  <c r="AU192" i="12"/>
  <c r="AX192" i="12"/>
  <c r="AL192" i="12"/>
  <c r="AM192" i="12" s="1"/>
  <c r="AN192" i="12" s="1"/>
  <c r="BA196" i="12"/>
  <c r="AI196" i="12"/>
  <c r="AJ196" i="12" s="1"/>
  <c r="AU196" i="12"/>
  <c r="BG196" i="12"/>
  <c r="AL196" i="12"/>
  <c r="AM196" i="12" s="1"/>
  <c r="BD196" i="12"/>
  <c r="BE196" i="12" s="1"/>
  <c r="BA200" i="12"/>
  <c r="AI200" i="12"/>
  <c r="AJ200" i="12" s="1"/>
  <c r="BD200" i="12"/>
  <c r="BE200" i="12" s="1"/>
  <c r="BG200" i="12"/>
  <c r="AR200" i="12"/>
  <c r="AS200" i="12" s="1"/>
  <c r="AT200" i="12" s="1"/>
  <c r="AL200" i="12"/>
  <c r="AM200" i="12" s="1"/>
  <c r="BA204" i="12"/>
  <c r="BB204" i="12" s="1"/>
  <c r="AI204" i="12"/>
  <c r="AJ204" i="12" s="1"/>
  <c r="BG204" i="12"/>
  <c r="AL204" i="12"/>
  <c r="AM204" i="12" s="1"/>
  <c r="AX204" i="12"/>
  <c r="AU204" i="12"/>
  <c r="AR204" i="12"/>
  <c r="AS204" i="12" s="1"/>
  <c r="AT204" i="12" s="1"/>
  <c r="BA208" i="12"/>
  <c r="BB208" i="12" s="1"/>
  <c r="BC208" i="12" s="1"/>
  <c r="AI208" i="12"/>
  <c r="AJ208" i="12" s="1"/>
  <c r="AK208" i="12" s="1"/>
  <c r="AO208" i="12"/>
  <c r="AP208" i="12" s="1"/>
  <c r="AQ208" i="12" s="1"/>
  <c r="AR208" i="12"/>
  <c r="AS208" i="12" s="1"/>
  <c r="AT208" i="12" s="1"/>
  <c r="BG208" i="12"/>
  <c r="BD208" i="12"/>
  <c r="BE208" i="12" s="1"/>
  <c r="BF208" i="12" s="1"/>
  <c r="BA212" i="12"/>
  <c r="AI212" i="12"/>
  <c r="AJ212" i="12" s="1"/>
  <c r="AK212" i="12" s="1"/>
  <c r="AU212" i="12"/>
  <c r="BG212" i="12"/>
  <c r="AL212" i="12"/>
  <c r="AM212" i="12" s="1"/>
  <c r="AN212" i="12" s="1"/>
  <c r="AR212" i="12"/>
  <c r="AS212" i="12" s="1"/>
  <c r="AT212" i="12" s="1"/>
  <c r="AX216" i="12"/>
  <c r="AU216" i="12"/>
  <c r="AR216" i="12"/>
  <c r="AS216" i="12" s="1"/>
  <c r="AT216" i="12" s="1"/>
  <c r="AI216" i="12"/>
  <c r="AJ216" i="12" s="1"/>
  <c r="AO216" i="12"/>
  <c r="AP216" i="12" s="1"/>
  <c r="AL216" i="12"/>
  <c r="AM216" i="12" s="1"/>
  <c r="BD216" i="12"/>
  <c r="BE216" i="12" s="1"/>
  <c r="BF216" i="12" s="1"/>
  <c r="BG216" i="12"/>
  <c r="BA220" i="12"/>
  <c r="BB220" i="12" s="1"/>
  <c r="AX220" i="12"/>
  <c r="BD220" i="12"/>
  <c r="BE220" i="12" s="1"/>
  <c r="AU220" i="12"/>
  <c r="AR220" i="12"/>
  <c r="AS220" i="12" s="1"/>
  <c r="AT220" i="12" s="1"/>
  <c r="BG220" i="12"/>
  <c r="AX228" i="12"/>
  <c r="AU228" i="12"/>
  <c r="AL228" i="12"/>
  <c r="AM228" i="12" s="1"/>
  <c r="AO228" i="12"/>
  <c r="AP228" i="12" s="1"/>
  <c r="AI228" i="12"/>
  <c r="AJ228" i="12" s="1"/>
  <c r="BD228" i="12"/>
  <c r="BE228" i="12" s="1"/>
  <c r="AR228" i="12"/>
  <c r="AS228" i="12" s="1"/>
  <c r="AT228" i="12" s="1"/>
  <c r="BA228" i="12"/>
  <c r="BB228" i="12" s="1"/>
  <c r="BD240" i="12"/>
  <c r="BE240" i="12" s="1"/>
  <c r="AL240" i="12"/>
  <c r="AM240" i="12" s="1"/>
  <c r="BG240" i="12"/>
  <c r="AI240" i="12"/>
  <c r="AJ240" i="12" s="1"/>
  <c r="AO240" i="12"/>
  <c r="AP240" i="12" s="1"/>
  <c r="BA240" i="12"/>
  <c r="BB240" i="12" s="1"/>
  <c r="AR240" i="12"/>
  <c r="AS240" i="12" s="1"/>
  <c r="AT240" i="12" s="1"/>
  <c r="AX240" i="12"/>
  <c r="AU240" i="12"/>
  <c r="AX244" i="12"/>
  <c r="AU244" i="12"/>
  <c r="AR244" i="12"/>
  <c r="AS244" i="12" s="1"/>
  <c r="AT244" i="12" s="1"/>
  <c r="BG244" i="12"/>
  <c r="AI244" i="12"/>
  <c r="AJ244" i="12" s="1"/>
  <c r="BD244" i="12"/>
  <c r="BE244" i="12" s="1"/>
  <c r="BA244" i="12"/>
  <c r="BB244" i="12" s="1"/>
  <c r="AO244" i="12"/>
  <c r="AP244" i="12" s="1"/>
  <c r="AX248" i="12"/>
  <c r="BA248" i="12"/>
  <c r="BB248" i="12" s="1"/>
  <c r="AU248" i="12"/>
  <c r="AL248" i="12"/>
  <c r="AM248" i="12" s="1"/>
  <c r="AR248" i="12"/>
  <c r="AS248" i="12" s="1"/>
  <c r="AT248" i="12" s="1"/>
  <c r="AI248" i="12"/>
  <c r="AJ248" i="12" s="1"/>
  <c r="BD248" i="12"/>
  <c r="BE248" i="12" s="1"/>
  <c r="AX252" i="12"/>
  <c r="BD252" i="12"/>
  <c r="BE252" i="12" s="1"/>
  <c r="AI252" i="12"/>
  <c r="AJ252" i="12" s="1"/>
  <c r="BG252" i="12"/>
  <c r="AL252" i="12"/>
  <c r="AM252" i="12" s="1"/>
  <c r="AU252" i="12"/>
  <c r="BA252" i="12"/>
  <c r="BB252" i="12" s="1"/>
  <c r="AR252" i="12"/>
  <c r="AS252" i="12" s="1"/>
  <c r="AT252" i="12" s="1"/>
  <c r="AX256" i="12"/>
  <c r="BD256" i="12"/>
  <c r="BE256" i="12" s="1"/>
  <c r="AI256" i="12"/>
  <c r="AJ256" i="12" s="1"/>
  <c r="BA256" i="12"/>
  <c r="BB256" i="12" s="1"/>
  <c r="AU256" i="12"/>
  <c r="AL256" i="12"/>
  <c r="AM256" i="12" s="1"/>
  <c r="AN256" i="12" s="1"/>
  <c r="AX260" i="12"/>
  <c r="BG260" i="12"/>
  <c r="AL260" i="12"/>
  <c r="AM260" i="12" s="1"/>
  <c r="AR260" i="12"/>
  <c r="AS260" i="12" s="1"/>
  <c r="AT260" i="12" s="1"/>
  <c r="AO260" i="12"/>
  <c r="AP260" i="12" s="1"/>
  <c r="BD260" i="12"/>
  <c r="BE260" i="12" s="1"/>
  <c r="BA260" i="12"/>
  <c r="BB260" i="12" s="1"/>
  <c r="AR264" i="12"/>
  <c r="AS264" i="12" s="1"/>
  <c r="AT264" i="12" s="1"/>
  <c r="BD264" i="12"/>
  <c r="BE264" i="12" s="1"/>
  <c r="BG264" i="12"/>
  <c r="BA264" i="12"/>
  <c r="BB264" i="12" s="1"/>
  <c r="AO264" i="12"/>
  <c r="AP264" i="12" s="1"/>
  <c r="AQ264" i="12" s="1"/>
  <c r="AL264" i="12"/>
  <c r="AM264" i="12" s="1"/>
  <c r="AN264" i="12" s="1"/>
  <c r="AI264" i="12"/>
  <c r="AJ264" i="12" s="1"/>
  <c r="AX268" i="12"/>
  <c r="AU268" i="12"/>
  <c r="AL268" i="12"/>
  <c r="AM268" i="12" s="1"/>
  <c r="AN268" i="12" s="1"/>
  <c r="BG268" i="12"/>
  <c r="AI268" i="12"/>
  <c r="AJ268" i="12" s="1"/>
  <c r="AR268" i="12"/>
  <c r="AS268" i="12" s="1"/>
  <c r="AT268" i="12" s="1"/>
  <c r="AO268" i="12"/>
  <c r="AP268" i="12" s="1"/>
  <c r="AQ268" i="12" s="1"/>
  <c r="BA268" i="12"/>
  <c r="BB268" i="12" s="1"/>
  <c r="BD268" i="12"/>
  <c r="BE268" i="12" s="1"/>
  <c r="AX272" i="12"/>
  <c r="AU272" i="12"/>
  <c r="BA272" i="12"/>
  <c r="BB272" i="12" s="1"/>
  <c r="AR272" i="12"/>
  <c r="AS272" i="12" s="1"/>
  <c r="AT272" i="12" s="1"/>
  <c r="BD272" i="12"/>
  <c r="BE272" i="12" s="1"/>
  <c r="AI272" i="12"/>
  <c r="AJ272" i="12" s="1"/>
  <c r="AL272" i="12"/>
  <c r="AM272" i="12" s="1"/>
  <c r="AN272" i="12" s="1"/>
  <c r="BG272" i="12"/>
  <c r="AI276" i="12"/>
  <c r="AJ276" i="12" s="1"/>
  <c r="BD276" i="12"/>
  <c r="BE276" i="12" s="1"/>
  <c r="BA276" i="12"/>
  <c r="BB276" i="12" s="1"/>
  <c r="BG276" i="12"/>
  <c r="AX276" i="12"/>
  <c r="AR276" i="12"/>
  <c r="AS276" i="12" s="1"/>
  <c r="AT276" i="12" s="1"/>
  <c r="AL276" i="12"/>
  <c r="AM276" i="12" s="1"/>
  <c r="AU276" i="12"/>
  <c r="BG280" i="12"/>
  <c r="AL280" i="12"/>
  <c r="AM280" i="12" s="1"/>
  <c r="AI280" i="12"/>
  <c r="AJ280" i="12" s="1"/>
  <c r="BD280" i="12"/>
  <c r="BE280" i="12" s="1"/>
  <c r="BA280" i="12"/>
  <c r="BB280" i="12" s="1"/>
  <c r="AX280" i="12"/>
  <c r="AU280" i="12"/>
  <c r="AO280" i="12"/>
  <c r="AP280" i="12" s="1"/>
  <c r="AR280" i="12"/>
  <c r="AS280" i="12" s="1"/>
  <c r="AT280" i="12" s="1"/>
  <c r="AO284" i="12"/>
  <c r="AP284" i="12" s="1"/>
  <c r="AQ284" i="12" s="1"/>
  <c r="BG284" i="12"/>
  <c r="AL284" i="12"/>
  <c r="AM284" i="12" s="1"/>
  <c r="AN284" i="12" s="1"/>
  <c r="AX284" i="12"/>
  <c r="AU284" i="12"/>
  <c r="AR284" i="12"/>
  <c r="AS284" i="12" s="1"/>
  <c r="AT284" i="12" s="1"/>
  <c r="AI284" i="12"/>
  <c r="AJ284" i="12" s="1"/>
  <c r="AK284" i="12" s="1"/>
  <c r="AU288" i="12"/>
  <c r="AI288" i="12"/>
  <c r="AJ288" i="12" s="1"/>
  <c r="BA288" i="12"/>
  <c r="BB288" i="12" s="1"/>
  <c r="AR288" i="12"/>
  <c r="AS288" i="12" s="1"/>
  <c r="AT288" i="12" s="1"/>
  <c r="AL288" i="12"/>
  <c r="AM288" i="12" s="1"/>
  <c r="AX288" i="12"/>
  <c r="AO288" i="12"/>
  <c r="AP288" i="12" s="1"/>
  <c r="BG288" i="12"/>
  <c r="BD288" i="12"/>
  <c r="BE288" i="12" s="1"/>
  <c r="AU292" i="12"/>
  <c r="AL292" i="12"/>
  <c r="AM292" i="12" s="1"/>
  <c r="AN292" i="12" s="1"/>
  <c r="BD292" i="12"/>
  <c r="BE292" i="12" s="1"/>
  <c r="AX292" i="12"/>
  <c r="AR292" i="12"/>
  <c r="AS292" i="12" s="1"/>
  <c r="AT292" i="12" s="1"/>
  <c r="BA292" i="12"/>
  <c r="BB292" i="12" s="1"/>
  <c r="AO292" i="12"/>
  <c r="AP292" i="12" s="1"/>
  <c r="AQ292" i="12" s="1"/>
  <c r="BG296" i="12"/>
  <c r="AL296" i="12"/>
  <c r="AM296" i="12" s="1"/>
  <c r="AR296" i="12"/>
  <c r="AS296" i="12" s="1"/>
  <c r="AT296" i="12" s="1"/>
  <c r="AX296" i="12"/>
  <c r="AU296" i="12"/>
  <c r="AO296" i="12"/>
  <c r="AP296" i="12" s="1"/>
  <c r="AI296" i="12"/>
  <c r="AJ296" i="12" s="1"/>
  <c r="BA296" i="12"/>
  <c r="BB296" i="12" s="1"/>
  <c r="BA300" i="12"/>
  <c r="BB300" i="12" s="1"/>
  <c r="AO300" i="12"/>
  <c r="AP300" i="12" s="1"/>
  <c r="AQ300" i="12" s="1"/>
  <c r="AR300" i="12"/>
  <c r="AS300" i="12" s="1"/>
  <c r="AT300" i="12" s="1"/>
  <c r="AL300" i="12"/>
  <c r="AM300" i="12" s="1"/>
  <c r="AN300" i="12" s="1"/>
  <c r="AX300" i="12"/>
  <c r="AU300" i="12"/>
  <c r="BD300" i="12"/>
  <c r="BE300" i="12" s="1"/>
  <c r="BA304" i="12"/>
  <c r="BB304" i="12" s="1"/>
  <c r="AO304" i="12"/>
  <c r="AP304" i="12" s="1"/>
  <c r="AQ304" i="12" s="1"/>
  <c r="BD304" i="12"/>
  <c r="BE304" i="12" s="1"/>
  <c r="AX304" i="12"/>
  <c r="AU304" i="12"/>
  <c r="BG304" i="12"/>
  <c r="AR304" i="12"/>
  <c r="AS304" i="12" s="1"/>
  <c r="AT304" i="12" s="1"/>
  <c r="AI304" i="12"/>
  <c r="AJ304" i="12" s="1"/>
  <c r="AL304" i="12"/>
  <c r="AM304" i="12" s="1"/>
  <c r="AN304" i="12" s="1"/>
  <c r="AL308" i="12"/>
  <c r="AM308" i="12" s="1"/>
  <c r="AN308" i="12" s="1"/>
  <c r="AO308" i="12"/>
  <c r="AP308" i="12" s="1"/>
  <c r="AQ308" i="12" s="1"/>
  <c r="BA308" i="12"/>
  <c r="BB308" i="12" s="1"/>
  <c r="AU308" i="12"/>
  <c r="AR308" i="12"/>
  <c r="AS308" i="12" s="1"/>
  <c r="AT308" i="12" s="1"/>
  <c r="BG308" i="12"/>
  <c r="BD308" i="12"/>
  <c r="BE308" i="12" s="1"/>
  <c r="BA312" i="12"/>
  <c r="BB312" i="12" s="1"/>
  <c r="BD312" i="12"/>
  <c r="BE312" i="12" s="1"/>
  <c r="AI312" i="12"/>
  <c r="AJ312" i="12" s="1"/>
  <c r="AO312" i="12"/>
  <c r="AP312" i="12" s="1"/>
  <c r="AL312" i="12"/>
  <c r="AM312" i="12" s="1"/>
  <c r="AX312" i="12"/>
  <c r="AR316" i="12"/>
  <c r="AS316" i="12" s="1"/>
  <c r="AT316" i="12" s="1"/>
  <c r="AX316" i="12"/>
  <c r="AU316" i="12"/>
  <c r="AL316" i="12"/>
  <c r="AM316" i="12" s="1"/>
  <c r="AN316" i="12" s="1"/>
  <c r="BD316" i="12"/>
  <c r="BE316" i="12" s="1"/>
  <c r="BF316" i="12" s="1"/>
  <c r="BA316" i="12"/>
  <c r="BB316" i="12" s="1"/>
  <c r="BC316" i="12" s="1"/>
  <c r="BG316" i="12"/>
  <c r="AO316" i="12"/>
  <c r="AP316" i="12" s="1"/>
  <c r="AQ316" i="12" s="1"/>
  <c r="AI316" i="12"/>
  <c r="AJ316" i="12" s="1"/>
  <c r="AK316" i="12" s="1"/>
  <c r="I319" i="8"/>
  <c r="C319" i="8" s="1"/>
  <c r="AR320" i="12"/>
  <c r="AS320" i="12" s="1"/>
  <c r="AT320" i="12" s="1"/>
  <c r="AX320" i="12"/>
  <c r="AL320" i="12"/>
  <c r="AM320" i="12" s="1"/>
  <c r="BG320" i="12"/>
  <c r="BA320" i="12"/>
  <c r="BB320" i="12" s="1"/>
  <c r="AU320" i="12"/>
  <c r="AO320" i="12"/>
  <c r="AP320" i="12" s="1"/>
  <c r="BD320" i="12"/>
  <c r="BE320" i="12" s="1"/>
  <c r="AI320" i="12"/>
  <c r="AJ320" i="12" s="1"/>
  <c r="AR324" i="12"/>
  <c r="AS324" i="12" s="1"/>
  <c r="AT324" i="12" s="1"/>
  <c r="BD324" i="12"/>
  <c r="BE324" i="12" s="1"/>
  <c r="BA324" i="12"/>
  <c r="BB324" i="12" s="1"/>
  <c r="BG324" i="12"/>
  <c r="AI324" i="12"/>
  <c r="AJ324" i="12" s="1"/>
  <c r="AX324" i="12"/>
  <c r="AU324" i="12"/>
  <c r="AO324" i="12"/>
  <c r="AP324" i="12" s="1"/>
  <c r="AL324" i="12"/>
  <c r="AM324" i="12" s="1"/>
  <c r="BA328" i="12"/>
  <c r="BB328" i="12" s="1"/>
  <c r="AR328" i="12"/>
  <c r="AS328" i="12" s="1"/>
  <c r="AT328" i="12" s="1"/>
  <c r="AO328" i="12"/>
  <c r="AP328" i="12" s="1"/>
  <c r="AQ328" i="12" s="1"/>
  <c r="AL328" i="12"/>
  <c r="AM328" i="12" s="1"/>
  <c r="AN328" i="12" s="1"/>
  <c r="AI328" i="12"/>
  <c r="AJ328" i="12" s="1"/>
  <c r="BG328" i="12"/>
  <c r="BD328" i="12"/>
  <c r="BE328" i="12" s="1"/>
  <c r="AU328" i="12"/>
  <c r="AX328" i="12"/>
  <c r="BA332" i="12"/>
  <c r="BB332" i="12" s="1"/>
  <c r="AU332" i="12"/>
  <c r="AR332" i="12"/>
  <c r="AS332" i="12" s="1"/>
  <c r="AT332" i="12" s="1"/>
  <c r="AI332" i="12"/>
  <c r="AJ332" i="12" s="1"/>
  <c r="BG332" i="12"/>
  <c r="AO332" i="12"/>
  <c r="AP332" i="12" s="1"/>
  <c r="AQ332" i="12" s="1"/>
  <c r="AL332" i="12"/>
  <c r="AM332" i="12" s="1"/>
  <c r="AN332" i="12" s="1"/>
  <c r="AX332" i="12"/>
  <c r="BD332" i="12"/>
  <c r="BE332" i="12" s="1"/>
  <c r="BD336" i="12"/>
  <c r="BE336" i="12" s="1"/>
  <c r="AO336" i="12"/>
  <c r="AP336" i="12" s="1"/>
  <c r="BG336" i="12"/>
  <c r="AX336" i="12"/>
  <c r="AU336" i="12"/>
  <c r="AR336" i="12"/>
  <c r="AS336" i="12" s="1"/>
  <c r="AT336" i="12" s="1"/>
  <c r="AI336" i="12"/>
  <c r="AJ336" i="12" s="1"/>
  <c r="BA336" i="12"/>
  <c r="BB336" i="12" s="1"/>
  <c r="AL336" i="12"/>
  <c r="AM336" i="12" s="1"/>
  <c r="BD340" i="12"/>
  <c r="BE340" i="12" s="1"/>
  <c r="AU340" i="12"/>
  <c r="AR340" i="12"/>
  <c r="AS340" i="12" s="1"/>
  <c r="AT340" i="12" s="1"/>
  <c r="BA340" i="12"/>
  <c r="BB340" i="12" s="1"/>
  <c r="AO340" i="12"/>
  <c r="AP340" i="12" s="1"/>
  <c r="AQ340" i="12" s="1"/>
  <c r="AI340" i="12"/>
  <c r="AJ340" i="12" s="1"/>
  <c r="BG340" i="12"/>
  <c r="AL340" i="12"/>
  <c r="AM340" i="12" s="1"/>
  <c r="AN340" i="12" s="1"/>
  <c r="AO344" i="12"/>
  <c r="AP344" i="12" s="1"/>
  <c r="AQ344" i="12" s="1"/>
  <c r="AL344" i="12"/>
  <c r="AM344" i="12" s="1"/>
  <c r="AN344" i="12" s="1"/>
  <c r="BG344" i="12"/>
  <c r="AI344" i="12"/>
  <c r="AJ344" i="12" s="1"/>
  <c r="BD344" i="12"/>
  <c r="BE344" i="12" s="1"/>
  <c r="BA344" i="12"/>
  <c r="BB344" i="12" s="1"/>
  <c r="AR344" i="12"/>
  <c r="AS344" i="12" s="1"/>
  <c r="AT344" i="12" s="1"/>
  <c r="AU344" i="12"/>
  <c r="AX344" i="12"/>
  <c r="AO348" i="12"/>
  <c r="AP348" i="12" s="1"/>
  <c r="AQ348" i="12" s="1"/>
  <c r="BG348" i="12"/>
  <c r="AR348" i="12"/>
  <c r="AS348" i="12" s="1"/>
  <c r="AT348" i="12" s="1"/>
  <c r="BA348" i="12"/>
  <c r="BB348" i="12" s="1"/>
  <c r="AL348" i="12"/>
  <c r="AM348" i="12" s="1"/>
  <c r="AN348" i="12" s="1"/>
  <c r="AI348" i="12"/>
  <c r="AJ348" i="12" s="1"/>
  <c r="BD348" i="12"/>
  <c r="BE348" i="12" s="1"/>
  <c r="AX348" i="12"/>
  <c r="AU348" i="12"/>
  <c r="AR352" i="12"/>
  <c r="AS352" i="12" s="1"/>
  <c r="AT352" i="12" s="1"/>
  <c r="AX352" i="12"/>
  <c r="AO352" i="12"/>
  <c r="AP352" i="12" s="1"/>
  <c r="BG352" i="12"/>
  <c r="BD352" i="12"/>
  <c r="BE352" i="12" s="1"/>
  <c r="AU352" i="12"/>
  <c r="AI352" i="12"/>
  <c r="AJ352" i="12" s="1"/>
  <c r="BA352" i="12"/>
  <c r="BB352" i="12" s="1"/>
  <c r="AL352" i="12"/>
  <c r="AM352" i="12" s="1"/>
  <c r="BG356" i="12"/>
  <c r="AR356" i="12"/>
  <c r="AS356" i="12" s="1"/>
  <c r="AT356" i="12" s="1"/>
  <c r="AO356" i="12"/>
  <c r="AP356" i="12" s="1"/>
  <c r="AQ356" i="12" s="1"/>
  <c r="AI356" i="12"/>
  <c r="AJ356" i="12" s="1"/>
  <c r="AK356" i="12" s="1"/>
  <c r="BD356" i="12"/>
  <c r="BE356" i="12" s="1"/>
  <c r="BF356" i="12" s="1"/>
  <c r="AX356" i="12"/>
  <c r="AU356" i="12"/>
  <c r="AL356" i="12"/>
  <c r="AM356" i="12" s="1"/>
  <c r="AN356" i="12" s="1"/>
  <c r="BA356" i="12"/>
  <c r="BB356" i="12" s="1"/>
  <c r="BC356" i="12" s="1"/>
  <c r="AL360" i="12"/>
  <c r="AM360" i="12" s="1"/>
  <c r="BD360" i="12"/>
  <c r="BE360" i="12" s="1"/>
  <c r="AI360" i="12"/>
  <c r="AJ360" i="12" s="1"/>
  <c r="BG360" i="12"/>
  <c r="AR360" i="12"/>
  <c r="AS360" i="12" s="1"/>
  <c r="AT360" i="12" s="1"/>
  <c r="AX360" i="12"/>
  <c r="AU360" i="12"/>
  <c r="AO360" i="12"/>
  <c r="AP360" i="12" s="1"/>
  <c r="AR364" i="12"/>
  <c r="AS364" i="12" s="1"/>
  <c r="AT364" i="12" s="1"/>
  <c r="AL364" i="12"/>
  <c r="AM364" i="12" s="1"/>
  <c r="AN364" i="12" s="1"/>
  <c r="BG364" i="12"/>
  <c r="AI364" i="12"/>
  <c r="AJ364" i="12" s="1"/>
  <c r="BA364" i="12"/>
  <c r="BB364" i="12" s="1"/>
  <c r="AO364" i="12"/>
  <c r="AP364" i="12" s="1"/>
  <c r="AQ364" i="12" s="1"/>
  <c r="BD364" i="12"/>
  <c r="BE364" i="12" s="1"/>
  <c r="AX368" i="12"/>
  <c r="BG368" i="12"/>
  <c r="AU368" i="12"/>
  <c r="AR368" i="12"/>
  <c r="AS368" i="12" s="1"/>
  <c r="AT368" i="12" s="1"/>
  <c r="AO368" i="12"/>
  <c r="AP368" i="12" s="1"/>
  <c r="AQ368" i="12" s="1"/>
  <c r="BD368" i="12"/>
  <c r="BE368" i="12" s="1"/>
  <c r="AI368" i="12"/>
  <c r="AJ368" i="12" s="1"/>
  <c r="BA368" i="12"/>
  <c r="BB368" i="12" s="1"/>
  <c r="BA372" i="12"/>
  <c r="BB372" i="12" s="1"/>
  <c r="BC372" i="12" s="1"/>
  <c r="AX372" i="12"/>
  <c r="AU372" i="12"/>
  <c r="AR372" i="12"/>
  <c r="AS372" i="12" s="1"/>
  <c r="AT372" i="12" s="1"/>
  <c r="AO372" i="12"/>
  <c r="AP372" i="12" s="1"/>
  <c r="AQ372" i="12" s="1"/>
  <c r="AI372" i="12"/>
  <c r="AJ372" i="12" s="1"/>
  <c r="AK372" i="12" s="1"/>
  <c r="BD372" i="12"/>
  <c r="BE372" i="12" s="1"/>
  <c r="BF372" i="12" s="1"/>
  <c r="BG372" i="12"/>
  <c r="AL372" i="12"/>
  <c r="AM372" i="12" s="1"/>
  <c r="AN372" i="12" s="1"/>
  <c r="AR376" i="12"/>
  <c r="AS376" i="12" s="1"/>
  <c r="AT376" i="12" s="1"/>
  <c r="BA376" i="12"/>
  <c r="BB376" i="12" s="1"/>
  <c r="AX376" i="12"/>
  <c r="AL376" i="12"/>
  <c r="AM376" i="12" s="1"/>
  <c r="AN376" i="12" s="1"/>
  <c r="BG376" i="12"/>
  <c r="AI376" i="12"/>
  <c r="AJ376" i="12" s="1"/>
  <c r="AK376" i="12" s="1"/>
  <c r="BD376" i="12"/>
  <c r="BE376" i="12" s="1"/>
  <c r="AO376" i="12"/>
  <c r="AP376" i="12" s="1"/>
  <c r="AQ376" i="12" s="1"/>
  <c r="AX380" i="12"/>
  <c r="BG380" i="12"/>
  <c r="AI380" i="12"/>
  <c r="AJ380" i="12" s="1"/>
  <c r="AK380" i="12" s="1"/>
  <c r="BD380" i="12"/>
  <c r="BE380" i="12" s="1"/>
  <c r="AL380" i="12"/>
  <c r="AM380" i="12" s="1"/>
  <c r="AN380" i="12" s="1"/>
  <c r="AR380" i="12"/>
  <c r="AS380" i="12" s="1"/>
  <c r="AT380" i="12" s="1"/>
  <c r="AO380" i="12"/>
  <c r="AP380" i="12" s="1"/>
  <c r="AQ380" i="12" s="1"/>
  <c r="AU380" i="12"/>
  <c r="BA380" i="12"/>
  <c r="BB380" i="12" s="1"/>
  <c r="AX384" i="12"/>
  <c r="AU384" i="12"/>
  <c r="AR384" i="12"/>
  <c r="AS384" i="12" s="1"/>
  <c r="AT384" i="12" s="1"/>
  <c r="AO384" i="12"/>
  <c r="AP384" i="12" s="1"/>
  <c r="AQ384" i="12" s="1"/>
  <c r="BA384" i="12"/>
  <c r="BB384" i="12" s="1"/>
  <c r="BC384" i="12" s="1"/>
  <c r="AI384" i="12"/>
  <c r="AJ384" i="12" s="1"/>
  <c r="AK384" i="12" s="1"/>
  <c r="AL384" i="12"/>
  <c r="AM384" i="12" s="1"/>
  <c r="AN384" i="12" s="1"/>
  <c r="BG384" i="12"/>
  <c r="BD384" i="12"/>
  <c r="BE384" i="12" s="1"/>
  <c r="BF384" i="12" s="1"/>
  <c r="BA388" i="12"/>
  <c r="BB388" i="12" s="1"/>
  <c r="AR388" i="12"/>
  <c r="AS388" i="12" s="1"/>
  <c r="AT388" i="12" s="1"/>
  <c r="AO388" i="12"/>
  <c r="AP388" i="12" s="1"/>
  <c r="AQ388" i="12" s="1"/>
  <c r="BG388" i="12"/>
  <c r="AX388" i="12"/>
  <c r="AU388" i="12"/>
  <c r="AI388" i="12"/>
  <c r="AJ388" i="12" s="1"/>
  <c r="AK388" i="12" s="1"/>
  <c r="BD388" i="12"/>
  <c r="BE388" i="12" s="1"/>
  <c r="AL388" i="12"/>
  <c r="AM388" i="12" s="1"/>
  <c r="AN388" i="12" s="1"/>
  <c r="AX392" i="12"/>
  <c r="AU392" i="12"/>
  <c r="BA392" i="12"/>
  <c r="BB392" i="12" s="1"/>
  <c r="AI392" i="12"/>
  <c r="AJ392" i="12" s="1"/>
  <c r="AK392" i="12" s="1"/>
  <c r="BG392" i="12"/>
  <c r="AR392" i="12"/>
  <c r="AS392" i="12" s="1"/>
  <c r="AT392" i="12" s="1"/>
  <c r="AO392" i="12"/>
  <c r="AP392" i="12" s="1"/>
  <c r="AQ392" i="12" s="1"/>
  <c r="AL392" i="12"/>
  <c r="AM392" i="12" s="1"/>
  <c r="AN392" i="12" s="1"/>
  <c r="BD392" i="12"/>
  <c r="BE392" i="12" s="1"/>
  <c r="AI396" i="12"/>
  <c r="AJ396" i="12" s="1"/>
  <c r="AK396" i="12" s="1"/>
  <c r="BA396" i="12"/>
  <c r="BB396" i="12" s="1"/>
  <c r="AX396" i="12"/>
  <c r="AR396" i="12"/>
  <c r="AS396" i="12" s="1"/>
  <c r="AT396" i="12" s="1"/>
  <c r="AO396" i="12"/>
  <c r="AP396" i="12" s="1"/>
  <c r="AQ396" i="12" s="1"/>
  <c r="BD396" i="12"/>
  <c r="BE396" i="12" s="1"/>
  <c r="AU396" i="12"/>
  <c r="BG396" i="12"/>
  <c r="AL396" i="12"/>
  <c r="AM396" i="12" s="1"/>
  <c r="AN396" i="12" s="1"/>
  <c r="BG400" i="12"/>
  <c r="AL400" i="12"/>
  <c r="AM400" i="12" s="1"/>
  <c r="AN400" i="12" s="1"/>
  <c r="BA400" i="12"/>
  <c r="BB400" i="12" s="1"/>
  <c r="BD400" i="12"/>
  <c r="BE400" i="12" s="1"/>
  <c r="AO400" i="12"/>
  <c r="AP400" i="12" s="1"/>
  <c r="AQ400" i="12" s="1"/>
  <c r="AX400" i="12"/>
  <c r="AU400" i="12"/>
  <c r="AR400" i="12"/>
  <c r="AS400" i="12" s="1"/>
  <c r="AT400" i="12" s="1"/>
  <c r="AI400" i="12"/>
  <c r="AJ400" i="12" s="1"/>
  <c r="AK400" i="12" s="1"/>
  <c r="AR404" i="12"/>
  <c r="AS404" i="12" s="1"/>
  <c r="AT404" i="12" s="1"/>
  <c r="AO404" i="12"/>
  <c r="AP404" i="12" s="1"/>
  <c r="AQ404" i="12" s="1"/>
  <c r="BG404" i="12"/>
  <c r="AI404" i="12"/>
  <c r="AJ404" i="12" s="1"/>
  <c r="AK404" i="12" s="1"/>
  <c r="AU404" i="12"/>
  <c r="AL404" i="12"/>
  <c r="AM404" i="12" s="1"/>
  <c r="AN404" i="12" s="1"/>
  <c r="AX404" i="12"/>
  <c r="BD404" i="12"/>
  <c r="BE404" i="12" s="1"/>
  <c r="BF404" i="12" s="1"/>
  <c r="BA404" i="12"/>
  <c r="BB404" i="12" s="1"/>
  <c r="BC404" i="12" s="1"/>
  <c r="AX408" i="12"/>
  <c r="AU408" i="12"/>
  <c r="AL408" i="12"/>
  <c r="AM408" i="12" s="1"/>
  <c r="AN408" i="12" s="1"/>
  <c r="AI408" i="12"/>
  <c r="AJ408" i="12" s="1"/>
  <c r="AK408" i="12" s="1"/>
  <c r="BA408" i="12"/>
  <c r="BB408" i="12" s="1"/>
  <c r="AR408" i="12"/>
  <c r="AS408" i="12" s="1"/>
  <c r="AT408" i="12" s="1"/>
  <c r="AO408" i="12"/>
  <c r="AP408" i="12" s="1"/>
  <c r="AQ408" i="12" s="1"/>
  <c r="BD408" i="12"/>
  <c r="BE408" i="12" s="1"/>
  <c r="BG408" i="12"/>
  <c r="AO4" i="12"/>
  <c r="AP4" i="12" s="1"/>
  <c r="AQ4" i="12" s="1"/>
  <c r="AU16" i="12"/>
  <c r="F41" i="12"/>
  <c r="F55" i="12"/>
  <c r="AO84" i="12"/>
  <c r="AP84" i="12" s="1"/>
  <c r="AQ84" i="12" s="1"/>
  <c r="AL128" i="12"/>
  <c r="AM128" i="12" s="1"/>
  <c r="AN128" i="12" s="1"/>
  <c r="AL168" i="12"/>
  <c r="AM168" i="12" s="1"/>
  <c r="AO172" i="12"/>
  <c r="AP172" i="12" s="1"/>
  <c r="AQ172" i="12" s="1"/>
  <c r="AR256" i="12"/>
  <c r="AS256" i="12" s="1"/>
  <c r="AT256" i="12" s="1"/>
  <c r="AX264" i="12"/>
  <c r="AI292" i="12"/>
  <c r="AJ292" i="12" s="1"/>
  <c r="AX340" i="12"/>
  <c r="AU376" i="12"/>
  <c r="AU208" i="12"/>
  <c r="BG228" i="12"/>
  <c r="AO248" i="12"/>
  <c r="AP248" i="12" s="1"/>
  <c r="BG256" i="12"/>
  <c r="AU260" i="12"/>
  <c r="AU364" i="12"/>
  <c r="F372" i="12"/>
  <c r="AU12" i="12"/>
  <c r="AU80" i="12"/>
  <c r="AO156" i="12"/>
  <c r="AP156" i="12" s="1"/>
  <c r="AL164" i="12"/>
  <c r="AM164" i="12" s="1"/>
  <c r="AR168" i="12"/>
  <c r="AS168" i="12" s="1"/>
  <c r="AT168" i="12" s="1"/>
  <c r="AR188" i="12"/>
  <c r="AS188" i="12" s="1"/>
  <c r="AT188" i="12" s="1"/>
  <c r="AO200" i="12"/>
  <c r="AP200" i="12" s="1"/>
  <c r="BD204" i="12"/>
  <c r="BE204" i="12" s="1"/>
  <c r="AX208" i="12"/>
  <c r="BG292" i="12"/>
  <c r="AX364" i="12"/>
  <c r="F105" i="12"/>
  <c r="F159" i="12"/>
  <c r="F107" i="12"/>
  <c r="F191" i="12"/>
  <c r="F178" i="12"/>
  <c r="F342" i="12"/>
  <c r="F316" i="12"/>
  <c r="BP406" i="12"/>
  <c r="F406" i="12"/>
  <c r="F404" i="12"/>
  <c r="F303" i="12"/>
  <c r="F377" i="12"/>
  <c r="F397" i="12"/>
  <c r="F350" i="12"/>
  <c r="F339" i="12"/>
  <c r="F363" i="12"/>
  <c r="F394" i="12"/>
  <c r="F375" i="12"/>
  <c r="F395" i="12"/>
  <c r="F407" i="12"/>
  <c r="BP407" i="12"/>
  <c r="BP409" i="12" s="1"/>
  <c r="F401" i="12"/>
  <c r="F405" i="12"/>
  <c r="D276" i="12" l="1"/>
  <c r="BF276" i="12" s="1"/>
  <c r="D278" i="1"/>
  <c r="H406" i="1"/>
  <c r="D320" i="12"/>
  <c r="D322" i="1"/>
  <c r="BH360" i="12"/>
  <c r="AH360" i="12"/>
  <c r="BO360" i="12"/>
  <c r="BN308" i="12"/>
  <c r="BL308" i="12"/>
  <c r="BS308" i="12"/>
  <c r="BT308" i="12" s="1"/>
  <c r="BQ308" i="12"/>
  <c r="BR308" i="12" s="1"/>
  <c r="AE308" i="12"/>
  <c r="BN369" i="12"/>
  <c r="AE369" i="12"/>
  <c r="BS369" i="12"/>
  <c r="BT369" i="12" s="1"/>
  <c r="BQ369" i="12"/>
  <c r="BR369" i="12" s="1"/>
  <c r="BL369" i="12"/>
  <c r="BU297" i="12"/>
  <c r="BV297" i="12" s="1"/>
  <c r="AF297" i="12"/>
  <c r="BW297" i="12"/>
  <c r="AY297" i="12"/>
  <c r="BS357" i="12"/>
  <c r="BT357" i="12" s="1"/>
  <c r="BQ357" i="12"/>
  <c r="BR357" i="12" s="1"/>
  <c r="AE357" i="12"/>
  <c r="BN357" i="12"/>
  <c r="BL357" i="12"/>
  <c r="BH209" i="12"/>
  <c r="BI209" i="12" s="1"/>
  <c r="BO209" i="12"/>
  <c r="AH209" i="12"/>
  <c r="BQ354" i="12"/>
  <c r="BR354" i="12" s="1"/>
  <c r="AE354" i="12"/>
  <c r="BL354" i="12"/>
  <c r="BS354" i="12"/>
  <c r="BT354" i="12" s="1"/>
  <c r="BN354" i="12"/>
  <c r="AH212" i="12"/>
  <c r="BO212" i="12"/>
  <c r="BH212" i="12"/>
  <c r="BI212" i="12" s="1"/>
  <c r="D137" i="12"/>
  <c r="D139" i="1"/>
  <c r="BO263" i="12"/>
  <c r="AH263" i="12"/>
  <c r="BH263" i="12"/>
  <c r="BC89" i="12"/>
  <c r="D360" i="12"/>
  <c r="D362" i="1"/>
  <c r="BH390" i="12"/>
  <c r="BI390" i="12" s="1"/>
  <c r="AH390" i="12"/>
  <c r="BO390" i="12"/>
  <c r="BN176" i="12"/>
  <c r="BQ176" i="12"/>
  <c r="BR176" i="12" s="1"/>
  <c r="BL176" i="12"/>
  <c r="AE176" i="12"/>
  <c r="BS176" i="12"/>
  <c r="BT176" i="12" s="1"/>
  <c r="D302" i="12"/>
  <c r="D304" i="1"/>
  <c r="D211" i="12"/>
  <c r="D213" i="1"/>
  <c r="BS316" i="12"/>
  <c r="BT316" i="12" s="1"/>
  <c r="BQ316" i="12"/>
  <c r="BR316" i="12" s="1"/>
  <c r="BN316" i="12"/>
  <c r="BL316" i="12"/>
  <c r="AE316" i="12"/>
  <c r="AF268" i="12"/>
  <c r="BU268" i="12"/>
  <c r="BV268" i="12" s="1"/>
  <c r="BW268" i="12"/>
  <c r="AY268" i="12"/>
  <c r="AH200" i="12"/>
  <c r="BH200" i="12"/>
  <c r="BO200" i="12"/>
  <c r="AF164" i="12"/>
  <c r="BW164" i="12"/>
  <c r="BX164" i="12" s="1"/>
  <c r="BU164" i="12"/>
  <c r="BV164" i="12" s="1"/>
  <c r="AY164" i="12"/>
  <c r="AZ164" i="12" s="1"/>
  <c r="BL164" i="12"/>
  <c r="AH156" i="12"/>
  <c r="BO156" i="12"/>
  <c r="BH156" i="12"/>
  <c r="D186" i="12"/>
  <c r="D188" i="1"/>
  <c r="BN407" i="12"/>
  <c r="BQ407" i="12"/>
  <c r="BR407" i="12" s="1"/>
  <c r="BL407" i="12"/>
  <c r="AE407" i="12"/>
  <c r="BS407" i="12"/>
  <c r="BT407" i="12" s="1"/>
  <c r="BL124" i="12"/>
  <c r="BN124" i="12"/>
  <c r="BS124" i="12"/>
  <c r="BT124" i="12" s="1"/>
  <c r="AE124" i="12"/>
  <c r="BQ124" i="12"/>
  <c r="BR124" i="12" s="1"/>
  <c r="BU184" i="12"/>
  <c r="BV184" i="12" s="1"/>
  <c r="BW60" i="12"/>
  <c r="BX60" i="12" s="1"/>
  <c r="AF60" i="12"/>
  <c r="AY60" i="12"/>
  <c r="BU60" i="12"/>
  <c r="BV60" i="12" s="1"/>
  <c r="BH159" i="12"/>
  <c r="BI159" i="12" s="1"/>
  <c r="BO159" i="12"/>
  <c r="AH159" i="12"/>
  <c r="AY185" i="12"/>
  <c r="AF185" i="12"/>
  <c r="BU185" i="12"/>
  <c r="BV185" i="12" s="1"/>
  <c r="BW185" i="12"/>
  <c r="BX185" i="12" s="1"/>
  <c r="BH326" i="12"/>
  <c r="BI326" i="12" s="1"/>
  <c r="BO326" i="12"/>
  <c r="AH326" i="12"/>
  <c r="BO219" i="12"/>
  <c r="BH219" i="12"/>
  <c r="AH219" i="12"/>
  <c r="AE153" i="12"/>
  <c r="BN153" i="12"/>
  <c r="BS153" i="12"/>
  <c r="BT153" i="12" s="1"/>
  <c r="BQ153" i="12"/>
  <c r="BR153" i="12" s="1"/>
  <c r="BL153" i="12"/>
  <c r="AQ346" i="12"/>
  <c r="AH277" i="12"/>
  <c r="BO277" i="12"/>
  <c r="BH277" i="12"/>
  <c r="AN181" i="12"/>
  <c r="BC129" i="12"/>
  <c r="AF22" i="12"/>
  <c r="BW22" i="12"/>
  <c r="BX22" i="12" s="1"/>
  <c r="AY22" i="12"/>
  <c r="BU22" i="12"/>
  <c r="BV22" i="12" s="1"/>
  <c r="BN115" i="12"/>
  <c r="AE115" i="12"/>
  <c r="BL115" i="12"/>
  <c r="BQ115" i="12"/>
  <c r="BR115" i="12" s="1"/>
  <c r="BS115" i="12"/>
  <c r="BT115" i="12" s="1"/>
  <c r="D230" i="12"/>
  <c r="AK230" i="12" s="1"/>
  <c r="D232" i="1"/>
  <c r="D220" i="12"/>
  <c r="D222" i="1"/>
  <c r="BH261" i="12"/>
  <c r="BO261" i="12"/>
  <c r="AH261" i="12"/>
  <c r="AM3" i="12"/>
  <c r="D111" i="12"/>
  <c r="D113" i="1"/>
  <c r="BL91" i="12"/>
  <c r="BS91" i="12"/>
  <c r="BT91" i="12" s="1"/>
  <c r="BQ91" i="12"/>
  <c r="BR91" i="12" s="1"/>
  <c r="AE91" i="12"/>
  <c r="BK107" i="12"/>
  <c r="H109" i="1" s="1"/>
  <c r="BU57" i="12"/>
  <c r="BV57" i="12" s="1"/>
  <c r="AF57" i="12"/>
  <c r="BW57" i="12"/>
  <c r="BX57" i="12" s="1"/>
  <c r="AY57" i="12"/>
  <c r="BK359" i="12"/>
  <c r="J11" i="1"/>
  <c r="G11" i="1"/>
  <c r="H216" i="12"/>
  <c r="O216" i="12"/>
  <c r="P216" i="12" s="1"/>
  <c r="M216" i="12"/>
  <c r="N216" i="12" s="1"/>
  <c r="Y216" i="12"/>
  <c r="Z216" i="12" s="1"/>
  <c r="W216" i="12"/>
  <c r="X216" i="12" s="1"/>
  <c r="K216" i="12"/>
  <c r="L216" i="12" s="1"/>
  <c r="J216" i="12"/>
  <c r="AA216" i="12"/>
  <c r="AB216" i="12" s="1"/>
  <c r="S216" i="12"/>
  <c r="T216" i="12" s="1"/>
  <c r="Q216" i="12"/>
  <c r="R216" i="12" s="1"/>
  <c r="BM216" i="12"/>
  <c r="AC216" i="12"/>
  <c r="AD216" i="12" s="1"/>
  <c r="BK216" i="12"/>
  <c r="H218" i="1" s="1"/>
  <c r="U216" i="12"/>
  <c r="V216" i="12" s="1"/>
  <c r="I216" i="12"/>
  <c r="G216" i="12"/>
  <c r="BC216" i="12"/>
  <c r="F216" i="12"/>
  <c r="BR90" i="12"/>
  <c r="BS80" i="12"/>
  <c r="BT80" i="12" s="1"/>
  <c r="BL80" i="12"/>
  <c r="AE80" i="12"/>
  <c r="BQ80" i="12"/>
  <c r="BF408" i="12"/>
  <c r="BU396" i="12"/>
  <c r="BV396" i="12" s="1"/>
  <c r="AY396" i="12"/>
  <c r="AZ396" i="12" s="1"/>
  <c r="BW396" i="12"/>
  <c r="BX396" i="12" s="1"/>
  <c r="AF396" i="12"/>
  <c r="AG396" i="12" s="1"/>
  <c r="BH372" i="12"/>
  <c r="BI372" i="12" s="1"/>
  <c r="AH372" i="12"/>
  <c r="BO372" i="12"/>
  <c r="BW336" i="12"/>
  <c r="AY336" i="12"/>
  <c r="BU336" i="12"/>
  <c r="BV336" i="12" s="1"/>
  <c r="AF336" i="12"/>
  <c r="AG336" i="12" s="1"/>
  <c r="BF320" i="12"/>
  <c r="BQ248" i="12"/>
  <c r="BR248" i="12" s="1"/>
  <c r="BS248" i="12"/>
  <c r="BL248" i="12"/>
  <c r="AE248" i="12"/>
  <c r="AY148" i="12"/>
  <c r="AF148" i="12"/>
  <c r="BW148" i="12"/>
  <c r="BX148" i="12" s="1"/>
  <c r="BU148" i="12"/>
  <c r="BV148" i="12" s="1"/>
  <c r="C119" i="8"/>
  <c r="D293" i="12"/>
  <c r="D295" i="1"/>
  <c r="D403" i="12"/>
  <c r="D405" i="1"/>
  <c r="BW273" i="12"/>
  <c r="AF273" i="12"/>
  <c r="BU273" i="12"/>
  <c r="BV273" i="12" s="1"/>
  <c r="AY273" i="12"/>
  <c r="BS343" i="12"/>
  <c r="BT343" i="12" s="1"/>
  <c r="BQ343" i="12"/>
  <c r="BR343" i="12" s="1"/>
  <c r="BN343" i="12"/>
  <c r="AE343" i="12"/>
  <c r="BL343" i="12"/>
  <c r="AJ185" i="12"/>
  <c r="BQ185" i="12"/>
  <c r="BR185" i="12" s="1"/>
  <c r="BS264" i="12"/>
  <c r="BU387" i="12"/>
  <c r="BV387" i="12" s="1"/>
  <c r="AY387" i="12"/>
  <c r="AZ387" i="12" s="1"/>
  <c r="BW387" i="12"/>
  <c r="BX387" i="12" s="1"/>
  <c r="AF387" i="12"/>
  <c r="AG387" i="12" s="1"/>
  <c r="BF306" i="12"/>
  <c r="BB74" i="12"/>
  <c r="BW74" i="12"/>
  <c r="BX74" i="12" s="1"/>
  <c r="BU74" i="12"/>
  <c r="BV74" i="12" s="1"/>
  <c r="AF74" i="12"/>
  <c r="AF153" i="12"/>
  <c r="AG153" i="12" s="1"/>
  <c r="BU153" i="12"/>
  <c r="BV153" i="12" s="1"/>
  <c r="AY153" i="12"/>
  <c r="AZ153" i="12" s="1"/>
  <c r="BW153" i="12"/>
  <c r="BX153" i="12" s="1"/>
  <c r="BW112" i="12"/>
  <c r="BX112" i="12" s="1"/>
  <c r="AF112" i="12"/>
  <c r="AG112" i="12" s="1"/>
  <c r="AY112" i="12"/>
  <c r="AZ112" i="12" s="1"/>
  <c r="BU112" i="12"/>
  <c r="BV112" i="12" s="1"/>
  <c r="BQ402" i="12"/>
  <c r="BR402" i="12" s="1"/>
  <c r="BS402" i="12"/>
  <c r="BT402" i="12" s="1"/>
  <c r="AE402" i="12"/>
  <c r="BN402" i="12"/>
  <c r="BL402" i="12"/>
  <c r="AY346" i="12"/>
  <c r="AF346" i="12"/>
  <c r="AG346" i="12" s="1"/>
  <c r="BU346" i="12"/>
  <c r="BV346" i="12" s="1"/>
  <c r="BW346" i="12"/>
  <c r="BX346" i="12" s="1"/>
  <c r="BH297" i="12"/>
  <c r="AH297" i="12"/>
  <c r="BO297" i="12"/>
  <c r="C208" i="8"/>
  <c r="BW163" i="12"/>
  <c r="BX163" i="12" s="1"/>
  <c r="AY163" i="12"/>
  <c r="AZ163" i="12" s="1"/>
  <c r="AF163" i="12"/>
  <c r="AG163" i="12" s="1"/>
  <c r="BU163" i="12"/>
  <c r="BV163" i="12" s="1"/>
  <c r="BN129" i="12"/>
  <c r="AE129" i="12"/>
  <c r="BL129" i="12"/>
  <c r="BS129" i="12"/>
  <c r="BT129" i="12" s="1"/>
  <c r="BQ129" i="12"/>
  <c r="BR129" i="12" s="1"/>
  <c r="BC10" i="12"/>
  <c r="BW100" i="12"/>
  <c r="BX100" i="12" s="1"/>
  <c r="AF100" i="12"/>
  <c r="AG100" i="12" s="1"/>
  <c r="AY100" i="12"/>
  <c r="AZ100" i="12" s="1"/>
  <c r="BU100" i="12"/>
  <c r="BV100" i="12" s="1"/>
  <c r="BO239" i="12"/>
  <c r="BH239" i="12"/>
  <c r="AH239" i="12"/>
  <c r="AY115" i="12"/>
  <c r="AZ115" i="12" s="1"/>
  <c r="AF115" i="12"/>
  <c r="AG115" i="12" s="1"/>
  <c r="BW115" i="12"/>
  <c r="BX115" i="12" s="1"/>
  <c r="BU115" i="12"/>
  <c r="BV115" i="12" s="1"/>
  <c r="D145" i="12"/>
  <c r="D147" i="1"/>
  <c r="BF373" i="12"/>
  <c r="BU16" i="12"/>
  <c r="BV16" i="12" s="1"/>
  <c r="AF365" i="12"/>
  <c r="AG365" i="12" s="1"/>
  <c r="BW365" i="12"/>
  <c r="BX365" i="12" s="1"/>
  <c r="BU365" i="12"/>
  <c r="BV365" i="12" s="1"/>
  <c r="AY365" i="12"/>
  <c r="AZ365" i="12" s="1"/>
  <c r="AJ38" i="12"/>
  <c r="AK38" i="12" s="1"/>
  <c r="BQ38" i="12"/>
  <c r="BR38" i="12" s="1"/>
  <c r="K11" i="2"/>
  <c r="K12" i="2"/>
  <c r="AH55" i="12"/>
  <c r="BO55" i="12"/>
  <c r="BH55" i="12"/>
  <c r="BI55" i="12" s="1"/>
  <c r="BS210" i="12"/>
  <c r="BT210" i="12" s="1"/>
  <c r="BQ210" i="12"/>
  <c r="BR210" i="12" s="1"/>
  <c r="BN210" i="12"/>
  <c r="AE210" i="12"/>
  <c r="BL210" i="12"/>
  <c r="D283" i="12"/>
  <c r="D285" i="1"/>
  <c r="AK318" i="12"/>
  <c r="AH232" i="12"/>
  <c r="BH232" i="12"/>
  <c r="BO232" i="12"/>
  <c r="G365" i="1"/>
  <c r="J365" i="1"/>
  <c r="BS6" i="12"/>
  <c r="BT6" i="12" s="1"/>
  <c r="D369" i="12"/>
  <c r="D371" i="1"/>
  <c r="I272" i="3"/>
  <c r="AO102" i="12"/>
  <c r="AP102" i="12" s="1"/>
  <c r="AQ102" i="12" s="1"/>
  <c r="AL102" i="12"/>
  <c r="AM102" i="12" s="1"/>
  <c r="AN102" i="12" s="1"/>
  <c r="BG102" i="12"/>
  <c r="AI102" i="12"/>
  <c r="AJ102" i="12" s="1"/>
  <c r="AR102" i="12"/>
  <c r="AS102" i="12" s="1"/>
  <c r="AT102" i="12" s="1"/>
  <c r="AU102" i="12"/>
  <c r="BA102" i="12"/>
  <c r="BB102" i="12" s="1"/>
  <c r="BD102" i="12"/>
  <c r="BE102" i="12" s="1"/>
  <c r="BF102" i="12" s="1"/>
  <c r="AX102" i="12"/>
  <c r="BW386" i="12"/>
  <c r="BX386" i="12" s="1"/>
  <c r="AF386" i="12"/>
  <c r="AY386" i="12"/>
  <c r="BU386" i="12"/>
  <c r="I94" i="3"/>
  <c r="BK397" i="12"/>
  <c r="AX111" i="12"/>
  <c r="AU111" i="12"/>
  <c r="BA111" i="12"/>
  <c r="BB111" i="12" s="1"/>
  <c r="BC111" i="12" s="1"/>
  <c r="AL111" i="12"/>
  <c r="AM111" i="12" s="1"/>
  <c r="AN111" i="12" s="1"/>
  <c r="AI111" i="12"/>
  <c r="AJ111" i="12" s="1"/>
  <c r="AK111" i="12" s="1"/>
  <c r="AO111" i="12"/>
  <c r="AP111" i="12" s="1"/>
  <c r="AQ111" i="12" s="1"/>
  <c r="BG111" i="12"/>
  <c r="BD111" i="12"/>
  <c r="BE111" i="12" s="1"/>
  <c r="BF111" i="12" s="1"/>
  <c r="AR111" i="12"/>
  <c r="AS111" i="12" s="1"/>
  <c r="AT111" i="12" s="1"/>
  <c r="I222" i="3"/>
  <c r="BO87" i="12"/>
  <c r="AH87" i="12"/>
  <c r="BH87" i="12"/>
  <c r="I87" i="3"/>
  <c r="BO20" i="12"/>
  <c r="BH20" i="12"/>
  <c r="BI20" i="12" s="1"/>
  <c r="AH20" i="12"/>
  <c r="I52" i="3"/>
  <c r="I218" i="3"/>
  <c r="D396" i="12"/>
  <c r="D398" i="1"/>
  <c r="AF379" i="12"/>
  <c r="AG379" i="12" s="1"/>
  <c r="BU379" i="12"/>
  <c r="BV379" i="12" s="1"/>
  <c r="AY379" i="12"/>
  <c r="AZ379" i="12" s="1"/>
  <c r="BW379" i="12"/>
  <c r="BX379" i="12" s="1"/>
  <c r="BH50" i="12"/>
  <c r="BI50" i="12" s="1"/>
  <c r="AH50" i="12"/>
  <c r="BO50" i="12"/>
  <c r="J42" i="1"/>
  <c r="G42" i="1"/>
  <c r="D80" i="1"/>
  <c r="D78" i="12"/>
  <c r="I362" i="3"/>
  <c r="I96" i="3"/>
  <c r="BS38" i="12"/>
  <c r="BT38" i="12" s="1"/>
  <c r="I176" i="3"/>
  <c r="I163" i="3"/>
  <c r="D14" i="12"/>
  <c r="D16" i="1"/>
  <c r="BC157" i="12"/>
  <c r="BS184" i="12"/>
  <c r="BT184" i="12" s="1"/>
  <c r="BQ184" i="12"/>
  <c r="BR184" i="12" s="1"/>
  <c r="AE184" i="12"/>
  <c r="BL184" i="12"/>
  <c r="BN184" i="12"/>
  <c r="BS208" i="12"/>
  <c r="BT208" i="12" s="1"/>
  <c r="BQ208" i="12"/>
  <c r="BR208" i="12" s="1"/>
  <c r="BL208" i="12"/>
  <c r="AE208" i="12"/>
  <c r="BN208" i="12"/>
  <c r="AH260" i="12"/>
  <c r="BO260" i="12"/>
  <c r="BH260" i="12"/>
  <c r="BO148" i="12"/>
  <c r="BH148" i="12"/>
  <c r="AH148" i="12"/>
  <c r="BF403" i="12"/>
  <c r="AH387" i="12"/>
  <c r="BH387" i="12"/>
  <c r="BI387" i="12" s="1"/>
  <c r="BO387" i="12"/>
  <c r="AY52" i="12"/>
  <c r="AZ52" i="12" s="1"/>
  <c r="BU52" i="12"/>
  <c r="BV52" i="12" s="1"/>
  <c r="AF52" i="12"/>
  <c r="AG52" i="12" s="1"/>
  <c r="BW52" i="12"/>
  <c r="BX52" i="12" s="1"/>
  <c r="BU142" i="12"/>
  <c r="BV142" i="12" s="1"/>
  <c r="AE376" i="12"/>
  <c r="BN376" i="12"/>
  <c r="BL376" i="12"/>
  <c r="BS376" i="12"/>
  <c r="BT376" i="12" s="1"/>
  <c r="BQ376" i="12"/>
  <c r="BR376" i="12" s="1"/>
  <c r="AY260" i="12"/>
  <c r="AF260" i="12"/>
  <c r="BU260" i="12"/>
  <c r="BV260" i="12" s="1"/>
  <c r="BW260" i="12"/>
  <c r="BX260" i="12" s="1"/>
  <c r="BN52" i="12"/>
  <c r="AE52" i="12"/>
  <c r="BS52" i="12"/>
  <c r="BT52" i="12" s="1"/>
  <c r="BQ52" i="12"/>
  <c r="BR52" i="12" s="1"/>
  <c r="BL52" i="12"/>
  <c r="BO135" i="12"/>
  <c r="BH135" i="12"/>
  <c r="AH135" i="12"/>
  <c r="BH404" i="12"/>
  <c r="BI404" i="12" s="1"/>
  <c r="BO404" i="12"/>
  <c r="AH404" i="12"/>
  <c r="BS220" i="12"/>
  <c r="BT220" i="12" s="1"/>
  <c r="BQ220" i="12"/>
  <c r="BR220" i="12" s="1"/>
  <c r="BN220" i="12"/>
  <c r="BL220" i="12"/>
  <c r="AE220" i="12"/>
  <c r="AH311" i="12"/>
  <c r="BH311" i="12"/>
  <c r="BO311" i="12"/>
  <c r="D337" i="12"/>
  <c r="D339" i="1"/>
  <c r="C144" i="8"/>
  <c r="BQ380" i="12"/>
  <c r="BR380" i="12" s="1"/>
  <c r="BN380" i="12"/>
  <c r="BS380" i="12"/>
  <c r="BT380" i="12" s="1"/>
  <c r="BL380" i="12"/>
  <c r="AE380" i="12"/>
  <c r="BS336" i="12"/>
  <c r="BT336" i="12" s="1"/>
  <c r="BQ336" i="12"/>
  <c r="BR336" i="12" s="1"/>
  <c r="AE336" i="12"/>
  <c r="BN336" i="12"/>
  <c r="BL336" i="12"/>
  <c r="AH288" i="12"/>
  <c r="BO288" i="12"/>
  <c r="BH288" i="12"/>
  <c r="BO272" i="12"/>
  <c r="AH272" i="12"/>
  <c r="BH272" i="12"/>
  <c r="BQ256" i="12"/>
  <c r="BR256" i="12" s="1"/>
  <c r="AE256" i="12"/>
  <c r="BL256" i="12"/>
  <c r="BS256" i="12"/>
  <c r="BB212" i="12"/>
  <c r="BC212" i="12" s="1"/>
  <c r="AF212" i="12"/>
  <c r="AG212" i="12" s="1"/>
  <c r="BW212" i="12"/>
  <c r="BX212" i="12" s="1"/>
  <c r="BQ148" i="12"/>
  <c r="BR148" i="12" s="1"/>
  <c r="AE148" i="12"/>
  <c r="BN148" i="12"/>
  <c r="BL148" i="12"/>
  <c r="BS148" i="12"/>
  <c r="BT148" i="12" s="1"/>
  <c r="D161" i="12"/>
  <c r="D163" i="1"/>
  <c r="D309" i="12"/>
  <c r="D311" i="1"/>
  <c r="D171" i="12"/>
  <c r="D173" i="1"/>
  <c r="BC343" i="12"/>
  <c r="BQ387" i="12"/>
  <c r="BR387" i="12" s="1"/>
  <c r="BS387" i="12"/>
  <c r="BT387" i="12" s="1"/>
  <c r="BL387" i="12"/>
  <c r="AE387" i="12"/>
  <c r="BN387" i="12"/>
  <c r="BF323" i="12"/>
  <c r="AY290" i="12"/>
  <c r="AZ290" i="12" s="1"/>
  <c r="AF290" i="12"/>
  <c r="BW290" i="12"/>
  <c r="BU290" i="12"/>
  <c r="BV290" i="12" s="1"/>
  <c r="BS112" i="12"/>
  <c r="BT112" i="12" s="1"/>
  <c r="AE112" i="12"/>
  <c r="BL112" i="12"/>
  <c r="BN112" i="12"/>
  <c r="BQ112" i="12"/>
  <c r="BR112" i="12" s="1"/>
  <c r="D224" i="12"/>
  <c r="D226" i="1"/>
  <c r="BL163" i="12"/>
  <c r="BQ163" i="12"/>
  <c r="BR163" i="12" s="1"/>
  <c r="BN163" i="12"/>
  <c r="AE163" i="12"/>
  <c r="BS163" i="12"/>
  <c r="BT163" i="12" s="1"/>
  <c r="D121" i="12"/>
  <c r="D123" i="1"/>
  <c r="BO226" i="12"/>
  <c r="BH226" i="12"/>
  <c r="AH226" i="12"/>
  <c r="D349" i="12"/>
  <c r="D351" i="1"/>
  <c r="BN365" i="12"/>
  <c r="AE365" i="12"/>
  <c r="BQ365" i="12"/>
  <c r="BR365" i="12" s="1"/>
  <c r="BL365" i="12"/>
  <c r="BS365" i="12"/>
  <c r="BT365" i="12" s="1"/>
  <c r="AF79" i="12"/>
  <c r="AY79" i="12"/>
  <c r="BW79" i="12"/>
  <c r="BX79" i="12" s="1"/>
  <c r="BU79" i="12"/>
  <c r="BV79" i="12" s="1"/>
  <c r="BF318" i="12"/>
  <c r="BO165" i="12"/>
  <c r="BH165" i="12"/>
  <c r="BI165" i="12" s="1"/>
  <c r="AH165" i="12"/>
  <c r="AE187" i="12"/>
  <c r="BS187" i="12"/>
  <c r="BT187" i="12" s="1"/>
  <c r="BN187" i="12"/>
  <c r="BL187" i="12"/>
  <c r="BQ187" i="12"/>
  <c r="BR187" i="12" s="1"/>
  <c r="D399" i="12"/>
  <c r="D401" i="1"/>
  <c r="D333" i="12"/>
  <c r="D335" i="1"/>
  <c r="AH54" i="12"/>
  <c r="BH54" i="12"/>
  <c r="BI54" i="12" s="1"/>
  <c r="BO54" i="12"/>
  <c r="BK178" i="12"/>
  <c r="H180" i="1" s="1"/>
  <c r="AH46" i="12"/>
  <c r="BH46" i="12"/>
  <c r="BO46" i="12"/>
  <c r="S152" i="12"/>
  <c r="T152" i="12" s="1"/>
  <c r="Q152" i="12"/>
  <c r="R152" i="12" s="1"/>
  <c r="O152" i="12"/>
  <c r="P152" i="12" s="1"/>
  <c r="F152" i="12"/>
  <c r="Y152" i="12"/>
  <c r="Z152" i="12" s="1"/>
  <c r="AA152" i="12"/>
  <c r="AB152" i="12" s="1"/>
  <c r="AC152" i="12"/>
  <c r="AD152" i="12" s="1"/>
  <c r="W152" i="12"/>
  <c r="X152" i="12" s="1"/>
  <c r="K152" i="12"/>
  <c r="L152" i="12" s="1"/>
  <c r="J152" i="12"/>
  <c r="I152" i="12"/>
  <c r="BK152" i="12"/>
  <c r="H154" i="1" s="1"/>
  <c r="U152" i="12"/>
  <c r="V152" i="12" s="1"/>
  <c r="BM152" i="12"/>
  <c r="M152" i="12"/>
  <c r="N152" i="12" s="1"/>
  <c r="H152" i="12"/>
  <c r="G152" i="12"/>
  <c r="J46" i="1"/>
  <c r="G46" i="1"/>
  <c r="D341" i="12"/>
  <c r="D343" i="1"/>
  <c r="AF264" i="12"/>
  <c r="BW264" i="12"/>
  <c r="BX264" i="12" s="1"/>
  <c r="BU264" i="12"/>
  <c r="BV264" i="12" s="1"/>
  <c r="AY264" i="12"/>
  <c r="BW388" i="12"/>
  <c r="BX388" i="12" s="1"/>
  <c r="AF388" i="12"/>
  <c r="AG388" i="12" s="1"/>
  <c r="AY388" i="12"/>
  <c r="AZ388" i="12" s="1"/>
  <c r="BU388" i="12"/>
  <c r="BH344" i="12"/>
  <c r="BO344" i="12"/>
  <c r="AH344" i="12"/>
  <c r="AH328" i="12"/>
  <c r="BO328" i="12"/>
  <c r="BH328" i="12"/>
  <c r="AY316" i="12"/>
  <c r="AZ316" i="12" s="1"/>
  <c r="AF316" i="12"/>
  <c r="AG316" i="12" s="1"/>
  <c r="BW316" i="12"/>
  <c r="BX316" i="12" s="1"/>
  <c r="BU316" i="12"/>
  <c r="BV316" i="12" s="1"/>
  <c r="BS280" i="12"/>
  <c r="BT280" i="12" s="1"/>
  <c r="BN280" i="12"/>
  <c r="BL280" i="12"/>
  <c r="AE280" i="12"/>
  <c r="BQ280" i="12"/>
  <c r="BR280" i="12" s="1"/>
  <c r="BW220" i="12"/>
  <c r="BX220" i="12" s="1"/>
  <c r="AY220" i="12"/>
  <c r="AZ220" i="12" s="1"/>
  <c r="AF220" i="12"/>
  <c r="AG220" i="12" s="1"/>
  <c r="BU220" i="12"/>
  <c r="BV220" i="12" s="1"/>
  <c r="BB184" i="12"/>
  <c r="BC184" i="12" s="1"/>
  <c r="AF184" i="12"/>
  <c r="AG184" i="12" s="1"/>
  <c r="BW184" i="12"/>
  <c r="BX184" i="12" s="1"/>
  <c r="BS156" i="12"/>
  <c r="BT156" i="12" s="1"/>
  <c r="BQ156" i="12"/>
  <c r="BR156" i="12" s="1"/>
  <c r="BN156" i="12"/>
  <c r="BL156" i="12"/>
  <c r="AE156" i="12"/>
  <c r="C190" i="8"/>
  <c r="BC396" i="12"/>
  <c r="BH388" i="12"/>
  <c r="BI388" i="12" s="1"/>
  <c r="BO388" i="12"/>
  <c r="AH388" i="12"/>
  <c r="BN356" i="12"/>
  <c r="BL356" i="12"/>
  <c r="BQ356" i="12"/>
  <c r="BR356" i="12" s="1"/>
  <c r="AE356" i="12"/>
  <c r="BS356" i="12"/>
  <c r="BT356" i="12" s="1"/>
  <c r="BL348" i="12"/>
  <c r="BQ348" i="12"/>
  <c r="BR348" i="12" s="1"/>
  <c r="BS348" i="12"/>
  <c r="BT348" i="12" s="1"/>
  <c r="BN348" i="12"/>
  <c r="AE348" i="12"/>
  <c r="BH336" i="12"/>
  <c r="AH336" i="12"/>
  <c r="BO336" i="12"/>
  <c r="AK328" i="12"/>
  <c r="AQ320" i="12"/>
  <c r="BU288" i="12"/>
  <c r="BV288" i="12" s="1"/>
  <c r="AF288" i="12"/>
  <c r="BW288" i="12"/>
  <c r="AY288" i="12"/>
  <c r="BW280" i="12"/>
  <c r="BX280" i="12" s="1"/>
  <c r="AY280" i="12"/>
  <c r="AZ280" i="12" s="1"/>
  <c r="AF280" i="12"/>
  <c r="BU280" i="12"/>
  <c r="BV280" i="12" s="1"/>
  <c r="AH240" i="12"/>
  <c r="BO240" i="12"/>
  <c r="BH240" i="12"/>
  <c r="BC220" i="12"/>
  <c r="AH208" i="12"/>
  <c r="BO208" i="12"/>
  <c r="BH208" i="12"/>
  <c r="BI208" i="12" s="1"/>
  <c r="D190" i="12"/>
  <c r="AN190" i="12" s="1"/>
  <c r="D192" i="1"/>
  <c r="BL172" i="12"/>
  <c r="BN172" i="12"/>
  <c r="BS172" i="12"/>
  <c r="BT172" i="12" s="1"/>
  <c r="AE172" i="12"/>
  <c r="BQ172" i="12"/>
  <c r="BR172" i="12" s="1"/>
  <c r="BU156" i="12"/>
  <c r="BV156" i="12" s="1"/>
  <c r="BW156" i="12"/>
  <c r="BX156" i="12" s="1"/>
  <c r="AF156" i="12"/>
  <c r="AY156" i="12"/>
  <c r="AZ156" i="12" s="1"/>
  <c r="AH120" i="12"/>
  <c r="BO120" i="12"/>
  <c r="BH120" i="12"/>
  <c r="D140" i="1"/>
  <c r="D138" i="12"/>
  <c r="C194" i="8"/>
  <c r="BF116" i="12"/>
  <c r="BH48" i="12"/>
  <c r="BI48" i="12" s="1"/>
  <c r="AH48" i="12"/>
  <c r="BO48" i="12"/>
  <c r="D365" i="12"/>
  <c r="D367" i="1"/>
  <c r="BF349" i="12"/>
  <c r="BO273" i="12"/>
  <c r="AH273" i="12"/>
  <c r="BH273" i="12"/>
  <c r="BN205" i="12"/>
  <c r="AE205" i="12"/>
  <c r="BS205" i="12"/>
  <c r="BT205" i="12" s="1"/>
  <c r="BL205" i="12"/>
  <c r="BQ205" i="12"/>
  <c r="BR205" i="12" s="1"/>
  <c r="AQ166" i="12"/>
  <c r="D150" i="12"/>
  <c r="D152" i="1"/>
  <c r="BH21" i="12"/>
  <c r="BO21" i="12"/>
  <c r="AH21" i="12"/>
  <c r="BU343" i="12"/>
  <c r="BV343" i="12" s="1"/>
  <c r="AY343" i="12"/>
  <c r="AF343" i="12"/>
  <c r="BW343" i="12"/>
  <c r="BX343" i="12" s="1"/>
  <c r="AH206" i="12"/>
  <c r="BH206" i="12"/>
  <c r="BO206" i="12"/>
  <c r="BQ171" i="12"/>
  <c r="BR171" i="12" s="1"/>
  <c r="AE171" i="12"/>
  <c r="BL171" i="12"/>
  <c r="BN171" i="12"/>
  <c r="BS171" i="12"/>
  <c r="BT171" i="12" s="1"/>
  <c r="BC326" i="12"/>
  <c r="BN306" i="12"/>
  <c r="BL306" i="12"/>
  <c r="BQ306" i="12"/>
  <c r="BR306" i="12" s="1"/>
  <c r="BS306" i="12"/>
  <c r="BT306" i="12" s="1"/>
  <c r="AE306" i="12"/>
  <c r="BN290" i="12"/>
  <c r="AE290" i="12"/>
  <c r="BL290" i="12"/>
  <c r="BS290" i="12"/>
  <c r="BT290" i="12" s="1"/>
  <c r="BQ290" i="12"/>
  <c r="BR290" i="12" s="1"/>
  <c r="AY263" i="12"/>
  <c r="AF263" i="12"/>
  <c r="BW263" i="12"/>
  <c r="BX263" i="12" s="1"/>
  <c r="BU263" i="12"/>
  <c r="BV263" i="12" s="1"/>
  <c r="AH242" i="12"/>
  <c r="BH242" i="12"/>
  <c r="BO242" i="12"/>
  <c r="BU402" i="12"/>
  <c r="BV402" i="12" s="1"/>
  <c r="BW402" i="12"/>
  <c r="BX402" i="12" s="1"/>
  <c r="AF402" i="12"/>
  <c r="AG402" i="12" s="1"/>
  <c r="AY402" i="12"/>
  <c r="AZ402" i="12" s="1"/>
  <c r="BC346" i="12"/>
  <c r="BF277" i="12"/>
  <c r="BU195" i="12"/>
  <c r="BV195" i="12" s="1"/>
  <c r="AF195" i="12"/>
  <c r="AG195" i="12" s="1"/>
  <c r="BW195" i="12"/>
  <c r="BX195" i="12" s="1"/>
  <c r="AY195" i="12"/>
  <c r="AK163" i="12"/>
  <c r="AY129" i="12"/>
  <c r="AZ129" i="12" s="1"/>
  <c r="AF129" i="12"/>
  <c r="AG129" i="12" s="1"/>
  <c r="BU129" i="12"/>
  <c r="BV129" i="12" s="1"/>
  <c r="BW129" i="12"/>
  <c r="BX129" i="12" s="1"/>
  <c r="AF93" i="12"/>
  <c r="BW93" i="12"/>
  <c r="BX93" i="12" s="1"/>
  <c r="AY93" i="12"/>
  <c r="BU93" i="12"/>
  <c r="BV93" i="12" s="1"/>
  <c r="BW330" i="12"/>
  <c r="BX330" i="12" s="1"/>
  <c r="AY330" i="12"/>
  <c r="AZ330" i="12" s="1"/>
  <c r="AF330" i="12"/>
  <c r="AG330" i="12" s="1"/>
  <c r="BU330" i="12"/>
  <c r="BV330" i="12" s="1"/>
  <c r="BN146" i="12"/>
  <c r="BL146" i="12"/>
  <c r="BQ146" i="12"/>
  <c r="BR146" i="12" s="1"/>
  <c r="BS146" i="12"/>
  <c r="BT146" i="12" s="1"/>
  <c r="AE146" i="12"/>
  <c r="BF75" i="12"/>
  <c r="AH246" i="12"/>
  <c r="BO246" i="12"/>
  <c r="BH246" i="12"/>
  <c r="AF89" i="12"/>
  <c r="BU89" i="12"/>
  <c r="BV89" i="12" s="1"/>
  <c r="BW89" i="12"/>
  <c r="BX89" i="12" s="1"/>
  <c r="AY89" i="12"/>
  <c r="BO233" i="12"/>
  <c r="BH233" i="12"/>
  <c r="BI233" i="12" s="1"/>
  <c r="AH233" i="12"/>
  <c r="BO123" i="12"/>
  <c r="AH123" i="12"/>
  <c r="BH123" i="12"/>
  <c r="AF24" i="12"/>
  <c r="AG24" i="12" s="1"/>
  <c r="BW24" i="12"/>
  <c r="BX24" i="12" s="1"/>
  <c r="BU24" i="12"/>
  <c r="BV24" i="12" s="1"/>
  <c r="AY24" i="12"/>
  <c r="AZ24" i="12" s="1"/>
  <c r="BO353" i="12"/>
  <c r="BH353" i="12"/>
  <c r="AH353" i="12"/>
  <c r="BU317" i="12"/>
  <c r="BV317" i="12" s="1"/>
  <c r="BW317" i="12"/>
  <c r="BX317" i="12" s="1"/>
  <c r="AF317" i="12"/>
  <c r="AG317" i="12" s="1"/>
  <c r="AY317" i="12"/>
  <c r="AZ317" i="12" s="1"/>
  <c r="BN303" i="12"/>
  <c r="BL303" i="12"/>
  <c r="BS303" i="12"/>
  <c r="BT303" i="12" s="1"/>
  <c r="AE303" i="12"/>
  <c r="BQ303" i="12"/>
  <c r="BR303" i="12" s="1"/>
  <c r="BH270" i="12"/>
  <c r="BI270" i="12" s="1"/>
  <c r="AH270" i="12"/>
  <c r="BO270" i="12"/>
  <c r="BO97" i="12"/>
  <c r="BH97" i="12"/>
  <c r="AH97" i="12"/>
  <c r="I370" i="3"/>
  <c r="AE239" i="12"/>
  <c r="BS239" i="12"/>
  <c r="BQ239" i="12"/>
  <c r="BR239" i="12" s="1"/>
  <c r="BL239" i="12"/>
  <c r="D159" i="1"/>
  <c r="D157" i="12"/>
  <c r="AH258" i="12"/>
  <c r="BO258" i="12"/>
  <c r="BH258" i="12"/>
  <c r="I391" i="3"/>
  <c r="AF210" i="12"/>
  <c r="AY210" i="12"/>
  <c r="BW210" i="12"/>
  <c r="BX210" i="12" s="1"/>
  <c r="BU210" i="12"/>
  <c r="BV210" i="12" s="1"/>
  <c r="BQ375" i="12"/>
  <c r="BR375" i="12" s="1"/>
  <c r="BN375" i="12"/>
  <c r="BL375" i="12"/>
  <c r="BS375" i="12"/>
  <c r="BT375" i="12" s="1"/>
  <c r="AE375" i="12"/>
  <c r="AF361" i="12"/>
  <c r="AY361" i="12"/>
  <c r="BU361" i="12"/>
  <c r="BV361" i="12" s="1"/>
  <c r="BW361" i="12"/>
  <c r="BX361" i="12" s="1"/>
  <c r="BU262" i="12"/>
  <c r="BV262" i="12" s="1"/>
  <c r="AY262" i="12"/>
  <c r="BW262" i="12"/>
  <c r="BX262" i="12" s="1"/>
  <c r="AF262" i="12"/>
  <c r="I332" i="3"/>
  <c r="J404" i="1"/>
  <c r="G404" i="1"/>
  <c r="F61" i="9" a="1"/>
  <c r="F61" i="9" s="1"/>
  <c r="D5" i="1"/>
  <c r="D3" i="12"/>
  <c r="C312" i="8"/>
  <c r="BK356" i="12"/>
  <c r="H358" i="1" s="1"/>
  <c r="AQ190" i="12"/>
  <c r="I262" i="3"/>
  <c r="J390" i="12"/>
  <c r="H390" i="12"/>
  <c r="O390" i="12"/>
  <c r="P390" i="12" s="1"/>
  <c r="K390" i="12"/>
  <c r="L390" i="12" s="1"/>
  <c r="I390" i="12"/>
  <c r="G390" i="12"/>
  <c r="AC390" i="12"/>
  <c r="AD390" i="12" s="1"/>
  <c r="BM390" i="12"/>
  <c r="AA390" i="12"/>
  <c r="AB390" i="12" s="1"/>
  <c r="BK390" i="12"/>
  <c r="S390" i="12"/>
  <c r="T390" i="12" s="1"/>
  <c r="Y390" i="12"/>
  <c r="Z390" i="12" s="1"/>
  <c r="W390" i="12"/>
  <c r="X390" i="12" s="1"/>
  <c r="U390" i="12"/>
  <c r="V390" i="12" s="1"/>
  <c r="F390" i="12"/>
  <c r="M390" i="12"/>
  <c r="N390" i="12" s="1"/>
  <c r="Q390" i="12"/>
  <c r="R390" i="12" s="1"/>
  <c r="I79" i="3"/>
  <c r="I231" i="3"/>
  <c r="BN20" i="12"/>
  <c r="BS20" i="12"/>
  <c r="BT20" i="12" s="1"/>
  <c r="BQ20" i="12"/>
  <c r="BR20" i="12" s="1"/>
  <c r="BL20" i="12"/>
  <c r="AE20" i="12"/>
  <c r="D203" i="12"/>
  <c r="D205" i="1"/>
  <c r="BQ245" i="12"/>
  <c r="BR245" i="12" s="1"/>
  <c r="BL245" i="12"/>
  <c r="BS245" i="12"/>
  <c r="AE245" i="12"/>
  <c r="BQ36" i="12"/>
  <c r="BR36" i="12" s="1"/>
  <c r="AE36" i="12"/>
  <c r="BN36" i="12"/>
  <c r="BS36" i="12"/>
  <c r="BT36" i="12" s="1"/>
  <c r="BL36" i="12"/>
  <c r="AH90" i="12"/>
  <c r="BO90" i="12"/>
  <c r="BH90" i="12"/>
  <c r="I118" i="3"/>
  <c r="H39" i="12"/>
  <c r="J39" i="12"/>
  <c r="AA39" i="12"/>
  <c r="AB39" i="12" s="1"/>
  <c r="I39" i="12"/>
  <c r="G39" i="12"/>
  <c r="Y39" i="12"/>
  <c r="Z39" i="12" s="1"/>
  <c r="S39" i="12"/>
  <c r="T39" i="12" s="1"/>
  <c r="Q39" i="12"/>
  <c r="R39" i="12" s="1"/>
  <c r="K39" i="12"/>
  <c r="L39" i="12" s="1"/>
  <c r="O39" i="12"/>
  <c r="P39" i="12" s="1"/>
  <c r="M39" i="12"/>
  <c r="N39" i="12" s="1"/>
  <c r="AC39" i="12"/>
  <c r="AD39" i="12" s="1"/>
  <c r="W39" i="12"/>
  <c r="X39" i="12" s="1"/>
  <c r="BM39" i="12"/>
  <c r="U39" i="12"/>
  <c r="V39" i="12" s="1"/>
  <c r="BK39" i="12"/>
  <c r="I351" i="3"/>
  <c r="BF3" i="12"/>
  <c r="I354" i="3"/>
  <c r="AA159" i="12"/>
  <c r="AB159" i="12" s="1"/>
  <c r="K159" i="12"/>
  <c r="L159" i="12" s="1"/>
  <c r="BK159" i="12"/>
  <c r="Y159" i="12"/>
  <c r="Z159" i="12" s="1"/>
  <c r="H159" i="12"/>
  <c r="G159" i="12"/>
  <c r="W159" i="12"/>
  <c r="X159" i="12" s="1"/>
  <c r="S159" i="12"/>
  <c r="T159" i="12" s="1"/>
  <c r="BM159" i="12"/>
  <c r="J159" i="12"/>
  <c r="U159" i="12"/>
  <c r="V159" i="12" s="1"/>
  <c r="AC159" i="12"/>
  <c r="AD159" i="12" s="1"/>
  <c r="I159" i="12"/>
  <c r="M159" i="12"/>
  <c r="N159" i="12" s="1"/>
  <c r="Q159" i="12"/>
  <c r="R159" i="12" s="1"/>
  <c r="O159" i="12"/>
  <c r="P159" i="12" s="1"/>
  <c r="I80" i="3"/>
  <c r="D323" i="12"/>
  <c r="D325" i="1"/>
  <c r="C207" i="8"/>
  <c r="AN157" i="12"/>
  <c r="I245" i="8"/>
  <c r="C245" i="8" s="1"/>
  <c r="E83" i="8"/>
  <c r="C83" i="8" s="1"/>
  <c r="M268" i="8"/>
  <c r="C268" i="8" s="1"/>
  <c r="AY392" i="12"/>
  <c r="BU392" i="12"/>
  <c r="AF392" i="12"/>
  <c r="BW392" i="12"/>
  <c r="BX392" i="12" s="1"/>
  <c r="AE344" i="12"/>
  <c r="BN344" i="12"/>
  <c r="BL344" i="12"/>
  <c r="BS344" i="12"/>
  <c r="BT344" i="12" s="1"/>
  <c r="BQ344" i="12"/>
  <c r="BR344" i="12" s="1"/>
  <c r="AH324" i="12"/>
  <c r="BO324" i="12"/>
  <c r="BH324" i="12"/>
  <c r="BI324" i="12" s="1"/>
  <c r="AY252" i="12"/>
  <c r="AF252" i="12"/>
  <c r="BW252" i="12"/>
  <c r="BX252" i="12" s="1"/>
  <c r="BU252" i="12"/>
  <c r="BV252" i="12" s="1"/>
  <c r="BS192" i="12"/>
  <c r="BT192" i="12" s="1"/>
  <c r="BQ192" i="12"/>
  <c r="BR192" i="12" s="1"/>
  <c r="BL192" i="12"/>
  <c r="AE192" i="12"/>
  <c r="BN192" i="12"/>
  <c r="BO407" i="12"/>
  <c r="AH407" i="12"/>
  <c r="BH407" i="12"/>
  <c r="BI407" i="12" s="1"/>
  <c r="AQ153" i="12"/>
  <c r="BW181" i="12"/>
  <c r="BX181" i="12" s="1"/>
  <c r="BU181" i="12"/>
  <c r="BV181" i="12" s="1"/>
  <c r="AY181" i="12"/>
  <c r="AF181" i="12"/>
  <c r="BL93" i="12"/>
  <c r="BS93" i="12"/>
  <c r="BT93" i="12" s="1"/>
  <c r="BQ93" i="12"/>
  <c r="AE93" i="12"/>
  <c r="AG142" i="12"/>
  <c r="BU56" i="12"/>
  <c r="BV56" i="12" s="1"/>
  <c r="AF56" i="12"/>
  <c r="BW56" i="12"/>
  <c r="BX56" i="12" s="1"/>
  <c r="AY56" i="12"/>
  <c r="AK333" i="12"/>
  <c r="BF14" i="12"/>
  <c r="D277" i="12"/>
  <c r="D279" i="1"/>
  <c r="BQ342" i="12"/>
  <c r="BR342" i="12" s="1"/>
  <c r="BS342" i="12"/>
  <c r="BT342" i="12" s="1"/>
  <c r="AE342" i="12"/>
  <c r="BN342" i="12"/>
  <c r="BL342" i="12"/>
  <c r="BO30" i="12"/>
  <c r="BH30" i="12"/>
  <c r="BI30" i="12" s="1"/>
  <c r="AH30" i="12"/>
  <c r="BU302" i="12"/>
  <c r="BV302" i="12" s="1"/>
  <c r="AF302" i="12"/>
  <c r="AY302" i="12"/>
  <c r="BW302" i="12"/>
  <c r="BX302" i="12" s="1"/>
  <c r="AN187" i="12"/>
  <c r="J121" i="1"/>
  <c r="G121" i="1"/>
  <c r="J376" i="12"/>
  <c r="H376" i="12"/>
  <c r="BM376" i="12"/>
  <c r="Y376" i="12"/>
  <c r="Z376" i="12" s="1"/>
  <c r="M376" i="12"/>
  <c r="N376" i="12" s="1"/>
  <c r="AC376" i="12"/>
  <c r="AD376" i="12" s="1"/>
  <c r="I376" i="12"/>
  <c r="O376" i="12"/>
  <c r="P376" i="12" s="1"/>
  <c r="BK376" i="12"/>
  <c r="W376" i="12"/>
  <c r="X376" i="12" s="1"/>
  <c r="AA376" i="12"/>
  <c r="AB376" i="12" s="1"/>
  <c r="U376" i="12"/>
  <c r="V376" i="12" s="1"/>
  <c r="S376" i="12"/>
  <c r="T376" i="12" s="1"/>
  <c r="G376" i="12"/>
  <c r="K376" i="12"/>
  <c r="L376" i="12" s="1"/>
  <c r="Q376" i="12"/>
  <c r="R376" i="12" s="1"/>
  <c r="BQ16" i="12"/>
  <c r="BR16" i="12" s="1"/>
  <c r="BN16" i="12"/>
  <c r="BS16" i="12"/>
  <c r="BT16" i="12" s="1"/>
  <c r="BL16" i="12"/>
  <c r="AE16" i="12"/>
  <c r="BQ384" i="12"/>
  <c r="BR384" i="12" s="1"/>
  <c r="AE384" i="12"/>
  <c r="BN384" i="12"/>
  <c r="BL384" i="12"/>
  <c r="BS384" i="12"/>
  <c r="BT384" i="12" s="1"/>
  <c r="BC332" i="12"/>
  <c r="BO268" i="12"/>
  <c r="BH268" i="12"/>
  <c r="AH268" i="12"/>
  <c r="BC204" i="12"/>
  <c r="AY140" i="12"/>
  <c r="BU140" i="12"/>
  <c r="BV140" i="12" s="1"/>
  <c r="BW140" i="12"/>
  <c r="BX140" i="12" s="1"/>
  <c r="AF140" i="12"/>
  <c r="AG140" i="12" s="1"/>
  <c r="BF76" i="12"/>
  <c r="BH82" i="12"/>
  <c r="BO82" i="12"/>
  <c r="AH82" i="12"/>
  <c r="BN398" i="12"/>
  <c r="BQ398" i="12"/>
  <c r="BR398" i="12" s="1"/>
  <c r="BL398" i="12"/>
  <c r="AE398" i="12"/>
  <c r="BS398" i="12"/>
  <c r="BT398" i="12" s="1"/>
  <c r="BQ242" i="12"/>
  <c r="BR242" i="12" s="1"/>
  <c r="AE242" i="12"/>
  <c r="BS242" i="12"/>
  <c r="BL242" i="12"/>
  <c r="BN229" i="12"/>
  <c r="AE229" i="12"/>
  <c r="BS229" i="12"/>
  <c r="BT229" i="12" s="1"/>
  <c r="BL229" i="12"/>
  <c r="BQ229" i="12"/>
  <c r="BR229" i="12" s="1"/>
  <c r="AH314" i="12"/>
  <c r="BO314" i="12"/>
  <c r="BH314" i="12"/>
  <c r="AY209" i="12"/>
  <c r="BW209" i="12"/>
  <c r="BX209" i="12" s="1"/>
  <c r="AF209" i="12"/>
  <c r="AG209" i="12" s="1"/>
  <c r="BU209" i="12"/>
  <c r="BV209" i="12" s="1"/>
  <c r="D285" i="12"/>
  <c r="D287" i="1"/>
  <c r="BK55" i="12"/>
  <c r="BK208" i="12"/>
  <c r="H210" i="1" s="1"/>
  <c r="BK104" i="12"/>
  <c r="BK119" i="12"/>
  <c r="H121" i="1" s="1"/>
  <c r="BK191" i="12"/>
  <c r="BK184" i="12"/>
  <c r="BK139" i="12"/>
  <c r="BS261" i="12"/>
  <c r="BL261" i="12"/>
  <c r="AE261" i="12"/>
  <c r="BQ261" i="12"/>
  <c r="BR261" i="12" s="1"/>
  <c r="BS397" i="12"/>
  <c r="BT397" i="12" s="1"/>
  <c r="BQ397" i="12"/>
  <c r="BR397" i="12" s="1"/>
  <c r="AE397" i="12"/>
  <c r="BL397" i="12"/>
  <c r="BN397" i="12"/>
  <c r="D72" i="12"/>
  <c r="D74" i="1"/>
  <c r="D215" i="12"/>
  <c r="D217" i="1"/>
  <c r="BA138" i="12"/>
  <c r="BB138" i="12" s="1"/>
  <c r="BC138" i="12" s="1"/>
  <c r="AI138" i="12"/>
  <c r="AJ138" i="12" s="1"/>
  <c r="AK138" i="12" s="1"/>
  <c r="BG138" i="12"/>
  <c r="AX138" i="12"/>
  <c r="AU138" i="12"/>
  <c r="AL138" i="12"/>
  <c r="AM138" i="12" s="1"/>
  <c r="AN138" i="12" s="1"/>
  <c r="AR138" i="12"/>
  <c r="AS138" i="12" s="1"/>
  <c r="AT138" i="12" s="1"/>
  <c r="AO138" i="12"/>
  <c r="AP138" i="12" s="1"/>
  <c r="AQ138" i="12" s="1"/>
  <c r="BD138" i="12"/>
  <c r="BE138" i="12" s="1"/>
  <c r="J375" i="1"/>
  <c r="G375" i="1"/>
  <c r="J286" i="1"/>
  <c r="G286" i="1"/>
  <c r="BF396" i="12"/>
  <c r="BC376" i="12"/>
  <c r="AY328" i="12"/>
  <c r="AZ328" i="12" s="1"/>
  <c r="AF328" i="12"/>
  <c r="AG328" i="12" s="1"/>
  <c r="BU328" i="12"/>
  <c r="BV328" i="12" s="1"/>
  <c r="BW328" i="12"/>
  <c r="BX328" i="12" s="1"/>
  <c r="BS212" i="12"/>
  <c r="BT212" i="12" s="1"/>
  <c r="BQ212" i="12"/>
  <c r="BR212" i="12" s="1"/>
  <c r="BN212" i="12"/>
  <c r="BL212" i="12"/>
  <c r="AE212" i="12"/>
  <c r="D169" i="12"/>
  <c r="D171" i="1"/>
  <c r="AK323" i="12"/>
  <c r="BW242" i="12"/>
  <c r="BX242" i="12" s="1"/>
  <c r="BU242" i="12"/>
  <c r="BV242" i="12" s="1"/>
  <c r="AY242" i="12"/>
  <c r="AF242" i="12"/>
  <c r="BN105" i="12"/>
  <c r="AE105" i="12"/>
  <c r="BL105" i="12"/>
  <c r="BS105" i="12"/>
  <c r="BT105" i="12" s="1"/>
  <c r="BQ105" i="12"/>
  <c r="BR105" i="12" s="1"/>
  <c r="BN366" i="12"/>
  <c r="BL366" i="12"/>
  <c r="BQ366" i="12"/>
  <c r="BR366" i="12" s="1"/>
  <c r="AE366" i="12"/>
  <c r="BS366" i="12"/>
  <c r="BT366" i="12" s="1"/>
  <c r="D222" i="12"/>
  <c r="D224" i="1"/>
  <c r="BU133" i="12"/>
  <c r="BV133" i="12" s="1"/>
  <c r="AF133" i="12"/>
  <c r="AG133" i="12" s="1"/>
  <c r="AY133" i="12"/>
  <c r="BW133" i="12"/>
  <c r="BX133" i="12" s="1"/>
  <c r="BU331" i="12"/>
  <c r="BV331" i="12" s="1"/>
  <c r="BW331" i="12"/>
  <c r="AY331" i="12"/>
  <c r="AF331" i="12"/>
  <c r="BN77" i="12"/>
  <c r="BQ77" i="12"/>
  <c r="BL77" i="12"/>
  <c r="BS77" i="12"/>
  <c r="BT77" i="12" s="1"/>
  <c r="AE77" i="12"/>
  <c r="AE68" i="12"/>
  <c r="BS68" i="12"/>
  <c r="BT68" i="12" s="1"/>
  <c r="BL68" i="12"/>
  <c r="BQ68" i="12"/>
  <c r="BU165" i="12"/>
  <c r="BV165" i="12" s="1"/>
  <c r="AF165" i="12"/>
  <c r="AY165" i="12"/>
  <c r="BW165" i="12"/>
  <c r="BX165" i="12" s="1"/>
  <c r="BL165" i="12"/>
  <c r="BQ30" i="12"/>
  <c r="BR30" i="12" s="1"/>
  <c r="BS30" i="12"/>
  <c r="BT30" i="12" s="1"/>
  <c r="BN30" i="12"/>
  <c r="AE30" i="12"/>
  <c r="BL30" i="12"/>
  <c r="AX95" i="12"/>
  <c r="AU95" i="12"/>
  <c r="AO95" i="12"/>
  <c r="AP95" i="12" s="1"/>
  <c r="AQ95" i="12" s="1"/>
  <c r="AI95" i="12"/>
  <c r="AJ95" i="12" s="1"/>
  <c r="AK95" i="12" s="1"/>
  <c r="BG95" i="12"/>
  <c r="BD95" i="12"/>
  <c r="BE95" i="12" s="1"/>
  <c r="BA95" i="12"/>
  <c r="BB95" i="12" s="1"/>
  <c r="AR95" i="12"/>
  <c r="AS95" i="12" s="1"/>
  <c r="AT95" i="12" s="1"/>
  <c r="AL95" i="12"/>
  <c r="AM95" i="12" s="1"/>
  <c r="AN95" i="12" s="1"/>
  <c r="D287" i="12"/>
  <c r="D289" i="1"/>
  <c r="BS268" i="12"/>
  <c r="BT268" i="12" s="1"/>
  <c r="AE268" i="12"/>
  <c r="BN268" i="12"/>
  <c r="BL268" i="12"/>
  <c r="BQ268" i="12"/>
  <c r="BR268" i="12" s="1"/>
  <c r="AJ120" i="12"/>
  <c r="AK120" i="12" s="1"/>
  <c r="BW120" i="12"/>
  <c r="BX120" i="12" s="1"/>
  <c r="BU120" i="12"/>
  <c r="BV120" i="12" s="1"/>
  <c r="BS120" i="12"/>
  <c r="BT120" i="12" s="1"/>
  <c r="BH189" i="12"/>
  <c r="BO189" i="12"/>
  <c r="AH189" i="12"/>
  <c r="AH290" i="12"/>
  <c r="BO290" i="12"/>
  <c r="BH290" i="12"/>
  <c r="BI290" i="12" s="1"/>
  <c r="AH112" i="12"/>
  <c r="BO112" i="12"/>
  <c r="BH112" i="12"/>
  <c r="BI112" i="12" s="1"/>
  <c r="BN181" i="12"/>
  <c r="BL181" i="12"/>
  <c r="BS181" i="12"/>
  <c r="BT181" i="12" s="1"/>
  <c r="AE181" i="12"/>
  <c r="BQ181" i="12"/>
  <c r="BR181" i="12" s="1"/>
  <c r="AY267" i="12"/>
  <c r="AF267" i="12"/>
  <c r="BU267" i="12"/>
  <c r="BV267" i="12" s="1"/>
  <c r="BW267" i="12"/>
  <c r="BX267" i="12" s="1"/>
  <c r="BF72" i="12"/>
  <c r="BQ318" i="12"/>
  <c r="BR318" i="12" s="1"/>
  <c r="BN318" i="12"/>
  <c r="BL318" i="12"/>
  <c r="AE318" i="12"/>
  <c r="BS318" i="12"/>
  <c r="BT318" i="12" s="1"/>
  <c r="BH187" i="12"/>
  <c r="AH187" i="12"/>
  <c r="BO187" i="12"/>
  <c r="D398" i="12"/>
  <c r="D400" i="1"/>
  <c r="D124" i="1"/>
  <c r="D122" i="12"/>
  <c r="BN214" i="12"/>
  <c r="BL214" i="12"/>
  <c r="BS214" i="12"/>
  <c r="BT214" i="12" s="1"/>
  <c r="AE214" i="12"/>
  <c r="BQ214" i="12"/>
  <c r="BR214" i="12" s="1"/>
  <c r="AH381" i="12"/>
  <c r="BO381" i="12"/>
  <c r="BH381" i="12"/>
  <c r="AX99" i="12"/>
  <c r="BA99" i="12"/>
  <c r="BB99" i="12" s="1"/>
  <c r="AR99" i="12"/>
  <c r="AS99" i="12" s="1"/>
  <c r="AT99" i="12" s="1"/>
  <c r="AU99" i="12"/>
  <c r="AL99" i="12"/>
  <c r="AM99" i="12" s="1"/>
  <c r="AN99" i="12" s="1"/>
  <c r="AO99" i="12"/>
  <c r="AP99" i="12" s="1"/>
  <c r="AQ99" i="12" s="1"/>
  <c r="AI99" i="12"/>
  <c r="AJ99" i="12" s="1"/>
  <c r="AK99" i="12" s="1"/>
  <c r="BG99" i="12"/>
  <c r="BD99" i="12"/>
  <c r="BE99" i="12" s="1"/>
  <c r="G381" i="1"/>
  <c r="J381" i="1"/>
  <c r="J154" i="1"/>
  <c r="G154" i="1"/>
  <c r="AA9" i="12"/>
  <c r="AB9" i="12" s="1"/>
  <c r="K9" i="12"/>
  <c r="L9" i="12" s="1"/>
  <c r="G9" i="12"/>
  <c r="U9" i="12"/>
  <c r="V9" i="12" s="1"/>
  <c r="BK9" i="12"/>
  <c r="O9" i="12"/>
  <c r="P9" i="12" s="1"/>
  <c r="AC9" i="12"/>
  <c r="AD9" i="12" s="1"/>
  <c r="Y9" i="12"/>
  <c r="Z9" i="12" s="1"/>
  <c r="W9" i="12"/>
  <c r="X9" i="12" s="1"/>
  <c r="S9" i="12"/>
  <c r="T9" i="12" s="1"/>
  <c r="BM9" i="12"/>
  <c r="M9" i="12"/>
  <c r="N9" i="12" s="1"/>
  <c r="Q9" i="12"/>
  <c r="R9" i="12" s="1"/>
  <c r="J9" i="12"/>
  <c r="I9" i="12"/>
  <c r="H9" i="12"/>
  <c r="F9" i="12"/>
  <c r="BS388" i="12"/>
  <c r="BT388" i="12" s="1"/>
  <c r="AE388" i="12"/>
  <c r="BQ388" i="12"/>
  <c r="BR388" i="12" s="1"/>
  <c r="BN388" i="12"/>
  <c r="BL388" i="12"/>
  <c r="BL12" i="12"/>
  <c r="AE12" i="12"/>
  <c r="BS12" i="12"/>
  <c r="BT12" i="12" s="1"/>
  <c r="BQ12" i="12"/>
  <c r="BR12" i="12" s="1"/>
  <c r="BN12" i="12"/>
  <c r="BW312" i="12"/>
  <c r="BX312" i="12" s="1"/>
  <c r="BU312" i="12"/>
  <c r="BV312" i="12" s="1"/>
  <c r="AY312" i="12"/>
  <c r="AZ312" i="12" s="1"/>
  <c r="AF312" i="12"/>
  <c r="AG312" i="12" s="1"/>
  <c r="BL312" i="12"/>
  <c r="AY248" i="12"/>
  <c r="AF248" i="12"/>
  <c r="BU248" i="12"/>
  <c r="BV248" i="12" s="1"/>
  <c r="BW248" i="12"/>
  <c r="BX248" i="12" s="1"/>
  <c r="C295" i="8"/>
  <c r="BS166" i="12"/>
  <c r="BT166" i="12" s="1"/>
  <c r="BQ166" i="12"/>
  <c r="BR166" i="12" s="1"/>
  <c r="AE166" i="12"/>
  <c r="BL166" i="12"/>
  <c r="BN166" i="12"/>
  <c r="BH185" i="12"/>
  <c r="BO185" i="12"/>
  <c r="AH185" i="12"/>
  <c r="BW326" i="12"/>
  <c r="AF326" i="12"/>
  <c r="AG326" i="12" s="1"/>
  <c r="AY326" i="12"/>
  <c r="AZ326" i="12" s="1"/>
  <c r="BU326" i="12"/>
  <c r="BV326" i="12" s="1"/>
  <c r="BU339" i="12"/>
  <c r="BV339" i="12" s="1"/>
  <c r="AF339" i="12"/>
  <c r="AG339" i="12" s="1"/>
  <c r="BW339" i="12"/>
  <c r="BX339" i="12" s="1"/>
  <c r="AY339" i="12"/>
  <c r="AZ339" i="12" s="1"/>
  <c r="D126" i="1"/>
  <c r="D124" i="12"/>
  <c r="BN226" i="12"/>
  <c r="BS226" i="12"/>
  <c r="BT226" i="12" s="1"/>
  <c r="BQ226" i="12"/>
  <c r="BR226" i="12" s="1"/>
  <c r="BL226" i="12"/>
  <c r="AE226" i="12"/>
  <c r="AK125" i="12"/>
  <c r="AF231" i="12"/>
  <c r="BW231" i="12"/>
  <c r="BX231" i="12" s="1"/>
  <c r="BU231" i="12"/>
  <c r="BV231" i="12" s="1"/>
  <c r="AY231" i="12"/>
  <c r="D355" i="12"/>
  <c r="D357" i="1"/>
  <c r="C335" i="8"/>
  <c r="AF67" i="12"/>
  <c r="BW67" i="12"/>
  <c r="BX67" i="12" s="1"/>
  <c r="BU67" i="12"/>
  <c r="BV67" i="12" s="1"/>
  <c r="AY67" i="12"/>
  <c r="D195" i="12"/>
  <c r="AK195" i="12" s="1"/>
  <c r="D197" i="1"/>
  <c r="BH191" i="12"/>
  <c r="BI191" i="12" s="1"/>
  <c r="BO191" i="12"/>
  <c r="AH191" i="12"/>
  <c r="D174" i="12"/>
  <c r="D176" i="1"/>
  <c r="D371" i="12"/>
  <c r="D373" i="1"/>
  <c r="AY296" i="12"/>
  <c r="AF296" i="12"/>
  <c r="BW296" i="12"/>
  <c r="BU296" i="12"/>
  <c r="BV296" i="12" s="1"/>
  <c r="C222" i="8"/>
  <c r="AK124" i="12"/>
  <c r="AF219" i="12"/>
  <c r="BW219" i="12"/>
  <c r="BX219" i="12" s="1"/>
  <c r="BU219" i="12"/>
  <c r="BV219" i="12" s="1"/>
  <c r="AY219" i="12"/>
  <c r="BF195" i="12"/>
  <c r="BW78" i="12"/>
  <c r="BX78" i="12" s="1"/>
  <c r="AY78" i="12"/>
  <c r="BU78" i="12"/>
  <c r="BV78" i="12" s="1"/>
  <c r="AF78" i="12"/>
  <c r="AF101" i="12"/>
  <c r="AY101" i="12"/>
  <c r="BU101" i="12"/>
  <c r="BV101" i="12" s="1"/>
  <c r="BW101" i="12"/>
  <c r="BX101" i="12" s="1"/>
  <c r="AN330" i="12"/>
  <c r="AN318" i="12"/>
  <c r="D175" i="12"/>
  <c r="D177" i="1"/>
  <c r="AF91" i="12"/>
  <c r="AG91" i="12" s="1"/>
  <c r="BU91" i="12"/>
  <c r="BV91" i="12" s="1"/>
  <c r="BW91" i="12"/>
  <c r="BX91" i="12" s="1"/>
  <c r="AY91" i="12"/>
  <c r="D17" i="1"/>
  <c r="D15" i="12"/>
  <c r="G8" i="1"/>
  <c r="J8" i="1"/>
  <c r="BW197" i="12"/>
  <c r="BX197" i="12" s="1"/>
  <c r="AF197" i="12"/>
  <c r="AG197" i="12" s="1"/>
  <c r="BU197" i="12"/>
  <c r="BV197" i="12" s="1"/>
  <c r="AY197" i="12"/>
  <c r="BO73" i="12"/>
  <c r="AH73" i="12"/>
  <c r="BH73" i="12"/>
  <c r="O105" i="12"/>
  <c r="P105" i="12" s="1"/>
  <c r="Y105" i="12"/>
  <c r="Z105" i="12" s="1"/>
  <c r="G105" i="12"/>
  <c r="BK105" i="12"/>
  <c r="H107" i="1" s="1"/>
  <c r="W105" i="12"/>
  <c r="X105" i="12" s="1"/>
  <c r="U105" i="12"/>
  <c r="V105" i="12" s="1"/>
  <c r="I105" i="12"/>
  <c r="H105" i="12"/>
  <c r="BM105" i="12"/>
  <c r="Q105" i="12"/>
  <c r="R105" i="12" s="1"/>
  <c r="AA105" i="12"/>
  <c r="AB105" i="12" s="1"/>
  <c r="S105" i="12"/>
  <c r="T105" i="12" s="1"/>
  <c r="M105" i="12"/>
  <c r="N105" i="12" s="1"/>
  <c r="J105" i="12"/>
  <c r="K105" i="12"/>
  <c r="L105" i="12" s="1"/>
  <c r="AC105" i="12"/>
  <c r="AD105" i="12" s="1"/>
  <c r="D346" i="12"/>
  <c r="D348" i="1"/>
  <c r="BW364" i="12"/>
  <c r="BX364" i="12" s="1"/>
  <c r="BU364" i="12"/>
  <c r="BV364" i="12" s="1"/>
  <c r="AY364" i="12"/>
  <c r="AF364" i="12"/>
  <c r="BH364" i="12"/>
  <c r="AH364" i="12"/>
  <c r="BO364" i="12"/>
  <c r="BO340" i="12"/>
  <c r="AH340" i="12"/>
  <c r="BH340" i="12"/>
  <c r="AH264" i="12"/>
  <c r="BO264" i="12"/>
  <c r="BH264" i="12"/>
  <c r="BO144" i="12"/>
  <c r="BH144" i="12"/>
  <c r="AH144" i="12"/>
  <c r="D330" i="12"/>
  <c r="D332" i="1"/>
  <c r="AH124" i="12"/>
  <c r="BO124" i="12"/>
  <c r="BH124" i="12"/>
  <c r="AH383" i="12"/>
  <c r="BO383" i="12"/>
  <c r="BH383" i="12"/>
  <c r="BI383" i="12" s="1"/>
  <c r="BS391" i="12"/>
  <c r="BT391" i="12" s="1"/>
  <c r="BQ391" i="12"/>
  <c r="BR391" i="12" s="1"/>
  <c r="BN391" i="12"/>
  <c r="AE391" i="12"/>
  <c r="BL391" i="12"/>
  <c r="D210" i="12"/>
  <c r="D212" i="1"/>
  <c r="AQ167" i="12"/>
  <c r="AF233" i="12"/>
  <c r="AY233" i="12"/>
  <c r="BU233" i="12"/>
  <c r="BV233" i="12" s="1"/>
  <c r="BW233" i="12"/>
  <c r="BX233" i="12" s="1"/>
  <c r="BU353" i="12"/>
  <c r="BV353" i="12" s="1"/>
  <c r="BW353" i="12"/>
  <c r="BX353" i="12" s="1"/>
  <c r="AY353" i="12"/>
  <c r="AZ353" i="12" s="1"/>
  <c r="AF353" i="12"/>
  <c r="BB202" i="12"/>
  <c r="BU202" i="12"/>
  <c r="BV202" i="12" s="1"/>
  <c r="AF202" i="12"/>
  <c r="AH345" i="12"/>
  <c r="BO345" i="12"/>
  <c r="BH345" i="12"/>
  <c r="BI345" i="12" s="1"/>
  <c r="D27" i="12"/>
  <c r="F101" i="9" a="1"/>
  <c r="F101" i="9" s="1"/>
  <c r="E100" i="8" s="1"/>
  <c r="C100" i="8" s="1"/>
  <c r="F97" i="9" a="1"/>
  <c r="F97" i="9" s="1"/>
  <c r="E96" i="8" s="1"/>
  <c r="C96" i="8" s="1"/>
  <c r="D29" i="1"/>
  <c r="BH318" i="12"/>
  <c r="BI318" i="12" s="1"/>
  <c r="BO318" i="12"/>
  <c r="AH318" i="12"/>
  <c r="AK283" i="12"/>
  <c r="AX131" i="12"/>
  <c r="AU131" i="12"/>
  <c r="AR131" i="12"/>
  <c r="AS131" i="12" s="1"/>
  <c r="AT131" i="12" s="1"/>
  <c r="AI131" i="12"/>
  <c r="AJ131" i="12" s="1"/>
  <c r="AK131" i="12" s="1"/>
  <c r="AL131" i="12"/>
  <c r="AM131" i="12" s="1"/>
  <c r="AN131" i="12" s="1"/>
  <c r="BD131" i="12"/>
  <c r="BE131" i="12" s="1"/>
  <c r="BF131" i="12" s="1"/>
  <c r="BG131" i="12"/>
  <c r="BA131" i="12"/>
  <c r="BB131" i="12" s="1"/>
  <c r="BC131" i="12" s="1"/>
  <c r="AO131" i="12"/>
  <c r="AP131" i="12" s="1"/>
  <c r="AQ131" i="12" s="1"/>
  <c r="BD305" i="12"/>
  <c r="BE305" i="12" s="1"/>
  <c r="AL305" i="12"/>
  <c r="AM305" i="12" s="1"/>
  <c r="AN305" i="12" s="1"/>
  <c r="AU305" i="12"/>
  <c r="AR305" i="12"/>
  <c r="AS305" i="12" s="1"/>
  <c r="AT305" i="12" s="1"/>
  <c r="AI305" i="12"/>
  <c r="AJ305" i="12" s="1"/>
  <c r="AK305" i="12" s="1"/>
  <c r="BG305" i="12"/>
  <c r="AX305" i="12"/>
  <c r="AO305" i="12"/>
  <c r="AP305" i="12" s="1"/>
  <c r="AQ305" i="12" s="1"/>
  <c r="BA305" i="12"/>
  <c r="BB305" i="12" s="1"/>
  <c r="BS194" i="12"/>
  <c r="BT194" i="12" s="1"/>
  <c r="BQ194" i="12"/>
  <c r="BR194" i="12" s="1"/>
  <c r="BN194" i="12"/>
  <c r="BL194" i="12"/>
  <c r="AE194" i="12"/>
  <c r="BK406" i="12"/>
  <c r="BL33" i="12"/>
  <c r="BS33" i="12"/>
  <c r="BT33" i="12" s="1"/>
  <c r="BQ33" i="12"/>
  <c r="BR33" i="12" s="1"/>
  <c r="BN33" i="12"/>
  <c r="AE33" i="12"/>
  <c r="J19" i="1"/>
  <c r="G19" i="1"/>
  <c r="C232" i="8"/>
  <c r="O50" i="12"/>
  <c r="P50" i="12" s="1"/>
  <c r="U50" i="12"/>
  <c r="V50" i="12" s="1"/>
  <c r="S50" i="12"/>
  <c r="T50" i="12" s="1"/>
  <c r="Q50" i="12"/>
  <c r="R50" i="12" s="1"/>
  <c r="BK50" i="12"/>
  <c r="H52" i="1" s="1"/>
  <c r="M50" i="12"/>
  <c r="N50" i="12" s="1"/>
  <c r="K50" i="12"/>
  <c r="L50" i="12" s="1"/>
  <c r="J50" i="12"/>
  <c r="W50" i="12"/>
  <c r="X50" i="12" s="1"/>
  <c r="BM50" i="12"/>
  <c r="AA50" i="12"/>
  <c r="AB50" i="12" s="1"/>
  <c r="Y50" i="12"/>
  <c r="Z50" i="12" s="1"/>
  <c r="I50" i="12"/>
  <c r="H50" i="12"/>
  <c r="G50" i="12"/>
  <c r="AC50" i="12"/>
  <c r="AD50" i="12" s="1"/>
  <c r="BU332" i="12"/>
  <c r="BV332" i="12" s="1"/>
  <c r="AF332" i="12"/>
  <c r="BW332" i="12"/>
  <c r="BX332" i="12" s="1"/>
  <c r="AY332" i="12"/>
  <c r="AZ332" i="12" s="1"/>
  <c r="BF304" i="12"/>
  <c r="BS272" i="12"/>
  <c r="BT272" i="12" s="1"/>
  <c r="BQ272" i="12"/>
  <c r="BR272" i="12" s="1"/>
  <c r="AE272" i="12"/>
  <c r="BL272" i="12"/>
  <c r="BN272" i="12"/>
  <c r="AF2" i="12"/>
  <c r="AY2" i="12"/>
  <c r="BW2" i="12"/>
  <c r="BU2" i="12"/>
  <c r="BU391" i="12"/>
  <c r="BV391" i="12" s="1"/>
  <c r="AY391" i="12"/>
  <c r="AZ391" i="12" s="1"/>
  <c r="AF391" i="12"/>
  <c r="AG391" i="12" s="1"/>
  <c r="BW391" i="12"/>
  <c r="BX391" i="12" s="1"/>
  <c r="BB6" i="12"/>
  <c r="BC6" i="12" s="1"/>
  <c r="BW6" i="12"/>
  <c r="BX6" i="12" s="1"/>
  <c r="BU6" i="12"/>
  <c r="BV6" i="12" s="1"/>
  <c r="AF6" i="12"/>
  <c r="AG6" i="12" s="1"/>
  <c r="AK167" i="12"/>
  <c r="BH307" i="12"/>
  <c r="BO307" i="12"/>
  <c r="AH307" i="12"/>
  <c r="BU395" i="12"/>
  <c r="BV395" i="12" s="1"/>
  <c r="AF395" i="12"/>
  <c r="AG395" i="12" s="1"/>
  <c r="AY395" i="12"/>
  <c r="AZ395" i="12" s="1"/>
  <c r="BW395" i="12"/>
  <c r="BX395" i="12" s="1"/>
  <c r="C323" i="8"/>
  <c r="BN125" i="12"/>
  <c r="AE125" i="12"/>
  <c r="BQ125" i="12"/>
  <c r="BR125" i="12" s="1"/>
  <c r="BL125" i="12"/>
  <c r="BS125" i="12"/>
  <c r="BT125" i="12" s="1"/>
  <c r="BU203" i="12"/>
  <c r="BV203" i="12" s="1"/>
  <c r="AF203" i="12"/>
  <c r="AG203" i="12" s="1"/>
  <c r="BW203" i="12"/>
  <c r="BX203" i="12" s="1"/>
  <c r="AY203" i="12"/>
  <c r="AZ203" i="12" s="1"/>
  <c r="BL202" i="12"/>
  <c r="J408" i="1"/>
  <c r="G408" i="1"/>
  <c r="J43" i="1"/>
  <c r="G43" i="1"/>
  <c r="S395" i="12"/>
  <c r="T395" i="12" s="1"/>
  <c r="O395" i="12"/>
  <c r="P395" i="12" s="1"/>
  <c r="M395" i="12"/>
  <c r="N395" i="12" s="1"/>
  <c r="J395" i="12"/>
  <c r="I395" i="12"/>
  <c r="AC395" i="12"/>
  <c r="AD395" i="12" s="1"/>
  <c r="H395" i="12"/>
  <c r="K395" i="12"/>
  <c r="L395" i="12" s="1"/>
  <c r="G395" i="12"/>
  <c r="BM395" i="12"/>
  <c r="Q395" i="12"/>
  <c r="R395" i="12" s="1"/>
  <c r="BK395" i="12"/>
  <c r="H397" i="1" s="1"/>
  <c r="AA395" i="12"/>
  <c r="AB395" i="12" s="1"/>
  <c r="Y395" i="12"/>
  <c r="Z395" i="12" s="1"/>
  <c r="U395" i="12"/>
  <c r="V395" i="12" s="1"/>
  <c r="W395" i="12"/>
  <c r="X395" i="12" s="1"/>
  <c r="F50" i="12"/>
  <c r="BH384" i="12"/>
  <c r="BI384" i="12" s="1"/>
  <c r="BO384" i="12"/>
  <c r="AH384" i="12"/>
  <c r="BO296" i="12"/>
  <c r="AH296" i="12"/>
  <c r="BH296" i="12"/>
  <c r="AH280" i="12"/>
  <c r="BO280" i="12"/>
  <c r="BH280" i="12"/>
  <c r="BQ252" i="12"/>
  <c r="BR252" i="12" s="1"/>
  <c r="AE252" i="12"/>
  <c r="BS252" i="12"/>
  <c r="BL252" i="12"/>
  <c r="AK216" i="12"/>
  <c r="AK132" i="12"/>
  <c r="BN273" i="12"/>
  <c r="BL273" i="12"/>
  <c r="BS273" i="12"/>
  <c r="BT273" i="12" s="1"/>
  <c r="BQ273" i="12"/>
  <c r="BR273" i="12" s="1"/>
  <c r="AE273" i="12"/>
  <c r="BL281" i="12"/>
  <c r="BS281" i="12"/>
  <c r="BT281" i="12" s="1"/>
  <c r="BQ281" i="12"/>
  <c r="BR281" i="12" s="1"/>
  <c r="AE281" i="12"/>
  <c r="BN281" i="12"/>
  <c r="BS22" i="12"/>
  <c r="BT22" i="12" s="1"/>
  <c r="BQ22" i="12"/>
  <c r="BR22" i="12" s="1"/>
  <c r="BL22" i="12"/>
  <c r="AE22" i="12"/>
  <c r="BN22" i="12"/>
  <c r="C148" i="8"/>
  <c r="BW189" i="12"/>
  <c r="BX189" i="12" s="1"/>
  <c r="AF189" i="12"/>
  <c r="BU189" i="12"/>
  <c r="BV189" i="12" s="1"/>
  <c r="AY189" i="12"/>
  <c r="BL126" i="12"/>
  <c r="AH377" i="12"/>
  <c r="BO377" i="12"/>
  <c r="BH377" i="12"/>
  <c r="BI377" i="12" s="1"/>
  <c r="C145" i="8"/>
  <c r="AX113" i="12"/>
  <c r="AU113" i="12"/>
  <c r="AI113" i="12"/>
  <c r="AJ113" i="12" s="1"/>
  <c r="BA113" i="12"/>
  <c r="BB113" i="12" s="1"/>
  <c r="AL113" i="12"/>
  <c r="AM113" i="12" s="1"/>
  <c r="AN113" i="12" s="1"/>
  <c r="BD113" i="12"/>
  <c r="BE113" i="12" s="1"/>
  <c r="AR113" i="12"/>
  <c r="AS113" i="12" s="1"/>
  <c r="AT113" i="12" s="1"/>
  <c r="AO113" i="12"/>
  <c r="AP113" i="12" s="1"/>
  <c r="AQ113" i="12" s="1"/>
  <c r="BG113" i="12"/>
  <c r="BW183" i="12"/>
  <c r="BX183" i="12" s="1"/>
  <c r="AF183" i="12"/>
  <c r="AY183" i="12"/>
  <c r="BU183" i="12"/>
  <c r="BV183" i="12" s="1"/>
  <c r="I352" i="3"/>
  <c r="J57" i="1"/>
  <c r="G57" i="1"/>
  <c r="D334" i="1"/>
  <c r="D332" i="12"/>
  <c r="M263" i="8"/>
  <c r="C263" i="8" s="1"/>
  <c r="E65" i="8"/>
  <c r="C65" i="8" s="1"/>
  <c r="K254" i="8"/>
  <c r="D77" i="12"/>
  <c r="BF77" i="12" s="1"/>
  <c r="D79" i="1"/>
  <c r="I346" i="3"/>
  <c r="BL6" i="12"/>
  <c r="I401" i="3"/>
  <c r="BW14" i="12"/>
  <c r="BX14" i="12" s="1"/>
  <c r="BU14" i="12"/>
  <c r="BV14" i="12" s="1"/>
  <c r="AF14" i="12"/>
  <c r="AY14" i="12"/>
  <c r="AK166" i="12"/>
  <c r="AK281" i="12"/>
  <c r="BC369" i="12"/>
  <c r="AF223" i="12"/>
  <c r="BW223" i="12"/>
  <c r="BX223" i="12" s="1"/>
  <c r="AY223" i="12"/>
  <c r="BU223" i="12"/>
  <c r="BV223" i="12" s="1"/>
  <c r="BW167" i="12"/>
  <c r="BX167" i="12" s="1"/>
  <c r="AF167" i="12"/>
  <c r="AG167" i="12" s="1"/>
  <c r="BU167" i="12"/>
  <c r="BV167" i="12" s="1"/>
  <c r="AY167" i="12"/>
  <c r="AZ167" i="12" s="1"/>
  <c r="BQ59" i="12"/>
  <c r="BS59" i="12"/>
  <c r="BT59" i="12" s="1"/>
  <c r="BL59" i="12"/>
  <c r="AE59" i="12"/>
  <c r="BO357" i="12"/>
  <c r="BH357" i="12"/>
  <c r="AH357" i="12"/>
  <c r="BO217" i="12"/>
  <c r="AH217" i="12"/>
  <c r="BH217" i="12"/>
  <c r="AH395" i="12"/>
  <c r="BO395" i="12"/>
  <c r="BH395" i="12"/>
  <c r="BI395" i="12" s="1"/>
  <c r="BC333" i="12"/>
  <c r="I82" i="3"/>
  <c r="D354" i="12"/>
  <c r="D356" i="1"/>
  <c r="AF109" i="12"/>
  <c r="AG109" i="12" s="1"/>
  <c r="AY109" i="12"/>
  <c r="BW109" i="12"/>
  <c r="BX109" i="12" s="1"/>
  <c r="BU109" i="12"/>
  <c r="BV109" i="12" s="1"/>
  <c r="BO231" i="12"/>
  <c r="AH231" i="12"/>
  <c r="BH231" i="12"/>
  <c r="AY342" i="12"/>
  <c r="AZ342" i="12" s="1"/>
  <c r="AF342" i="12"/>
  <c r="AG342" i="12" s="1"/>
  <c r="BW342" i="12"/>
  <c r="BX342" i="12" s="1"/>
  <c r="BU342" i="12"/>
  <c r="BV342" i="12" s="1"/>
  <c r="AK210" i="12"/>
  <c r="BW64" i="12"/>
  <c r="BX64" i="12" s="1"/>
  <c r="AY64" i="12"/>
  <c r="BU64" i="12"/>
  <c r="BV64" i="12" s="1"/>
  <c r="AF64" i="12"/>
  <c r="I150" i="3"/>
  <c r="BO28" i="12"/>
  <c r="AH28" i="12"/>
  <c r="BH28" i="12"/>
  <c r="BI28" i="12" s="1"/>
  <c r="BC215" i="12"/>
  <c r="C336" i="8"/>
  <c r="BK391" i="12"/>
  <c r="H393" i="1" s="1"/>
  <c r="I33" i="3"/>
  <c r="BK375" i="12"/>
  <c r="G375" i="12"/>
  <c r="Y375" i="12"/>
  <c r="Z375" i="12" s="1"/>
  <c r="O375" i="12"/>
  <c r="P375" i="12" s="1"/>
  <c r="BM375" i="12"/>
  <c r="M375" i="12"/>
  <c r="N375" i="12" s="1"/>
  <c r="J375" i="12"/>
  <c r="I375" i="12"/>
  <c r="H375" i="12"/>
  <c r="S375" i="12"/>
  <c r="T375" i="12" s="1"/>
  <c r="Q375" i="12"/>
  <c r="R375" i="12" s="1"/>
  <c r="U375" i="12"/>
  <c r="V375" i="12" s="1"/>
  <c r="K375" i="12"/>
  <c r="L375" i="12" s="1"/>
  <c r="AC375" i="12"/>
  <c r="AD375" i="12" s="1"/>
  <c r="AA375" i="12"/>
  <c r="AB375" i="12" s="1"/>
  <c r="W375" i="12"/>
  <c r="X375" i="12" s="1"/>
  <c r="D19" i="12"/>
  <c r="D21" i="1"/>
  <c r="E69" i="8"/>
  <c r="C69" i="8" s="1"/>
  <c r="K258" i="8"/>
  <c r="G237" i="8"/>
  <c r="C237" i="8" s="1"/>
  <c r="AU47" i="12"/>
  <c r="AO47" i="12"/>
  <c r="AP47" i="12" s="1"/>
  <c r="BD47" i="12"/>
  <c r="BE47" i="12" s="1"/>
  <c r="BA47" i="12"/>
  <c r="BB47" i="12" s="1"/>
  <c r="AX47" i="12"/>
  <c r="AI47" i="12"/>
  <c r="AJ47" i="12" s="1"/>
  <c r="AK47" i="12" s="1"/>
  <c r="BG47" i="12"/>
  <c r="AL47" i="12"/>
  <c r="AM47" i="12" s="1"/>
  <c r="AR47" i="12"/>
  <c r="AS47" i="12" s="1"/>
  <c r="AT47" i="12" s="1"/>
  <c r="J344" i="1"/>
  <c r="G344" i="1"/>
  <c r="I41" i="3"/>
  <c r="I389" i="3"/>
  <c r="BW155" i="12"/>
  <c r="BX155" i="12" s="1"/>
  <c r="BU155" i="12"/>
  <c r="BV155" i="12" s="1"/>
  <c r="AY155" i="12"/>
  <c r="AZ155" i="12" s="1"/>
  <c r="AF155" i="12"/>
  <c r="AG155" i="12" s="1"/>
  <c r="AF36" i="12"/>
  <c r="AG36" i="12" s="1"/>
  <c r="AY36" i="12"/>
  <c r="AZ36" i="12" s="1"/>
  <c r="BW36" i="12"/>
  <c r="BX36" i="12" s="1"/>
  <c r="BU36" i="12"/>
  <c r="BV36" i="12" s="1"/>
  <c r="G416" i="3"/>
  <c r="E430" i="3"/>
  <c r="I430" i="3" s="1"/>
  <c r="BO69" i="12"/>
  <c r="AH69" i="12"/>
  <c r="BH69" i="12"/>
  <c r="I384" i="3"/>
  <c r="AO141" i="12"/>
  <c r="AP141" i="12" s="1"/>
  <c r="AQ141" i="12" s="1"/>
  <c r="BG141" i="12"/>
  <c r="AX141" i="12"/>
  <c r="AU141" i="12"/>
  <c r="AR141" i="12"/>
  <c r="AS141" i="12" s="1"/>
  <c r="AT141" i="12" s="1"/>
  <c r="AL141" i="12"/>
  <c r="AM141" i="12" s="1"/>
  <c r="AN141" i="12" s="1"/>
  <c r="BD141" i="12"/>
  <c r="BE141" i="12" s="1"/>
  <c r="BA141" i="12"/>
  <c r="BB141" i="12" s="1"/>
  <c r="AI141" i="12"/>
  <c r="AJ141" i="12" s="1"/>
  <c r="S2" i="12"/>
  <c r="M2" i="12"/>
  <c r="BM2" i="12"/>
  <c r="U2" i="12"/>
  <c r="Q2" i="12"/>
  <c r="O2" i="12"/>
  <c r="BK2" i="12"/>
  <c r="K2" i="12"/>
  <c r="J2" i="12"/>
  <c r="Y2" i="12"/>
  <c r="W2" i="12"/>
  <c r="I2" i="12"/>
  <c r="H2" i="12"/>
  <c r="AC2" i="12"/>
  <c r="G2" i="12"/>
  <c r="AA2" i="12"/>
  <c r="I265" i="3"/>
  <c r="BK63" i="12"/>
  <c r="J407" i="1"/>
  <c r="G407" i="1"/>
  <c r="I110" i="3"/>
  <c r="D151" i="12"/>
  <c r="D153" i="1"/>
  <c r="I300" i="3"/>
  <c r="BH228" i="12"/>
  <c r="BO228" i="12"/>
  <c r="AH228" i="12"/>
  <c r="BS332" i="12"/>
  <c r="BT332" i="12" s="1"/>
  <c r="BQ332" i="12"/>
  <c r="BR332" i="12" s="1"/>
  <c r="BN332" i="12"/>
  <c r="BL332" i="12"/>
  <c r="AE332" i="12"/>
  <c r="AH276" i="12"/>
  <c r="BO276" i="12"/>
  <c r="BH276" i="12"/>
  <c r="BI276" i="12" s="1"/>
  <c r="BW228" i="12"/>
  <c r="BX228" i="12" s="1"/>
  <c r="AY228" i="12"/>
  <c r="BU228" i="12"/>
  <c r="BV228" i="12" s="1"/>
  <c r="AF228" i="12"/>
  <c r="BH168" i="12"/>
  <c r="BI168" i="12" s="1"/>
  <c r="AH168" i="12"/>
  <c r="BO168" i="12"/>
  <c r="BH249" i="12"/>
  <c r="AH249" i="12"/>
  <c r="BO249" i="12"/>
  <c r="D23" i="12"/>
  <c r="D25" i="1"/>
  <c r="BW174" i="12"/>
  <c r="BX174" i="12" s="1"/>
  <c r="BU174" i="12"/>
  <c r="BV174" i="12" s="1"/>
  <c r="AY174" i="12"/>
  <c r="AF174" i="12"/>
  <c r="BH257" i="12"/>
  <c r="AH257" i="12"/>
  <c r="BO257" i="12"/>
  <c r="AZ200" i="12"/>
  <c r="D367" i="12"/>
  <c r="D369" i="1"/>
  <c r="AH295" i="12"/>
  <c r="BO295" i="12"/>
  <c r="BH295" i="12"/>
  <c r="BI295" i="12" s="1"/>
  <c r="G239" i="8"/>
  <c r="C239" i="8" s="1"/>
  <c r="K260" i="8"/>
  <c r="C260" i="8" s="1"/>
  <c r="E71" i="8"/>
  <c r="C71" i="8" s="1"/>
  <c r="I241" i="8"/>
  <c r="C241" i="8" s="1"/>
  <c r="BN404" i="12"/>
  <c r="BL404" i="12"/>
  <c r="BS404" i="12"/>
  <c r="BT404" i="12" s="1"/>
  <c r="AE404" i="12"/>
  <c r="BQ404" i="12"/>
  <c r="BR404" i="12" s="1"/>
  <c r="AK360" i="12"/>
  <c r="BH284" i="12"/>
  <c r="BI284" i="12" s="1"/>
  <c r="BO284" i="12"/>
  <c r="AH284" i="12"/>
  <c r="AH220" i="12"/>
  <c r="BH220" i="12"/>
  <c r="BI220" i="12" s="1"/>
  <c r="BO220" i="12"/>
  <c r="AQ168" i="12"/>
  <c r="BS311" i="12"/>
  <c r="BT311" i="12" s="1"/>
  <c r="AE311" i="12"/>
  <c r="BQ311" i="12"/>
  <c r="BR311" i="12" s="1"/>
  <c r="BN311" i="12"/>
  <c r="BL311" i="12"/>
  <c r="AF308" i="12"/>
  <c r="BS346" i="12"/>
  <c r="BT346" i="12" s="1"/>
  <c r="BQ346" i="12"/>
  <c r="BR346" i="12" s="1"/>
  <c r="AE346" i="12"/>
  <c r="BL346" i="12"/>
  <c r="BN346" i="12"/>
  <c r="BH181" i="12"/>
  <c r="AH181" i="12"/>
  <c r="BO181" i="12"/>
  <c r="AE56" i="12"/>
  <c r="BS56" i="12"/>
  <c r="BT56" i="12" s="1"/>
  <c r="BQ56" i="12"/>
  <c r="BL56" i="12"/>
  <c r="BO327" i="12"/>
  <c r="AH327" i="12"/>
  <c r="BH327" i="12"/>
  <c r="BQ246" i="12"/>
  <c r="BR246" i="12" s="1"/>
  <c r="BL246" i="12"/>
  <c r="AE246" i="12"/>
  <c r="BS246" i="12"/>
  <c r="BQ333" i="12"/>
  <c r="BR333" i="12" s="1"/>
  <c r="AE333" i="12"/>
  <c r="BN333" i="12"/>
  <c r="BL333" i="12"/>
  <c r="BS333" i="12"/>
  <c r="BT333" i="12" s="1"/>
  <c r="BO213" i="12"/>
  <c r="BH213" i="12"/>
  <c r="BI213" i="12" s="1"/>
  <c r="AH213" i="12"/>
  <c r="AK224" i="12"/>
  <c r="AE110" i="12"/>
  <c r="BQ110" i="12"/>
  <c r="BR110" i="12" s="1"/>
  <c r="BN110" i="12"/>
  <c r="BL110" i="12"/>
  <c r="BS110" i="12"/>
  <c r="BT110" i="12" s="1"/>
  <c r="BU315" i="12"/>
  <c r="BV315" i="12" s="1"/>
  <c r="AY315" i="12"/>
  <c r="AF315" i="12"/>
  <c r="BW315" i="12"/>
  <c r="D378" i="12"/>
  <c r="D380" i="1"/>
  <c r="AR145" i="12"/>
  <c r="AS145" i="12" s="1"/>
  <c r="AT145" i="12" s="1"/>
  <c r="AO145" i="12"/>
  <c r="AP145" i="12" s="1"/>
  <c r="AQ145" i="12" s="1"/>
  <c r="BA145" i="12"/>
  <c r="BB145" i="12" s="1"/>
  <c r="BC145" i="12" s="1"/>
  <c r="BG145" i="12"/>
  <c r="AL145" i="12"/>
  <c r="AM145" i="12" s="1"/>
  <c r="AN145" i="12" s="1"/>
  <c r="AU145" i="12"/>
  <c r="AI145" i="12"/>
  <c r="AJ145" i="12" s="1"/>
  <c r="AK145" i="12" s="1"/>
  <c r="BD145" i="12"/>
  <c r="BE145" i="12" s="1"/>
  <c r="BF145" i="12" s="1"/>
  <c r="AX145" i="12"/>
  <c r="BL338" i="12"/>
  <c r="BS338" i="12"/>
  <c r="BT338" i="12" s="1"/>
  <c r="BQ338" i="12"/>
  <c r="BR338" i="12" s="1"/>
  <c r="BN338" i="12"/>
  <c r="AE338" i="12"/>
  <c r="BQ368" i="12"/>
  <c r="BR368" i="12" s="1"/>
  <c r="BS368" i="12"/>
  <c r="BT368" i="12" s="1"/>
  <c r="AE368" i="12"/>
  <c r="BN368" i="12"/>
  <c r="BL368" i="12"/>
  <c r="BF324" i="12"/>
  <c r="AE292" i="12"/>
  <c r="BS292" i="12"/>
  <c r="BT292" i="12" s="1"/>
  <c r="BQ292" i="12"/>
  <c r="BR292" i="12" s="1"/>
  <c r="BN292" i="12"/>
  <c r="BL292" i="12"/>
  <c r="AQ176" i="12"/>
  <c r="BU407" i="12"/>
  <c r="BV407" i="12" s="1"/>
  <c r="AF407" i="12"/>
  <c r="AG407" i="12" s="1"/>
  <c r="BW407" i="12"/>
  <c r="BX407" i="12" s="1"/>
  <c r="AY407" i="12"/>
  <c r="AZ407" i="12" s="1"/>
  <c r="BU311" i="12"/>
  <c r="BV311" i="12" s="1"/>
  <c r="BW311" i="12"/>
  <c r="AF311" i="12"/>
  <c r="AY311" i="12"/>
  <c r="AG136" i="12"/>
  <c r="BQ263" i="12"/>
  <c r="BR263" i="12" s="1"/>
  <c r="AE263" i="12"/>
  <c r="BL263" i="12"/>
  <c r="BS263" i="12"/>
  <c r="AF229" i="12"/>
  <c r="AY229" i="12"/>
  <c r="BU229" i="12"/>
  <c r="BV229" i="12" s="1"/>
  <c r="BW229" i="12"/>
  <c r="BX229" i="12" s="1"/>
  <c r="BH126" i="12"/>
  <c r="BO126" i="12"/>
  <c r="AH126" i="12"/>
  <c r="AF217" i="12"/>
  <c r="AY217" i="12"/>
  <c r="AZ217" i="12" s="1"/>
  <c r="BU217" i="12"/>
  <c r="BV217" i="12" s="1"/>
  <c r="BW217" i="12"/>
  <c r="BX217" i="12" s="1"/>
  <c r="BL100" i="12"/>
  <c r="AE100" i="12"/>
  <c r="BS100" i="12"/>
  <c r="BT100" i="12" s="1"/>
  <c r="BQ100" i="12"/>
  <c r="BR100" i="12" s="1"/>
  <c r="D297" i="12"/>
  <c r="D299" i="1"/>
  <c r="BC72" i="12"/>
  <c r="D92" i="1"/>
  <c r="D90" i="12"/>
  <c r="BD234" i="12"/>
  <c r="BE234" i="12" s="1"/>
  <c r="AL234" i="12"/>
  <c r="AM234" i="12" s="1"/>
  <c r="BA234" i="12"/>
  <c r="BB234" i="12" s="1"/>
  <c r="AR234" i="12"/>
  <c r="AS234" i="12" s="1"/>
  <c r="AT234" i="12" s="1"/>
  <c r="AI234" i="12"/>
  <c r="AJ234" i="12" s="1"/>
  <c r="AX234" i="12"/>
  <c r="AO234" i="12"/>
  <c r="AP234" i="12" s="1"/>
  <c r="BG234" i="12"/>
  <c r="AU234" i="12"/>
  <c r="D270" i="12"/>
  <c r="D272" i="1"/>
  <c r="W373" i="12"/>
  <c r="X373" i="12" s="1"/>
  <c r="O373" i="12"/>
  <c r="P373" i="12" s="1"/>
  <c r="U373" i="12"/>
  <c r="V373" i="12" s="1"/>
  <c r="H373" i="12"/>
  <c r="BM373" i="12"/>
  <c r="AC373" i="12"/>
  <c r="AD373" i="12" s="1"/>
  <c r="BK373" i="12"/>
  <c r="H375" i="1" s="1"/>
  <c r="AA373" i="12"/>
  <c r="AB373" i="12" s="1"/>
  <c r="F373" i="12"/>
  <c r="Y373" i="12"/>
  <c r="Z373" i="12" s="1"/>
  <c r="S373" i="12"/>
  <c r="T373" i="12" s="1"/>
  <c r="Q373" i="12"/>
  <c r="R373" i="12" s="1"/>
  <c r="M373" i="12"/>
  <c r="N373" i="12" s="1"/>
  <c r="I373" i="12"/>
  <c r="K373" i="12"/>
  <c r="L373" i="12" s="1"/>
  <c r="J373" i="12"/>
  <c r="G373" i="12"/>
  <c r="AX227" i="12"/>
  <c r="AU227" i="12"/>
  <c r="AL227" i="12"/>
  <c r="AM227" i="12" s="1"/>
  <c r="AO227" i="12"/>
  <c r="AP227" i="12" s="1"/>
  <c r="BD227" i="12"/>
  <c r="BE227" i="12" s="1"/>
  <c r="BA227" i="12"/>
  <c r="BB227" i="12" s="1"/>
  <c r="AI227" i="12"/>
  <c r="AJ227" i="12" s="1"/>
  <c r="AK227" i="12" s="1"/>
  <c r="BG227" i="12"/>
  <c r="AR227" i="12"/>
  <c r="AS227" i="12" s="1"/>
  <c r="AT227" i="12" s="1"/>
  <c r="BW340" i="12"/>
  <c r="BX340" i="12" s="1"/>
  <c r="BU340" i="12"/>
  <c r="BV340" i="12" s="1"/>
  <c r="AY340" i="12"/>
  <c r="AF340" i="12"/>
  <c r="BC380" i="12"/>
  <c r="AQ352" i="12"/>
  <c r="AK276" i="12"/>
  <c r="BH80" i="12"/>
  <c r="BO80" i="12"/>
  <c r="AH80" i="12"/>
  <c r="D125" i="12"/>
  <c r="BF125" i="12" s="1"/>
  <c r="D127" i="1"/>
  <c r="BO171" i="12"/>
  <c r="BH171" i="12"/>
  <c r="AH171" i="12"/>
  <c r="D328" i="12"/>
  <c r="D330" i="1"/>
  <c r="C114" i="8"/>
  <c r="BU301" i="12"/>
  <c r="BV301" i="12" s="1"/>
  <c r="BW301" i="12"/>
  <c r="AF301" i="12"/>
  <c r="AY301" i="12"/>
  <c r="D280" i="12"/>
  <c r="D282" i="1"/>
  <c r="S10" i="12"/>
  <c r="T10" i="12" s="1"/>
  <c r="U10" i="12"/>
  <c r="V10" i="12" s="1"/>
  <c r="Q10" i="12"/>
  <c r="R10" i="12" s="1"/>
  <c r="H10" i="12"/>
  <c r="AA10" i="12"/>
  <c r="AB10" i="12" s="1"/>
  <c r="G10" i="12"/>
  <c r="AC10" i="12"/>
  <c r="AD10" i="12" s="1"/>
  <c r="Y10" i="12"/>
  <c r="Z10" i="12" s="1"/>
  <c r="W10" i="12"/>
  <c r="X10" i="12" s="1"/>
  <c r="J10" i="12"/>
  <c r="I10" i="12"/>
  <c r="F10" i="12"/>
  <c r="BM10" i="12"/>
  <c r="BK10" i="12"/>
  <c r="H12" i="1" s="1"/>
  <c r="O10" i="12"/>
  <c r="P10" i="12" s="1"/>
  <c r="M10" i="12"/>
  <c r="N10" i="12" s="1"/>
  <c r="K10" i="12"/>
  <c r="L10" i="12" s="1"/>
  <c r="D132" i="12"/>
  <c r="D134" i="1"/>
  <c r="D279" i="12"/>
  <c r="D281" i="1"/>
  <c r="AR53" i="12"/>
  <c r="AS53" i="12" s="1"/>
  <c r="AT53" i="12" s="1"/>
  <c r="AL53" i="12"/>
  <c r="AM53" i="12" s="1"/>
  <c r="AN53" i="12" s="1"/>
  <c r="AX53" i="12"/>
  <c r="BG53" i="12"/>
  <c r="BD53" i="12"/>
  <c r="BE53" i="12" s="1"/>
  <c r="BA53" i="12"/>
  <c r="BB53" i="12" s="1"/>
  <c r="AU53" i="12"/>
  <c r="AO53" i="12"/>
  <c r="AP53" i="12" s="1"/>
  <c r="AI53" i="12"/>
  <c r="AJ53" i="12" s="1"/>
  <c r="AK53" i="12" s="1"/>
  <c r="BC3" i="12"/>
  <c r="BO34" i="12"/>
  <c r="BH34" i="12"/>
  <c r="AH34" i="12"/>
  <c r="G240" i="8"/>
  <c r="C240" i="8" s="1"/>
  <c r="E72" i="8"/>
  <c r="C72" i="8" s="1"/>
  <c r="AF352" i="12"/>
  <c r="BW352" i="12"/>
  <c r="BX352" i="12" s="1"/>
  <c r="BU352" i="12"/>
  <c r="BV352" i="12" s="1"/>
  <c r="AY352" i="12"/>
  <c r="BW348" i="12"/>
  <c r="BX348" i="12" s="1"/>
  <c r="AY348" i="12"/>
  <c r="BU348" i="12"/>
  <c r="BV348" i="12" s="1"/>
  <c r="AF348" i="12"/>
  <c r="BS320" i="12"/>
  <c r="BT320" i="12" s="1"/>
  <c r="BQ320" i="12"/>
  <c r="BR320" i="12" s="1"/>
  <c r="AE320" i="12"/>
  <c r="BL320" i="12"/>
  <c r="BN320" i="12"/>
  <c r="BH164" i="12"/>
  <c r="BI164" i="12" s="1"/>
  <c r="BO164" i="12"/>
  <c r="AH164" i="12"/>
  <c r="D211" i="1"/>
  <c r="D209" i="12"/>
  <c r="AZ136" i="12"/>
  <c r="C348" i="8"/>
  <c r="D140" i="12"/>
  <c r="D142" i="1"/>
  <c r="BW306" i="12"/>
  <c r="BU306" i="12"/>
  <c r="BV306" i="12" s="1"/>
  <c r="AF306" i="12"/>
  <c r="AY306" i="12"/>
  <c r="D170" i="12"/>
  <c r="D172" i="1"/>
  <c r="BF297" i="12"/>
  <c r="BC330" i="12"/>
  <c r="AK353" i="12"/>
  <c r="AN210" i="12"/>
  <c r="BL232" i="12"/>
  <c r="BS232" i="12"/>
  <c r="BT232" i="12" s="1"/>
  <c r="BN232" i="12"/>
  <c r="AE232" i="12"/>
  <c r="BQ232" i="12"/>
  <c r="BR232" i="12" s="1"/>
  <c r="D312" i="12"/>
  <c r="D314" i="1"/>
  <c r="C274" i="8"/>
  <c r="D153" i="12"/>
  <c r="D155" i="1"/>
  <c r="BC230" i="12"/>
  <c r="AN46" i="12"/>
  <c r="G165" i="1"/>
  <c r="J165" i="1"/>
  <c r="G133" i="1"/>
  <c r="J133" i="1"/>
  <c r="AY157" i="12"/>
  <c r="AZ157" i="12" s="1"/>
  <c r="AF157" i="12"/>
  <c r="AG157" i="12" s="1"/>
  <c r="BU157" i="12"/>
  <c r="BV157" i="12" s="1"/>
  <c r="BW157" i="12"/>
  <c r="BX157" i="12" s="1"/>
  <c r="J52" i="1"/>
  <c r="G52" i="1"/>
  <c r="BC408" i="12"/>
  <c r="AN312" i="12"/>
  <c r="BF280" i="12"/>
  <c r="BS188" i="12"/>
  <c r="BT188" i="12" s="1"/>
  <c r="BQ188" i="12"/>
  <c r="BR188" i="12" s="1"/>
  <c r="BN188" i="12"/>
  <c r="BL188" i="12"/>
  <c r="AE188" i="12"/>
  <c r="BL104" i="12"/>
  <c r="BS104" i="12"/>
  <c r="BT104" i="12" s="1"/>
  <c r="BN104" i="12"/>
  <c r="AE104" i="12"/>
  <c r="BQ104" i="12"/>
  <c r="BR104" i="12" s="1"/>
  <c r="BO40" i="12"/>
  <c r="BH40" i="12"/>
  <c r="BI40" i="12" s="1"/>
  <c r="AH40" i="12"/>
  <c r="BQ236" i="12"/>
  <c r="BR236" i="12" s="1"/>
  <c r="BL236" i="12"/>
  <c r="AE236" i="12"/>
  <c r="BS236" i="12"/>
  <c r="AE60" i="12"/>
  <c r="BL60" i="12"/>
  <c r="BS60" i="12"/>
  <c r="BT60" i="12" s="1"/>
  <c r="BQ60" i="12"/>
  <c r="AP2" i="12"/>
  <c r="BH178" i="12"/>
  <c r="BI178" i="12" s="1"/>
  <c r="BO178" i="12"/>
  <c r="AH178" i="12"/>
  <c r="BW266" i="12"/>
  <c r="BX266" i="12" s="1"/>
  <c r="AF266" i="12"/>
  <c r="BU266" i="12"/>
  <c r="BV266" i="12" s="1"/>
  <c r="AY266" i="12"/>
  <c r="AQ287" i="12"/>
  <c r="BC122" i="12"/>
  <c r="D233" i="12"/>
  <c r="D235" i="1"/>
  <c r="BQ307" i="12"/>
  <c r="BR307" i="12" s="1"/>
  <c r="BS307" i="12"/>
  <c r="BT307" i="12" s="1"/>
  <c r="AE307" i="12"/>
  <c r="BN307" i="12"/>
  <c r="BL307" i="12"/>
  <c r="D109" i="12"/>
  <c r="BF109" i="12" s="1"/>
  <c r="D111" i="1"/>
  <c r="BL26" i="12"/>
  <c r="AE26" i="12"/>
  <c r="BS26" i="12"/>
  <c r="BT26" i="12" s="1"/>
  <c r="BN26" i="12"/>
  <c r="BQ26" i="12"/>
  <c r="BR26" i="12" s="1"/>
  <c r="BO125" i="12"/>
  <c r="AH125" i="12"/>
  <c r="BH125" i="12"/>
  <c r="AF177" i="12"/>
  <c r="AY177" i="12"/>
  <c r="BW177" i="12"/>
  <c r="BX177" i="12" s="1"/>
  <c r="BU177" i="12"/>
  <c r="BV177" i="12" s="1"/>
  <c r="BW232" i="12"/>
  <c r="BX232" i="12" s="1"/>
  <c r="BU232" i="12"/>
  <c r="BV232" i="12" s="1"/>
  <c r="AY232" i="12"/>
  <c r="AF232" i="12"/>
  <c r="BW39" i="12"/>
  <c r="BX39" i="12" s="1"/>
  <c r="BU39" i="12"/>
  <c r="BV39" i="12" s="1"/>
  <c r="AY39" i="12"/>
  <c r="AZ39" i="12" s="1"/>
  <c r="AF39" i="12"/>
  <c r="AG39" i="12" s="1"/>
  <c r="AF381" i="12"/>
  <c r="BW381" i="12"/>
  <c r="BX381" i="12" s="1"/>
  <c r="AY381" i="12"/>
  <c r="BU381" i="12"/>
  <c r="BF46" i="12"/>
  <c r="Q131" i="12"/>
  <c r="R131" i="12" s="1"/>
  <c r="O131" i="12"/>
  <c r="P131" i="12" s="1"/>
  <c r="Y131" i="12"/>
  <c r="Z131" i="12" s="1"/>
  <c r="F131" i="12"/>
  <c r="BM131" i="12"/>
  <c r="W131" i="12"/>
  <c r="X131" i="12" s="1"/>
  <c r="AA131" i="12"/>
  <c r="AB131" i="12" s="1"/>
  <c r="U131" i="12"/>
  <c r="V131" i="12" s="1"/>
  <c r="S131" i="12"/>
  <c r="T131" i="12" s="1"/>
  <c r="I131" i="12"/>
  <c r="G131" i="12"/>
  <c r="BK131" i="12"/>
  <c r="H131" i="12"/>
  <c r="K131" i="12"/>
  <c r="L131" i="12" s="1"/>
  <c r="J131" i="12"/>
  <c r="AC131" i="12"/>
  <c r="AD131" i="12" s="1"/>
  <c r="M131" i="12"/>
  <c r="N131" i="12" s="1"/>
  <c r="D292" i="12"/>
  <c r="D294" i="1"/>
  <c r="BL364" i="12"/>
  <c r="BQ364" i="12"/>
  <c r="BR364" i="12" s="1"/>
  <c r="BN364" i="12"/>
  <c r="BS364" i="12"/>
  <c r="BT364" i="12" s="1"/>
  <c r="AE364" i="12"/>
  <c r="BC388" i="12"/>
  <c r="BU304" i="12"/>
  <c r="BV304" i="12" s="1"/>
  <c r="AY304" i="12"/>
  <c r="BW304" i="12"/>
  <c r="AF304" i="12"/>
  <c r="BS92" i="12"/>
  <c r="BT92" i="12" s="1"/>
  <c r="BL92" i="12"/>
  <c r="AE92" i="12"/>
  <c r="BQ92" i="12"/>
  <c r="BW281" i="12"/>
  <c r="BX281" i="12" s="1"/>
  <c r="AY281" i="12"/>
  <c r="AZ281" i="12" s="1"/>
  <c r="AF281" i="12"/>
  <c r="AG281" i="12" s="1"/>
  <c r="BU281" i="12"/>
  <c r="BV281" i="12" s="1"/>
  <c r="AE287" i="12"/>
  <c r="BN287" i="12"/>
  <c r="BL287" i="12"/>
  <c r="BS287" i="12"/>
  <c r="BT287" i="12" s="1"/>
  <c r="BQ287" i="12"/>
  <c r="BR287" i="12" s="1"/>
  <c r="AK122" i="12"/>
  <c r="C316" i="8"/>
  <c r="BS395" i="12"/>
  <c r="BT395" i="12" s="1"/>
  <c r="AE395" i="12"/>
  <c r="BN395" i="12"/>
  <c r="BL395" i="12"/>
  <c r="BQ395" i="12"/>
  <c r="BR395" i="12" s="1"/>
  <c r="BL82" i="12"/>
  <c r="AE82" i="12"/>
  <c r="BQ82" i="12"/>
  <c r="BS82" i="12"/>
  <c r="BT82" i="12" s="1"/>
  <c r="BI2" i="12"/>
  <c r="D389" i="12"/>
  <c r="D391" i="1"/>
  <c r="J393" i="1"/>
  <c r="G393" i="1"/>
  <c r="D33" i="12"/>
  <c r="D35" i="1"/>
  <c r="BN137" i="12"/>
  <c r="BS137" i="12"/>
  <c r="BT137" i="12" s="1"/>
  <c r="BQ137" i="12"/>
  <c r="BR137" i="12" s="1"/>
  <c r="BL137" i="12"/>
  <c r="AE137" i="12"/>
  <c r="AN197" i="12"/>
  <c r="J50" i="1"/>
  <c r="G50" i="1"/>
  <c r="AQ205" i="12"/>
  <c r="BQ41" i="12"/>
  <c r="BR41" i="12" s="1"/>
  <c r="AE41" i="12"/>
  <c r="BS41" i="12"/>
  <c r="BT41" i="12" s="1"/>
  <c r="BN41" i="12"/>
  <c r="BL41" i="12"/>
  <c r="BO350" i="12"/>
  <c r="AH350" i="12"/>
  <c r="BH350" i="12"/>
  <c r="BI350" i="12" s="1"/>
  <c r="BL283" i="12"/>
  <c r="BN283" i="12"/>
  <c r="AE283" i="12"/>
  <c r="BS283" i="12"/>
  <c r="BT283" i="12" s="1"/>
  <c r="BQ283" i="12"/>
  <c r="BR283" i="12" s="1"/>
  <c r="BF389" i="12"/>
  <c r="D232" i="12"/>
  <c r="D234" i="1"/>
  <c r="BD299" i="12"/>
  <c r="BE299" i="12" s="1"/>
  <c r="AL299" i="12"/>
  <c r="AM299" i="12" s="1"/>
  <c r="AN299" i="12" s="1"/>
  <c r="AO299" i="12"/>
  <c r="AP299" i="12" s="1"/>
  <c r="AQ299" i="12" s="1"/>
  <c r="AX299" i="12"/>
  <c r="AU299" i="12"/>
  <c r="BG299" i="12"/>
  <c r="AR299" i="12"/>
  <c r="AS299" i="12" s="1"/>
  <c r="AT299" i="12" s="1"/>
  <c r="AI299" i="12"/>
  <c r="AJ299" i="12" s="1"/>
  <c r="BA299" i="12"/>
  <c r="BB299" i="12" s="1"/>
  <c r="BK4" i="12"/>
  <c r="H6" i="1" s="1"/>
  <c r="AE408" i="12"/>
  <c r="BQ408" i="12"/>
  <c r="BR408" i="12" s="1"/>
  <c r="BS408" i="12"/>
  <c r="BT408" i="12" s="1"/>
  <c r="BN408" i="12"/>
  <c r="BL408" i="12"/>
  <c r="BW372" i="12"/>
  <c r="BX372" i="12" s="1"/>
  <c r="BU372" i="12"/>
  <c r="BV372" i="12" s="1"/>
  <c r="AY372" i="12"/>
  <c r="AZ372" i="12" s="1"/>
  <c r="AF372" i="12"/>
  <c r="AG372" i="12" s="1"/>
  <c r="BQ383" i="12"/>
  <c r="BR383" i="12" s="1"/>
  <c r="BS383" i="12"/>
  <c r="BT383" i="12" s="1"/>
  <c r="AE383" i="12"/>
  <c r="BN383" i="12"/>
  <c r="BL383" i="12"/>
  <c r="AJ2" i="12"/>
  <c r="BF369" i="12"/>
  <c r="BW249" i="12"/>
  <c r="BX249" i="12" s="1"/>
  <c r="BU249" i="12"/>
  <c r="BV249" i="12" s="1"/>
  <c r="AF249" i="12"/>
  <c r="AY249" i="12"/>
  <c r="BW41" i="12"/>
  <c r="BX41" i="12" s="1"/>
  <c r="BU41" i="12"/>
  <c r="BV41" i="12" s="1"/>
  <c r="AY41" i="12"/>
  <c r="AZ41" i="12" s="1"/>
  <c r="AF41" i="12"/>
  <c r="AG41" i="12" s="1"/>
  <c r="AY123" i="12"/>
  <c r="AF123" i="12"/>
  <c r="BW123" i="12"/>
  <c r="BX123" i="12" s="1"/>
  <c r="BU123" i="12"/>
  <c r="BV123" i="12" s="1"/>
  <c r="BF353" i="12"/>
  <c r="I204" i="3"/>
  <c r="D281" i="12"/>
  <c r="BC281" i="12" s="1"/>
  <c r="D283" i="1"/>
  <c r="BS390" i="12"/>
  <c r="BT390" i="12" s="1"/>
  <c r="AE390" i="12"/>
  <c r="BN390" i="12"/>
  <c r="BL390" i="12"/>
  <c r="BQ390" i="12"/>
  <c r="BR390" i="12" s="1"/>
  <c r="AI35" i="12"/>
  <c r="AJ35" i="12" s="1"/>
  <c r="AK35" i="12" s="1"/>
  <c r="AL35" i="12"/>
  <c r="AM35" i="12" s="1"/>
  <c r="AN35" i="12" s="1"/>
  <c r="BD35" i="12"/>
  <c r="BE35" i="12" s="1"/>
  <c r="BF35" i="12" s="1"/>
  <c r="AR35" i="12"/>
  <c r="AS35" i="12" s="1"/>
  <c r="AT35" i="12" s="1"/>
  <c r="BA35" i="12"/>
  <c r="BB35" i="12" s="1"/>
  <c r="BC35" i="12" s="1"/>
  <c r="BG35" i="12"/>
  <c r="AO35" i="12"/>
  <c r="AP35" i="12" s="1"/>
  <c r="AQ35" i="12" s="1"/>
  <c r="AX35" i="12"/>
  <c r="AU35" i="12"/>
  <c r="BS182" i="12"/>
  <c r="BT182" i="12" s="1"/>
  <c r="BQ182" i="12"/>
  <c r="BR182" i="12" s="1"/>
  <c r="BN182" i="12"/>
  <c r="AE182" i="12"/>
  <c r="BL182" i="12"/>
  <c r="AG3" i="12"/>
  <c r="D345" i="12"/>
  <c r="D347" i="1"/>
  <c r="J377" i="1"/>
  <c r="G377" i="1"/>
  <c r="BO214" i="12"/>
  <c r="AH214" i="12"/>
  <c r="BH214" i="12"/>
  <c r="AH244" i="12"/>
  <c r="BO244" i="12"/>
  <c r="BH244" i="12"/>
  <c r="D201" i="12"/>
  <c r="D203" i="1"/>
  <c r="BN189" i="12"/>
  <c r="AE189" i="12"/>
  <c r="BL189" i="12"/>
  <c r="BQ189" i="12"/>
  <c r="BR189" i="12" s="1"/>
  <c r="BS189" i="12"/>
  <c r="BT189" i="12" s="1"/>
  <c r="AE14" i="12"/>
  <c r="BQ14" i="12"/>
  <c r="BR14" i="12" s="1"/>
  <c r="BS14" i="12"/>
  <c r="BT14" i="12" s="1"/>
  <c r="BN14" i="12"/>
  <c r="BL14" i="12"/>
  <c r="AH391" i="12"/>
  <c r="BH391" i="12"/>
  <c r="BI391" i="12" s="1"/>
  <c r="BO391" i="12"/>
  <c r="BC306" i="12"/>
  <c r="BQ142" i="12"/>
  <c r="BR142" i="12" s="1"/>
  <c r="AE142" i="12"/>
  <c r="BL142" i="12"/>
  <c r="BN142" i="12"/>
  <c r="BS142" i="12"/>
  <c r="BT142" i="12" s="1"/>
  <c r="I190" i="3"/>
  <c r="BF204" i="12"/>
  <c r="AH256" i="12"/>
  <c r="BO256" i="12"/>
  <c r="BH256" i="12"/>
  <c r="BF376" i="12"/>
  <c r="BS360" i="12"/>
  <c r="BT360" i="12" s="1"/>
  <c r="BN360" i="12"/>
  <c r="BL360" i="12"/>
  <c r="AE360" i="12"/>
  <c r="BQ360" i="12"/>
  <c r="BR360" i="12" s="1"/>
  <c r="BH348" i="12"/>
  <c r="BO348" i="12"/>
  <c r="AH348" i="12"/>
  <c r="AH332" i="12"/>
  <c r="BO332" i="12"/>
  <c r="BH332" i="12"/>
  <c r="BI332" i="12" s="1"/>
  <c r="AE324" i="12"/>
  <c r="BN324" i="12"/>
  <c r="BL324" i="12"/>
  <c r="BS324" i="12"/>
  <c r="BT324" i="12" s="1"/>
  <c r="BQ324" i="12"/>
  <c r="BR324" i="12" s="1"/>
  <c r="D318" i="12"/>
  <c r="D320" i="1"/>
  <c r="BC292" i="12"/>
  <c r="AN276" i="12"/>
  <c r="AH252" i="12"/>
  <c r="BO252" i="12"/>
  <c r="BH252" i="12"/>
  <c r="BQ216" i="12"/>
  <c r="BR216" i="12" s="1"/>
  <c r="AE216" i="12"/>
  <c r="BN216" i="12"/>
  <c r="BS216" i="12"/>
  <c r="BT216" i="12" s="1"/>
  <c r="BL216" i="12"/>
  <c r="AY204" i="12"/>
  <c r="BW204" i="12"/>
  <c r="BX204" i="12" s="1"/>
  <c r="AF204" i="12"/>
  <c r="BU204" i="12"/>
  <c r="BV204" i="12" s="1"/>
  <c r="BB196" i="12"/>
  <c r="BW196" i="12"/>
  <c r="BX196" i="12" s="1"/>
  <c r="BU196" i="12"/>
  <c r="BV196" i="12" s="1"/>
  <c r="AK188" i="12"/>
  <c r="AY168" i="12"/>
  <c r="AF168" i="12"/>
  <c r="BW168" i="12"/>
  <c r="BX168" i="12" s="1"/>
  <c r="BU168" i="12"/>
  <c r="BV168" i="12" s="1"/>
  <c r="BF152" i="12"/>
  <c r="BN144" i="12"/>
  <c r="BL144" i="12"/>
  <c r="BS144" i="12"/>
  <c r="BT144" i="12" s="1"/>
  <c r="BQ144" i="12"/>
  <c r="BR144" i="12" s="1"/>
  <c r="AE144" i="12"/>
  <c r="BW128" i="12"/>
  <c r="BX128" i="12" s="1"/>
  <c r="BU128" i="12"/>
  <c r="BV128" i="12" s="1"/>
  <c r="AF128" i="12"/>
  <c r="AG128" i="12" s="1"/>
  <c r="AY128" i="12"/>
  <c r="AZ128" i="12" s="1"/>
  <c r="BO88" i="12"/>
  <c r="BH88" i="12"/>
  <c r="AH88" i="12"/>
  <c r="BW4" i="12"/>
  <c r="BX4" i="12" s="1"/>
  <c r="BB4" i="12"/>
  <c r="BC4" i="12" s="1"/>
  <c r="BL4" i="12"/>
  <c r="BU4" i="12"/>
  <c r="BV4" i="12" s="1"/>
  <c r="AF4" i="12"/>
  <c r="AG4" i="12" s="1"/>
  <c r="BN32" i="12"/>
  <c r="BL32" i="12"/>
  <c r="AE32" i="12"/>
  <c r="BS32" i="12"/>
  <c r="BT32" i="12" s="1"/>
  <c r="BQ32" i="12"/>
  <c r="BR32" i="12" s="1"/>
  <c r="D305" i="12"/>
  <c r="D307" i="1"/>
  <c r="D321" i="12"/>
  <c r="D323" i="1"/>
  <c r="D162" i="12"/>
  <c r="D164" i="1"/>
  <c r="AE132" i="12"/>
  <c r="BN132" i="12"/>
  <c r="BQ132" i="12"/>
  <c r="BR132" i="12" s="1"/>
  <c r="BL132" i="12"/>
  <c r="BS132" i="12"/>
  <c r="BT132" i="12" s="1"/>
  <c r="BW116" i="12"/>
  <c r="BX116" i="12" s="1"/>
  <c r="AY116" i="12"/>
  <c r="AF116" i="12"/>
  <c r="BU116" i="12"/>
  <c r="BV116" i="12" s="1"/>
  <c r="BF10" i="12"/>
  <c r="BU313" i="12"/>
  <c r="BV313" i="12" s="1"/>
  <c r="BW313" i="12"/>
  <c r="BX313" i="12" s="1"/>
  <c r="AF313" i="12"/>
  <c r="AG313" i="12" s="1"/>
  <c r="AY313" i="12"/>
  <c r="BC166" i="12"/>
  <c r="I392" i="3"/>
  <c r="D351" i="12"/>
  <c r="D353" i="1"/>
  <c r="BF287" i="12"/>
  <c r="BO229" i="12"/>
  <c r="BH229" i="12"/>
  <c r="AH229" i="12"/>
  <c r="BS170" i="12"/>
  <c r="BT170" i="12" s="1"/>
  <c r="BQ170" i="12"/>
  <c r="BR170" i="12" s="1"/>
  <c r="BN170" i="12"/>
  <c r="AE170" i="12"/>
  <c r="BL170" i="12"/>
  <c r="BW122" i="12"/>
  <c r="BX122" i="12" s="1"/>
  <c r="AF122" i="12"/>
  <c r="AG122" i="12" s="1"/>
  <c r="AY122" i="12"/>
  <c r="AZ122" i="12" s="1"/>
  <c r="BU122" i="12"/>
  <c r="BV122" i="12" s="1"/>
  <c r="D183" i="12"/>
  <c r="D185" i="1"/>
  <c r="BN167" i="12"/>
  <c r="BS167" i="12"/>
  <c r="BT167" i="12" s="1"/>
  <c r="BQ167" i="12"/>
  <c r="BR167" i="12" s="1"/>
  <c r="BL167" i="12"/>
  <c r="AE167" i="12"/>
  <c r="BL86" i="12"/>
  <c r="BS86" i="12"/>
  <c r="BT86" i="12" s="1"/>
  <c r="BQ86" i="12"/>
  <c r="AE86" i="12"/>
  <c r="BS291" i="12"/>
  <c r="BT291" i="12" s="1"/>
  <c r="BQ291" i="12"/>
  <c r="BR291" i="12" s="1"/>
  <c r="AE291" i="12"/>
  <c r="BN291" i="12"/>
  <c r="BL291" i="12"/>
  <c r="BW126" i="12"/>
  <c r="BX126" i="12" s="1"/>
  <c r="BU126" i="12"/>
  <c r="BV126" i="12" s="1"/>
  <c r="AF126" i="12"/>
  <c r="AY126" i="12"/>
  <c r="BQ126" i="12"/>
  <c r="BR126" i="12" s="1"/>
  <c r="BQ377" i="12"/>
  <c r="BR377" i="12" s="1"/>
  <c r="BL377" i="12"/>
  <c r="AE377" i="12"/>
  <c r="BN377" i="12"/>
  <c r="BS377" i="12"/>
  <c r="BT377" i="12" s="1"/>
  <c r="BW257" i="12"/>
  <c r="BX257" i="12" s="1"/>
  <c r="AY257" i="12"/>
  <c r="BU257" i="12"/>
  <c r="BV257" i="12" s="1"/>
  <c r="AF257" i="12"/>
  <c r="BW253" i="12"/>
  <c r="BX253" i="12" s="1"/>
  <c r="AY253" i="12"/>
  <c r="BU253" i="12"/>
  <c r="BV253" i="12" s="1"/>
  <c r="AF253" i="12"/>
  <c r="BB44" i="12"/>
  <c r="BC44" i="12" s="1"/>
  <c r="BW44" i="12"/>
  <c r="BX44" i="12" s="1"/>
  <c r="C302" i="8"/>
  <c r="BS185" i="12"/>
  <c r="BT185" i="12" s="1"/>
  <c r="AH94" i="12"/>
  <c r="BH94" i="12"/>
  <c r="BO94" i="12"/>
  <c r="BL219" i="12"/>
  <c r="BL247" i="12"/>
  <c r="BS247" i="12"/>
  <c r="AE247" i="12"/>
  <c r="BQ247" i="12"/>
  <c r="BR247" i="12" s="1"/>
  <c r="BL64" i="12"/>
  <c r="AE64" i="12"/>
  <c r="BS64" i="12"/>
  <c r="BT64" i="12" s="1"/>
  <c r="BQ64" i="12"/>
  <c r="AK215" i="12"/>
  <c r="AK169" i="12"/>
  <c r="G20" i="12"/>
  <c r="S20" i="12"/>
  <c r="T20" i="12" s="1"/>
  <c r="Q20" i="12"/>
  <c r="R20" i="12" s="1"/>
  <c r="U20" i="12"/>
  <c r="V20" i="12" s="1"/>
  <c r="J20" i="12"/>
  <c r="O20" i="12"/>
  <c r="P20" i="12" s="1"/>
  <c r="M20" i="12"/>
  <c r="N20" i="12" s="1"/>
  <c r="BM20" i="12"/>
  <c r="K20" i="12"/>
  <c r="L20" i="12" s="1"/>
  <c r="AC20" i="12"/>
  <c r="AD20" i="12" s="1"/>
  <c r="W20" i="12"/>
  <c r="X20" i="12" s="1"/>
  <c r="I20" i="12"/>
  <c r="BK20" i="12"/>
  <c r="AA20" i="12"/>
  <c r="AB20" i="12" s="1"/>
  <c r="Y20" i="12"/>
  <c r="Z20" i="12" s="1"/>
  <c r="H20" i="12"/>
  <c r="BC20" i="12"/>
  <c r="D324" i="12"/>
  <c r="D326" i="1"/>
  <c r="D118" i="1"/>
  <c r="D116" i="12"/>
  <c r="C135" i="8"/>
  <c r="D165" i="12"/>
  <c r="D167" i="1"/>
  <c r="BC389" i="12"/>
  <c r="G341" i="1"/>
  <c r="J341" i="1"/>
  <c r="BL120" i="12"/>
  <c r="BK199" i="12"/>
  <c r="BH197" i="12"/>
  <c r="AH197" i="12"/>
  <c r="BO197" i="12"/>
  <c r="D100" i="12"/>
  <c r="D102" i="1"/>
  <c r="BM342" i="12"/>
  <c r="O342" i="12"/>
  <c r="P342" i="12" s="1"/>
  <c r="AC342" i="12"/>
  <c r="AD342" i="12" s="1"/>
  <c r="S342" i="12"/>
  <c r="T342" i="12" s="1"/>
  <c r="Y342" i="12"/>
  <c r="Z342" i="12" s="1"/>
  <c r="W342" i="12"/>
  <c r="X342" i="12" s="1"/>
  <c r="J342" i="12"/>
  <c r="I342" i="12"/>
  <c r="H342" i="12"/>
  <c r="G342" i="12"/>
  <c r="K342" i="12"/>
  <c r="L342" i="12" s="1"/>
  <c r="BK342" i="12"/>
  <c r="U342" i="12"/>
  <c r="V342" i="12" s="1"/>
  <c r="Q342" i="12"/>
  <c r="R342" i="12" s="1"/>
  <c r="AA342" i="12"/>
  <c r="AB342" i="12" s="1"/>
  <c r="M342" i="12"/>
  <c r="N342" i="12" s="1"/>
  <c r="BH286" i="12"/>
  <c r="BI286" i="12" s="1"/>
  <c r="AH286" i="12"/>
  <c r="BO286" i="12"/>
  <c r="BF155" i="12"/>
  <c r="F90" i="9" a="1"/>
  <c r="F90" i="9" s="1"/>
  <c r="E89" i="8" s="1"/>
  <c r="C89" i="8" s="1"/>
  <c r="D36" i="1"/>
  <c r="D34" i="12"/>
  <c r="F88" i="9" a="1"/>
  <c r="F88" i="9" s="1"/>
  <c r="E87" i="8" s="1"/>
  <c r="C87" i="8" s="1"/>
  <c r="BU18" i="12"/>
  <c r="BV18" i="12" s="1"/>
  <c r="I406" i="3"/>
  <c r="I379" i="3"/>
  <c r="I12" i="3"/>
  <c r="I42" i="3"/>
  <c r="I348" i="3"/>
  <c r="I167" i="3"/>
  <c r="I235" i="3"/>
  <c r="J194" i="1"/>
  <c r="G194" i="1"/>
  <c r="I155" i="3"/>
  <c r="I256" i="3"/>
  <c r="I310" i="3"/>
  <c r="AH396" i="12"/>
  <c r="BO396" i="12"/>
  <c r="BH396" i="12"/>
  <c r="BI396" i="12" s="1"/>
  <c r="BQ352" i="12"/>
  <c r="BR352" i="12" s="1"/>
  <c r="BN352" i="12"/>
  <c r="BS352" i="12"/>
  <c r="BT352" i="12" s="1"/>
  <c r="AE352" i="12"/>
  <c r="BL352" i="12"/>
  <c r="BO316" i="12"/>
  <c r="BH316" i="12"/>
  <c r="BI316" i="12" s="1"/>
  <c r="AH316" i="12"/>
  <c r="AK204" i="12"/>
  <c r="AQ198" i="12"/>
  <c r="AQ323" i="12"/>
  <c r="AK129" i="12"/>
  <c r="AH294" i="12"/>
  <c r="BH294" i="12"/>
  <c r="BO294" i="12"/>
  <c r="BN363" i="12"/>
  <c r="AE363" i="12"/>
  <c r="BS363" i="12"/>
  <c r="BT363" i="12" s="1"/>
  <c r="BL363" i="12"/>
  <c r="BQ363" i="12"/>
  <c r="BR363" i="12" s="1"/>
  <c r="BC224" i="12"/>
  <c r="BA154" i="12"/>
  <c r="BB154" i="12" s="1"/>
  <c r="AI154" i="12"/>
  <c r="AJ154" i="12" s="1"/>
  <c r="AK154" i="12" s="1"/>
  <c r="AR154" i="12"/>
  <c r="AS154" i="12" s="1"/>
  <c r="AT154" i="12" s="1"/>
  <c r="AX154" i="12"/>
  <c r="AU154" i="12"/>
  <c r="BG154" i="12"/>
  <c r="BD154" i="12"/>
  <c r="BE154" i="12" s="1"/>
  <c r="BF154" i="12" s="1"/>
  <c r="AL154" i="12"/>
  <c r="AM154" i="12" s="1"/>
  <c r="AO154" i="12"/>
  <c r="AP154" i="12" s="1"/>
  <c r="AF135" i="12"/>
  <c r="BW135" i="12"/>
  <c r="BX135" i="12" s="1"/>
  <c r="BU135" i="12"/>
  <c r="BV135" i="12" s="1"/>
  <c r="AY135" i="12"/>
  <c r="AQ37" i="12"/>
  <c r="BS34" i="12"/>
  <c r="BT34" i="12" s="1"/>
  <c r="BQ34" i="12"/>
  <c r="BR34" i="12" s="1"/>
  <c r="BN34" i="12"/>
  <c r="BL34" i="12"/>
  <c r="AE34" i="12"/>
  <c r="BL96" i="12"/>
  <c r="AE96" i="12"/>
  <c r="BQ96" i="12"/>
  <c r="BS96" i="12"/>
  <c r="BT96" i="12" s="1"/>
  <c r="AA167" i="12"/>
  <c r="AB167" i="12" s="1"/>
  <c r="K167" i="12"/>
  <c r="L167" i="12" s="1"/>
  <c r="M167" i="12"/>
  <c r="N167" i="12" s="1"/>
  <c r="AC167" i="12"/>
  <c r="AD167" i="12" s="1"/>
  <c r="BM167" i="12"/>
  <c r="J167" i="12"/>
  <c r="W167" i="12"/>
  <c r="X167" i="12" s="1"/>
  <c r="O167" i="12"/>
  <c r="P167" i="12" s="1"/>
  <c r="Q167" i="12"/>
  <c r="R167" i="12" s="1"/>
  <c r="BK167" i="12"/>
  <c r="H169" i="1" s="1"/>
  <c r="S167" i="12"/>
  <c r="T167" i="12" s="1"/>
  <c r="I167" i="12"/>
  <c r="H167" i="12"/>
  <c r="G167" i="12"/>
  <c r="U167" i="12"/>
  <c r="V167" i="12" s="1"/>
  <c r="F167" i="12"/>
  <c r="Y167" i="12"/>
  <c r="Z167" i="12" s="1"/>
  <c r="BM408" i="12"/>
  <c r="AA408" i="12"/>
  <c r="AB408" i="12" s="1"/>
  <c r="K408" i="12"/>
  <c r="L408" i="12" s="1"/>
  <c r="AC408" i="12"/>
  <c r="AD408" i="12" s="1"/>
  <c r="J408" i="12"/>
  <c r="I408" i="12"/>
  <c r="H408" i="12"/>
  <c r="Q408" i="12"/>
  <c r="R408" i="12" s="1"/>
  <c r="O408" i="12"/>
  <c r="P408" i="12" s="1"/>
  <c r="S408" i="12"/>
  <c r="T408" i="12" s="1"/>
  <c r="M408" i="12"/>
  <c r="N408" i="12" s="1"/>
  <c r="Y408" i="12"/>
  <c r="Z408" i="12" s="1"/>
  <c r="W408" i="12"/>
  <c r="X408" i="12" s="1"/>
  <c r="G408" i="12"/>
  <c r="F408" i="12"/>
  <c r="U408" i="12"/>
  <c r="V408" i="12" s="1"/>
  <c r="BS396" i="12"/>
  <c r="BT396" i="12" s="1"/>
  <c r="BQ396" i="12"/>
  <c r="BR396" i="12" s="1"/>
  <c r="AE396" i="12"/>
  <c r="BN396" i="12"/>
  <c r="BL396" i="12"/>
  <c r="BC324" i="12"/>
  <c r="AH192" i="12"/>
  <c r="BO192" i="12"/>
  <c r="BH192" i="12"/>
  <c r="BI192" i="12" s="1"/>
  <c r="AJ160" i="12"/>
  <c r="BS160" i="12"/>
  <c r="BT160" i="12" s="1"/>
  <c r="BQ160" i="12"/>
  <c r="BR160" i="12" s="1"/>
  <c r="BB80" i="12"/>
  <c r="BU80" i="12"/>
  <c r="BV80" i="12" s="1"/>
  <c r="AF80" i="12"/>
  <c r="BW80" i="12"/>
  <c r="BX80" i="12" s="1"/>
  <c r="AK233" i="12"/>
  <c r="AF363" i="12"/>
  <c r="AG363" i="12" s="1"/>
  <c r="BU363" i="12"/>
  <c r="BV363" i="12" s="1"/>
  <c r="AY363" i="12"/>
  <c r="AZ363" i="12" s="1"/>
  <c r="BW363" i="12"/>
  <c r="BX363" i="12" s="1"/>
  <c r="BN331" i="12"/>
  <c r="BL331" i="12"/>
  <c r="BS331" i="12"/>
  <c r="BT331" i="12" s="1"/>
  <c r="BQ331" i="12"/>
  <c r="BR331" i="12" s="1"/>
  <c r="AE331" i="12"/>
  <c r="AE162" i="12"/>
  <c r="BN162" i="12"/>
  <c r="BL162" i="12"/>
  <c r="BQ162" i="12"/>
  <c r="BR162" i="12" s="1"/>
  <c r="BS162" i="12"/>
  <c r="BT162" i="12" s="1"/>
  <c r="D9" i="1"/>
  <c r="D7" i="12"/>
  <c r="BS43" i="12"/>
  <c r="BT43" i="12" s="1"/>
  <c r="BQ43" i="12"/>
  <c r="BR43" i="12" s="1"/>
  <c r="AE43" i="12"/>
  <c r="BL43" i="12"/>
  <c r="BN43" i="12"/>
  <c r="AK325" i="12"/>
  <c r="K249" i="8"/>
  <c r="E59" i="8"/>
  <c r="C59" i="8" s="1"/>
  <c r="D136" i="12"/>
  <c r="D138" i="1"/>
  <c r="D126" i="12"/>
  <c r="D128" i="1"/>
  <c r="BD347" i="12"/>
  <c r="BE347" i="12" s="1"/>
  <c r="AL347" i="12"/>
  <c r="AM347" i="12" s="1"/>
  <c r="AU347" i="12"/>
  <c r="AR347" i="12"/>
  <c r="AS347" i="12" s="1"/>
  <c r="AT347" i="12" s="1"/>
  <c r="BA347" i="12"/>
  <c r="BB347" i="12" s="1"/>
  <c r="AO347" i="12"/>
  <c r="AP347" i="12" s="1"/>
  <c r="AX347" i="12"/>
  <c r="AI347" i="12"/>
  <c r="AJ347" i="12" s="1"/>
  <c r="BG347" i="12"/>
  <c r="J157" i="1"/>
  <c r="G157" i="1"/>
  <c r="D393" i="12"/>
  <c r="D395" i="1"/>
  <c r="D370" i="12"/>
  <c r="D372" i="1"/>
  <c r="BW398" i="12"/>
  <c r="BX398" i="12" s="1"/>
  <c r="AF398" i="12"/>
  <c r="AY398" i="12"/>
  <c r="BU398" i="12"/>
  <c r="BO153" i="12"/>
  <c r="BH153" i="12"/>
  <c r="BI153" i="12" s="1"/>
  <c r="AH153" i="12"/>
  <c r="BF346" i="12"/>
  <c r="BW277" i="12"/>
  <c r="BU277" i="12"/>
  <c r="BV277" i="12" s="1"/>
  <c r="AF277" i="12"/>
  <c r="AY277" i="12"/>
  <c r="BO163" i="12"/>
  <c r="BH163" i="12"/>
  <c r="BI163" i="12" s="1"/>
  <c r="AH163" i="12"/>
  <c r="BW10" i="12"/>
  <c r="BX10" i="12" s="1"/>
  <c r="BU10" i="12"/>
  <c r="BV10" i="12" s="1"/>
  <c r="AY10" i="12"/>
  <c r="AZ10" i="12" s="1"/>
  <c r="AF10" i="12"/>
  <c r="AG10" i="12" s="1"/>
  <c r="BW142" i="12"/>
  <c r="BX142" i="12" s="1"/>
  <c r="BO22" i="12"/>
  <c r="AH22" i="12"/>
  <c r="BH22" i="12"/>
  <c r="BI22" i="12" s="1"/>
  <c r="BC233" i="12"/>
  <c r="D358" i="12"/>
  <c r="D360" i="1"/>
  <c r="BS270" i="12"/>
  <c r="BT270" i="12" s="1"/>
  <c r="BN270" i="12"/>
  <c r="AE270" i="12"/>
  <c r="BL270" i="12"/>
  <c r="BQ270" i="12"/>
  <c r="BR270" i="12" s="1"/>
  <c r="AH373" i="12"/>
  <c r="BO373" i="12"/>
  <c r="BH373" i="12"/>
  <c r="BI373" i="12" s="1"/>
  <c r="AK293" i="12"/>
  <c r="AH325" i="12"/>
  <c r="BH325" i="12"/>
  <c r="BI325" i="12" s="1"/>
  <c r="BO325" i="12"/>
  <c r="BL57" i="12"/>
  <c r="BS57" i="12"/>
  <c r="BT57" i="12" s="1"/>
  <c r="BQ57" i="12"/>
  <c r="AE57" i="12"/>
  <c r="BD337" i="12"/>
  <c r="BE337" i="12" s="1"/>
  <c r="AL337" i="12"/>
  <c r="AM337" i="12" s="1"/>
  <c r="AO337" i="12"/>
  <c r="AP337" i="12" s="1"/>
  <c r="AQ337" i="12" s="1"/>
  <c r="AX337" i="12"/>
  <c r="AU337" i="12"/>
  <c r="AR337" i="12"/>
  <c r="AS337" i="12" s="1"/>
  <c r="AT337" i="12" s="1"/>
  <c r="BG337" i="12"/>
  <c r="BA337" i="12"/>
  <c r="BB337" i="12" s="1"/>
  <c r="AI337" i="12"/>
  <c r="AJ337" i="12" s="1"/>
  <c r="J110" i="1"/>
  <c r="G110" i="1"/>
  <c r="J429" i="3"/>
  <c r="V425" i="3"/>
  <c r="AH140" i="12"/>
  <c r="BO140" i="12"/>
  <c r="BH140" i="12"/>
  <c r="BI140" i="12" s="1"/>
  <c r="BH76" i="12"/>
  <c r="BI76" i="12" s="1"/>
  <c r="BO76" i="12"/>
  <c r="AH76" i="12"/>
  <c r="BO109" i="12"/>
  <c r="AH109" i="12"/>
  <c r="BH109" i="12"/>
  <c r="BI109" i="12" s="1"/>
  <c r="AN323" i="12"/>
  <c r="AE74" i="12"/>
  <c r="BL74" i="12"/>
  <c r="BS74" i="12"/>
  <c r="BT74" i="12" s="1"/>
  <c r="BQ74" i="12"/>
  <c r="AN346" i="12"/>
  <c r="BO115" i="12"/>
  <c r="AH115" i="12"/>
  <c r="BH115" i="12"/>
  <c r="BI115" i="12" s="1"/>
  <c r="BH133" i="12"/>
  <c r="AH133" i="12"/>
  <c r="BO133" i="12"/>
  <c r="BO38" i="12"/>
  <c r="BH38" i="12"/>
  <c r="BI38" i="12" s="1"/>
  <c r="AH38" i="12"/>
  <c r="C258" i="8"/>
  <c r="D160" i="12"/>
  <c r="AN160" i="12" s="1"/>
  <c r="F62" i="9" a="1"/>
  <c r="F62" i="9" s="1"/>
  <c r="F58" i="9" a="1"/>
  <c r="F58" i="9" s="1"/>
  <c r="D162" i="1"/>
  <c r="BL87" i="12"/>
  <c r="BQ87" i="12"/>
  <c r="BR87" i="12" s="1"/>
  <c r="BS87" i="12"/>
  <c r="BT87" i="12" s="1"/>
  <c r="AE87" i="12"/>
  <c r="AX65" i="12"/>
  <c r="BG65" i="12"/>
  <c r="AU65" i="12"/>
  <c r="AL65" i="12"/>
  <c r="AM65" i="12" s="1"/>
  <c r="AN65" i="12" s="1"/>
  <c r="BA65" i="12"/>
  <c r="BB65" i="12" s="1"/>
  <c r="BD65" i="12"/>
  <c r="BE65" i="12" s="1"/>
  <c r="AO65" i="12"/>
  <c r="AP65" i="12" s="1"/>
  <c r="AQ65" i="12" s="1"/>
  <c r="AI65" i="12"/>
  <c r="AJ65" i="12" s="1"/>
  <c r="AK65" i="12" s="1"/>
  <c r="AR65" i="12"/>
  <c r="AS65" i="12" s="1"/>
  <c r="AT65" i="12" s="1"/>
  <c r="BQ379" i="12"/>
  <c r="BR379" i="12" s="1"/>
  <c r="BS379" i="12"/>
  <c r="BT379" i="12" s="1"/>
  <c r="BN379" i="12"/>
  <c r="AE379" i="12"/>
  <c r="BL379" i="12"/>
  <c r="J361" i="1"/>
  <c r="G361" i="1"/>
  <c r="BO408" i="12"/>
  <c r="AH408" i="12"/>
  <c r="BH408" i="12"/>
  <c r="BI408" i="12" s="1"/>
  <c r="BW368" i="12"/>
  <c r="BX368" i="12" s="1"/>
  <c r="AY368" i="12"/>
  <c r="AZ368" i="12" s="1"/>
  <c r="AF368" i="12"/>
  <c r="AG368" i="12" s="1"/>
  <c r="BU368" i="12"/>
  <c r="BV368" i="12" s="1"/>
  <c r="BQ296" i="12"/>
  <c r="BR296" i="12" s="1"/>
  <c r="BS296" i="12"/>
  <c r="BT296" i="12" s="1"/>
  <c r="BL296" i="12"/>
  <c r="AE296" i="12"/>
  <c r="BN296" i="12"/>
  <c r="BB200" i="12"/>
  <c r="BC200" i="12" s="1"/>
  <c r="BL200" i="12"/>
  <c r="BW172" i="12"/>
  <c r="BX172" i="12" s="1"/>
  <c r="BU172" i="12"/>
  <c r="BV172" i="12" s="1"/>
  <c r="AY172" i="12"/>
  <c r="AZ172" i="12" s="1"/>
  <c r="AF172" i="12"/>
  <c r="AG172" i="12" s="1"/>
  <c r="BH136" i="12"/>
  <c r="BI136" i="12" s="1"/>
  <c r="AH136" i="12"/>
  <c r="BO136" i="12"/>
  <c r="BE21" i="12"/>
  <c r="BF21" i="12" s="1"/>
  <c r="BL21" i="12"/>
  <c r="BS206" i="12"/>
  <c r="BT206" i="12" s="1"/>
  <c r="BQ206" i="12"/>
  <c r="BR206" i="12" s="1"/>
  <c r="AE206" i="12"/>
  <c r="BN206" i="12"/>
  <c r="BL206" i="12"/>
  <c r="BQ78" i="12"/>
  <c r="BS78" i="12"/>
  <c r="BT78" i="12" s="1"/>
  <c r="BL78" i="12"/>
  <c r="BN78" i="12"/>
  <c r="AE78" i="12"/>
  <c r="BC399" i="12"/>
  <c r="AY246" i="12"/>
  <c r="AF246" i="12"/>
  <c r="BU246" i="12"/>
  <c r="BV246" i="12" s="1"/>
  <c r="BW246" i="12"/>
  <c r="BX246" i="12" s="1"/>
  <c r="AF239" i="12"/>
  <c r="AY239" i="12"/>
  <c r="BU239" i="12"/>
  <c r="BV239" i="12" s="1"/>
  <c r="BW239" i="12"/>
  <c r="BX239" i="12" s="1"/>
  <c r="C230" i="8"/>
  <c r="AF373" i="12"/>
  <c r="AG373" i="12" s="1"/>
  <c r="AY373" i="12"/>
  <c r="AZ373" i="12" s="1"/>
  <c r="BW373" i="12"/>
  <c r="BX373" i="12" s="1"/>
  <c r="BU373" i="12"/>
  <c r="BV373" i="12" s="1"/>
  <c r="BF183" i="12"/>
  <c r="AG287" i="12"/>
  <c r="BL177" i="12"/>
  <c r="BQ177" i="12"/>
  <c r="BR177" i="12" s="1"/>
  <c r="BS177" i="12"/>
  <c r="BT177" i="12" s="1"/>
  <c r="AE177" i="12"/>
  <c r="BN177" i="12"/>
  <c r="BS358" i="12"/>
  <c r="BT358" i="12" s="1"/>
  <c r="BQ358" i="12"/>
  <c r="BR358" i="12" s="1"/>
  <c r="BN358" i="12"/>
  <c r="BL358" i="12"/>
  <c r="AE358" i="12"/>
  <c r="AF77" i="12"/>
  <c r="BU77" i="12"/>
  <c r="BV77" i="12" s="1"/>
  <c r="AY77" i="12"/>
  <c r="AZ77" i="12" s="1"/>
  <c r="BW77" i="12"/>
  <c r="BX77" i="12" s="1"/>
  <c r="BC382" i="12"/>
  <c r="BH203" i="12"/>
  <c r="BI203" i="12" s="1"/>
  <c r="AH203" i="12"/>
  <c r="BO203" i="12"/>
  <c r="BQ381" i="12"/>
  <c r="BR381" i="12" s="1"/>
  <c r="BN381" i="12"/>
  <c r="BL381" i="12"/>
  <c r="AE381" i="12"/>
  <c r="BS381" i="12"/>
  <c r="BT381" i="12" s="1"/>
  <c r="D180" i="12"/>
  <c r="AQ180" i="12" s="1"/>
  <c r="F86" i="9" a="1"/>
  <c r="F86" i="9" s="1"/>
  <c r="E85" i="8" s="1"/>
  <c r="C85" i="8" s="1"/>
  <c r="D182" i="1"/>
  <c r="AX367" i="12"/>
  <c r="AU367" i="12"/>
  <c r="AR367" i="12"/>
  <c r="AS367" i="12" s="1"/>
  <c r="AT367" i="12" s="1"/>
  <c r="BD367" i="12"/>
  <c r="BE367" i="12" s="1"/>
  <c r="BF367" i="12" s="1"/>
  <c r="BA367" i="12"/>
  <c r="BB367" i="12" s="1"/>
  <c r="BC367" i="12" s="1"/>
  <c r="AI367" i="12"/>
  <c r="AJ367" i="12" s="1"/>
  <c r="AK367" i="12" s="1"/>
  <c r="BG367" i="12"/>
  <c r="AO367" i="12"/>
  <c r="AP367" i="12" s="1"/>
  <c r="AQ367" i="12" s="1"/>
  <c r="AL367" i="12"/>
  <c r="AM367" i="12" s="1"/>
  <c r="AN367" i="12" s="1"/>
  <c r="J34" i="1"/>
  <c r="G34" i="1"/>
  <c r="D148" i="12"/>
  <c r="AK148" i="12" s="1"/>
  <c r="D150" i="1"/>
  <c r="BF392" i="12"/>
  <c r="AY256" i="12"/>
  <c r="AF256" i="12"/>
  <c r="BW256" i="12"/>
  <c r="BX256" i="12" s="1"/>
  <c r="BU256" i="12"/>
  <c r="BV256" i="12" s="1"/>
  <c r="AN166" i="12"/>
  <c r="AY206" i="12"/>
  <c r="BU206" i="12"/>
  <c r="BV206" i="12" s="1"/>
  <c r="AF206" i="12"/>
  <c r="BW206" i="12"/>
  <c r="BX206" i="12" s="1"/>
  <c r="BL339" i="12"/>
  <c r="BS339" i="12"/>
  <c r="BT339" i="12" s="1"/>
  <c r="BQ339" i="12"/>
  <c r="BR339" i="12" s="1"/>
  <c r="AE339" i="12"/>
  <c r="BN339" i="12"/>
  <c r="BC167" i="12"/>
  <c r="AH41" i="12"/>
  <c r="BO41" i="12"/>
  <c r="BH41" i="12"/>
  <c r="BI41" i="12" s="1"/>
  <c r="BN233" i="12"/>
  <c r="AE233" i="12"/>
  <c r="BS233" i="12"/>
  <c r="BT233" i="12" s="1"/>
  <c r="BQ233" i="12"/>
  <c r="BR233" i="12" s="1"/>
  <c r="BL233" i="12"/>
  <c r="AF97" i="12"/>
  <c r="BW97" i="12"/>
  <c r="BX97" i="12" s="1"/>
  <c r="AY97" i="12"/>
  <c r="BU97" i="12"/>
  <c r="BV97" i="12" s="1"/>
  <c r="BL370" i="12"/>
  <c r="AE370" i="12"/>
  <c r="BN370" i="12"/>
  <c r="BS370" i="12"/>
  <c r="BT370" i="12" s="1"/>
  <c r="BQ370" i="12"/>
  <c r="BR370" i="12" s="1"/>
  <c r="AF38" i="12"/>
  <c r="AG38" i="12" s="1"/>
  <c r="AY38" i="12"/>
  <c r="AZ38" i="12" s="1"/>
  <c r="BW38" i="12"/>
  <c r="BX38" i="12" s="1"/>
  <c r="BU38" i="12"/>
  <c r="BV38" i="12" s="1"/>
  <c r="D326" i="12"/>
  <c r="D328" i="1"/>
  <c r="BN135" i="12"/>
  <c r="BL135" i="12"/>
  <c r="BQ135" i="12"/>
  <c r="BR135" i="12" s="1"/>
  <c r="AE135" i="12"/>
  <c r="BS135" i="12"/>
  <c r="BT135" i="12" s="1"/>
  <c r="AZ7" i="12"/>
  <c r="BO36" i="12"/>
  <c r="BH36" i="12"/>
  <c r="BI36" i="12" s="1"/>
  <c r="AH36" i="12"/>
  <c r="AH158" i="12"/>
  <c r="BO158" i="12"/>
  <c r="BH158" i="12"/>
  <c r="AF191" i="12"/>
  <c r="AG191" i="12" s="1"/>
  <c r="AY191" i="12"/>
  <c r="AZ191" i="12" s="1"/>
  <c r="BW191" i="12"/>
  <c r="BX191" i="12" s="1"/>
  <c r="BU191" i="12"/>
  <c r="BV191" i="12" s="1"/>
  <c r="M32" i="12"/>
  <c r="N32" i="12" s="1"/>
  <c r="AC32" i="12"/>
  <c r="AD32" i="12" s="1"/>
  <c r="W32" i="12"/>
  <c r="X32" i="12" s="1"/>
  <c r="U32" i="12"/>
  <c r="V32" i="12" s="1"/>
  <c r="Y32" i="12"/>
  <c r="Z32" i="12" s="1"/>
  <c r="I32" i="12"/>
  <c r="BM32" i="12"/>
  <c r="H32" i="12"/>
  <c r="G32" i="12"/>
  <c r="AA32" i="12"/>
  <c r="AB32" i="12" s="1"/>
  <c r="O32" i="12"/>
  <c r="P32" i="12" s="1"/>
  <c r="K32" i="12"/>
  <c r="L32" i="12" s="1"/>
  <c r="J32" i="12"/>
  <c r="S32" i="12"/>
  <c r="T32" i="12" s="1"/>
  <c r="Q32" i="12"/>
  <c r="R32" i="12" s="1"/>
  <c r="BF32" i="12"/>
  <c r="F32" i="12"/>
  <c r="BH320" i="12"/>
  <c r="BO320" i="12"/>
  <c r="AH320" i="12"/>
  <c r="AN216" i="12"/>
  <c r="BB12" i="12"/>
  <c r="BC12" i="12" s="1"/>
  <c r="BU12" i="12"/>
  <c r="BV12" i="12" s="1"/>
  <c r="AF12" i="12"/>
  <c r="AG12" i="12" s="1"/>
  <c r="BL403" i="12"/>
  <c r="BN403" i="12"/>
  <c r="BQ403" i="12"/>
  <c r="BR403" i="12" s="1"/>
  <c r="AE403" i="12"/>
  <c r="BS403" i="12"/>
  <c r="BT403" i="12" s="1"/>
  <c r="BW236" i="12"/>
  <c r="BX236" i="12" s="1"/>
  <c r="BU236" i="12"/>
  <c r="BV236" i="12" s="1"/>
  <c r="AY236" i="12"/>
  <c r="AF236" i="12"/>
  <c r="AK326" i="12"/>
  <c r="BO235" i="12"/>
  <c r="BH235" i="12"/>
  <c r="AH235" i="12"/>
  <c r="BH402" i="12"/>
  <c r="BI402" i="12" s="1"/>
  <c r="BO402" i="12"/>
  <c r="AH402" i="12"/>
  <c r="AN195" i="12"/>
  <c r="BC203" i="12"/>
  <c r="BN334" i="12"/>
  <c r="BL334" i="12"/>
  <c r="BQ334" i="12"/>
  <c r="BR334" i="12" s="1"/>
  <c r="BS334" i="12"/>
  <c r="BT334" i="12" s="1"/>
  <c r="AE334" i="12"/>
  <c r="AE372" i="12"/>
  <c r="BS372" i="12"/>
  <c r="BT372" i="12" s="1"/>
  <c r="BQ372" i="12"/>
  <c r="BR372" i="12" s="1"/>
  <c r="BL372" i="12"/>
  <c r="BN372" i="12"/>
  <c r="AK340" i="12"/>
  <c r="AK312" i="12"/>
  <c r="BF132" i="12"/>
  <c r="AH166" i="12"/>
  <c r="BO166" i="12"/>
  <c r="BH166" i="12"/>
  <c r="BI166" i="12" s="1"/>
  <c r="BW178" i="12"/>
  <c r="BX178" i="12" s="1"/>
  <c r="AY178" i="12"/>
  <c r="AZ178" i="12" s="1"/>
  <c r="BU178" i="12"/>
  <c r="BV178" i="12" s="1"/>
  <c r="AF178" i="12"/>
  <c r="AG178" i="12" s="1"/>
  <c r="BL249" i="12"/>
  <c r="BS249" i="12"/>
  <c r="BQ249" i="12"/>
  <c r="BR249" i="12" s="1"/>
  <c r="AE249" i="12"/>
  <c r="BB82" i="12"/>
  <c r="BU82" i="12"/>
  <c r="BV82" i="12" s="1"/>
  <c r="AH146" i="12"/>
  <c r="BO146" i="12"/>
  <c r="BH146" i="12"/>
  <c r="BN123" i="12"/>
  <c r="AE123" i="12"/>
  <c r="BS123" i="12"/>
  <c r="BT123" i="12" s="1"/>
  <c r="BQ123" i="12"/>
  <c r="BR123" i="12" s="1"/>
  <c r="BL123" i="12"/>
  <c r="D181" i="1"/>
  <c r="D179" i="12"/>
  <c r="C266" i="8"/>
  <c r="D133" i="12"/>
  <c r="D135" i="1"/>
  <c r="AF107" i="12"/>
  <c r="AG107" i="12" s="1"/>
  <c r="BW107" i="12"/>
  <c r="BX107" i="12" s="1"/>
  <c r="AY107" i="12"/>
  <c r="AZ107" i="12" s="1"/>
  <c r="BU107" i="12"/>
  <c r="BV107" i="12" s="1"/>
  <c r="BQ7" i="12"/>
  <c r="BR7" i="12" s="1"/>
  <c r="BN7" i="12"/>
  <c r="AE7" i="12"/>
  <c r="BL7" i="12"/>
  <c r="BS7" i="12"/>
  <c r="BT7" i="12" s="1"/>
  <c r="D368" i="12"/>
  <c r="D370" i="1"/>
  <c r="D166" i="12"/>
  <c r="D168" i="1"/>
  <c r="BW33" i="12"/>
  <c r="BX33" i="12" s="1"/>
  <c r="BU33" i="12"/>
  <c r="BV33" i="12" s="1"/>
  <c r="AY33" i="12"/>
  <c r="AF33" i="12"/>
  <c r="BG282" i="12"/>
  <c r="AL282" i="12"/>
  <c r="AM282" i="12" s="1"/>
  <c r="AI282" i="12"/>
  <c r="AJ282" i="12" s="1"/>
  <c r="AX282" i="12"/>
  <c r="AU282" i="12"/>
  <c r="BD282" i="12"/>
  <c r="BE282" i="12" s="1"/>
  <c r="BF282" i="12" s="1"/>
  <c r="AO282" i="12"/>
  <c r="AP282" i="12" s="1"/>
  <c r="BA282" i="12"/>
  <c r="BB282" i="12" s="1"/>
  <c r="AR282" i="12"/>
  <c r="AS282" i="12" s="1"/>
  <c r="AT282" i="12" s="1"/>
  <c r="BO292" i="12"/>
  <c r="BH292" i="12"/>
  <c r="BI292" i="12" s="1"/>
  <c r="AH292" i="12"/>
  <c r="BF400" i="12"/>
  <c r="BF312" i="12"/>
  <c r="I338" i="3"/>
  <c r="I280" i="3"/>
  <c r="I72" i="3"/>
  <c r="I34" i="3"/>
  <c r="I172" i="3"/>
  <c r="I396" i="3"/>
  <c r="I290" i="3"/>
  <c r="I259" i="3"/>
  <c r="I152" i="3"/>
  <c r="I104" i="3"/>
  <c r="I31" i="3"/>
  <c r="I400" i="3"/>
  <c r="I360" i="3"/>
  <c r="I243" i="3"/>
  <c r="I224" i="3"/>
  <c r="I144" i="3"/>
  <c r="I109" i="3"/>
  <c r="I67" i="3"/>
  <c r="I38" i="3"/>
  <c r="I14" i="3"/>
  <c r="I252" i="3"/>
  <c r="I70" i="3"/>
  <c r="I162" i="3"/>
  <c r="I274" i="3"/>
  <c r="I248" i="3"/>
  <c r="I234" i="3"/>
  <c r="I24" i="3"/>
  <c r="I76" i="3"/>
  <c r="I57" i="3"/>
  <c r="I66" i="3"/>
  <c r="I232" i="3"/>
  <c r="I241" i="3"/>
  <c r="I306" i="3"/>
  <c r="M11" i="3"/>
  <c r="M13" i="3" s="1"/>
  <c r="I313" i="3"/>
  <c r="I288" i="3"/>
  <c r="I184" i="3"/>
  <c r="I148" i="3"/>
  <c r="I317" i="3"/>
  <c r="I18" i="3"/>
  <c r="I361" i="3"/>
  <c r="I180" i="3"/>
  <c r="I407" i="3"/>
  <c r="I195" i="3"/>
  <c r="I15" i="3"/>
  <c r="I205" i="3"/>
  <c r="I140" i="3"/>
  <c r="I6" i="3"/>
  <c r="I295" i="3"/>
  <c r="I378" i="3"/>
  <c r="I129" i="3"/>
  <c r="I214" i="3"/>
  <c r="I90" i="3"/>
  <c r="I324" i="3"/>
  <c r="I328" i="3"/>
  <c r="I393" i="3"/>
  <c r="I239" i="3"/>
  <c r="I210" i="3"/>
  <c r="I119" i="3"/>
  <c r="I353" i="3"/>
  <c r="I230" i="3"/>
  <c r="I115" i="3"/>
  <c r="I318" i="3"/>
  <c r="I279" i="3"/>
  <c r="I249" i="3"/>
  <c r="I320" i="3"/>
  <c r="I22" i="3"/>
  <c r="I308" i="3"/>
  <c r="I268" i="3"/>
  <c r="I357" i="3"/>
  <c r="I146" i="3"/>
  <c r="I250" i="3"/>
  <c r="I267" i="3"/>
  <c r="I299" i="3"/>
  <c r="I345" i="3"/>
  <c r="I147" i="3"/>
  <c r="I402" i="3"/>
  <c r="I125" i="3"/>
  <c r="I281" i="3"/>
  <c r="I364" i="3"/>
  <c r="I189" i="3"/>
  <c r="I303" i="3"/>
  <c r="I311" i="3"/>
  <c r="I270" i="3"/>
  <c r="I29" i="3"/>
  <c r="I30" i="3"/>
  <c r="I375" i="3"/>
  <c r="I380" i="3"/>
  <c r="I367" i="3"/>
  <c r="I302" i="3"/>
  <c r="I181" i="3"/>
  <c r="I92" i="3"/>
  <c r="I294" i="3"/>
  <c r="I58" i="3"/>
  <c r="I179" i="3"/>
  <c r="I229" i="3"/>
  <c r="I168" i="3"/>
  <c r="I165" i="3"/>
  <c r="I368" i="3"/>
  <c r="I145" i="3"/>
  <c r="I59" i="3"/>
  <c r="I282" i="3"/>
  <c r="I55" i="3"/>
  <c r="I68" i="3"/>
  <c r="I398" i="3"/>
  <c r="I183" i="3"/>
  <c r="I376" i="3"/>
  <c r="I83" i="3"/>
  <c r="I211" i="3"/>
  <c r="I276" i="3"/>
  <c r="I286" i="3"/>
  <c r="I51" i="3"/>
  <c r="I193" i="3"/>
  <c r="I304" i="3"/>
  <c r="I312" i="3"/>
  <c r="I325" i="3"/>
  <c r="I157" i="3"/>
  <c r="I251" i="3"/>
  <c r="I197" i="3"/>
  <c r="I139" i="3"/>
  <c r="I187" i="3"/>
  <c r="I170" i="3"/>
  <c r="I206" i="3"/>
  <c r="I36" i="3"/>
  <c r="I199" i="3"/>
  <c r="I137" i="3"/>
  <c r="I124" i="3"/>
  <c r="I71" i="3"/>
  <c r="I166" i="3"/>
  <c r="I408" i="3"/>
  <c r="I73" i="3"/>
  <c r="I298" i="3"/>
  <c r="I208" i="3"/>
  <c r="I399" i="3"/>
  <c r="I365" i="3"/>
  <c r="I296" i="3"/>
  <c r="I112" i="3"/>
  <c r="I75" i="3"/>
  <c r="I342" i="3"/>
  <c r="I7" i="3"/>
  <c r="I237" i="3"/>
  <c r="I43" i="3"/>
  <c r="I347" i="3"/>
  <c r="I356" i="3"/>
  <c r="I236" i="3"/>
  <c r="I219" i="3"/>
  <c r="I260" i="3"/>
  <c r="I349" i="3"/>
  <c r="I54" i="3"/>
  <c r="I20" i="3"/>
  <c r="I191" i="3"/>
  <c r="I122" i="3"/>
  <c r="I275" i="3"/>
  <c r="I322" i="3"/>
  <c r="I213" i="3"/>
  <c r="I269" i="3"/>
  <c r="I85" i="3"/>
  <c r="I261" i="3"/>
  <c r="I95" i="3"/>
  <c r="I143" i="3"/>
  <c r="I174" i="3"/>
  <c r="I373" i="3"/>
  <c r="I49" i="3"/>
  <c r="I25" i="3"/>
  <c r="I240" i="3"/>
  <c r="I329" i="3"/>
  <c r="I142" i="3"/>
  <c r="I8" i="3"/>
  <c r="I28" i="3"/>
  <c r="I4" i="3"/>
  <c r="I382" i="3"/>
  <c r="I188" i="3"/>
  <c r="I101" i="3"/>
  <c r="I182" i="3"/>
  <c r="I47" i="3"/>
  <c r="I387" i="3"/>
  <c r="I175" i="3"/>
  <c r="I277" i="3"/>
  <c r="I200" i="3"/>
  <c r="I44" i="3"/>
  <c r="I358" i="3"/>
  <c r="I255" i="3"/>
  <c r="I307" i="3"/>
  <c r="I53" i="3"/>
  <c r="I291" i="3"/>
  <c r="I339" i="3"/>
  <c r="I333" i="3"/>
  <c r="I371" i="3"/>
  <c r="I103" i="3"/>
  <c r="I62" i="3"/>
  <c r="I50" i="3"/>
  <c r="I246" i="3"/>
  <c r="I13" i="3"/>
  <c r="I98" i="3"/>
  <c r="I93" i="3"/>
  <c r="I123" i="3"/>
  <c r="I108" i="3"/>
  <c r="I27" i="3"/>
  <c r="I107" i="3"/>
  <c r="I46" i="3"/>
  <c r="I141" i="3"/>
  <c r="I120" i="3"/>
  <c r="I336" i="3"/>
  <c r="I77" i="3"/>
  <c r="I173" i="3"/>
  <c r="I244" i="3"/>
  <c r="I35" i="3"/>
  <c r="I138" i="3"/>
  <c r="I266" i="3"/>
  <c r="I390" i="3"/>
  <c r="I301" i="3"/>
  <c r="I405" i="3"/>
  <c r="I88" i="3"/>
  <c r="I283" i="3"/>
  <c r="I321" i="3"/>
  <c r="I194" i="3"/>
  <c r="I134" i="3"/>
  <c r="I17" i="3"/>
  <c r="I37" i="3"/>
  <c r="I264" i="3"/>
  <c r="I128" i="3"/>
  <c r="I114" i="3"/>
  <c r="I331" i="3"/>
  <c r="BO223" i="12"/>
  <c r="AH223" i="12"/>
  <c r="BH223" i="12"/>
  <c r="BU59" i="12"/>
  <c r="BV59" i="12" s="1"/>
  <c r="BW59" i="12"/>
  <c r="BX59" i="12" s="1"/>
  <c r="AF59" i="12"/>
  <c r="AY59" i="12"/>
  <c r="BL257" i="12"/>
  <c r="BS257" i="12"/>
  <c r="AE257" i="12"/>
  <c r="BQ257" i="12"/>
  <c r="BR257" i="12" s="1"/>
  <c r="AH149" i="12"/>
  <c r="BO149" i="12"/>
  <c r="BH149" i="12"/>
  <c r="BI149" i="12" s="1"/>
  <c r="AO298" i="12"/>
  <c r="AP298" i="12" s="1"/>
  <c r="AQ298" i="12" s="1"/>
  <c r="BG298" i="12"/>
  <c r="AL298" i="12"/>
  <c r="AM298" i="12" s="1"/>
  <c r="AN298" i="12" s="1"/>
  <c r="BD298" i="12"/>
  <c r="BE298" i="12" s="1"/>
  <c r="BA298" i="12"/>
  <c r="BB298" i="12" s="1"/>
  <c r="AX298" i="12"/>
  <c r="AU298" i="12"/>
  <c r="AR298" i="12"/>
  <c r="AS298" i="12" s="1"/>
  <c r="AT298" i="12" s="1"/>
  <c r="AI298" i="12"/>
  <c r="AJ298" i="12" s="1"/>
  <c r="BF210" i="12"/>
  <c r="BA394" i="12"/>
  <c r="BB394" i="12" s="1"/>
  <c r="BC394" i="12" s="1"/>
  <c r="AL394" i="12"/>
  <c r="AM394" i="12" s="1"/>
  <c r="AN394" i="12" s="1"/>
  <c r="BG394" i="12"/>
  <c r="BD394" i="12"/>
  <c r="BE394" i="12" s="1"/>
  <c r="BF394" i="12" s="1"/>
  <c r="AX394" i="12"/>
  <c r="AR394" i="12"/>
  <c r="AS394" i="12" s="1"/>
  <c r="AT394" i="12" s="1"/>
  <c r="AO394" i="12"/>
  <c r="AP394" i="12" s="1"/>
  <c r="AQ394" i="12" s="1"/>
  <c r="AU394" i="12"/>
  <c r="AI394" i="12"/>
  <c r="AJ394" i="12" s="1"/>
  <c r="AK394" i="12" s="1"/>
  <c r="I89" i="3"/>
  <c r="G403" i="1"/>
  <c r="J403" i="1"/>
  <c r="I160" i="3"/>
  <c r="J65" i="1"/>
  <c r="G65" i="1"/>
  <c r="I19" i="3"/>
  <c r="I220" i="3"/>
  <c r="BW208" i="12"/>
  <c r="BX208" i="12" s="1"/>
  <c r="BU208" i="12"/>
  <c r="BV208" i="12" s="1"/>
  <c r="AY208" i="12"/>
  <c r="AZ208" i="12" s="1"/>
  <c r="AF208" i="12"/>
  <c r="AG208" i="12" s="1"/>
  <c r="AY408" i="12"/>
  <c r="AZ408" i="12" s="1"/>
  <c r="BW408" i="12"/>
  <c r="BX408" i="12" s="1"/>
  <c r="BU408" i="12"/>
  <c r="BV408" i="12" s="1"/>
  <c r="AF408" i="12"/>
  <c r="AG408" i="12" s="1"/>
  <c r="BH392" i="12"/>
  <c r="BI392" i="12" s="1"/>
  <c r="AH392" i="12"/>
  <c r="BO392" i="12"/>
  <c r="BO356" i="12"/>
  <c r="BH356" i="12"/>
  <c r="BI356" i="12" s="1"/>
  <c r="AH356" i="12"/>
  <c r="BC312" i="12"/>
  <c r="BS276" i="12"/>
  <c r="BT276" i="12" s="1"/>
  <c r="BL276" i="12"/>
  <c r="BQ276" i="12"/>
  <c r="BR276" i="12" s="1"/>
  <c r="BN276" i="12"/>
  <c r="AE276" i="12"/>
  <c r="BU383" i="12"/>
  <c r="BV383" i="12" s="1"/>
  <c r="BW383" i="12"/>
  <c r="BX383" i="12" s="1"/>
  <c r="AY383" i="12"/>
  <c r="AZ383" i="12" s="1"/>
  <c r="AF383" i="12"/>
  <c r="AG383" i="12" s="1"/>
  <c r="AH198" i="12"/>
  <c r="BH198" i="12"/>
  <c r="BI198" i="12" s="1"/>
  <c r="BO198" i="12"/>
  <c r="BB2" i="12"/>
  <c r="BH266" i="12"/>
  <c r="AH266" i="12"/>
  <c r="BO266" i="12"/>
  <c r="F376" i="12"/>
  <c r="AQ200" i="12"/>
  <c r="BH400" i="12"/>
  <c r="AH400" i="12"/>
  <c r="BO400" i="12"/>
  <c r="AK368" i="12"/>
  <c r="BW360" i="12"/>
  <c r="BX360" i="12" s="1"/>
  <c r="AY360" i="12"/>
  <c r="AF360" i="12"/>
  <c r="AG360" i="12" s="1"/>
  <c r="BU360" i="12"/>
  <c r="BV360" i="12" s="1"/>
  <c r="BQ340" i="12"/>
  <c r="BR340" i="12" s="1"/>
  <c r="BN340" i="12"/>
  <c r="BL340" i="12"/>
  <c r="AE340" i="12"/>
  <c r="BS340" i="12"/>
  <c r="BT340" i="12" s="1"/>
  <c r="AK332" i="12"/>
  <c r="BW324" i="12"/>
  <c r="BX324" i="12" s="1"/>
  <c r="BU324" i="12"/>
  <c r="BV324" i="12" s="1"/>
  <c r="AF324" i="12"/>
  <c r="AY324" i="12"/>
  <c r="AZ324" i="12" s="1"/>
  <c r="BH308" i="12"/>
  <c r="BO308" i="12"/>
  <c r="AH308" i="12"/>
  <c r="BS300" i="12"/>
  <c r="BT300" i="12" s="1"/>
  <c r="BQ300" i="12"/>
  <c r="BR300" i="12" s="1"/>
  <c r="BN300" i="12"/>
  <c r="BL300" i="12"/>
  <c r="AE300" i="12"/>
  <c r="BS284" i="12"/>
  <c r="BT284" i="12" s="1"/>
  <c r="BN284" i="12"/>
  <c r="AE284" i="12"/>
  <c r="BL284" i="12"/>
  <c r="BQ284" i="12"/>
  <c r="BR284" i="12" s="1"/>
  <c r="BQ244" i="12"/>
  <c r="BR244" i="12" s="1"/>
  <c r="BS244" i="12"/>
  <c r="BL244" i="12"/>
  <c r="AE244" i="12"/>
  <c r="BW216" i="12"/>
  <c r="BX216" i="12" s="1"/>
  <c r="AY216" i="12"/>
  <c r="AZ216" i="12" s="1"/>
  <c r="AF216" i="12"/>
  <c r="AG216" i="12" s="1"/>
  <c r="BU216" i="12"/>
  <c r="BV216" i="12" s="1"/>
  <c r="AN204" i="12"/>
  <c r="BF168" i="12"/>
  <c r="BW160" i="12"/>
  <c r="BX160" i="12" s="1"/>
  <c r="BU160" i="12"/>
  <c r="BV160" i="12" s="1"/>
  <c r="AY160" i="12"/>
  <c r="AF160" i="12"/>
  <c r="AG160" i="12" s="1"/>
  <c r="AJ128" i="12"/>
  <c r="AK128" i="12" s="1"/>
  <c r="BQ128" i="12"/>
  <c r="BR128" i="12" s="1"/>
  <c r="BS128" i="12"/>
  <c r="BT128" i="12" s="1"/>
  <c r="BW84" i="12"/>
  <c r="BX84" i="12" s="1"/>
  <c r="BU84" i="12"/>
  <c r="BV84" i="12" s="1"/>
  <c r="AY84" i="12"/>
  <c r="AF84" i="12"/>
  <c r="AF32" i="12"/>
  <c r="AG32" i="12" s="1"/>
  <c r="BW32" i="12"/>
  <c r="BX32" i="12" s="1"/>
  <c r="BU32" i="12"/>
  <c r="BV32" i="12" s="1"/>
  <c r="AY32" i="12"/>
  <c r="AZ32" i="12" s="1"/>
  <c r="D142" i="12"/>
  <c r="F82" i="9" a="1"/>
  <c r="F82" i="9" s="1"/>
  <c r="D144" i="1"/>
  <c r="D353" i="12"/>
  <c r="D355" i="1"/>
  <c r="D39" i="1"/>
  <c r="F76" i="9" a="1"/>
  <c r="F76" i="9" s="1"/>
  <c r="E75" i="8" s="1"/>
  <c r="C75" i="8" s="1"/>
  <c r="D37" i="12"/>
  <c r="BI37" i="12" s="1"/>
  <c r="D329" i="12"/>
  <c r="AK329" i="12" s="1"/>
  <c r="D331" i="1"/>
  <c r="BU132" i="12"/>
  <c r="BV132" i="12" s="1"/>
  <c r="AY132" i="12"/>
  <c r="AZ132" i="12" s="1"/>
  <c r="AF132" i="12"/>
  <c r="AG132" i="12" s="1"/>
  <c r="BW132" i="12"/>
  <c r="BX132" i="12" s="1"/>
  <c r="AG76" i="12"/>
  <c r="AS2" i="12"/>
  <c r="AK222" i="12"/>
  <c r="BS198" i="12"/>
  <c r="BT198" i="12" s="1"/>
  <c r="BQ198" i="12"/>
  <c r="BR198" i="12" s="1"/>
  <c r="BN198" i="12"/>
  <c r="AE198" i="12"/>
  <c r="BL198" i="12"/>
  <c r="D164" i="12"/>
  <c r="AQ164" i="12" s="1"/>
  <c r="D166" i="1"/>
  <c r="AF85" i="12"/>
  <c r="BW85" i="12"/>
  <c r="BX85" i="12" s="1"/>
  <c r="BU85" i="12"/>
  <c r="BV85" i="12" s="1"/>
  <c r="AY85" i="12"/>
  <c r="BH199" i="12"/>
  <c r="BI199" i="12" s="1"/>
  <c r="AH199" i="12"/>
  <c r="BO199" i="12"/>
  <c r="BF281" i="12"/>
  <c r="I395" i="3"/>
  <c r="BO406" i="12"/>
  <c r="BH406" i="12"/>
  <c r="BI406" i="12" s="1"/>
  <c r="AH406" i="12"/>
  <c r="AH346" i="12"/>
  <c r="BO346" i="12"/>
  <c r="BH346" i="12"/>
  <c r="BI346" i="12" s="1"/>
  <c r="C332" i="8"/>
  <c r="AN170" i="12"/>
  <c r="BQ139" i="12"/>
  <c r="BR139" i="12" s="1"/>
  <c r="AE139" i="12"/>
  <c r="BS139" i="12"/>
  <c r="BT139" i="12" s="1"/>
  <c r="BL139" i="12"/>
  <c r="BN139" i="12"/>
  <c r="AE63" i="12"/>
  <c r="BL63" i="12"/>
  <c r="BS63" i="12"/>
  <c r="BT63" i="12" s="1"/>
  <c r="BQ63" i="12"/>
  <c r="BR63" i="12" s="1"/>
  <c r="BN63" i="12"/>
  <c r="AE294" i="12"/>
  <c r="BS294" i="12"/>
  <c r="BT294" i="12" s="1"/>
  <c r="BQ294" i="12"/>
  <c r="BR294" i="12" s="1"/>
  <c r="BL294" i="12"/>
  <c r="BN294" i="12"/>
  <c r="BN327" i="12"/>
  <c r="BL327" i="12"/>
  <c r="BQ327" i="12"/>
  <c r="BR327" i="12" s="1"/>
  <c r="BS327" i="12"/>
  <c r="BT327" i="12" s="1"/>
  <c r="AE327" i="12"/>
  <c r="BW291" i="12"/>
  <c r="BX291" i="12" s="1"/>
  <c r="AF291" i="12"/>
  <c r="AG291" i="12" s="1"/>
  <c r="BU291" i="12"/>
  <c r="BV291" i="12" s="1"/>
  <c r="AY291" i="12"/>
  <c r="AZ291" i="12" s="1"/>
  <c r="I117" i="3"/>
  <c r="BW226" i="12"/>
  <c r="BX226" i="12" s="1"/>
  <c r="AF226" i="12"/>
  <c r="AY226" i="12"/>
  <c r="BU226" i="12"/>
  <c r="BV226" i="12" s="1"/>
  <c r="BC395" i="12"/>
  <c r="BO333" i="12"/>
  <c r="BH333" i="12"/>
  <c r="BI333" i="12" s="1"/>
  <c r="AH333" i="12"/>
  <c r="BS310" i="12"/>
  <c r="BT310" i="12" s="1"/>
  <c r="BN310" i="12"/>
  <c r="BL310" i="12"/>
  <c r="BQ310" i="12"/>
  <c r="BR310" i="12" s="1"/>
  <c r="AE310" i="12"/>
  <c r="AJ18" i="12"/>
  <c r="AK18" i="12" s="1"/>
  <c r="BS18" i="12"/>
  <c r="BT18" i="12" s="1"/>
  <c r="BQ18" i="12"/>
  <c r="BR18" i="12" s="1"/>
  <c r="BL185" i="12"/>
  <c r="BW94" i="12"/>
  <c r="BX94" i="12" s="1"/>
  <c r="AY94" i="12"/>
  <c r="AF94" i="12"/>
  <c r="BU94" i="12"/>
  <c r="BV94" i="12" s="1"/>
  <c r="AN354" i="12"/>
  <c r="BF224" i="12"/>
  <c r="AH72" i="12"/>
  <c r="BO72" i="12"/>
  <c r="BH72" i="12"/>
  <c r="BI72" i="12" s="1"/>
  <c r="AN162" i="12"/>
  <c r="I330" i="3"/>
  <c r="I245" i="3"/>
  <c r="BD351" i="12"/>
  <c r="BE351" i="12" s="1"/>
  <c r="AL351" i="12"/>
  <c r="AM351" i="12" s="1"/>
  <c r="AR351" i="12"/>
  <c r="AS351" i="12" s="1"/>
  <c r="AT351" i="12" s="1"/>
  <c r="AX351" i="12"/>
  <c r="AU351" i="12"/>
  <c r="BA351" i="12"/>
  <c r="BB351" i="12" s="1"/>
  <c r="BC351" i="12" s="1"/>
  <c r="AO351" i="12"/>
  <c r="AP351" i="12" s="1"/>
  <c r="AQ351" i="12" s="1"/>
  <c r="BG351" i="12"/>
  <c r="AI351" i="12"/>
  <c r="AJ351" i="12" s="1"/>
  <c r="AN283" i="12"/>
  <c r="AX225" i="12"/>
  <c r="AU225" i="12"/>
  <c r="BG225" i="12"/>
  <c r="BA225" i="12"/>
  <c r="BB225" i="12" s="1"/>
  <c r="AL225" i="12"/>
  <c r="AM225" i="12" s="1"/>
  <c r="AR225" i="12"/>
  <c r="AS225" i="12" s="1"/>
  <c r="AT225" i="12" s="1"/>
  <c r="BD225" i="12"/>
  <c r="BE225" i="12" s="1"/>
  <c r="AI225" i="12"/>
  <c r="AJ225" i="12" s="1"/>
  <c r="AO225" i="12"/>
  <c r="AP225" i="12" s="1"/>
  <c r="BW202" i="12"/>
  <c r="BX202" i="12" s="1"/>
  <c r="BS295" i="12"/>
  <c r="BT295" i="12" s="1"/>
  <c r="BN295" i="12"/>
  <c r="BL295" i="12"/>
  <c r="AE295" i="12"/>
  <c r="BQ295" i="12"/>
  <c r="BR295" i="12" s="1"/>
  <c r="AF215" i="12"/>
  <c r="AG215" i="12" s="1"/>
  <c r="BU215" i="12"/>
  <c r="BV215" i="12" s="1"/>
  <c r="BW215" i="12"/>
  <c r="BX215" i="12" s="1"/>
  <c r="AY215" i="12"/>
  <c r="AZ215" i="12" s="1"/>
  <c r="BS169" i="12"/>
  <c r="BT169" i="12" s="1"/>
  <c r="BQ169" i="12"/>
  <c r="BR169" i="12" s="1"/>
  <c r="BN169" i="12"/>
  <c r="BL169" i="12"/>
  <c r="AE169" i="12"/>
  <c r="BD98" i="12"/>
  <c r="BE98" i="12" s="1"/>
  <c r="AI98" i="12"/>
  <c r="AJ98" i="12" s="1"/>
  <c r="AK98" i="12" s="1"/>
  <c r="BA98" i="12"/>
  <c r="BB98" i="12" s="1"/>
  <c r="AR98" i="12"/>
  <c r="AS98" i="12" s="1"/>
  <c r="AT98" i="12" s="1"/>
  <c r="BG98" i="12"/>
  <c r="AL98" i="12"/>
  <c r="AM98" i="12" s="1"/>
  <c r="AN98" i="12" s="1"/>
  <c r="AU98" i="12"/>
  <c r="AX98" i="12"/>
  <c r="AO98" i="12"/>
  <c r="AP98" i="12" s="1"/>
  <c r="AQ98" i="12" s="1"/>
  <c r="BK383" i="12"/>
  <c r="H385" i="1" s="1"/>
  <c r="J423" i="3"/>
  <c r="K423" i="3" s="1"/>
  <c r="I111" i="3"/>
  <c r="BK339" i="12"/>
  <c r="I339" i="12"/>
  <c r="BM339" i="12"/>
  <c r="Y339" i="12"/>
  <c r="Z339" i="12" s="1"/>
  <c r="G339" i="12"/>
  <c r="W339" i="12"/>
  <c r="X339" i="12" s="1"/>
  <c r="K339" i="12"/>
  <c r="L339" i="12" s="1"/>
  <c r="H339" i="12"/>
  <c r="AC339" i="12"/>
  <c r="AD339" i="12" s="1"/>
  <c r="Q339" i="12"/>
  <c r="R339" i="12" s="1"/>
  <c r="O339" i="12"/>
  <c r="P339" i="12" s="1"/>
  <c r="AA339" i="12"/>
  <c r="AB339" i="12" s="1"/>
  <c r="U339" i="12"/>
  <c r="V339" i="12" s="1"/>
  <c r="M339" i="12"/>
  <c r="N339" i="12" s="1"/>
  <c r="S339" i="12"/>
  <c r="T339" i="12" s="1"/>
  <c r="J339" i="12"/>
  <c r="BC190" i="12"/>
  <c r="J411" i="3"/>
  <c r="AR271" i="12"/>
  <c r="AS271" i="12" s="1"/>
  <c r="AT271" i="12" s="1"/>
  <c r="BD271" i="12"/>
  <c r="BE271" i="12" s="1"/>
  <c r="AI271" i="12"/>
  <c r="AJ271" i="12" s="1"/>
  <c r="BA271" i="12"/>
  <c r="BB271" i="12" s="1"/>
  <c r="AX271" i="12"/>
  <c r="AL271" i="12"/>
  <c r="AM271" i="12" s="1"/>
  <c r="AN271" i="12" s="1"/>
  <c r="AU271" i="12"/>
  <c r="BG271" i="12"/>
  <c r="AO271" i="12"/>
  <c r="AP271" i="12" s="1"/>
  <c r="AQ271" i="12" s="1"/>
  <c r="I350" i="3"/>
  <c r="I69" i="3"/>
  <c r="BB54" i="12"/>
  <c r="BC54" i="12" s="1"/>
  <c r="BW54" i="12"/>
  <c r="BX54" i="12" s="1"/>
  <c r="BU54" i="12"/>
  <c r="BV54" i="12" s="1"/>
  <c r="AF54" i="12"/>
  <c r="AG54" i="12" s="1"/>
  <c r="BH251" i="12"/>
  <c r="AH251" i="12"/>
  <c r="BO251" i="12"/>
  <c r="BH245" i="12"/>
  <c r="AH245" i="12"/>
  <c r="BO245" i="12"/>
  <c r="AH278" i="12"/>
  <c r="BH278" i="12"/>
  <c r="BO278" i="12"/>
  <c r="BN42" i="12"/>
  <c r="AE42" i="12"/>
  <c r="BS42" i="12"/>
  <c r="BT42" i="12" s="1"/>
  <c r="BQ42" i="12"/>
  <c r="BR42" i="12" s="1"/>
  <c r="BL42" i="12"/>
  <c r="BH130" i="12"/>
  <c r="BO130" i="12"/>
  <c r="AH130" i="12"/>
  <c r="I271" i="3"/>
  <c r="J409" i="1"/>
  <c r="G409" i="1"/>
  <c r="I305" i="3"/>
  <c r="I285" i="3"/>
  <c r="AR201" i="12"/>
  <c r="AS201" i="12" s="1"/>
  <c r="AT201" i="12" s="1"/>
  <c r="BG201" i="12"/>
  <c r="AL201" i="12"/>
  <c r="AM201" i="12" s="1"/>
  <c r="AI201" i="12"/>
  <c r="AJ201" i="12" s="1"/>
  <c r="AO201" i="12"/>
  <c r="AP201" i="12" s="1"/>
  <c r="AU201" i="12"/>
  <c r="BD201" i="12"/>
  <c r="BE201" i="12" s="1"/>
  <c r="BF201" i="12" s="1"/>
  <c r="BA201" i="12"/>
  <c r="BB201" i="12" s="1"/>
  <c r="AX201" i="12"/>
  <c r="V14" i="2"/>
  <c r="J18" i="2"/>
  <c r="J21" i="2" s="1"/>
  <c r="S192" i="12"/>
  <c r="T192" i="12" s="1"/>
  <c r="BM192" i="12"/>
  <c r="W192" i="12"/>
  <c r="X192" i="12" s="1"/>
  <c r="BK192" i="12"/>
  <c r="H194" i="1" s="1"/>
  <c r="O192" i="12"/>
  <c r="P192" i="12" s="1"/>
  <c r="M192" i="12"/>
  <c r="N192" i="12" s="1"/>
  <c r="Y192" i="12"/>
  <c r="Z192" i="12" s="1"/>
  <c r="U192" i="12"/>
  <c r="V192" i="12" s="1"/>
  <c r="H192" i="12"/>
  <c r="G192" i="12"/>
  <c r="F192" i="12"/>
  <c r="AA192" i="12"/>
  <c r="AB192" i="12" s="1"/>
  <c r="AC192" i="12"/>
  <c r="AD192" i="12" s="1"/>
  <c r="Q192" i="12"/>
  <c r="R192" i="12" s="1"/>
  <c r="I192" i="12"/>
  <c r="K192" i="12"/>
  <c r="L192" i="12" s="1"/>
  <c r="J192" i="12"/>
  <c r="BF192" i="12"/>
  <c r="I130" i="3"/>
  <c r="D188" i="12"/>
  <c r="AQ188" i="12" s="1"/>
  <c r="D190" i="1"/>
  <c r="C235" i="8"/>
  <c r="I319" i="3"/>
  <c r="BQ240" i="12"/>
  <c r="BR240" i="12" s="1"/>
  <c r="BS240" i="12"/>
  <c r="AE240" i="12"/>
  <c r="BL240" i="12"/>
  <c r="BO176" i="12"/>
  <c r="BH176" i="12"/>
  <c r="AH176" i="12"/>
  <c r="BL140" i="12"/>
  <c r="BQ140" i="12"/>
  <c r="BR140" i="12" s="1"/>
  <c r="AE140" i="12"/>
  <c r="BS140" i="12"/>
  <c r="BT140" i="12" s="1"/>
  <c r="BN140" i="12"/>
  <c r="D23" i="1"/>
  <c r="D21" i="12"/>
  <c r="AZ21" i="12" s="1"/>
  <c r="BW86" i="12"/>
  <c r="BX86" i="12" s="1"/>
  <c r="BU86" i="12"/>
  <c r="BV86" i="12" s="1"/>
  <c r="AF86" i="12"/>
  <c r="AY86" i="12"/>
  <c r="BE222" i="12"/>
  <c r="BF222" i="12" s="1"/>
  <c r="BL222" i="12"/>
  <c r="AF235" i="12"/>
  <c r="BU235" i="12"/>
  <c r="BV235" i="12" s="1"/>
  <c r="AY235" i="12"/>
  <c r="BW235" i="12"/>
  <c r="BX235" i="12" s="1"/>
  <c r="BC170" i="12"/>
  <c r="BC126" i="12"/>
  <c r="AF377" i="12"/>
  <c r="AG377" i="12" s="1"/>
  <c r="BW377" i="12"/>
  <c r="BX377" i="12" s="1"/>
  <c r="AY377" i="12"/>
  <c r="AZ377" i="12" s="1"/>
  <c r="BU377" i="12"/>
  <c r="BV377" i="12" s="1"/>
  <c r="BN44" i="12"/>
  <c r="AE44" i="12"/>
  <c r="BS44" i="12"/>
  <c r="BT44" i="12" s="1"/>
  <c r="BQ44" i="12"/>
  <c r="BR44" i="12" s="1"/>
  <c r="BL44" i="12"/>
  <c r="BS267" i="12"/>
  <c r="BQ267" i="12"/>
  <c r="BR267" i="12" s="1"/>
  <c r="BL267" i="12"/>
  <c r="AE267" i="12"/>
  <c r="BC28" i="12"/>
  <c r="BN359" i="12"/>
  <c r="AE359" i="12"/>
  <c r="BS359" i="12"/>
  <c r="BT359" i="12" s="1"/>
  <c r="BQ359" i="12"/>
  <c r="BR359" i="12" s="1"/>
  <c r="BL359" i="12"/>
  <c r="BI8" i="12"/>
  <c r="AN164" i="12"/>
  <c r="BW376" i="12"/>
  <c r="BX376" i="12" s="1"/>
  <c r="BU376" i="12"/>
  <c r="BV376" i="12" s="1"/>
  <c r="AF376" i="12"/>
  <c r="AG376" i="12" s="1"/>
  <c r="AY376" i="12"/>
  <c r="AZ376" i="12" s="1"/>
  <c r="BC336" i="12"/>
  <c r="BC276" i="12"/>
  <c r="BW240" i="12"/>
  <c r="BX240" i="12" s="1"/>
  <c r="BU240" i="12"/>
  <c r="BV240" i="12" s="1"/>
  <c r="AY240" i="12"/>
  <c r="AF240" i="12"/>
  <c r="BO128" i="12"/>
  <c r="AH128" i="12"/>
  <c r="BH128" i="12"/>
  <c r="BI128" i="12" s="1"/>
  <c r="BC132" i="12"/>
  <c r="AF369" i="12"/>
  <c r="AG369" i="12" s="1"/>
  <c r="AY369" i="12"/>
  <c r="AZ369" i="12" s="1"/>
  <c r="BW369" i="12"/>
  <c r="BX369" i="12" s="1"/>
  <c r="BU369" i="12"/>
  <c r="BV369" i="12" s="1"/>
  <c r="BN406" i="12"/>
  <c r="BL406" i="12"/>
  <c r="BQ406" i="12"/>
  <c r="BR406" i="12" s="1"/>
  <c r="BS406" i="12"/>
  <c r="BT406" i="12" s="1"/>
  <c r="AE406" i="12"/>
  <c r="BL277" i="12"/>
  <c r="AE277" i="12"/>
  <c r="BN277" i="12"/>
  <c r="BS277" i="12"/>
  <c r="BT277" i="12" s="1"/>
  <c r="BQ277" i="12"/>
  <c r="BR277" i="12" s="1"/>
  <c r="BS10" i="12"/>
  <c r="BT10" i="12" s="1"/>
  <c r="BQ10" i="12"/>
  <c r="BR10" i="12" s="1"/>
  <c r="BL10" i="12"/>
  <c r="AE10" i="12"/>
  <c r="BN10" i="12"/>
  <c r="BU399" i="12"/>
  <c r="BW399" i="12"/>
  <c r="BX399" i="12" s="1"/>
  <c r="AF399" i="12"/>
  <c r="AY399" i="12"/>
  <c r="BH310" i="12"/>
  <c r="AH310" i="12"/>
  <c r="BO310" i="12"/>
  <c r="BO100" i="12"/>
  <c r="AH100" i="12"/>
  <c r="BH100" i="12"/>
  <c r="BI100" i="12" s="1"/>
  <c r="AN365" i="12"/>
  <c r="D319" i="12"/>
  <c r="D321" i="1"/>
  <c r="BO361" i="12"/>
  <c r="BH361" i="12"/>
  <c r="AH361" i="12"/>
  <c r="D382" i="12"/>
  <c r="BF382" i="12" s="1"/>
  <c r="D384" i="1"/>
  <c r="BD335" i="12"/>
  <c r="BE335" i="12" s="1"/>
  <c r="AL335" i="12"/>
  <c r="AM335" i="12" s="1"/>
  <c r="AN335" i="12" s="1"/>
  <c r="AO335" i="12"/>
  <c r="AP335" i="12" s="1"/>
  <c r="AQ335" i="12" s="1"/>
  <c r="BG335" i="12"/>
  <c r="AR335" i="12"/>
  <c r="AS335" i="12" s="1"/>
  <c r="AT335" i="12" s="1"/>
  <c r="AU335" i="12"/>
  <c r="BA335" i="12"/>
  <c r="BB335" i="12" s="1"/>
  <c r="AX335" i="12"/>
  <c r="AI335" i="12"/>
  <c r="AJ335" i="12" s="1"/>
  <c r="AY384" i="12"/>
  <c r="AZ384" i="12" s="1"/>
  <c r="AF384" i="12"/>
  <c r="AG384" i="12" s="1"/>
  <c r="BW384" i="12"/>
  <c r="BX384" i="12" s="1"/>
  <c r="BU384" i="12"/>
  <c r="BV384" i="12" s="1"/>
  <c r="BO352" i="12"/>
  <c r="BH352" i="12"/>
  <c r="AH352" i="12"/>
  <c r="BU308" i="12"/>
  <c r="BV308" i="12" s="1"/>
  <c r="D295" i="12"/>
  <c r="D297" i="1"/>
  <c r="AF357" i="12"/>
  <c r="BW357" i="12"/>
  <c r="BX357" i="12" s="1"/>
  <c r="BU357" i="12"/>
  <c r="BV357" i="12" s="1"/>
  <c r="AY357" i="12"/>
  <c r="BU333" i="12"/>
  <c r="BV333" i="12" s="1"/>
  <c r="AY333" i="12"/>
  <c r="AZ333" i="12" s="1"/>
  <c r="AF333" i="12"/>
  <c r="AG333" i="12" s="1"/>
  <c r="BW333" i="12"/>
  <c r="BX333" i="12" s="1"/>
  <c r="BS213" i="12"/>
  <c r="BT213" i="12" s="1"/>
  <c r="BL213" i="12"/>
  <c r="AE213" i="12"/>
  <c r="BQ213" i="12"/>
  <c r="BR213" i="12" s="1"/>
  <c r="BN213" i="12"/>
  <c r="BC365" i="12"/>
  <c r="F75" i="9" a="1"/>
  <c r="F75" i="9" s="1"/>
  <c r="D51" i="1"/>
  <c r="D49" i="12"/>
  <c r="AX241" i="12"/>
  <c r="AU241" i="12"/>
  <c r="AO241" i="12"/>
  <c r="AP241" i="12" s="1"/>
  <c r="AR241" i="12"/>
  <c r="AS241" i="12" s="1"/>
  <c r="AT241" i="12" s="1"/>
  <c r="BG241" i="12"/>
  <c r="AI241" i="12"/>
  <c r="AJ241" i="12" s="1"/>
  <c r="AL241" i="12"/>
  <c r="AM241" i="12" s="1"/>
  <c r="BD241" i="12"/>
  <c r="BE241" i="12" s="1"/>
  <c r="BA241" i="12"/>
  <c r="BB241" i="12" s="1"/>
  <c r="AX83" i="12"/>
  <c r="AO83" i="12"/>
  <c r="AP83" i="12" s="1"/>
  <c r="AQ83" i="12" s="1"/>
  <c r="BD83" i="12"/>
  <c r="BE83" i="12" s="1"/>
  <c r="BG83" i="12"/>
  <c r="AR83" i="12"/>
  <c r="AS83" i="12" s="1"/>
  <c r="AT83" i="12" s="1"/>
  <c r="BA83" i="12"/>
  <c r="BB83" i="12" s="1"/>
  <c r="AL83" i="12"/>
  <c r="AM83" i="12" s="1"/>
  <c r="AN83" i="12" s="1"/>
  <c r="AI83" i="12"/>
  <c r="AJ83" i="12" s="1"/>
  <c r="AK83" i="12" s="1"/>
  <c r="AU83" i="12"/>
  <c r="AH379" i="12"/>
  <c r="BO379" i="12"/>
  <c r="BH379" i="12"/>
  <c r="BI379" i="12" s="1"/>
  <c r="BW50" i="12"/>
  <c r="BX50" i="12" s="1"/>
  <c r="BU50" i="12"/>
  <c r="BV50" i="12" s="1"/>
  <c r="AF50" i="12"/>
  <c r="AG50" i="12" s="1"/>
  <c r="AY50" i="12"/>
  <c r="AZ50" i="12" s="1"/>
  <c r="AA155" i="12"/>
  <c r="AB155" i="12" s="1"/>
  <c r="K155" i="12"/>
  <c r="L155" i="12" s="1"/>
  <c r="W155" i="12"/>
  <c r="X155" i="12" s="1"/>
  <c r="F155" i="12"/>
  <c r="U155" i="12"/>
  <c r="V155" i="12" s="1"/>
  <c r="Q155" i="12"/>
  <c r="R155" i="12" s="1"/>
  <c r="BK155" i="12"/>
  <c r="O155" i="12"/>
  <c r="P155" i="12" s="1"/>
  <c r="J155" i="12"/>
  <c r="I155" i="12"/>
  <c r="H155" i="12"/>
  <c r="G155" i="12"/>
  <c r="Y155" i="12"/>
  <c r="Z155" i="12" s="1"/>
  <c r="BM155" i="12"/>
  <c r="M155" i="12"/>
  <c r="N155" i="12" s="1"/>
  <c r="S155" i="12"/>
  <c r="T155" i="12" s="1"/>
  <c r="AC155" i="12"/>
  <c r="AD155" i="12" s="1"/>
  <c r="BO368" i="12"/>
  <c r="BH368" i="12"/>
  <c r="BI368" i="12" s="1"/>
  <c r="AH368" i="12"/>
  <c r="BS328" i="12"/>
  <c r="BT328" i="12" s="1"/>
  <c r="BQ328" i="12"/>
  <c r="BR328" i="12" s="1"/>
  <c r="BL328" i="12"/>
  <c r="BN328" i="12"/>
  <c r="AE328" i="12"/>
  <c r="D154" i="12"/>
  <c r="D156" i="1"/>
  <c r="BW308" i="12"/>
  <c r="AN153" i="12"/>
  <c r="D227" i="12"/>
  <c r="D229" i="1"/>
  <c r="AG222" i="12"/>
  <c r="AF105" i="12"/>
  <c r="AG105" i="12" s="1"/>
  <c r="BU105" i="12"/>
  <c r="BV105" i="12" s="1"/>
  <c r="AY105" i="12"/>
  <c r="AZ105" i="12" s="1"/>
  <c r="BW105" i="12"/>
  <c r="BX105" i="12" s="1"/>
  <c r="AN213" i="12"/>
  <c r="BW68" i="12"/>
  <c r="BX68" i="12" s="1"/>
  <c r="AY68" i="12"/>
  <c r="BU68" i="12"/>
  <c r="BV68" i="12" s="1"/>
  <c r="AF68" i="12"/>
  <c r="BS322" i="12"/>
  <c r="BT322" i="12" s="1"/>
  <c r="AE322" i="12"/>
  <c r="BN322" i="12"/>
  <c r="BL322" i="12"/>
  <c r="BQ322" i="12"/>
  <c r="BR322" i="12" s="1"/>
  <c r="BK103" i="12"/>
  <c r="AK292" i="12"/>
  <c r="BW356" i="12"/>
  <c r="BX356" i="12" s="1"/>
  <c r="AY356" i="12"/>
  <c r="AZ356" i="12" s="1"/>
  <c r="BU356" i="12"/>
  <c r="BV356" i="12" s="1"/>
  <c r="AF356" i="12"/>
  <c r="AG356" i="12" s="1"/>
  <c r="AH304" i="12"/>
  <c r="BH304" i="12"/>
  <c r="BO304" i="12"/>
  <c r="BO216" i="12"/>
  <c r="AH216" i="12"/>
  <c r="BH216" i="12"/>
  <c r="BI216" i="12" s="1"/>
  <c r="BF156" i="12"/>
  <c r="BW16" i="12"/>
  <c r="BX16" i="12" s="1"/>
  <c r="BB16" i="12"/>
  <c r="BC16" i="12" s="1"/>
  <c r="BW205" i="12"/>
  <c r="BX205" i="12" s="1"/>
  <c r="AY205" i="12"/>
  <c r="AF205" i="12"/>
  <c r="BU205" i="12"/>
  <c r="BV205" i="12" s="1"/>
  <c r="AY171" i="12"/>
  <c r="AZ171" i="12" s="1"/>
  <c r="AF171" i="12"/>
  <c r="AG171" i="12" s="1"/>
  <c r="BU171" i="12"/>
  <c r="BV171" i="12" s="1"/>
  <c r="BW171" i="12"/>
  <c r="BX171" i="12" s="1"/>
  <c r="BS266" i="12"/>
  <c r="AE266" i="12"/>
  <c r="BQ266" i="12"/>
  <c r="BR266" i="12" s="1"/>
  <c r="BL266" i="12"/>
  <c r="BU327" i="12"/>
  <c r="BV327" i="12" s="1"/>
  <c r="BW327" i="12"/>
  <c r="AF327" i="12"/>
  <c r="AY327" i="12"/>
  <c r="AF75" i="12"/>
  <c r="BW75" i="12"/>
  <c r="BX75" i="12" s="1"/>
  <c r="AY75" i="12"/>
  <c r="BU75" i="12"/>
  <c r="BV75" i="12" s="1"/>
  <c r="BO317" i="12"/>
  <c r="AH317" i="12"/>
  <c r="BH317" i="12"/>
  <c r="BO57" i="12"/>
  <c r="AH57" i="12"/>
  <c r="BH57" i="12"/>
  <c r="D282" i="12"/>
  <c r="D284" i="1"/>
  <c r="AN325" i="12"/>
  <c r="AR17" i="12"/>
  <c r="AS17" i="12" s="1"/>
  <c r="AT17" i="12" s="1"/>
  <c r="AU17" i="12"/>
  <c r="AO17" i="12"/>
  <c r="AP17" i="12" s="1"/>
  <c r="AQ17" i="12" s="1"/>
  <c r="BG17" i="12"/>
  <c r="AL17" i="12"/>
  <c r="AM17" i="12" s="1"/>
  <c r="AN17" i="12" s="1"/>
  <c r="AI17" i="12"/>
  <c r="AJ17" i="12" s="1"/>
  <c r="AK17" i="12" s="1"/>
  <c r="BA17" i="12"/>
  <c r="BB17" i="12" s="1"/>
  <c r="BC17" i="12" s="1"/>
  <c r="AX17" i="12"/>
  <c r="BD17" i="12"/>
  <c r="BE17" i="12" s="1"/>
  <c r="BF17" i="12" s="1"/>
  <c r="BW245" i="12"/>
  <c r="BX245" i="12" s="1"/>
  <c r="BU245" i="12"/>
  <c r="BV245" i="12" s="1"/>
  <c r="AF245" i="12"/>
  <c r="AY245" i="12"/>
  <c r="J107" i="1"/>
  <c r="G107" i="1"/>
  <c r="O54" i="12"/>
  <c r="P54" i="12" s="1"/>
  <c r="W54" i="12"/>
  <c r="X54" i="12" s="1"/>
  <c r="U54" i="12"/>
  <c r="V54" i="12" s="1"/>
  <c r="BK54" i="12"/>
  <c r="S54" i="12"/>
  <c r="T54" i="12" s="1"/>
  <c r="K54" i="12"/>
  <c r="L54" i="12" s="1"/>
  <c r="AC54" i="12"/>
  <c r="AD54" i="12" s="1"/>
  <c r="M54" i="12"/>
  <c r="N54" i="12" s="1"/>
  <c r="J54" i="12"/>
  <c r="I54" i="12"/>
  <c r="G54" i="12"/>
  <c r="H54" i="12"/>
  <c r="AA54" i="12"/>
  <c r="AB54" i="12" s="1"/>
  <c r="Y54" i="12"/>
  <c r="Z54" i="12" s="1"/>
  <c r="Q54" i="12"/>
  <c r="R54" i="12" s="1"/>
  <c r="BM54" i="12"/>
  <c r="AZ54" i="12"/>
  <c r="D327" i="12"/>
  <c r="AK327" i="12" s="1"/>
  <c r="D329" i="1"/>
  <c r="D290" i="12"/>
  <c r="BF290" i="12" s="1"/>
  <c r="D292" i="1"/>
  <c r="AE400" i="12"/>
  <c r="BS400" i="12"/>
  <c r="BT400" i="12" s="1"/>
  <c r="BN400" i="12"/>
  <c r="BL400" i="12"/>
  <c r="BQ400" i="12"/>
  <c r="BR400" i="12" s="1"/>
  <c r="BS304" i="12"/>
  <c r="BT304" i="12" s="1"/>
  <c r="AE304" i="12"/>
  <c r="BL304" i="12"/>
  <c r="BQ304" i="12"/>
  <c r="BR304" i="12" s="1"/>
  <c r="BN304" i="12"/>
  <c r="BF136" i="12"/>
  <c r="AH339" i="12"/>
  <c r="BO339" i="12"/>
  <c r="BH339" i="12"/>
  <c r="BI339" i="12" s="1"/>
  <c r="BS326" i="12"/>
  <c r="BT326" i="12" s="1"/>
  <c r="BQ326" i="12"/>
  <c r="BR326" i="12" s="1"/>
  <c r="BL326" i="12"/>
  <c r="AE326" i="12"/>
  <c r="BN326" i="12"/>
  <c r="AH170" i="12"/>
  <c r="BH170" i="12"/>
  <c r="BI170" i="12" s="1"/>
  <c r="BO170" i="12"/>
  <c r="AK223" i="12"/>
  <c r="AK123" i="12"/>
  <c r="AQ353" i="12"/>
  <c r="AJ202" i="12"/>
  <c r="BQ202" i="12"/>
  <c r="BR202" i="12" s="1"/>
  <c r="D278" i="12"/>
  <c r="D280" i="1"/>
  <c r="AH143" i="12"/>
  <c r="BH143" i="12"/>
  <c r="BO143" i="12"/>
  <c r="AQ210" i="12"/>
  <c r="D168" i="12"/>
  <c r="AN168" i="12" s="1"/>
  <c r="D170" i="1"/>
  <c r="BF283" i="12"/>
  <c r="D352" i="12"/>
  <c r="BC352" i="12" s="1"/>
  <c r="D354" i="1"/>
  <c r="BU46" i="12"/>
  <c r="BV46" i="12" s="1"/>
  <c r="BW46" i="12"/>
  <c r="BX46" i="12" s="1"/>
  <c r="AF46" i="12"/>
  <c r="AY46" i="12"/>
  <c r="AZ46" i="12" s="1"/>
  <c r="AE203" i="12"/>
  <c r="BS203" i="12"/>
  <c r="BT203" i="12" s="1"/>
  <c r="BN203" i="12"/>
  <c r="BL203" i="12"/>
  <c r="BQ203" i="12"/>
  <c r="BR203" i="12" s="1"/>
  <c r="D307" i="12"/>
  <c r="D309" i="1"/>
  <c r="AA163" i="12"/>
  <c r="AB163" i="12" s="1"/>
  <c r="K163" i="12"/>
  <c r="L163" i="12" s="1"/>
  <c r="BM163" i="12"/>
  <c r="J163" i="12"/>
  <c r="I163" i="12"/>
  <c r="BK163" i="12"/>
  <c r="H165" i="1" s="1"/>
  <c r="Y163" i="12"/>
  <c r="Z163" i="12" s="1"/>
  <c r="H163" i="12"/>
  <c r="U163" i="12"/>
  <c r="V163" i="12" s="1"/>
  <c r="M163" i="12"/>
  <c r="N163" i="12" s="1"/>
  <c r="F163" i="12"/>
  <c r="O163" i="12"/>
  <c r="P163" i="12" s="1"/>
  <c r="AC163" i="12"/>
  <c r="AD163" i="12" s="1"/>
  <c r="Q163" i="12"/>
  <c r="R163" i="12" s="1"/>
  <c r="G163" i="12"/>
  <c r="W163" i="12"/>
  <c r="X163" i="12" s="1"/>
  <c r="S163" i="12"/>
  <c r="T163" i="12" s="1"/>
  <c r="BF163" i="12"/>
  <c r="AF400" i="12"/>
  <c r="AG400" i="12" s="1"/>
  <c r="BW400" i="12"/>
  <c r="BX400" i="12" s="1"/>
  <c r="BU400" i="12"/>
  <c r="BV400" i="12" s="1"/>
  <c r="AY400" i="12"/>
  <c r="BF332" i="12"/>
  <c r="AQ312" i="12"/>
  <c r="AK280" i="12"/>
  <c r="AJ164" i="12"/>
  <c r="AK164" i="12" s="1"/>
  <c r="BQ164" i="12"/>
  <c r="BR164" i="12" s="1"/>
  <c r="BW104" i="12"/>
  <c r="BX104" i="12" s="1"/>
  <c r="AY104" i="12"/>
  <c r="AZ104" i="12" s="1"/>
  <c r="BU104" i="12"/>
  <c r="BV104" i="12" s="1"/>
  <c r="AF104" i="12"/>
  <c r="AG104" i="12" s="1"/>
  <c r="BF122" i="12"/>
  <c r="BS2" i="12"/>
  <c r="AE2" i="12"/>
  <c r="BL2" i="12"/>
  <c r="BQ2" i="12"/>
  <c r="BN2" i="12"/>
  <c r="BS178" i="12"/>
  <c r="BT178" i="12" s="1"/>
  <c r="BL178" i="12"/>
  <c r="BN178" i="12"/>
  <c r="AE178" i="12"/>
  <c r="BQ178" i="12"/>
  <c r="BR178" i="12" s="1"/>
  <c r="AK369" i="12"/>
  <c r="BO89" i="12"/>
  <c r="AH89" i="12"/>
  <c r="BH89" i="12"/>
  <c r="BL223" i="12"/>
  <c r="BS223" i="12"/>
  <c r="BT223" i="12" s="1"/>
  <c r="BQ223" i="12"/>
  <c r="BR223" i="12" s="1"/>
  <c r="BN223" i="12"/>
  <c r="AE223" i="12"/>
  <c r="AK330" i="12"/>
  <c r="BU303" i="12"/>
  <c r="BV303" i="12" s="1"/>
  <c r="BW303" i="12"/>
  <c r="BX303" i="12" s="1"/>
  <c r="AY303" i="12"/>
  <c r="AZ303" i="12" s="1"/>
  <c r="AF303" i="12"/>
  <c r="AG303" i="12" s="1"/>
  <c r="BH370" i="12"/>
  <c r="AH370" i="12"/>
  <c r="BO370" i="12"/>
  <c r="BA186" i="12"/>
  <c r="BB186" i="12" s="1"/>
  <c r="BC186" i="12" s="1"/>
  <c r="AI186" i="12"/>
  <c r="AJ186" i="12" s="1"/>
  <c r="AK186" i="12" s="1"/>
  <c r="AR186" i="12"/>
  <c r="AS186" i="12" s="1"/>
  <c r="AT186" i="12" s="1"/>
  <c r="AO186" i="12"/>
  <c r="AP186" i="12" s="1"/>
  <c r="AQ186" i="12" s="1"/>
  <c r="BD186" i="12"/>
  <c r="BE186" i="12" s="1"/>
  <c r="BF186" i="12" s="1"/>
  <c r="BG186" i="12"/>
  <c r="AX186" i="12"/>
  <c r="AU186" i="12"/>
  <c r="AL186" i="12"/>
  <c r="AM186" i="12" s="1"/>
  <c r="AN186" i="12" s="1"/>
  <c r="BN107" i="12"/>
  <c r="AE107" i="12"/>
  <c r="BL107" i="12"/>
  <c r="BS107" i="12"/>
  <c r="BT107" i="12" s="1"/>
  <c r="BQ107" i="12"/>
  <c r="BR107" i="12" s="1"/>
  <c r="AX250" i="12"/>
  <c r="AO250" i="12"/>
  <c r="AP250" i="12" s="1"/>
  <c r="AQ250" i="12" s="1"/>
  <c r="BG250" i="12"/>
  <c r="AI250" i="12"/>
  <c r="AJ250" i="12" s="1"/>
  <c r="BD250" i="12"/>
  <c r="BE250" i="12" s="1"/>
  <c r="BA250" i="12"/>
  <c r="BB250" i="12" s="1"/>
  <c r="AU250" i="12"/>
  <c r="AR250" i="12"/>
  <c r="AS250" i="12" s="1"/>
  <c r="AT250" i="12" s="1"/>
  <c r="AL250" i="12"/>
  <c r="AM250" i="12" s="1"/>
  <c r="AN250" i="12" s="1"/>
  <c r="D99" i="1"/>
  <c r="D97" i="12"/>
  <c r="D300" i="12"/>
  <c r="D302" i="1"/>
  <c r="BK12" i="12"/>
  <c r="BH380" i="12"/>
  <c r="BO380" i="12"/>
  <c r="AH380" i="12"/>
  <c r="AN320" i="12"/>
  <c r="AQ216" i="12"/>
  <c r="BC116" i="12"/>
  <c r="AQ281" i="12"/>
  <c r="BO26" i="12"/>
  <c r="BH26" i="12"/>
  <c r="BI26" i="12" s="1"/>
  <c r="AH26" i="12"/>
  <c r="BF326" i="12"/>
  <c r="BS200" i="12"/>
  <c r="BT200" i="12" s="1"/>
  <c r="BF330" i="12"/>
  <c r="BO363" i="12"/>
  <c r="BH363" i="12"/>
  <c r="BI363" i="12" s="1"/>
  <c r="AH363" i="12"/>
  <c r="D214" i="12"/>
  <c r="D216" i="1"/>
  <c r="AE253" i="12"/>
  <c r="BQ253" i="12"/>
  <c r="BR253" i="12" s="1"/>
  <c r="BS253" i="12"/>
  <c r="BL253" i="12"/>
  <c r="BL243" i="12"/>
  <c r="BS243" i="12"/>
  <c r="AE243" i="12"/>
  <c r="BQ243" i="12"/>
  <c r="BR243" i="12" s="1"/>
  <c r="AF26" i="12"/>
  <c r="AG26" i="12" s="1"/>
  <c r="BU26" i="12"/>
  <c r="BV26" i="12" s="1"/>
  <c r="AY26" i="12"/>
  <c r="AZ26" i="12" s="1"/>
  <c r="BW26" i="12"/>
  <c r="BX26" i="12" s="1"/>
  <c r="BQ183" i="12"/>
  <c r="BR183" i="12" s="1"/>
  <c r="BN183" i="12"/>
  <c r="BL183" i="12"/>
  <c r="BS183" i="12"/>
  <c r="BT183" i="12" s="1"/>
  <c r="AE183" i="12"/>
  <c r="C229" i="8"/>
  <c r="AH42" i="12"/>
  <c r="BO42" i="12"/>
  <c r="BH42" i="12"/>
  <c r="BI42" i="12" s="1"/>
  <c r="BL73" i="12"/>
  <c r="BQ73" i="12"/>
  <c r="BS73" i="12"/>
  <c r="BT73" i="12" s="1"/>
  <c r="AE73" i="12"/>
  <c r="D92" i="12"/>
  <c r="BF92" i="12" s="1"/>
  <c r="D94" i="1"/>
  <c r="BQ260" i="12"/>
  <c r="BR260" i="12" s="1"/>
  <c r="BS260" i="12"/>
  <c r="AE260" i="12"/>
  <c r="BL260" i="12"/>
  <c r="BW380" i="12"/>
  <c r="BX380" i="12" s="1"/>
  <c r="AF380" i="12"/>
  <c r="BU380" i="12"/>
  <c r="AY380" i="12"/>
  <c r="AF320" i="12"/>
  <c r="AG320" i="12" s="1"/>
  <c r="BU320" i="12"/>
  <c r="BV320" i="12" s="1"/>
  <c r="AY320" i="12"/>
  <c r="AZ320" i="12" s="1"/>
  <c r="BW320" i="12"/>
  <c r="BX320" i="12" s="1"/>
  <c r="BN288" i="12"/>
  <c r="AE288" i="12"/>
  <c r="BS288" i="12"/>
  <c r="BT288" i="12" s="1"/>
  <c r="BQ288" i="12"/>
  <c r="BR288" i="12" s="1"/>
  <c r="BL288" i="12"/>
  <c r="AY272" i="12"/>
  <c r="AF272" i="12"/>
  <c r="BW272" i="12"/>
  <c r="BU272" i="12"/>
  <c r="BV272" i="12" s="1"/>
  <c r="D7" i="1"/>
  <c r="D5" i="12"/>
  <c r="AY166" i="12"/>
  <c r="AZ166" i="12" s="1"/>
  <c r="AF166" i="12"/>
  <c r="AG166" i="12" s="1"/>
  <c r="BW166" i="12"/>
  <c r="BX166" i="12" s="1"/>
  <c r="BU166" i="12"/>
  <c r="BV166" i="12" s="1"/>
  <c r="AQ330" i="12"/>
  <c r="BL217" i="12"/>
  <c r="BS217" i="12"/>
  <c r="BT217" i="12" s="1"/>
  <c r="AE217" i="12"/>
  <c r="BQ217" i="12"/>
  <c r="BR217" i="12" s="1"/>
  <c r="BN217" i="12"/>
  <c r="C315" i="8"/>
  <c r="BN109" i="12"/>
  <c r="AE109" i="12"/>
  <c r="BQ109" i="12"/>
  <c r="BR109" i="12" s="1"/>
  <c r="BL109" i="12"/>
  <c r="BS109" i="12"/>
  <c r="BT109" i="12" s="1"/>
  <c r="BU345" i="12"/>
  <c r="BV345" i="12" s="1"/>
  <c r="BW345" i="12"/>
  <c r="BX345" i="12" s="1"/>
  <c r="AY345" i="12"/>
  <c r="AZ345" i="12" s="1"/>
  <c r="AF345" i="12"/>
  <c r="AG345" i="12" s="1"/>
  <c r="BC358" i="12"/>
  <c r="AY125" i="12"/>
  <c r="AZ125" i="12" s="1"/>
  <c r="AF125" i="12"/>
  <c r="AG125" i="12" s="1"/>
  <c r="BW125" i="12"/>
  <c r="BX125" i="12" s="1"/>
  <c r="BU125" i="12"/>
  <c r="BV125" i="12" s="1"/>
  <c r="BI105" i="12"/>
  <c r="BQ120" i="12"/>
  <c r="BR120" i="12" s="1"/>
  <c r="I223" i="3"/>
  <c r="BD405" i="12"/>
  <c r="BE405" i="12" s="1"/>
  <c r="BF405" i="12" s="1"/>
  <c r="AL405" i="12"/>
  <c r="AM405" i="12" s="1"/>
  <c r="AN405" i="12" s="1"/>
  <c r="BA405" i="12"/>
  <c r="BB405" i="12" s="1"/>
  <c r="BC405" i="12" s="1"/>
  <c r="AI405" i="12"/>
  <c r="AJ405" i="12" s="1"/>
  <c r="AK405" i="12" s="1"/>
  <c r="AR405" i="12"/>
  <c r="AS405" i="12" s="1"/>
  <c r="AT405" i="12" s="1"/>
  <c r="BG405" i="12"/>
  <c r="AX405" i="12"/>
  <c r="AU405" i="12"/>
  <c r="AO405" i="12"/>
  <c r="AP405" i="12" s="1"/>
  <c r="AQ405" i="12" s="1"/>
  <c r="BQ251" i="12"/>
  <c r="BR251" i="12" s="1"/>
  <c r="BS251" i="12"/>
  <c r="BL251" i="12"/>
  <c r="AE251" i="12"/>
  <c r="I202" i="3"/>
  <c r="AQ324" i="12"/>
  <c r="BO313" i="12"/>
  <c r="AH313" i="12"/>
  <c r="BH313" i="12"/>
  <c r="I309" i="3"/>
  <c r="BU404" i="12"/>
  <c r="BV404" i="12" s="1"/>
  <c r="AY404" i="12"/>
  <c r="AZ404" i="12" s="1"/>
  <c r="AF404" i="12"/>
  <c r="AG404" i="12" s="1"/>
  <c r="BW404" i="12"/>
  <c r="BX404" i="12" s="1"/>
  <c r="AE392" i="12"/>
  <c r="BQ392" i="12"/>
  <c r="BR392" i="12" s="1"/>
  <c r="BL392" i="12"/>
  <c r="BN392" i="12"/>
  <c r="BS392" i="12"/>
  <c r="BT392" i="12" s="1"/>
  <c r="BH376" i="12"/>
  <c r="BI376" i="12" s="1"/>
  <c r="BO376" i="12"/>
  <c r="AH376" i="12"/>
  <c r="BF368" i="12"/>
  <c r="BW344" i="12"/>
  <c r="BX344" i="12" s="1"/>
  <c r="AF344" i="12"/>
  <c r="AG344" i="12" s="1"/>
  <c r="AY344" i="12"/>
  <c r="AZ344" i="12" s="1"/>
  <c r="BU344" i="12"/>
  <c r="BV344" i="12" s="1"/>
  <c r="AK324" i="12"/>
  <c r="AF300" i="12"/>
  <c r="AY300" i="12"/>
  <c r="BU300" i="12"/>
  <c r="BV300" i="12" s="1"/>
  <c r="BW300" i="12"/>
  <c r="BW292" i="12"/>
  <c r="BX292" i="12" s="1"/>
  <c r="AY292" i="12"/>
  <c r="AZ292" i="12" s="1"/>
  <c r="BU292" i="12"/>
  <c r="BV292" i="12" s="1"/>
  <c r="AF292" i="12"/>
  <c r="AG292" i="12" s="1"/>
  <c r="BW284" i="12"/>
  <c r="BX284" i="12" s="1"/>
  <c r="BU284" i="12"/>
  <c r="BV284" i="12" s="1"/>
  <c r="AF284" i="12"/>
  <c r="AG284" i="12" s="1"/>
  <c r="AY284" i="12"/>
  <c r="AZ284" i="12" s="1"/>
  <c r="BW276" i="12"/>
  <c r="BX276" i="12" s="1"/>
  <c r="BU276" i="12"/>
  <c r="BV276" i="12" s="1"/>
  <c r="AF276" i="12"/>
  <c r="AG276" i="12" s="1"/>
  <c r="AY276" i="12"/>
  <c r="AZ276" i="12" s="1"/>
  <c r="AY244" i="12"/>
  <c r="AF244" i="12"/>
  <c r="BU244" i="12"/>
  <c r="BV244" i="12" s="1"/>
  <c r="BW244" i="12"/>
  <c r="BX244" i="12" s="1"/>
  <c r="AE228" i="12"/>
  <c r="BQ228" i="12"/>
  <c r="BR228" i="12" s="1"/>
  <c r="BN228" i="12"/>
  <c r="BS228" i="12"/>
  <c r="BT228" i="12" s="1"/>
  <c r="BL228" i="12"/>
  <c r="AH204" i="12"/>
  <c r="BH204" i="12"/>
  <c r="BI204" i="12" s="1"/>
  <c r="BO204" i="12"/>
  <c r="BW192" i="12"/>
  <c r="BX192" i="12" s="1"/>
  <c r="BU192" i="12"/>
  <c r="BV192" i="12" s="1"/>
  <c r="AY192" i="12"/>
  <c r="AZ192" i="12" s="1"/>
  <c r="AF192" i="12"/>
  <c r="AG192" i="12" s="1"/>
  <c r="AH184" i="12"/>
  <c r="BO184" i="12"/>
  <c r="BH184" i="12"/>
  <c r="BI184" i="12" s="1"/>
  <c r="AF176" i="12"/>
  <c r="BW176" i="12"/>
  <c r="BX176" i="12" s="1"/>
  <c r="AY176" i="12"/>
  <c r="AZ176" i="12" s="1"/>
  <c r="BU176" i="12"/>
  <c r="BV176" i="12" s="1"/>
  <c r="BS168" i="12"/>
  <c r="BT168" i="12" s="1"/>
  <c r="BL168" i="12"/>
  <c r="BQ168" i="12"/>
  <c r="BR168" i="12" s="1"/>
  <c r="BN168" i="12"/>
  <c r="AE168" i="12"/>
  <c r="BF160" i="12"/>
  <c r="AK152" i="12"/>
  <c r="D306" i="12"/>
  <c r="AK306" i="12" s="1"/>
  <c r="D308" i="1"/>
  <c r="C147" i="8"/>
  <c r="C358" i="8"/>
  <c r="BC403" i="12"/>
  <c r="AJ76" i="12"/>
  <c r="AK76" i="12" s="1"/>
  <c r="BS76" i="12"/>
  <c r="BT76" i="12" s="1"/>
  <c r="BU76" i="12"/>
  <c r="BV76" i="12" s="1"/>
  <c r="BQ76" i="12"/>
  <c r="BH132" i="12"/>
  <c r="BI132" i="12" s="1"/>
  <c r="AH132" i="12"/>
  <c r="BO132" i="12"/>
  <c r="BO116" i="12"/>
  <c r="BH116" i="12"/>
  <c r="BI116" i="12" s="1"/>
  <c r="AH116" i="12"/>
  <c r="BW76" i="12"/>
  <c r="BX76" i="12" s="1"/>
  <c r="D336" i="12"/>
  <c r="D338" i="1"/>
  <c r="BU349" i="12"/>
  <c r="BV349" i="12" s="1"/>
  <c r="BW349" i="12"/>
  <c r="BX349" i="12" s="1"/>
  <c r="AF349" i="12"/>
  <c r="AG349" i="12" s="1"/>
  <c r="AY349" i="12"/>
  <c r="BL349" i="12"/>
  <c r="BS313" i="12"/>
  <c r="BT313" i="12" s="1"/>
  <c r="BQ313" i="12"/>
  <c r="BR313" i="12" s="1"/>
  <c r="AE313" i="12"/>
  <c r="BN313" i="12"/>
  <c r="BL313" i="12"/>
  <c r="AN222" i="12"/>
  <c r="BU198" i="12"/>
  <c r="BV198" i="12" s="1"/>
  <c r="AY198" i="12"/>
  <c r="BW198" i="12"/>
  <c r="BX198" i="12" s="1"/>
  <c r="AF198" i="12"/>
  <c r="AY159" i="12"/>
  <c r="AZ159" i="12" s="1"/>
  <c r="BU159" i="12"/>
  <c r="BV159" i="12" s="1"/>
  <c r="BW159" i="12"/>
  <c r="BX159" i="12" s="1"/>
  <c r="AF159" i="12"/>
  <c r="AG159" i="12" s="1"/>
  <c r="BS70" i="12"/>
  <c r="BT70" i="12" s="1"/>
  <c r="BQ70" i="12"/>
  <c r="BL70" i="12"/>
  <c r="AE70" i="12"/>
  <c r="BL116" i="12"/>
  <c r="AK346" i="12"/>
  <c r="BN297" i="12"/>
  <c r="BL297" i="12"/>
  <c r="AE297" i="12"/>
  <c r="BS297" i="12"/>
  <c r="BT297" i="12" s="1"/>
  <c r="BQ297" i="12"/>
  <c r="BR297" i="12" s="1"/>
  <c r="BH287" i="12"/>
  <c r="BI287" i="12" s="1"/>
  <c r="AH287" i="12"/>
  <c r="BO287" i="12"/>
  <c r="AK170" i="12"/>
  <c r="AY139" i="12"/>
  <c r="AZ139" i="12" s="1"/>
  <c r="AF139" i="12"/>
  <c r="AG139" i="12" s="1"/>
  <c r="BU139" i="12"/>
  <c r="BV139" i="12" s="1"/>
  <c r="BW139" i="12"/>
  <c r="BX139" i="12" s="1"/>
  <c r="AH122" i="12"/>
  <c r="BO122" i="12"/>
  <c r="BH122" i="12"/>
  <c r="BI122" i="12" s="1"/>
  <c r="AF63" i="12"/>
  <c r="AG63" i="12" s="1"/>
  <c r="BU63" i="12"/>
  <c r="BV63" i="12" s="1"/>
  <c r="AY63" i="12"/>
  <c r="AZ63" i="12" s="1"/>
  <c r="BW63" i="12"/>
  <c r="BX63" i="12" s="1"/>
  <c r="BW294" i="12"/>
  <c r="AF294" i="12"/>
  <c r="BU294" i="12"/>
  <c r="BV294" i="12" s="1"/>
  <c r="AY294" i="12"/>
  <c r="BL174" i="12"/>
  <c r="BQ174" i="12"/>
  <c r="BR174" i="12" s="1"/>
  <c r="AE174" i="12"/>
  <c r="BN174" i="12"/>
  <c r="BS174" i="12"/>
  <c r="BT174" i="12" s="1"/>
  <c r="BF105" i="12"/>
  <c r="BS219" i="12"/>
  <c r="BT219" i="12" s="1"/>
  <c r="BU200" i="12"/>
  <c r="BV200" i="12" s="1"/>
  <c r="BU310" i="12"/>
  <c r="BV310" i="12" s="1"/>
  <c r="AF310" i="12"/>
  <c r="AY310" i="12"/>
  <c r="BW310" i="12"/>
  <c r="BB18" i="12"/>
  <c r="AF18" i="12"/>
  <c r="BF100" i="12"/>
  <c r="D296" i="12"/>
  <c r="D298" i="1"/>
  <c r="D205" i="12"/>
  <c r="D207" i="1"/>
  <c r="AH267" i="12"/>
  <c r="BO267" i="12"/>
  <c r="BH267" i="12"/>
  <c r="BW213" i="12"/>
  <c r="BX213" i="12" s="1"/>
  <c r="AY213" i="12"/>
  <c r="AZ213" i="12" s="1"/>
  <c r="AF213" i="12"/>
  <c r="AG213" i="12" s="1"/>
  <c r="BU213" i="12"/>
  <c r="BV213" i="12" s="1"/>
  <c r="BL159" i="12"/>
  <c r="I135" i="3"/>
  <c r="BC354" i="12"/>
  <c r="AE72" i="12"/>
  <c r="BN72" i="12"/>
  <c r="BL72" i="12"/>
  <c r="BS72" i="12"/>
  <c r="BT72" i="12" s="1"/>
  <c r="BQ72" i="12"/>
  <c r="BR72" i="12" s="1"/>
  <c r="BH177" i="12"/>
  <c r="AH177" i="12"/>
  <c r="BO177" i="12"/>
  <c r="BO162" i="12"/>
  <c r="AH162" i="12"/>
  <c r="BH162" i="12"/>
  <c r="BI162" i="12" s="1"/>
  <c r="I161" i="3"/>
  <c r="BH283" i="12"/>
  <c r="BI283" i="12" s="1"/>
  <c r="BO283" i="12"/>
  <c r="AH283" i="12"/>
  <c r="BW66" i="12"/>
  <c r="BX66" i="12" s="1"/>
  <c r="BU66" i="12"/>
  <c r="BV66" i="12" s="1"/>
  <c r="AY66" i="12"/>
  <c r="AF66" i="12"/>
  <c r="BU322" i="12"/>
  <c r="BV322" i="12" s="1"/>
  <c r="AF322" i="12"/>
  <c r="AY322" i="12"/>
  <c r="BW322" i="12"/>
  <c r="AE302" i="12"/>
  <c r="BS302" i="12"/>
  <c r="BT302" i="12" s="1"/>
  <c r="BQ302" i="12"/>
  <c r="BR302" i="12" s="1"/>
  <c r="BN302" i="12"/>
  <c r="BL302" i="12"/>
  <c r="AF28" i="12"/>
  <c r="BW28" i="12"/>
  <c r="BX28" i="12" s="1"/>
  <c r="BU28" i="12"/>
  <c r="BV28" i="12" s="1"/>
  <c r="AY28" i="12"/>
  <c r="AZ28" i="12" s="1"/>
  <c r="BL28" i="12"/>
  <c r="BU295" i="12"/>
  <c r="BV295" i="12" s="1"/>
  <c r="BW295" i="12"/>
  <c r="AY295" i="12"/>
  <c r="AF295" i="12"/>
  <c r="AQ187" i="12"/>
  <c r="BW169" i="12"/>
  <c r="BX169" i="12" s="1"/>
  <c r="AY169" i="12"/>
  <c r="AZ169" i="12" s="1"/>
  <c r="BU169" i="12"/>
  <c r="BV169" i="12" s="1"/>
  <c r="AF169" i="12"/>
  <c r="J54" i="1"/>
  <c r="G54" i="1"/>
  <c r="BO43" i="12"/>
  <c r="BH43" i="12"/>
  <c r="BI43" i="12" s="1"/>
  <c r="AH43" i="12"/>
  <c r="I326" i="3"/>
  <c r="AX289" i="12"/>
  <c r="AU289" i="12"/>
  <c r="BG289" i="12"/>
  <c r="AI289" i="12"/>
  <c r="AJ289" i="12" s="1"/>
  <c r="BD289" i="12"/>
  <c r="BE289" i="12" s="1"/>
  <c r="BA289" i="12"/>
  <c r="BB289" i="12" s="1"/>
  <c r="AO289" i="12"/>
  <c r="AP289" i="12" s="1"/>
  <c r="AR289" i="12"/>
  <c r="AS289" i="12" s="1"/>
  <c r="AT289" i="12" s="1"/>
  <c r="AL289" i="12"/>
  <c r="AM289" i="12" s="1"/>
  <c r="BH114" i="12"/>
  <c r="BO114" i="12"/>
  <c r="AH114" i="12"/>
  <c r="BL55" i="12"/>
  <c r="I74" i="3"/>
  <c r="AE173" i="12"/>
  <c r="BL173" i="12"/>
  <c r="BN173" i="12"/>
  <c r="BQ173" i="12"/>
  <c r="BR173" i="12" s="1"/>
  <c r="BS173" i="12"/>
  <c r="BT173" i="12" s="1"/>
  <c r="AR275" i="12"/>
  <c r="AS275" i="12" s="1"/>
  <c r="AT275" i="12" s="1"/>
  <c r="AL275" i="12"/>
  <c r="AM275" i="12" s="1"/>
  <c r="AN275" i="12" s="1"/>
  <c r="BD275" i="12"/>
  <c r="BE275" i="12" s="1"/>
  <c r="BG275" i="12"/>
  <c r="BA275" i="12"/>
  <c r="BB275" i="12" s="1"/>
  <c r="AO275" i="12"/>
  <c r="AP275" i="12" s="1"/>
  <c r="AQ275" i="12" s="1"/>
  <c r="AI275" i="12"/>
  <c r="AJ275" i="12" s="1"/>
  <c r="AX275" i="12"/>
  <c r="AU275" i="12"/>
  <c r="D120" i="12"/>
  <c r="D122" i="1"/>
  <c r="I10" i="3"/>
  <c r="S172" i="12"/>
  <c r="T172" i="12" s="1"/>
  <c r="BM172" i="12"/>
  <c r="K172" i="12"/>
  <c r="L172" i="12" s="1"/>
  <c r="AA172" i="12"/>
  <c r="AB172" i="12" s="1"/>
  <c r="J172" i="12"/>
  <c r="BK172" i="12"/>
  <c r="I172" i="12"/>
  <c r="Q172" i="12"/>
  <c r="R172" i="12" s="1"/>
  <c r="G172" i="12"/>
  <c r="O172" i="12"/>
  <c r="P172" i="12" s="1"/>
  <c r="W172" i="12"/>
  <c r="X172" i="12" s="1"/>
  <c r="U172" i="12"/>
  <c r="V172" i="12" s="1"/>
  <c r="AC172" i="12"/>
  <c r="AD172" i="12" s="1"/>
  <c r="M172" i="12"/>
  <c r="N172" i="12" s="1"/>
  <c r="H172" i="12"/>
  <c r="Y172" i="12"/>
  <c r="Z172" i="12" s="1"/>
  <c r="AE382" i="12"/>
  <c r="BS382" i="12"/>
  <c r="BT382" i="12" s="1"/>
  <c r="BQ382" i="12"/>
  <c r="BR382" i="12" s="1"/>
  <c r="BN382" i="12"/>
  <c r="BL382" i="12"/>
  <c r="S26" i="12"/>
  <c r="T26" i="12" s="1"/>
  <c r="Y26" i="12"/>
  <c r="Z26" i="12" s="1"/>
  <c r="G26" i="12"/>
  <c r="W26" i="12"/>
  <c r="X26" i="12" s="1"/>
  <c r="AA26" i="12"/>
  <c r="AB26" i="12" s="1"/>
  <c r="J26" i="12"/>
  <c r="I26" i="12"/>
  <c r="H26" i="12"/>
  <c r="AC26" i="12"/>
  <c r="AD26" i="12" s="1"/>
  <c r="F26" i="12"/>
  <c r="K26" i="12"/>
  <c r="L26" i="12" s="1"/>
  <c r="U26" i="12"/>
  <c r="V26" i="12" s="1"/>
  <c r="Q26" i="12"/>
  <c r="R26" i="12" s="1"/>
  <c r="O26" i="12"/>
  <c r="P26" i="12" s="1"/>
  <c r="BM26" i="12"/>
  <c r="M26" i="12"/>
  <c r="N26" i="12" s="1"/>
  <c r="BC26" i="12"/>
  <c r="BA150" i="12"/>
  <c r="BB150" i="12" s="1"/>
  <c r="BC150" i="12" s="1"/>
  <c r="AI150" i="12"/>
  <c r="AJ150" i="12" s="1"/>
  <c r="AK150" i="12" s="1"/>
  <c r="AO150" i="12"/>
  <c r="AP150" i="12" s="1"/>
  <c r="AQ150" i="12" s="1"/>
  <c r="BG150" i="12"/>
  <c r="AR150" i="12"/>
  <c r="AS150" i="12" s="1"/>
  <c r="AT150" i="12" s="1"/>
  <c r="AX150" i="12"/>
  <c r="AU150" i="12"/>
  <c r="AL150" i="12"/>
  <c r="AM150" i="12" s="1"/>
  <c r="AN150" i="12" s="1"/>
  <c r="BD150" i="12"/>
  <c r="BE150" i="12" s="1"/>
  <c r="BF150" i="12" s="1"/>
  <c r="AK338" i="12"/>
  <c r="J119" i="1"/>
  <c r="G119" i="1"/>
  <c r="BH265" i="12"/>
  <c r="BO265" i="12"/>
  <c r="AH265" i="12"/>
  <c r="BF137" i="12"/>
  <c r="BA11" i="12"/>
  <c r="BB11" i="12" s="1"/>
  <c r="BC11" i="12" s="1"/>
  <c r="AX11" i="12"/>
  <c r="AU11" i="12"/>
  <c r="AR11" i="12"/>
  <c r="AS11" i="12" s="1"/>
  <c r="AT11" i="12" s="1"/>
  <c r="BD11" i="12"/>
  <c r="BE11" i="12" s="1"/>
  <c r="BF11" i="12" s="1"/>
  <c r="AO11" i="12"/>
  <c r="AP11" i="12" s="1"/>
  <c r="AQ11" i="12" s="1"/>
  <c r="AL11" i="12"/>
  <c r="AM11" i="12" s="1"/>
  <c r="AN11" i="12" s="1"/>
  <c r="BG11" i="12"/>
  <c r="AI11" i="12"/>
  <c r="AJ11" i="12" s="1"/>
  <c r="AK11" i="12" s="1"/>
  <c r="I164" i="3"/>
  <c r="I386" i="3"/>
  <c r="I247" i="3"/>
  <c r="I217" i="3"/>
  <c r="BK377" i="12"/>
  <c r="H379" i="1" s="1"/>
  <c r="I192" i="3"/>
  <c r="I215" i="3"/>
  <c r="AZ187" i="12"/>
  <c r="Y128" i="12"/>
  <c r="Z128" i="12" s="1"/>
  <c r="I128" i="12"/>
  <c r="H128" i="12"/>
  <c r="W128" i="12"/>
  <c r="X128" i="12" s="1"/>
  <c r="G128" i="12"/>
  <c r="AA128" i="12"/>
  <c r="AB128" i="12" s="1"/>
  <c r="BK128" i="12"/>
  <c r="H130" i="1" s="1"/>
  <c r="K128" i="12"/>
  <c r="L128" i="12" s="1"/>
  <c r="J128" i="12"/>
  <c r="S128" i="12"/>
  <c r="T128" i="12" s="1"/>
  <c r="Q128" i="12"/>
  <c r="R128" i="12" s="1"/>
  <c r="BM128" i="12"/>
  <c r="F128" i="12"/>
  <c r="AC128" i="12"/>
  <c r="AD128" i="12" s="1"/>
  <c r="U128" i="12"/>
  <c r="V128" i="12" s="1"/>
  <c r="O128" i="12"/>
  <c r="P128" i="12" s="1"/>
  <c r="M128" i="12"/>
  <c r="N128" i="12" s="1"/>
  <c r="BF128" i="12"/>
  <c r="I403" i="3"/>
  <c r="BO96" i="12"/>
  <c r="BH96" i="12"/>
  <c r="BI96" i="12" s="1"/>
  <c r="AH96" i="12"/>
  <c r="I32" i="3"/>
  <c r="AK159" i="12"/>
  <c r="J410" i="1"/>
  <c r="G410" i="1"/>
  <c r="I105" i="3"/>
  <c r="AH303" i="12"/>
  <c r="BO303" i="12"/>
  <c r="BH303" i="12"/>
  <c r="BI303" i="12" s="1"/>
  <c r="C128" i="8"/>
  <c r="BF18" i="12"/>
  <c r="D348" i="12"/>
  <c r="D350" i="1"/>
  <c r="C362" i="8"/>
  <c r="AK213" i="12"/>
  <c r="AK321" i="12"/>
  <c r="D364" i="12"/>
  <c r="D366" i="1"/>
  <c r="AR207" i="12"/>
  <c r="AS207" i="12" s="1"/>
  <c r="AT207" i="12" s="1"/>
  <c r="BD207" i="12"/>
  <c r="BE207" i="12" s="1"/>
  <c r="AI207" i="12"/>
  <c r="AJ207" i="12" s="1"/>
  <c r="AU207" i="12"/>
  <c r="AL207" i="12"/>
  <c r="AM207" i="12" s="1"/>
  <c r="BA207" i="12"/>
  <c r="BB207" i="12" s="1"/>
  <c r="AO207" i="12"/>
  <c r="AP207" i="12" s="1"/>
  <c r="BG207" i="12"/>
  <c r="AX207" i="12"/>
  <c r="BH110" i="12"/>
  <c r="BI110" i="12" s="1"/>
  <c r="AH110" i="12"/>
  <c r="BO110" i="12"/>
  <c r="BW247" i="12"/>
  <c r="BX247" i="12" s="1"/>
  <c r="BU247" i="12"/>
  <c r="BV247" i="12" s="1"/>
  <c r="AF247" i="12"/>
  <c r="AY247" i="12"/>
  <c r="AH210" i="12"/>
  <c r="BH210" i="12"/>
  <c r="BI210" i="12" s="1"/>
  <c r="BO210" i="12"/>
  <c r="BF2" i="12"/>
  <c r="BC318" i="12"/>
  <c r="BG255" i="12"/>
  <c r="AO255" i="12"/>
  <c r="AP255" i="12" s="1"/>
  <c r="AQ255" i="12" s="1"/>
  <c r="AX255" i="12"/>
  <c r="BA255" i="12"/>
  <c r="BB255" i="12" s="1"/>
  <c r="AL255" i="12"/>
  <c r="AM255" i="12" s="1"/>
  <c r="AN255" i="12" s="1"/>
  <c r="AR255" i="12"/>
  <c r="AS255" i="12" s="1"/>
  <c r="AT255" i="12" s="1"/>
  <c r="BD255" i="12"/>
  <c r="BE255" i="12" s="1"/>
  <c r="AU255" i="12"/>
  <c r="AI255" i="12"/>
  <c r="AJ255" i="12" s="1"/>
  <c r="D392" i="12"/>
  <c r="BC392" i="12" s="1"/>
  <c r="D394" i="1"/>
  <c r="BW283" i="12"/>
  <c r="BX283" i="12" s="1"/>
  <c r="AY283" i="12"/>
  <c r="AZ283" i="12" s="1"/>
  <c r="BU283" i="12"/>
  <c r="BV283" i="12" s="1"/>
  <c r="AF283" i="12"/>
  <c r="AG283" i="12" s="1"/>
  <c r="BL71" i="12"/>
  <c r="AE71" i="12"/>
  <c r="BQ71" i="12"/>
  <c r="BS71" i="12"/>
  <c r="BT71" i="12" s="1"/>
  <c r="AO378" i="12"/>
  <c r="AP378" i="12" s="1"/>
  <c r="AQ378" i="12" s="1"/>
  <c r="AL378" i="12"/>
  <c r="AM378" i="12" s="1"/>
  <c r="AN378" i="12" s="1"/>
  <c r="AI378" i="12"/>
  <c r="AJ378" i="12" s="1"/>
  <c r="AK378" i="12" s="1"/>
  <c r="BG378" i="12"/>
  <c r="AX378" i="12"/>
  <c r="AR378" i="12"/>
  <c r="AS378" i="12" s="1"/>
  <c r="AT378" i="12" s="1"/>
  <c r="AU378" i="12"/>
  <c r="BD378" i="12"/>
  <c r="BE378" i="12" s="1"/>
  <c r="BF378" i="12" s="1"/>
  <c r="BA378" i="12"/>
  <c r="BB378" i="12" s="1"/>
  <c r="AN232" i="12"/>
  <c r="BW114" i="12"/>
  <c r="BX114" i="12" s="1"/>
  <c r="BU114" i="12"/>
  <c r="BV114" i="12" s="1"/>
  <c r="AF114" i="12"/>
  <c r="AY114" i="12"/>
  <c r="AN169" i="12"/>
  <c r="J201" i="1"/>
  <c r="G201" i="1"/>
  <c r="O363" i="12"/>
  <c r="P363" i="12" s="1"/>
  <c r="BK363" i="12"/>
  <c r="H365" i="1" s="1"/>
  <c r="H363" i="12"/>
  <c r="AA363" i="12"/>
  <c r="AB363" i="12" s="1"/>
  <c r="G363" i="12"/>
  <c r="Y363" i="12"/>
  <c r="Z363" i="12" s="1"/>
  <c r="Q363" i="12"/>
  <c r="R363" i="12" s="1"/>
  <c r="M363" i="12"/>
  <c r="N363" i="12" s="1"/>
  <c r="K363" i="12"/>
  <c r="L363" i="12" s="1"/>
  <c r="J363" i="12"/>
  <c r="I363" i="12"/>
  <c r="BM363" i="12"/>
  <c r="S363" i="12"/>
  <c r="T363" i="12" s="1"/>
  <c r="AC363" i="12"/>
  <c r="AD363" i="12" s="1"/>
  <c r="U363" i="12"/>
  <c r="V363" i="12" s="1"/>
  <c r="W363" i="12"/>
  <c r="X363" i="12" s="1"/>
  <c r="BW238" i="12"/>
  <c r="BX238" i="12" s="1"/>
  <c r="BU238" i="12"/>
  <c r="BV238" i="12" s="1"/>
  <c r="AF238" i="12"/>
  <c r="AY238" i="12"/>
  <c r="BQ389" i="12"/>
  <c r="BR389" i="12" s="1"/>
  <c r="AE389" i="12"/>
  <c r="BS389" i="12"/>
  <c r="BT389" i="12" s="1"/>
  <c r="BL389" i="12"/>
  <c r="BN389" i="12"/>
  <c r="BF386" i="12"/>
  <c r="AR211" i="12"/>
  <c r="AS211" i="12" s="1"/>
  <c r="AT211" i="12" s="1"/>
  <c r="AO211" i="12"/>
  <c r="AP211" i="12" s="1"/>
  <c r="AQ211" i="12" s="1"/>
  <c r="BA211" i="12"/>
  <c r="BB211" i="12" s="1"/>
  <c r="BC211" i="12" s="1"/>
  <c r="BG211" i="12"/>
  <c r="AU211" i="12"/>
  <c r="AX211" i="12"/>
  <c r="AL211" i="12"/>
  <c r="AM211" i="12" s="1"/>
  <c r="AN211" i="12" s="1"/>
  <c r="BD211" i="12"/>
  <c r="BE211" i="12" s="1"/>
  <c r="BF211" i="12" s="1"/>
  <c r="AI211" i="12"/>
  <c r="AJ211" i="12" s="1"/>
  <c r="AK211" i="12" s="1"/>
  <c r="BO39" i="12"/>
  <c r="BH39" i="12"/>
  <c r="BI39" i="12" s="1"/>
  <c r="AH39" i="12"/>
  <c r="BD401" i="12"/>
  <c r="BE401" i="12" s="1"/>
  <c r="BF401" i="12" s="1"/>
  <c r="AL401" i="12"/>
  <c r="AM401" i="12" s="1"/>
  <c r="AN401" i="12" s="1"/>
  <c r="BA401" i="12"/>
  <c r="BB401" i="12" s="1"/>
  <c r="BC401" i="12" s="1"/>
  <c r="AI401" i="12"/>
  <c r="AJ401" i="12" s="1"/>
  <c r="AK401" i="12" s="1"/>
  <c r="AO401" i="12"/>
  <c r="AP401" i="12" s="1"/>
  <c r="AQ401" i="12" s="1"/>
  <c r="BG401" i="12"/>
  <c r="AX401" i="12"/>
  <c r="AU401" i="12"/>
  <c r="AR401" i="12"/>
  <c r="AS401" i="12" s="1"/>
  <c r="AT401" i="12" s="1"/>
  <c r="BS325" i="12"/>
  <c r="BT325" i="12" s="1"/>
  <c r="BL325" i="12"/>
  <c r="AE325" i="12"/>
  <c r="BQ325" i="12"/>
  <c r="BR325" i="12" s="1"/>
  <c r="BN325" i="12"/>
  <c r="BO91" i="12"/>
  <c r="BH91" i="12"/>
  <c r="AH91" i="12"/>
  <c r="AK214" i="12"/>
  <c r="BF54" i="12"/>
  <c r="BU338" i="12"/>
  <c r="BV338" i="12" s="1"/>
  <c r="BW338" i="12"/>
  <c r="BX338" i="12" s="1"/>
  <c r="AY338" i="12"/>
  <c r="AF338" i="12"/>
  <c r="BW251" i="12"/>
  <c r="BX251" i="12" s="1"/>
  <c r="AF251" i="12"/>
  <c r="AY251" i="12"/>
  <c r="BU251" i="12"/>
  <c r="BV251" i="12" s="1"/>
  <c r="BW149" i="12"/>
  <c r="BX149" i="12" s="1"/>
  <c r="BC381" i="12"/>
  <c r="AX237" i="12"/>
  <c r="AU237" i="12"/>
  <c r="BD237" i="12"/>
  <c r="BE237" i="12" s="1"/>
  <c r="AI237" i="12"/>
  <c r="AJ237" i="12" s="1"/>
  <c r="BA237" i="12"/>
  <c r="BB237" i="12" s="1"/>
  <c r="AL237" i="12"/>
  <c r="AM237" i="12" s="1"/>
  <c r="AN237" i="12" s="1"/>
  <c r="BG237" i="12"/>
  <c r="AR237" i="12"/>
  <c r="AS237" i="12" s="1"/>
  <c r="AT237" i="12" s="1"/>
  <c r="AO237" i="12"/>
  <c r="AP237" i="12" s="1"/>
  <c r="AQ237" i="12" s="1"/>
  <c r="BO359" i="12"/>
  <c r="AH359" i="12"/>
  <c r="BH359" i="12"/>
  <c r="BI359" i="12" s="1"/>
  <c r="AI161" i="12"/>
  <c r="AJ161" i="12" s="1"/>
  <c r="BA161" i="12"/>
  <c r="BB161" i="12" s="1"/>
  <c r="AO161" i="12"/>
  <c r="AP161" i="12" s="1"/>
  <c r="AR161" i="12"/>
  <c r="AS161" i="12" s="1"/>
  <c r="AT161" i="12" s="1"/>
  <c r="AX161" i="12"/>
  <c r="BG161" i="12"/>
  <c r="AU161" i="12"/>
  <c r="BD161" i="12"/>
  <c r="BE161" i="12" s="1"/>
  <c r="AL161" i="12"/>
  <c r="AM161" i="12" s="1"/>
  <c r="AN36" i="12"/>
  <c r="AY42" i="12"/>
  <c r="AZ42" i="12" s="1"/>
  <c r="AF42" i="12"/>
  <c r="AG42" i="12" s="1"/>
  <c r="BW42" i="12"/>
  <c r="BX42" i="12" s="1"/>
  <c r="BU42" i="12"/>
  <c r="BV42" i="12" s="1"/>
  <c r="BN158" i="12"/>
  <c r="BL158" i="12"/>
  <c r="AE158" i="12"/>
  <c r="BQ158" i="12"/>
  <c r="BR158" i="12" s="1"/>
  <c r="BS158" i="12"/>
  <c r="BT158" i="12" s="1"/>
  <c r="D93" i="12"/>
  <c r="BN93" i="12" s="1"/>
  <c r="D95" i="1"/>
  <c r="AR385" i="12"/>
  <c r="AS385" i="12" s="1"/>
  <c r="AT385" i="12" s="1"/>
  <c r="BA385" i="12"/>
  <c r="BB385" i="12" s="1"/>
  <c r="BD385" i="12"/>
  <c r="BE385" i="12" s="1"/>
  <c r="AX385" i="12"/>
  <c r="AO385" i="12"/>
  <c r="AP385" i="12" s="1"/>
  <c r="AQ385" i="12" s="1"/>
  <c r="BG385" i="12"/>
  <c r="AU385" i="12"/>
  <c r="AL385" i="12"/>
  <c r="AM385" i="12" s="1"/>
  <c r="AN385" i="12" s="1"/>
  <c r="AI385" i="12"/>
  <c r="AJ385" i="12" s="1"/>
  <c r="AK385" i="12" s="1"/>
  <c r="D381" i="12"/>
  <c r="D383" i="1"/>
  <c r="BS69" i="12"/>
  <c r="BT69" i="12" s="1"/>
  <c r="AE69" i="12"/>
  <c r="BQ69" i="12"/>
  <c r="BL69" i="12"/>
  <c r="BQ191" i="12"/>
  <c r="BR191" i="12" s="1"/>
  <c r="BS191" i="12"/>
  <c r="BT191" i="12" s="1"/>
  <c r="AE191" i="12"/>
  <c r="BN191" i="12"/>
  <c r="BL191" i="12"/>
  <c r="AN50" i="12"/>
  <c r="AF34" i="12"/>
  <c r="AY34" i="12"/>
  <c r="BW34" i="12"/>
  <c r="BX34" i="12" s="1"/>
  <c r="BU34" i="12"/>
  <c r="BV34" i="12" s="1"/>
  <c r="J26" i="1"/>
  <c r="G26" i="1"/>
  <c r="BW108" i="12"/>
  <c r="BX108" i="12" s="1"/>
  <c r="BU108" i="12"/>
  <c r="BV108" i="12" s="1"/>
  <c r="AF108" i="12"/>
  <c r="AG108" i="12" s="1"/>
  <c r="AY108" i="12"/>
  <c r="AZ108" i="12" s="1"/>
  <c r="O44" i="12"/>
  <c r="P44" i="12" s="1"/>
  <c r="BK44" i="12"/>
  <c r="H46" i="1" s="1"/>
  <c r="I44" i="12"/>
  <c r="G44" i="12"/>
  <c r="Y44" i="12"/>
  <c r="Z44" i="12" s="1"/>
  <c r="W44" i="12"/>
  <c r="X44" i="12" s="1"/>
  <c r="J44" i="12"/>
  <c r="AC44" i="12"/>
  <c r="AD44" i="12" s="1"/>
  <c r="F44" i="12"/>
  <c r="U44" i="12"/>
  <c r="V44" i="12" s="1"/>
  <c r="K44" i="12"/>
  <c r="L44" i="12" s="1"/>
  <c r="H44" i="12"/>
  <c r="BM44" i="12"/>
  <c r="S44" i="12"/>
  <c r="T44" i="12" s="1"/>
  <c r="AA44" i="12"/>
  <c r="AB44" i="12" s="1"/>
  <c r="M44" i="12"/>
  <c r="N44" i="12" s="1"/>
  <c r="Q44" i="12"/>
  <c r="R44" i="12" s="1"/>
  <c r="AZ29" i="12"/>
  <c r="D123" i="12"/>
  <c r="D125" i="1"/>
  <c r="D187" i="12"/>
  <c r="AK187" i="12" s="1"/>
  <c r="D189" i="1"/>
  <c r="AE209" i="12"/>
  <c r="BS209" i="12"/>
  <c r="BT209" i="12" s="1"/>
  <c r="BN209" i="12"/>
  <c r="BL209" i="12"/>
  <c r="BQ209" i="12"/>
  <c r="BR209" i="12" s="1"/>
  <c r="AH18" i="12"/>
  <c r="BO18" i="12"/>
  <c r="BH18" i="12"/>
  <c r="AK149" i="12"/>
  <c r="D194" i="12"/>
  <c r="D196" i="1"/>
  <c r="D112" i="1"/>
  <c r="D110" i="12"/>
  <c r="BS274" i="12"/>
  <c r="BT274" i="12" s="1"/>
  <c r="BN274" i="12"/>
  <c r="BL274" i="12"/>
  <c r="AE274" i="12"/>
  <c r="BQ274" i="12"/>
  <c r="BR274" i="12" s="1"/>
  <c r="BF213" i="12"/>
  <c r="BO321" i="12"/>
  <c r="BH321" i="12"/>
  <c r="AH321" i="12"/>
  <c r="BI129" i="12"/>
  <c r="BA15" i="12"/>
  <c r="BB15" i="12" s="1"/>
  <c r="BC15" i="12" s="1"/>
  <c r="AO15" i="12"/>
  <c r="AP15" i="12" s="1"/>
  <c r="AQ15" i="12" s="1"/>
  <c r="AU15" i="12"/>
  <c r="AL15" i="12"/>
  <c r="AM15" i="12" s="1"/>
  <c r="AN15" i="12" s="1"/>
  <c r="AR15" i="12"/>
  <c r="AS15" i="12" s="1"/>
  <c r="AT15" i="12" s="1"/>
  <c r="AI15" i="12"/>
  <c r="AJ15" i="12" s="1"/>
  <c r="AK15" i="12" s="1"/>
  <c r="BD15" i="12"/>
  <c r="BE15" i="12" s="1"/>
  <c r="BF15" i="12" s="1"/>
  <c r="AX15" i="12"/>
  <c r="BG15" i="12"/>
  <c r="BC370" i="12"/>
  <c r="BO331" i="12"/>
  <c r="AH331" i="12"/>
  <c r="BH331" i="12"/>
  <c r="AO218" i="12"/>
  <c r="AP218" i="12" s="1"/>
  <c r="BG218" i="12"/>
  <c r="AU218" i="12"/>
  <c r="BD218" i="12"/>
  <c r="BE218" i="12" s="1"/>
  <c r="AR218" i="12"/>
  <c r="AS218" i="12" s="1"/>
  <c r="AT218" i="12" s="1"/>
  <c r="AX218" i="12"/>
  <c r="AL218" i="12"/>
  <c r="AM218" i="12" s="1"/>
  <c r="AI218" i="12"/>
  <c r="AJ218" i="12" s="1"/>
  <c r="BA218" i="12"/>
  <c r="BB218" i="12" s="1"/>
  <c r="D200" i="12"/>
  <c r="AN200" i="12" s="1"/>
  <c r="D202" i="1"/>
  <c r="BO342" i="12"/>
  <c r="BH342" i="12"/>
  <c r="BI342" i="12" s="1"/>
  <c r="AH342" i="12"/>
  <c r="AQ162" i="12"/>
  <c r="BC110" i="12"/>
  <c r="D400" i="12"/>
  <c r="D402" i="1"/>
  <c r="D385" i="12"/>
  <c r="D387" i="1"/>
  <c r="AQ318" i="12"/>
  <c r="BC283" i="12"/>
  <c r="BO71" i="12"/>
  <c r="BH71" i="12"/>
  <c r="AH71" i="12"/>
  <c r="BO3" i="12"/>
  <c r="BH3" i="12"/>
  <c r="BI3" i="12" s="1"/>
  <c r="AH3" i="12"/>
  <c r="BF375" i="12"/>
  <c r="BN361" i="12"/>
  <c r="AE361" i="12"/>
  <c r="BS361" i="12"/>
  <c r="BT361" i="12" s="1"/>
  <c r="BQ361" i="12"/>
  <c r="BR361" i="12" s="1"/>
  <c r="BL361" i="12"/>
  <c r="AH322" i="12"/>
  <c r="BO322" i="12"/>
  <c r="BH322" i="12"/>
  <c r="BS262" i="12"/>
  <c r="AE262" i="12"/>
  <c r="BQ262" i="12"/>
  <c r="BR262" i="12" s="1"/>
  <c r="BL262" i="12"/>
  <c r="BI312" i="12"/>
  <c r="AJ28" i="12"/>
  <c r="AK28" i="12" s="1"/>
  <c r="BS28" i="12"/>
  <c r="BT28" i="12" s="1"/>
  <c r="BF232" i="12"/>
  <c r="AN295" i="12"/>
  <c r="BF187" i="12"/>
  <c r="D158" i="1"/>
  <c r="D156" i="12"/>
  <c r="BC156" i="12" s="1"/>
  <c r="J109" i="1"/>
  <c r="G109" i="1"/>
  <c r="BO238" i="12"/>
  <c r="AH238" i="12"/>
  <c r="BH238" i="12"/>
  <c r="AX81" i="12"/>
  <c r="AO81" i="12"/>
  <c r="AP81" i="12" s="1"/>
  <c r="AQ81" i="12" s="1"/>
  <c r="BG81" i="12"/>
  <c r="BA81" i="12"/>
  <c r="BB81" i="12" s="1"/>
  <c r="AU81" i="12"/>
  <c r="AR81" i="12"/>
  <c r="AS81" i="12" s="1"/>
  <c r="AT81" i="12" s="1"/>
  <c r="BD81" i="12"/>
  <c r="BE81" i="12" s="1"/>
  <c r="AL81" i="12"/>
  <c r="AM81" i="12" s="1"/>
  <c r="AN81" i="12" s="1"/>
  <c r="AI81" i="12"/>
  <c r="AJ81" i="12" s="1"/>
  <c r="AK81" i="12" s="1"/>
  <c r="D114" i="12"/>
  <c r="D116" i="1"/>
  <c r="AH389" i="12"/>
  <c r="BO389" i="12"/>
  <c r="BH389" i="12"/>
  <c r="BI389" i="12" s="1"/>
  <c r="AO9" i="12"/>
  <c r="AP9" i="12" s="1"/>
  <c r="AQ9" i="12" s="1"/>
  <c r="AL9" i="12"/>
  <c r="AM9" i="12" s="1"/>
  <c r="AN9" i="12" s="1"/>
  <c r="BG9" i="12"/>
  <c r="AI9" i="12"/>
  <c r="AJ9" i="12" s="1"/>
  <c r="AK9" i="12" s="1"/>
  <c r="BA9" i="12"/>
  <c r="BB9" i="12" s="1"/>
  <c r="BC9" i="12" s="1"/>
  <c r="AU9" i="12"/>
  <c r="AX9" i="12"/>
  <c r="BD9" i="12"/>
  <c r="BE9" i="12" s="1"/>
  <c r="BF9" i="12" s="1"/>
  <c r="AR9" i="12"/>
  <c r="AS9" i="12" s="1"/>
  <c r="AT9" i="12" s="1"/>
  <c r="BN386" i="12"/>
  <c r="BL386" i="12"/>
  <c r="BQ386" i="12"/>
  <c r="BR386" i="12" s="1"/>
  <c r="BS386" i="12"/>
  <c r="BT386" i="12" s="1"/>
  <c r="AE386" i="12"/>
  <c r="C276" i="8"/>
  <c r="AR193" i="12"/>
  <c r="AS193" i="12" s="1"/>
  <c r="AT193" i="12" s="1"/>
  <c r="AX193" i="12"/>
  <c r="BG193" i="12"/>
  <c r="AL193" i="12"/>
  <c r="AM193" i="12" s="1"/>
  <c r="BA193" i="12"/>
  <c r="BB193" i="12" s="1"/>
  <c r="AU193" i="12"/>
  <c r="AI193" i="12"/>
  <c r="AJ193" i="12" s="1"/>
  <c r="BD193" i="12"/>
  <c r="BE193" i="12" s="1"/>
  <c r="AO193" i="12"/>
  <c r="AP193" i="12" s="1"/>
  <c r="AQ39" i="12"/>
  <c r="J174" i="1"/>
  <c r="G174" i="1"/>
  <c r="J392" i="1"/>
  <c r="G392" i="1"/>
  <c r="BU325" i="12"/>
  <c r="BV325" i="12" s="1"/>
  <c r="BW325" i="12"/>
  <c r="AY325" i="12"/>
  <c r="AZ325" i="12" s="1"/>
  <c r="AF325" i="12"/>
  <c r="AG325" i="12" s="1"/>
  <c r="BC87" i="12"/>
  <c r="BW214" i="12"/>
  <c r="BX214" i="12" s="1"/>
  <c r="AF214" i="12"/>
  <c r="AG214" i="12" s="1"/>
  <c r="AY214" i="12"/>
  <c r="BU214" i="12"/>
  <c r="BV214" i="12" s="1"/>
  <c r="AQ54" i="12"/>
  <c r="BO338" i="12"/>
  <c r="BH338" i="12"/>
  <c r="AH338" i="12"/>
  <c r="BA62" i="12"/>
  <c r="BB62" i="12" s="1"/>
  <c r="AX62" i="12"/>
  <c r="AI62" i="12"/>
  <c r="AJ62" i="12" s="1"/>
  <c r="AK62" i="12" s="1"/>
  <c r="BG62" i="12"/>
  <c r="AR62" i="12"/>
  <c r="AS62" i="12" s="1"/>
  <c r="AT62" i="12" s="1"/>
  <c r="AU62" i="12"/>
  <c r="AO62" i="12"/>
  <c r="AP62" i="12" s="1"/>
  <c r="AQ62" i="12" s="1"/>
  <c r="BD62" i="12"/>
  <c r="BE62" i="12" s="1"/>
  <c r="AL62" i="12"/>
  <c r="AM62" i="12" s="1"/>
  <c r="AN62" i="12" s="1"/>
  <c r="BL155" i="12"/>
  <c r="BS155" i="12"/>
  <c r="BT155" i="12" s="1"/>
  <c r="BQ155" i="12"/>
  <c r="BR155" i="12" s="1"/>
  <c r="BN155" i="12"/>
  <c r="AE155" i="12"/>
  <c r="AQ36" i="12"/>
  <c r="BQ27" i="12"/>
  <c r="BR27" i="12" s="1"/>
  <c r="BN27" i="12"/>
  <c r="BL27" i="12"/>
  <c r="AE27" i="12"/>
  <c r="BS27" i="12"/>
  <c r="BT27" i="12" s="1"/>
  <c r="S6" i="12"/>
  <c r="T6" i="12" s="1"/>
  <c r="O6" i="12"/>
  <c r="P6" i="12" s="1"/>
  <c r="W6" i="12"/>
  <c r="X6" i="12" s="1"/>
  <c r="J6" i="12"/>
  <c r="I6" i="12"/>
  <c r="H6" i="12"/>
  <c r="AC6" i="12"/>
  <c r="AD6" i="12" s="1"/>
  <c r="G6" i="12"/>
  <c r="AA6" i="12"/>
  <c r="AB6" i="12" s="1"/>
  <c r="Q6" i="12"/>
  <c r="R6" i="12" s="1"/>
  <c r="U6" i="12"/>
  <c r="V6" i="12" s="1"/>
  <c r="K6" i="12"/>
  <c r="L6" i="12" s="1"/>
  <c r="BK6" i="12"/>
  <c r="BM6" i="12"/>
  <c r="M6" i="12"/>
  <c r="N6" i="12" s="1"/>
  <c r="Y6" i="12"/>
  <c r="Z6" i="12" s="1"/>
  <c r="D380" i="12"/>
  <c r="BF380" i="12" s="1"/>
  <c r="D382" i="1"/>
  <c r="BL25" i="12"/>
  <c r="BD309" i="12"/>
  <c r="BE309" i="12" s="1"/>
  <c r="BF309" i="12" s="1"/>
  <c r="AL309" i="12"/>
  <c r="AM309" i="12" s="1"/>
  <c r="AN309" i="12" s="1"/>
  <c r="BA309" i="12"/>
  <c r="BB309" i="12" s="1"/>
  <c r="BC309" i="12" s="1"/>
  <c r="AX309" i="12"/>
  <c r="AU309" i="12"/>
  <c r="BG309" i="12"/>
  <c r="AI309" i="12"/>
  <c r="AJ309" i="12" s="1"/>
  <c r="AK309" i="12" s="1"/>
  <c r="AO309" i="12"/>
  <c r="AP309" i="12" s="1"/>
  <c r="AQ309" i="12" s="1"/>
  <c r="AR309" i="12"/>
  <c r="AS309" i="12" s="1"/>
  <c r="AT309" i="12" s="1"/>
  <c r="BN50" i="12"/>
  <c r="AE50" i="12"/>
  <c r="BL50" i="12"/>
  <c r="BQ50" i="12"/>
  <c r="BR50" i="12" s="1"/>
  <c r="BS50" i="12"/>
  <c r="BT50" i="12" s="1"/>
  <c r="H108" i="12"/>
  <c r="W108" i="12"/>
  <c r="X108" i="12" s="1"/>
  <c r="G108" i="12"/>
  <c r="AC108" i="12"/>
  <c r="AD108" i="12" s="1"/>
  <c r="K108" i="12"/>
  <c r="L108" i="12" s="1"/>
  <c r="J108" i="12"/>
  <c r="AA108" i="12"/>
  <c r="AB108" i="12" s="1"/>
  <c r="I108" i="12"/>
  <c r="Q108" i="12"/>
  <c r="R108" i="12" s="1"/>
  <c r="BM108" i="12"/>
  <c r="Y108" i="12"/>
  <c r="Z108" i="12" s="1"/>
  <c r="U108" i="12"/>
  <c r="V108" i="12" s="1"/>
  <c r="M108" i="12"/>
  <c r="N108" i="12" s="1"/>
  <c r="BK108" i="12"/>
  <c r="O108" i="12"/>
  <c r="P108" i="12" s="1"/>
  <c r="S108" i="12"/>
  <c r="T108" i="12" s="1"/>
  <c r="BK24" i="12"/>
  <c r="H26" i="1" s="1"/>
  <c r="I24" i="12"/>
  <c r="BM24" i="12"/>
  <c r="Y24" i="12"/>
  <c r="Z24" i="12" s="1"/>
  <c r="G24" i="12"/>
  <c r="W24" i="12"/>
  <c r="X24" i="12" s="1"/>
  <c r="Q24" i="12"/>
  <c r="R24" i="12" s="1"/>
  <c r="H24" i="12"/>
  <c r="F24" i="12"/>
  <c r="AA24" i="12"/>
  <c r="AB24" i="12" s="1"/>
  <c r="AC24" i="12"/>
  <c r="AD24" i="12" s="1"/>
  <c r="U24" i="12"/>
  <c r="V24" i="12" s="1"/>
  <c r="M24" i="12"/>
  <c r="N24" i="12" s="1"/>
  <c r="K24" i="12"/>
  <c r="L24" i="12" s="1"/>
  <c r="J24" i="12"/>
  <c r="S24" i="12"/>
  <c r="T24" i="12" s="1"/>
  <c r="O24" i="12"/>
  <c r="P24" i="12" s="1"/>
  <c r="AL374" i="12"/>
  <c r="AM374" i="12" s="1"/>
  <c r="AN374" i="12" s="1"/>
  <c r="AR374" i="12"/>
  <c r="AS374" i="12" s="1"/>
  <c r="AT374" i="12" s="1"/>
  <c r="AO374" i="12"/>
  <c r="AP374" i="12" s="1"/>
  <c r="AQ374" i="12" s="1"/>
  <c r="BA374" i="12"/>
  <c r="BB374" i="12" s="1"/>
  <c r="BC374" i="12" s="1"/>
  <c r="BG374" i="12"/>
  <c r="BD374" i="12"/>
  <c r="BE374" i="12" s="1"/>
  <c r="BF374" i="12" s="1"/>
  <c r="AX374" i="12"/>
  <c r="AU374" i="12"/>
  <c r="AI374" i="12"/>
  <c r="AJ374" i="12" s="1"/>
  <c r="AK374" i="12" s="1"/>
  <c r="BN108" i="12"/>
  <c r="BS108" i="12"/>
  <c r="BT108" i="12" s="1"/>
  <c r="BQ108" i="12"/>
  <c r="BR108" i="12" s="1"/>
  <c r="AE108" i="12"/>
  <c r="BL108" i="12"/>
  <c r="BU29" i="12"/>
  <c r="BV29" i="12" s="1"/>
  <c r="G397" i="1"/>
  <c r="J397" i="1"/>
  <c r="AL151" i="12"/>
  <c r="AM151" i="12" s="1"/>
  <c r="AN151" i="12" s="1"/>
  <c r="BD151" i="12"/>
  <c r="BE151" i="12" s="1"/>
  <c r="BF151" i="12" s="1"/>
  <c r="BG151" i="12"/>
  <c r="AX151" i="12"/>
  <c r="AU151" i="12"/>
  <c r="AR151" i="12"/>
  <c r="AS151" i="12" s="1"/>
  <c r="AT151" i="12" s="1"/>
  <c r="AO151" i="12"/>
  <c r="AP151" i="12" s="1"/>
  <c r="AQ151" i="12" s="1"/>
  <c r="BA151" i="12"/>
  <c r="BB151" i="12" s="1"/>
  <c r="BC151" i="12" s="1"/>
  <c r="AI151" i="12"/>
  <c r="AJ151" i="12" s="1"/>
  <c r="AK151" i="12" s="1"/>
  <c r="BN149" i="12"/>
  <c r="BL149" i="12"/>
  <c r="BS149" i="12"/>
  <c r="BT149" i="12" s="1"/>
  <c r="AE149" i="12"/>
  <c r="BQ149" i="12"/>
  <c r="BR149" i="12" s="1"/>
  <c r="C290" i="8"/>
  <c r="D286" i="12"/>
  <c r="D288" i="1"/>
  <c r="D129" i="12"/>
  <c r="D131" i="1"/>
  <c r="BC274" i="12"/>
  <c r="BS321" i="12"/>
  <c r="BT321" i="12" s="1"/>
  <c r="BQ321" i="12"/>
  <c r="BR321" i="12" s="1"/>
  <c r="BL321" i="12"/>
  <c r="AE321" i="12"/>
  <c r="BN321" i="12"/>
  <c r="AK370" i="12"/>
  <c r="BS345" i="12"/>
  <c r="BT345" i="12" s="1"/>
  <c r="BL345" i="12"/>
  <c r="BQ345" i="12"/>
  <c r="BR345" i="12" s="1"/>
  <c r="AE345" i="12"/>
  <c r="BN345" i="12"/>
  <c r="BQ258" i="12"/>
  <c r="BR258" i="12" s="1"/>
  <c r="AE258" i="12"/>
  <c r="BS258" i="12"/>
  <c r="BL258" i="12"/>
  <c r="BW72" i="12"/>
  <c r="BX72" i="12" s="1"/>
  <c r="BU72" i="12"/>
  <c r="BV72" i="12" s="1"/>
  <c r="AY72" i="12"/>
  <c r="AZ72" i="12" s="1"/>
  <c r="AF72" i="12"/>
  <c r="AG72" i="12" s="1"/>
  <c r="BF162" i="12"/>
  <c r="AK110" i="12"/>
  <c r="BC210" i="12"/>
  <c r="AF318" i="12"/>
  <c r="AG318" i="12" s="1"/>
  <c r="BU318" i="12"/>
  <c r="BV318" i="12" s="1"/>
  <c r="AY318" i="12"/>
  <c r="AZ318" i="12" s="1"/>
  <c r="BW318" i="12"/>
  <c r="BX318" i="12" s="1"/>
  <c r="BO221" i="12"/>
  <c r="BH221" i="12"/>
  <c r="AH221" i="12"/>
  <c r="AI147" i="12"/>
  <c r="AJ147" i="12" s="1"/>
  <c r="BA147" i="12"/>
  <c r="BB147" i="12" s="1"/>
  <c r="BD147" i="12"/>
  <c r="BE147" i="12" s="1"/>
  <c r="AR147" i="12"/>
  <c r="AS147" i="12" s="1"/>
  <c r="AT147" i="12" s="1"/>
  <c r="AL147" i="12"/>
  <c r="AM147" i="12" s="1"/>
  <c r="AN147" i="12" s="1"/>
  <c r="AU147" i="12"/>
  <c r="AX147" i="12"/>
  <c r="AO147" i="12"/>
  <c r="AP147" i="12" s="1"/>
  <c r="AQ147" i="12" s="1"/>
  <c r="BG147" i="12"/>
  <c r="AZ287" i="12"/>
  <c r="BS315" i="12"/>
  <c r="BT315" i="12" s="1"/>
  <c r="BL315" i="12"/>
  <c r="BQ315" i="12"/>
  <c r="BR315" i="12" s="1"/>
  <c r="BN315" i="12"/>
  <c r="AE315" i="12"/>
  <c r="AE66" i="12"/>
  <c r="BS66" i="12"/>
  <c r="BT66" i="12" s="1"/>
  <c r="BQ66" i="12"/>
  <c r="BL66" i="12"/>
  <c r="BL3" i="12"/>
  <c r="BQ3" i="12"/>
  <c r="BR3" i="12" s="1"/>
  <c r="BN3" i="12"/>
  <c r="BS3" i="12"/>
  <c r="BT3" i="12" s="1"/>
  <c r="AE3" i="12"/>
  <c r="AH375" i="12"/>
  <c r="BO375" i="12"/>
  <c r="BH375" i="12"/>
  <c r="BI375" i="12" s="1"/>
  <c r="AQ358" i="12"/>
  <c r="AH262" i="12"/>
  <c r="BH262" i="12"/>
  <c r="BO262" i="12"/>
  <c r="BO77" i="12"/>
  <c r="AH77" i="12"/>
  <c r="BH77" i="12"/>
  <c r="D219" i="12"/>
  <c r="BF219" i="12" s="1"/>
  <c r="D221" i="1"/>
  <c r="BC187" i="12"/>
  <c r="F96" i="9" a="1"/>
  <c r="F96" i="9" s="1"/>
  <c r="E95" i="8" s="1"/>
  <c r="C95" i="8" s="1"/>
  <c r="D55" i="1"/>
  <c r="F100" i="9" a="1"/>
  <c r="F100" i="9" s="1"/>
  <c r="E99" i="8" s="1"/>
  <c r="C99" i="8" s="1"/>
  <c r="D53" i="12"/>
  <c r="BM402" i="12"/>
  <c r="AA402" i="12"/>
  <c r="AB402" i="12" s="1"/>
  <c r="K402" i="12"/>
  <c r="L402" i="12" s="1"/>
  <c r="BK402" i="12"/>
  <c r="H404" i="1" s="1"/>
  <c r="W402" i="12"/>
  <c r="X402" i="12" s="1"/>
  <c r="U402" i="12"/>
  <c r="V402" i="12" s="1"/>
  <c r="S402" i="12"/>
  <c r="T402" i="12" s="1"/>
  <c r="Q402" i="12"/>
  <c r="R402" i="12" s="1"/>
  <c r="O402" i="12"/>
  <c r="P402" i="12" s="1"/>
  <c r="M402" i="12"/>
  <c r="N402" i="12" s="1"/>
  <c r="J402" i="12"/>
  <c r="Y402" i="12"/>
  <c r="Z402" i="12" s="1"/>
  <c r="I402" i="12"/>
  <c r="AC402" i="12"/>
  <c r="AD402" i="12" s="1"/>
  <c r="H402" i="12"/>
  <c r="F402" i="12"/>
  <c r="G402" i="12"/>
  <c r="BL238" i="12"/>
  <c r="AE238" i="12"/>
  <c r="BQ238" i="12"/>
  <c r="BR238" i="12" s="1"/>
  <c r="BS238" i="12"/>
  <c r="C159" i="8"/>
  <c r="D101" i="12"/>
  <c r="D103" i="1"/>
  <c r="D16" i="12"/>
  <c r="BI16" i="12" s="1"/>
  <c r="D18" i="1"/>
  <c r="AU285" i="12"/>
  <c r="AO285" i="12"/>
  <c r="AP285" i="12" s="1"/>
  <c r="AQ285" i="12" s="1"/>
  <c r="AX285" i="12"/>
  <c r="BD285" i="12"/>
  <c r="BE285" i="12" s="1"/>
  <c r="BF285" i="12" s="1"/>
  <c r="AI285" i="12"/>
  <c r="AJ285" i="12" s="1"/>
  <c r="AK285" i="12" s="1"/>
  <c r="BG285" i="12"/>
  <c r="BA285" i="12"/>
  <c r="BB285" i="12" s="1"/>
  <c r="BC285" i="12" s="1"/>
  <c r="AR285" i="12"/>
  <c r="AS285" i="12" s="1"/>
  <c r="AT285" i="12" s="1"/>
  <c r="AL285" i="12"/>
  <c r="AM285" i="12" s="1"/>
  <c r="AN285" i="12" s="1"/>
  <c r="AR106" i="12"/>
  <c r="AS106" i="12" s="1"/>
  <c r="AT106" i="12" s="1"/>
  <c r="BG106" i="12"/>
  <c r="AO106" i="12"/>
  <c r="AP106" i="12" s="1"/>
  <c r="AQ106" i="12" s="1"/>
  <c r="BA106" i="12"/>
  <c r="BB106" i="12" s="1"/>
  <c r="BD106" i="12"/>
  <c r="BE106" i="12" s="1"/>
  <c r="AX106" i="12"/>
  <c r="AU106" i="12"/>
  <c r="AL106" i="12"/>
  <c r="AM106" i="12" s="1"/>
  <c r="AN106" i="12" s="1"/>
  <c r="AI106" i="12"/>
  <c r="AJ106" i="12" s="1"/>
  <c r="AR179" i="12"/>
  <c r="AS179" i="12" s="1"/>
  <c r="AT179" i="12" s="1"/>
  <c r="AO179" i="12"/>
  <c r="AP179" i="12" s="1"/>
  <c r="AQ179" i="12" s="1"/>
  <c r="AI179" i="12"/>
  <c r="AJ179" i="12" s="1"/>
  <c r="AK179" i="12" s="1"/>
  <c r="BA179" i="12"/>
  <c r="BB179" i="12" s="1"/>
  <c r="BC179" i="12" s="1"/>
  <c r="AL179" i="12"/>
  <c r="AM179" i="12" s="1"/>
  <c r="AN179" i="12" s="1"/>
  <c r="BG179" i="12"/>
  <c r="AX179" i="12"/>
  <c r="AU179" i="12"/>
  <c r="BD179" i="12"/>
  <c r="BE179" i="12" s="1"/>
  <c r="BF179" i="12" s="1"/>
  <c r="BF190" i="12"/>
  <c r="BN39" i="12"/>
  <c r="BS39" i="12"/>
  <c r="BT39" i="12" s="1"/>
  <c r="BQ39" i="12"/>
  <c r="BR39" i="12" s="1"/>
  <c r="AE39" i="12"/>
  <c r="BL39" i="12"/>
  <c r="J180" i="1"/>
  <c r="G180" i="1"/>
  <c r="BF325" i="12"/>
  <c r="J28" i="1"/>
  <c r="G28" i="1"/>
  <c r="AN214" i="12"/>
  <c r="BN54" i="12"/>
  <c r="AE54" i="12"/>
  <c r="BL54" i="12"/>
  <c r="BS54" i="12"/>
  <c r="BT54" i="12" s="1"/>
  <c r="BQ54" i="12"/>
  <c r="BR54" i="12" s="1"/>
  <c r="Q117" i="12"/>
  <c r="R117" i="12" s="1"/>
  <c r="O117" i="12"/>
  <c r="P117" i="12" s="1"/>
  <c r="S117" i="12"/>
  <c r="T117" i="12" s="1"/>
  <c r="BM117" i="12"/>
  <c r="W117" i="12"/>
  <c r="X117" i="12" s="1"/>
  <c r="U117" i="12"/>
  <c r="V117" i="12" s="1"/>
  <c r="G117" i="12"/>
  <c r="Y117" i="12"/>
  <c r="Z117" i="12" s="1"/>
  <c r="AC117" i="12"/>
  <c r="AD117" i="12" s="1"/>
  <c r="H117" i="12"/>
  <c r="M117" i="12"/>
  <c r="N117" i="12" s="1"/>
  <c r="AA117" i="12"/>
  <c r="AB117" i="12" s="1"/>
  <c r="BK117" i="12"/>
  <c r="I117" i="12"/>
  <c r="K117" i="12"/>
  <c r="L117" i="12" s="1"/>
  <c r="J117" i="12"/>
  <c r="AF20" i="12"/>
  <c r="AG20" i="12" s="1"/>
  <c r="BW20" i="12"/>
  <c r="BX20" i="12" s="1"/>
  <c r="AY20" i="12"/>
  <c r="AZ20" i="12" s="1"/>
  <c r="BU20" i="12"/>
  <c r="BV20" i="12" s="1"/>
  <c r="BC155" i="12"/>
  <c r="D28" i="12"/>
  <c r="D30" i="1"/>
  <c r="F64" i="9" a="1"/>
  <c r="F64" i="9" s="1"/>
  <c r="BC90" i="12"/>
  <c r="BF37" i="12"/>
  <c r="BU173" i="12"/>
  <c r="BV173" i="12" s="1"/>
  <c r="AY173" i="12"/>
  <c r="BW173" i="12"/>
  <c r="BX173" i="12" s="1"/>
  <c r="AF173" i="12"/>
  <c r="AQ197" i="12"/>
  <c r="AF73" i="12"/>
  <c r="BW73" i="12"/>
  <c r="BX73" i="12" s="1"/>
  <c r="BU73" i="12"/>
  <c r="BV73" i="12" s="1"/>
  <c r="AY73" i="12"/>
  <c r="BM379" i="12"/>
  <c r="H379" i="12"/>
  <c r="I379" i="12"/>
  <c r="AA379" i="12"/>
  <c r="AB379" i="12" s="1"/>
  <c r="G379" i="12"/>
  <c r="K379" i="12"/>
  <c r="L379" i="12" s="1"/>
  <c r="J379" i="12"/>
  <c r="F379" i="12"/>
  <c r="BK379" i="12"/>
  <c r="AC379" i="12"/>
  <c r="AD379" i="12" s="1"/>
  <c r="Y379" i="12"/>
  <c r="Z379" i="12" s="1"/>
  <c r="W379" i="12"/>
  <c r="X379" i="12" s="1"/>
  <c r="O379" i="12"/>
  <c r="P379" i="12" s="1"/>
  <c r="M379" i="12"/>
  <c r="N379" i="12" s="1"/>
  <c r="U379" i="12"/>
  <c r="V379" i="12" s="1"/>
  <c r="Q379" i="12"/>
  <c r="R379" i="12" s="1"/>
  <c r="S379" i="12"/>
  <c r="T379" i="12" s="1"/>
  <c r="AF187" i="12"/>
  <c r="AG187" i="12" s="1"/>
  <c r="BD19" i="12"/>
  <c r="BE19" i="12" s="1"/>
  <c r="BF19" i="12" s="1"/>
  <c r="AX19" i="12"/>
  <c r="AU19" i="12"/>
  <c r="AO19" i="12"/>
  <c r="AP19" i="12" s="1"/>
  <c r="AQ19" i="12" s="1"/>
  <c r="AL19" i="12"/>
  <c r="AM19" i="12" s="1"/>
  <c r="AN19" i="12" s="1"/>
  <c r="AI19" i="12"/>
  <c r="AJ19" i="12" s="1"/>
  <c r="AK19" i="12" s="1"/>
  <c r="BG19" i="12"/>
  <c r="BA19" i="12"/>
  <c r="BB19" i="12" s="1"/>
  <c r="BC19" i="12" s="1"/>
  <c r="AR19" i="12"/>
  <c r="AS19" i="12" s="1"/>
  <c r="AT19" i="12" s="1"/>
  <c r="J218" i="1"/>
  <c r="G218" i="1"/>
  <c r="H41" i="12"/>
  <c r="AC41" i="12"/>
  <c r="AD41" i="12" s="1"/>
  <c r="K41" i="12"/>
  <c r="L41" i="12" s="1"/>
  <c r="I41" i="12"/>
  <c r="AA41" i="12"/>
  <c r="AB41" i="12" s="1"/>
  <c r="O41" i="12"/>
  <c r="P41" i="12" s="1"/>
  <c r="M41" i="12"/>
  <c r="N41" i="12" s="1"/>
  <c r="G41" i="12"/>
  <c r="J41" i="12"/>
  <c r="BM41" i="12"/>
  <c r="BK41" i="12"/>
  <c r="H43" i="1" s="1"/>
  <c r="Q41" i="12"/>
  <c r="R41" i="12" s="1"/>
  <c r="Y41" i="12"/>
  <c r="Z41" i="12" s="1"/>
  <c r="W41" i="12"/>
  <c r="X41" i="12" s="1"/>
  <c r="S41" i="12"/>
  <c r="T41" i="12" s="1"/>
  <c r="U41" i="12"/>
  <c r="V41" i="12" s="1"/>
  <c r="O48" i="12"/>
  <c r="P48" i="12" s="1"/>
  <c r="BM48" i="12"/>
  <c r="K48" i="12"/>
  <c r="L48" i="12" s="1"/>
  <c r="BK48" i="12"/>
  <c r="I48" i="12"/>
  <c r="AA48" i="12"/>
  <c r="AB48" i="12" s="1"/>
  <c r="G48" i="12"/>
  <c r="Y48" i="12"/>
  <c r="Z48" i="12" s="1"/>
  <c r="AC48" i="12"/>
  <c r="AD48" i="12" s="1"/>
  <c r="W48" i="12"/>
  <c r="X48" i="12" s="1"/>
  <c r="S48" i="12"/>
  <c r="T48" i="12" s="1"/>
  <c r="Q48" i="12"/>
  <c r="R48" i="12" s="1"/>
  <c r="M48" i="12"/>
  <c r="N48" i="12" s="1"/>
  <c r="J48" i="12"/>
  <c r="H48" i="12"/>
  <c r="U48" i="12"/>
  <c r="V48" i="12" s="1"/>
  <c r="J169" i="1"/>
  <c r="G169" i="1"/>
  <c r="AX355" i="12"/>
  <c r="BG355" i="12"/>
  <c r="AL355" i="12"/>
  <c r="AM355" i="12" s="1"/>
  <c r="AN355" i="12" s="1"/>
  <c r="AI355" i="12"/>
  <c r="AJ355" i="12" s="1"/>
  <c r="AK355" i="12" s="1"/>
  <c r="AU355" i="12"/>
  <c r="AR355" i="12"/>
  <c r="AS355" i="12" s="1"/>
  <c r="AT355" i="12" s="1"/>
  <c r="AO355" i="12"/>
  <c r="AP355" i="12" s="1"/>
  <c r="AQ355" i="12" s="1"/>
  <c r="BD355" i="12"/>
  <c r="BE355" i="12" s="1"/>
  <c r="BF355" i="12" s="1"/>
  <c r="BA355" i="12"/>
  <c r="BB355" i="12" s="1"/>
  <c r="BC355" i="12" s="1"/>
  <c r="K256" i="8"/>
  <c r="C256" i="8" s="1"/>
  <c r="E67" i="8"/>
  <c r="C67" i="8" s="1"/>
  <c r="M265" i="8"/>
  <c r="AX103" i="12"/>
  <c r="AU103" i="12"/>
  <c r="AO103" i="12"/>
  <c r="AP103" i="12" s="1"/>
  <c r="AQ103" i="12" s="1"/>
  <c r="BG103" i="12"/>
  <c r="BD103" i="12"/>
  <c r="BE103" i="12" s="1"/>
  <c r="BF103" i="12" s="1"/>
  <c r="AR103" i="12"/>
  <c r="AS103" i="12" s="1"/>
  <c r="AT103" i="12" s="1"/>
  <c r="BA103" i="12"/>
  <c r="BB103" i="12" s="1"/>
  <c r="BC103" i="12" s="1"/>
  <c r="AL103" i="12"/>
  <c r="AM103" i="12" s="1"/>
  <c r="AN103" i="12" s="1"/>
  <c r="AI103" i="12"/>
  <c r="AJ103" i="12" s="1"/>
  <c r="AK103" i="12" s="1"/>
  <c r="BN119" i="12"/>
  <c r="AE119" i="12"/>
  <c r="BS119" i="12"/>
  <c r="BT119" i="12" s="1"/>
  <c r="BQ119" i="12"/>
  <c r="BR119" i="12" s="1"/>
  <c r="BL119" i="12"/>
  <c r="BO14" i="12"/>
  <c r="AH14" i="12"/>
  <c r="BH14" i="12"/>
  <c r="BI14" i="12" s="1"/>
  <c r="BF149" i="12"/>
  <c r="D325" i="12"/>
  <c r="D327" i="1"/>
  <c r="C367" i="8"/>
  <c r="C142" i="8"/>
  <c r="BW243" i="12"/>
  <c r="BX243" i="12" s="1"/>
  <c r="BU243" i="12"/>
  <c r="BV243" i="12" s="1"/>
  <c r="AY243" i="12"/>
  <c r="AF243" i="12"/>
  <c r="BU321" i="12"/>
  <c r="BV321" i="12" s="1"/>
  <c r="AF321" i="12"/>
  <c r="BW321" i="12"/>
  <c r="AY321" i="12"/>
  <c r="BW274" i="12"/>
  <c r="BW390" i="12"/>
  <c r="BX390" i="12" s="1"/>
  <c r="BU390" i="12"/>
  <c r="BV390" i="12" s="1"/>
  <c r="AF390" i="12"/>
  <c r="AG390" i="12" s="1"/>
  <c r="AY390" i="12"/>
  <c r="AZ390" i="12" s="1"/>
  <c r="BW370" i="12"/>
  <c r="BX370" i="12" s="1"/>
  <c r="AF370" i="12"/>
  <c r="AG370" i="12" s="1"/>
  <c r="AY370" i="12"/>
  <c r="AZ370" i="12" s="1"/>
  <c r="BU370" i="12"/>
  <c r="BV370" i="12" s="1"/>
  <c r="BC345" i="12"/>
  <c r="BO293" i="12"/>
  <c r="AH293" i="12"/>
  <c r="BH293" i="12"/>
  <c r="BI293" i="12" s="1"/>
  <c r="BS45" i="12"/>
  <c r="BT45" i="12" s="1"/>
  <c r="BQ45" i="12"/>
  <c r="BR45" i="12" s="1"/>
  <c r="BN45" i="12"/>
  <c r="AE45" i="12"/>
  <c r="BL45" i="12"/>
  <c r="AQ354" i="12"/>
  <c r="AG21" i="12"/>
  <c r="BO301" i="12"/>
  <c r="AH301" i="12"/>
  <c r="BH301" i="12"/>
  <c r="BH247" i="12"/>
  <c r="BO247" i="12"/>
  <c r="AH247" i="12"/>
  <c r="BW162" i="12"/>
  <c r="BX162" i="12" s="1"/>
  <c r="AF162" i="12"/>
  <c r="AG162" i="12" s="1"/>
  <c r="BU162" i="12"/>
  <c r="BV162" i="12" s="1"/>
  <c r="AY162" i="12"/>
  <c r="AZ162" i="12" s="1"/>
  <c r="BW110" i="12"/>
  <c r="BX110" i="12" s="1"/>
  <c r="AY110" i="12"/>
  <c r="AZ110" i="12" s="1"/>
  <c r="BU110" i="12"/>
  <c r="BV110" i="12" s="1"/>
  <c r="AF110" i="12"/>
  <c r="AG110" i="12" s="1"/>
  <c r="BO269" i="12"/>
  <c r="BH269" i="12"/>
  <c r="AH269" i="12"/>
  <c r="BW287" i="12"/>
  <c r="BX287" i="12" s="1"/>
  <c r="BU397" i="12"/>
  <c r="BV397" i="12" s="1"/>
  <c r="BW397" i="12"/>
  <c r="BX397" i="12" s="1"/>
  <c r="AY397" i="12"/>
  <c r="AZ397" i="12" s="1"/>
  <c r="AF397" i="12"/>
  <c r="AG397" i="12" s="1"/>
  <c r="BO315" i="12"/>
  <c r="BH315" i="12"/>
  <c r="AH315" i="12"/>
  <c r="BW358" i="12"/>
  <c r="BX358" i="12" s="1"/>
  <c r="BU358" i="12"/>
  <c r="BV358" i="12" s="1"/>
  <c r="AY358" i="12"/>
  <c r="AZ358" i="12" s="1"/>
  <c r="AF358" i="12"/>
  <c r="AG358" i="12" s="1"/>
  <c r="BF302" i="12"/>
  <c r="AF30" i="12"/>
  <c r="AG30" i="12" s="1"/>
  <c r="BW30" i="12"/>
  <c r="BX30" i="12" s="1"/>
  <c r="BU30" i="12"/>
  <c r="BV30" i="12" s="1"/>
  <c r="AY30" i="12"/>
  <c r="BO215" i="12"/>
  <c r="AH215" i="12"/>
  <c r="BH215" i="12"/>
  <c r="BI215" i="12" s="1"/>
  <c r="BG49" i="12"/>
  <c r="BA49" i="12"/>
  <c r="BB49" i="12" s="1"/>
  <c r="BC49" i="12" s="1"/>
  <c r="AR49" i="12"/>
  <c r="AS49" i="12" s="1"/>
  <c r="AT49" i="12" s="1"/>
  <c r="AO49" i="12"/>
  <c r="AP49" i="12" s="1"/>
  <c r="AQ49" i="12" s="1"/>
  <c r="AL49" i="12"/>
  <c r="AM49" i="12" s="1"/>
  <c r="AN49" i="12" s="1"/>
  <c r="AI49" i="12"/>
  <c r="AJ49" i="12" s="1"/>
  <c r="AK49" i="12" s="1"/>
  <c r="AX49" i="12"/>
  <c r="AU49" i="12"/>
  <c r="BD49" i="12"/>
  <c r="BE49" i="12" s="1"/>
  <c r="BF49" i="12" s="1"/>
  <c r="J105" i="1"/>
  <c r="G105" i="1"/>
  <c r="AN182" i="12"/>
  <c r="C267" i="8"/>
  <c r="D204" i="12"/>
  <c r="D206" i="1"/>
  <c r="C219" i="8"/>
  <c r="D173" i="12"/>
  <c r="BF173" i="12" s="1"/>
  <c r="D175" i="1"/>
  <c r="AF389" i="12"/>
  <c r="AG389" i="12" s="1"/>
  <c r="BU389" i="12"/>
  <c r="BV389" i="12" s="1"/>
  <c r="AY389" i="12"/>
  <c r="AZ389" i="12" s="1"/>
  <c r="BW389" i="12"/>
  <c r="BX389" i="12" s="1"/>
  <c r="BL29" i="12"/>
  <c r="AE29" i="12"/>
  <c r="BQ29" i="12"/>
  <c r="BR29" i="12" s="1"/>
  <c r="BN29" i="12"/>
  <c r="BS29" i="12"/>
  <c r="BT29" i="12" s="1"/>
  <c r="C203" i="8"/>
  <c r="AN39" i="12"/>
  <c r="AF194" i="12"/>
  <c r="AY194" i="12"/>
  <c r="BU194" i="12"/>
  <c r="BV194" i="12" s="1"/>
  <c r="BW194" i="12"/>
  <c r="BX194" i="12" s="1"/>
  <c r="G389" i="1"/>
  <c r="J389" i="1"/>
  <c r="J396" i="1"/>
  <c r="G396" i="1"/>
  <c r="J318" i="1"/>
  <c r="G318" i="1"/>
  <c r="O36" i="12"/>
  <c r="P36" i="12" s="1"/>
  <c r="BM36" i="12"/>
  <c r="BK36" i="12"/>
  <c r="H38" i="1" s="1"/>
  <c r="U36" i="12"/>
  <c r="V36" i="12" s="1"/>
  <c r="Q36" i="12"/>
  <c r="R36" i="12" s="1"/>
  <c r="M36" i="12"/>
  <c r="N36" i="12" s="1"/>
  <c r="J36" i="12"/>
  <c r="I36" i="12"/>
  <c r="H36" i="12"/>
  <c r="F36" i="12"/>
  <c r="G36" i="12"/>
  <c r="AC36" i="12"/>
  <c r="AD36" i="12" s="1"/>
  <c r="K36" i="12"/>
  <c r="L36" i="12" s="1"/>
  <c r="AA36" i="12"/>
  <c r="AB36" i="12" s="1"/>
  <c r="W36" i="12"/>
  <c r="X36" i="12" s="1"/>
  <c r="S36" i="12"/>
  <c r="T36" i="12" s="1"/>
  <c r="Y36" i="12"/>
  <c r="Z36" i="12" s="1"/>
  <c r="BD319" i="12"/>
  <c r="BE319" i="12" s="1"/>
  <c r="BF319" i="12" s="1"/>
  <c r="AL319" i="12"/>
  <c r="AM319" i="12" s="1"/>
  <c r="AX319" i="12"/>
  <c r="AU319" i="12"/>
  <c r="BA319" i="12"/>
  <c r="BB319" i="12" s="1"/>
  <c r="AO319" i="12"/>
  <c r="AP319" i="12" s="1"/>
  <c r="AI319" i="12"/>
  <c r="AJ319" i="12" s="1"/>
  <c r="AR319" i="12"/>
  <c r="AS319" i="12" s="1"/>
  <c r="AT319" i="12" s="1"/>
  <c r="BG319" i="12"/>
  <c r="BW137" i="12"/>
  <c r="BX137" i="12" s="1"/>
  <c r="AY137" i="12"/>
  <c r="AZ137" i="12" s="1"/>
  <c r="AF137" i="12"/>
  <c r="AG137" i="12" s="1"/>
  <c r="BU137" i="12"/>
  <c r="BV137" i="12" s="1"/>
  <c r="AF359" i="12"/>
  <c r="AG359" i="12" s="1"/>
  <c r="BW359" i="12"/>
  <c r="BX359" i="12" s="1"/>
  <c r="AY359" i="12"/>
  <c r="AZ359" i="12" s="1"/>
  <c r="BU359" i="12"/>
  <c r="BV359" i="12" s="1"/>
  <c r="BF286" i="12"/>
  <c r="BW230" i="12"/>
  <c r="BX230" i="12" s="1"/>
  <c r="AF230" i="12"/>
  <c r="AY230" i="12"/>
  <c r="BU230" i="12"/>
  <c r="BV230" i="12" s="1"/>
  <c r="AQ155" i="12"/>
  <c r="D386" i="12"/>
  <c r="D388" i="1"/>
  <c r="AX127" i="12"/>
  <c r="AU127" i="12"/>
  <c r="BG127" i="12"/>
  <c r="AL127" i="12"/>
  <c r="AM127" i="12" s="1"/>
  <c r="AN127" i="12" s="1"/>
  <c r="BD127" i="12"/>
  <c r="BE127" i="12" s="1"/>
  <c r="AI127" i="12"/>
  <c r="AJ127" i="12" s="1"/>
  <c r="AO127" i="12"/>
  <c r="AP127" i="12" s="1"/>
  <c r="AQ127" i="12" s="1"/>
  <c r="AR127" i="12"/>
  <c r="AS127" i="12" s="1"/>
  <c r="AT127" i="12" s="1"/>
  <c r="BA127" i="12"/>
  <c r="BB127" i="12" s="1"/>
  <c r="BI306" i="12"/>
  <c r="BN46" i="12"/>
  <c r="AE46" i="12"/>
  <c r="BS46" i="12"/>
  <c r="BT46" i="12" s="1"/>
  <c r="BL46" i="12"/>
  <c r="BQ46" i="12"/>
  <c r="BR46" i="12" s="1"/>
  <c r="AF69" i="12"/>
  <c r="BU69" i="12"/>
  <c r="BV69" i="12" s="1"/>
  <c r="AY69" i="12"/>
  <c r="BW69" i="12"/>
  <c r="BX69" i="12" s="1"/>
  <c r="S401" i="12"/>
  <c r="T401" i="12" s="1"/>
  <c r="W401" i="12"/>
  <c r="X401" i="12" s="1"/>
  <c r="U401" i="12"/>
  <c r="V401" i="12" s="1"/>
  <c r="AA401" i="12"/>
  <c r="AB401" i="12" s="1"/>
  <c r="Y401" i="12"/>
  <c r="Z401" i="12" s="1"/>
  <c r="J401" i="12"/>
  <c r="BM401" i="12"/>
  <c r="I401" i="12"/>
  <c r="H401" i="12"/>
  <c r="BK401" i="12"/>
  <c r="G401" i="12"/>
  <c r="Q401" i="12"/>
  <c r="R401" i="12" s="1"/>
  <c r="O401" i="12"/>
  <c r="P401" i="12" s="1"/>
  <c r="AC401" i="12"/>
  <c r="AD401" i="12" s="1"/>
  <c r="K401" i="12"/>
  <c r="L401" i="12" s="1"/>
  <c r="M401" i="12"/>
  <c r="N401" i="12" s="1"/>
  <c r="BF197" i="12"/>
  <c r="BO341" i="12"/>
  <c r="BH341" i="12"/>
  <c r="BI341" i="12" s="1"/>
  <c r="AH341" i="12"/>
  <c r="E66" i="8"/>
  <c r="C66" i="8" s="1"/>
  <c r="K255" i="8"/>
  <c r="C255" i="8" s="1"/>
  <c r="M264" i="8"/>
  <c r="C264" i="8" s="1"/>
  <c r="BM40" i="12"/>
  <c r="J40" i="12"/>
  <c r="AA40" i="12"/>
  <c r="AB40" i="12" s="1"/>
  <c r="I40" i="12"/>
  <c r="BK40" i="12"/>
  <c r="H42" i="1" s="1"/>
  <c r="Q40" i="12"/>
  <c r="R40" i="12" s="1"/>
  <c r="Y40" i="12"/>
  <c r="Z40" i="12" s="1"/>
  <c r="U40" i="12"/>
  <c r="V40" i="12" s="1"/>
  <c r="AC40" i="12"/>
  <c r="AD40" i="12" s="1"/>
  <c r="W40" i="12"/>
  <c r="X40" i="12" s="1"/>
  <c r="S40" i="12"/>
  <c r="T40" i="12" s="1"/>
  <c r="O40" i="12"/>
  <c r="P40" i="12" s="1"/>
  <c r="M40" i="12"/>
  <c r="N40" i="12" s="1"/>
  <c r="K40" i="12"/>
  <c r="L40" i="12" s="1"/>
  <c r="H40" i="12"/>
  <c r="G40" i="12"/>
  <c r="K18" i="2"/>
  <c r="K19" i="2"/>
  <c r="S405" i="12"/>
  <c r="T405" i="12" s="1"/>
  <c r="AA405" i="12"/>
  <c r="AB405" i="12" s="1"/>
  <c r="I405" i="12"/>
  <c r="BM405" i="12"/>
  <c r="H405" i="12"/>
  <c r="Y405" i="12"/>
  <c r="Z405" i="12" s="1"/>
  <c r="G405" i="12"/>
  <c r="BK405" i="12"/>
  <c r="M405" i="12"/>
  <c r="N405" i="12" s="1"/>
  <c r="AC405" i="12"/>
  <c r="AD405" i="12" s="1"/>
  <c r="W405" i="12"/>
  <c r="X405" i="12" s="1"/>
  <c r="U405" i="12"/>
  <c r="V405" i="12" s="1"/>
  <c r="K405" i="12"/>
  <c r="L405" i="12" s="1"/>
  <c r="J405" i="12"/>
  <c r="Q405" i="12"/>
  <c r="R405" i="12" s="1"/>
  <c r="O405" i="12"/>
  <c r="P405" i="12" s="1"/>
  <c r="U284" i="12"/>
  <c r="V284" i="12" s="1"/>
  <c r="W284" i="12"/>
  <c r="X284" i="12" s="1"/>
  <c r="S284" i="12"/>
  <c r="T284" i="12" s="1"/>
  <c r="Y284" i="12"/>
  <c r="Z284" i="12" s="1"/>
  <c r="Q284" i="12"/>
  <c r="R284" i="12" s="1"/>
  <c r="BM284" i="12"/>
  <c r="AC284" i="12"/>
  <c r="AD284" i="12" s="1"/>
  <c r="AA284" i="12"/>
  <c r="AB284" i="12" s="1"/>
  <c r="O284" i="12"/>
  <c r="P284" i="12" s="1"/>
  <c r="G284" i="12"/>
  <c r="M284" i="12"/>
  <c r="N284" i="12" s="1"/>
  <c r="K284" i="12"/>
  <c r="L284" i="12" s="1"/>
  <c r="J284" i="12"/>
  <c r="I284" i="12"/>
  <c r="H284" i="12"/>
  <c r="F284" i="12"/>
  <c r="BK284" i="12"/>
  <c r="F59" i="9" a="1"/>
  <c r="F59" i="9" s="1"/>
  <c r="D48" i="1"/>
  <c r="D46" i="12"/>
  <c r="C272" i="8"/>
  <c r="C227" i="8"/>
  <c r="D45" i="12"/>
  <c r="BF45" i="12" s="1"/>
  <c r="D47" i="1"/>
  <c r="F87" i="9" a="1"/>
  <c r="F87" i="9" s="1"/>
  <c r="E86" i="8" s="1"/>
  <c r="C86" i="8" s="1"/>
  <c r="D31" i="1"/>
  <c r="D29" i="12"/>
  <c r="AH196" i="12"/>
  <c r="BO196" i="12"/>
  <c r="BH196" i="12"/>
  <c r="AY188" i="12"/>
  <c r="BW188" i="12"/>
  <c r="BX188" i="12" s="1"/>
  <c r="AF188" i="12"/>
  <c r="BU188" i="12"/>
  <c r="BV188" i="12" s="1"/>
  <c r="BS180" i="12"/>
  <c r="BT180" i="12" s="1"/>
  <c r="BQ180" i="12"/>
  <c r="BR180" i="12" s="1"/>
  <c r="BN180" i="12"/>
  <c r="BL180" i="12"/>
  <c r="AE180" i="12"/>
  <c r="BC164" i="12"/>
  <c r="BS152" i="12"/>
  <c r="BT152" i="12" s="1"/>
  <c r="BQ152" i="12"/>
  <c r="BR152" i="12" s="1"/>
  <c r="BL152" i="12"/>
  <c r="BN152" i="12"/>
  <c r="AE152" i="12"/>
  <c r="AY144" i="12"/>
  <c r="BW144" i="12"/>
  <c r="BX144" i="12" s="1"/>
  <c r="AF144" i="12"/>
  <c r="BU144" i="12"/>
  <c r="BV144" i="12" s="1"/>
  <c r="AJ136" i="12"/>
  <c r="AK136" i="12" s="1"/>
  <c r="BS136" i="12"/>
  <c r="BT136" i="12" s="1"/>
  <c r="BQ8" i="12"/>
  <c r="BR8" i="12" s="1"/>
  <c r="AJ8" i="12"/>
  <c r="AK8" i="12" s="1"/>
  <c r="BQ40" i="12"/>
  <c r="BR40" i="12" s="1"/>
  <c r="BL40" i="12"/>
  <c r="AE40" i="12"/>
  <c r="BS40" i="12"/>
  <c r="BT40" i="12" s="1"/>
  <c r="BN40" i="12"/>
  <c r="C254" i="8"/>
  <c r="BU403" i="12"/>
  <c r="BV403" i="12" s="1"/>
  <c r="BW403" i="12"/>
  <c r="BX403" i="12" s="1"/>
  <c r="AF403" i="12"/>
  <c r="AG403" i="12" s="1"/>
  <c r="AY403" i="12"/>
  <c r="AZ403" i="12" s="1"/>
  <c r="BW92" i="12"/>
  <c r="BX92" i="12" s="1"/>
  <c r="BU92" i="12"/>
  <c r="BV92" i="12" s="1"/>
  <c r="AY92" i="12"/>
  <c r="AF92" i="12"/>
  <c r="AG92" i="12" s="1"/>
  <c r="BW48" i="12"/>
  <c r="BX48" i="12" s="1"/>
  <c r="BU48" i="12"/>
  <c r="BV48" i="12" s="1"/>
  <c r="AY48" i="12"/>
  <c r="AZ48" i="12" s="1"/>
  <c r="AF48" i="12"/>
  <c r="AG48" i="12" s="1"/>
  <c r="BW124" i="12"/>
  <c r="BX124" i="12" s="1"/>
  <c r="AF124" i="12"/>
  <c r="AG124" i="12" s="1"/>
  <c r="AY124" i="12"/>
  <c r="AZ124" i="12" s="1"/>
  <c r="BU124" i="12"/>
  <c r="BV124" i="12" s="1"/>
  <c r="BH236" i="12"/>
  <c r="AH236" i="12"/>
  <c r="BO236" i="12"/>
  <c r="C363" i="8"/>
  <c r="BH349" i="12"/>
  <c r="BI349" i="12" s="1"/>
  <c r="AH349" i="12"/>
  <c r="BO349" i="12"/>
  <c r="BF313" i="12"/>
  <c r="AH222" i="12"/>
  <c r="BO222" i="12"/>
  <c r="BH222" i="12"/>
  <c r="BI222" i="12" s="1"/>
  <c r="AK198" i="12"/>
  <c r="BC159" i="12"/>
  <c r="AN281" i="12"/>
  <c r="BO6" i="12"/>
  <c r="BH6" i="12"/>
  <c r="BI6" i="12" s="1"/>
  <c r="AH6" i="12"/>
  <c r="AH323" i="12"/>
  <c r="BH323" i="12"/>
  <c r="BI323" i="12" s="1"/>
  <c r="BO323" i="12"/>
  <c r="BL136" i="12"/>
  <c r="AY406" i="12"/>
  <c r="AZ406" i="12" s="1"/>
  <c r="BU406" i="12"/>
  <c r="BV406" i="12" s="1"/>
  <c r="AF406" i="12"/>
  <c r="AG406" i="12" s="1"/>
  <c r="BW406" i="12"/>
  <c r="BX406" i="12" s="1"/>
  <c r="BN195" i="12"/>
  <c r="BL195" i="12"/>
  <c r="AE195" i="12"/>
  <c r="BS195" i="12"/>
  <c r="BT195" i="12" s="1"/>
  <c r="BQ195" i="12"/>
  <c r="BR195" i="12" s="1"/>
  <c r="BF170" i="12"/>
  <c r="BF26" i="12"/>
  <c r="AQ223" i="12"/>
  <c r="BC174" i="12"/>
  <c r="BF101" i="12"/>
  <c r="BL133" i="12"/>
  <c r="BN133" i="12"/>
  <c r="AE133" i="12"/>
  <c r="BQ133" i="12"/>
  <c r="BR133" i="12" s="1"/>
  <c r="BS133" i="12"/>
  <c r="BT133" i="12" s="1"/>
  <c r="BH330" i="12"/>
  <c r="BI330" i="12" s="1"/>
  <c r="AH330" i="12"/>
  <c r="BO330" i="12"/>
  <c r="BL75" i="12"/>
  <c r="BS75" i="12"/>
  <c r="BT75" i="12" s="1"/>
  <c r="AE75" i="12"/>
  <c r="BQ75" i="12"/>
  <c r="BR75" i="12" s="1"/>
  <c r="BW314" i="12"/>
  <c r="BU314" i="12"/>
  <c r="BV314" i="12" s="1"/>
  <c r="AY314" i="12"/>
  <c r="AF314" i="12"/>
  <c r="AN233" i="12"/>
  <c r="BC353" i="12"/>
  <c r="BW270" i="12"/>
  <c r="BX270" i="12" s="1"/>
  <c r="AY270" i="12"/>
  <c r="AF270" i="12"/>
  <c r="BU270" i="12"/>
  <c r="BV270" i="12" s="1"/>
  <c r="AH202" i="12"/>
  <c r="BO202" i="12"/>
  <c r="BH202" i="12"/>
  <c r="AY119" i="12"/>
  <c r="AZ119" i="12" s="1"/>
  <c r="AF119" i="12"/>
  <c r="AG119" i="12" s="1"/>
  <c r="BW119" i="12"/>
  <c r="BX119" i="12" s="1"/>
  <c r="BU119" i="12"/>
  <c r="BV119" i="12" s="1"/>
  <c r="BC109" i="12"/>
  <c r="BH274" i="12"/>
  <c r="BO274" i="12"/>
  <c r="AH274" i="12"/>
  <c r="BF365" i="12"/>
  <c r="AK345" i="12"/>
  <c r="BN293" i="12"/>
  <c r="BQ293" i="12"/>
  <c r="BR293" i="12" s="1"/>
  <c r="BL293" i="12"/>
  <c r="AE293" i="12"/>
  <c r="BS293" i="12"/>
  <c r="BT293" i="12" s="1"/>
  <c r="BC45" i="12"/>
  <c r="BW354" i="12"/>
  <c r="BX354" i="12" s="1"/>
  <c r="AY354" i="12"/>
  <c r="AZ354" i="12" s="1"/>
  <c r="AF354" i="12"/>
  <c r="AG354" i="12" s="1"/>
  <c r="BU354" i="12"/>
  <c r="BV354" i="12" s="1"/>
  <c r="AY258" i="12"/>
  <c r="AF258" i="12"/>
  <c r="BW258" i="12"/>
  <c r="BX258" i="12" s="1"/>
  <c r="BU258" i="12"/>
  <c r="BV258" i="12" s="1"/>
  <c r="AK162" i="12"/>
  <c r="BQ79" i="12"/>
  <c r="BL79" i="12"/>
  <c r="AE79" i="12"/>
  <c r="BS79" i="12"/>
  <c r="BT79" i="12" s="1"/>
  <c r="BO68" i="12"/>
  <c r="BH68" i="12"/>
  <c r="AH68" i="12"/>
  <c r="BO329" i="12"/>
  <c r="BH329" i="12"/>
  <c r="BI329" i="12" s="1"/>
  <c r="AH329" i="12"/>
  <c r="AF71" i="12"/>
  <c r="BW71" i="12"/>
  <c r="BX71" i="12" s="1"/>
  <c r="BU71" i="12"/>
  <c r="BV71" i="12" s="1"/>
  <c r="AY71" i="12"/>
  <c r="AH358" i="12"/>
  <c r="BH358" i="12"/>
  <c r="BI358" i="12" s="1"/>
  <c r="BO358" i="12"/>
  <c r="AN302" i="12"/>
  <c r="BB7" i="12"/>
  <c r="BC7" i="12" s="1"/>
  <c r="BU7" i="12"/>
  <c r="BV7" i="12" s="1"/>
  <c r="BS215" i="12"/>
  <c r="BT215" i="12" s="1"/>
  <c r="AE215" i="12"/>
  <c r="BN215" i="12"/>
  <c r="BQ215" i="12"/>
  <c r="BR215" i="12" s="1"/>
  <c r="BL215" i="12"/>
  <c r="BA175" i="12"/>
  <c r="BB175" i="12" s="1"/>
  <c r="BC175" i="12" s="1"/>
  <c r="BD175" i="12"/>
  <c r="BE175" i="12" s="1"/>
  <c r="BF175" i="12" s="1"/>
  <c r="AO175" i="12"/>
  <c r="AP175" i="12" s="1"/>
  <c r="AQ175" i="12" s="1"/>
  <c r="AU175" i="12"/>
  <c r="BG175" i="12"/>
  <c r="AI175" i="12"/>
  <c r="AJ175" i="12" s="1"/>
  <c r="AK175" i="12" s="1"/>
  <c r="AR175" i="12"/>
  <c r="AS175" i="12" s="1"/>
  <c r="AT175" i="12" s="1"/>
  <c r="AL175" i="12"/>
  <c r="AM175" i="12" s="1"/>
  <c r="AN175" i="12" s="1"/>
  <c r="AX175" i="12"/>
  <c r="BW43" i="12"/>
  <c r="BX43" i="12" s="1"/>
  <c r="BU43" i="12"/>
  <c r="BV43" i="12" s="1"/>
  <c r="AY43" i="12"/>
  <c r="AZ43" i="12" s="1"/>
  <c r="AF43" i="12"/>
  <c r="AG43" i="12" s="1"/>
  <c r="C311" i="8"/>
  <c r="BS55" i="12"/>
  <c r="BT55" i="12" s="1"/>
  <c r="C131" i="8"/>
  <c r="D185" i="12"/>
  <c r="AQ185" i="12" s="1"/>
  <c r="D187" i="1"/>
  <c r="J352" i="1"/>
  <c r="G352" i="1"/>
  <c r="BH386" i="12"/>
  <c r="BO386" i="12"/>
  <c r="AH386" i="12"/>
  <c r="BO29" i="12"/>
  <c r="BH29" i="12"/>
  <c r="BI29" i="12" s="1"/>
  <c r="AH29" i="12"/>
  <c r="BW158" i="12"/>
  <c r="BX158" i="12" s="1"/>
  <c r="BU158" i="12"/>
  <c r="BV158" i="12" s="1"/>
  <c r="AY158" i="12"/>
  <c r="AF158" i="12"/>
  <c r="AH190" i="12"/>
  <c r="BH190" i="12"/>
  <c r="BI190" i="12" s="1"/>
  <c r="BO190" i="12"/>
  <c r="BF39" i="12"/>
  <c r="D272" i="12"/>
  <c r="BC272" i="12" s="1"/>
  <c r="D274" i="1"/>
  <c r="BW182" i="12"/>
  <c r="BX182" i="12" s="1"/>
  <c r="BH382" i="12"/>
  <c r="BI382" i="12" s="1"/>
  <c r="BO382" i="12"/>
  <c r="AH382" i="12"/>
  <c r="AN194" i="12"/>
  <c r="AF87" i="12"/>
  <c r="AG87" i="12" s="1"/>
  <c r="BU87" i="12"/>
  <c r="BV87" i="12" s="1"/>
  <c r="AY87" i="12"/>
  <c r="BW87" i="12"/>
  <c r="BX87" i="12" s="1"/>
  <c r="S387" i="12"/>
  <c r="T387" i="12" s="1"/>
  <c r="Q387" i="12"/>
  <c r="R387" i="12" s="1"/>
  <c r="J387" i="12"/>
  <c r="AC387" i="12"/>
  <c r="AD387" i="12" s="1"/>
  <c r="I387" i="12"/>
  <c r="H387" i="12"/>
  <c r="AA387" i="12"/>
  <c r="AB387" i="12" s="1"/>
  <c r="G387" i="12"/>
  <c r="U387" i="12"/>
  <c r="V387" i="12" s="1"/>
  <c r="O387" i="12"/>
  <c r="P387" i="12" s="1"/>
  <c r="K387" i="12"/>
  <c r="L387" i="12" s="1"/>
  <c r="F387" i="12"/>
  <c r="BM387" i="12"/>
  <c r="Y387" i="12"/>
  <c r="Z387" i="12" s="1"/>
  <c r="W387" i="12"/>
  <c r="X387" i="12" s="1"/>
  <c r="M387" i="12"/>
  <c r="N387" i="12" s="1"/>
  <c r="BM394" i="12"/>
  <c r="AA394" i="12"/>
  <c r="AB394" i="12" s="1"/>
  <c r="K394" i="12"/>
  <c r="L394" i="12" s="1"/>
  <c r="O394" i="12"/>
  <c r="P394" i="12" s="1"/>
  <c r="M394" i="12"/>
  <c r="N394" i="12" s="1"/>
  <c r="BK394" i="12"/>
  <c r="Q394" i="12"/>
  <c r="R394" i="12" s="1"/>
  <c r="J394" i="12"/>
  <c r="Y394" i="12"/>
  <c r="Z394" i="12" s="1"/>
  <c r="W394" i="12"/>
  <c r="X394" i="12" s="1"/>
  <c r="H394" i="12"/>
  <c r="G394" i="12"/>
  <c r="AC394" i="12"/>
  <c r="AD394" i="12" s="1"/>
  <c r="U394" i="12"/>
  <c r="V394" i="12" s="1"/>
  <c r="S394" i="12"/>
  <c r="T394" i="12" s="1"/>
  <c r="I394" i="12"/>
  <c r="D223" i="12"/>
  <c r="AN223" i="12" s="1"/>
  <c r="D225" i="1"/>
  <c r="C309" i="8"/>
  <c r="BM316" i="12"/>
  <c r="BK316" i="12"/>
  <c r="H318" i="1" s="1"/>
  <c r="H316" i="12"/>
  <c r="AC316" i="12"/>
  <c r="AD316" i="12" s="1"/>
  <c r="I316" i="12"/>
  <c r="AA316" i="12"/>
  <c r="AB316" i="12" s="1"/>
  <c r="G316" i="12"/>
  <c r="Y316" i="12"/>
  <c r="Z316" i="12" s="1"/>
  <c r="Q316" i="12"/>
  <c r="R316" i="12" s="1"/>
  <c r="U316" i="12"/>
  <c r="V316" i="12" s="1"/>
  <c r="S316" i="12"/>
  <c r="T316" i="12" s="1"/>
  <c r="O316" i="12"/>
  <c r="P316" i="12" s="1"/>
  <c r="M316" i="12"/>
  <c r="N316" i="12" s="1"/>
  <c r="K316" i="12"/>
  <c r="L316" i="12" s="1"/>
  <c r="J316" i="12"/>
  <c r="W316" i="12"/>
  <c r="X316" i="12" s="1"/>
  <c r="D83" i="12"/>
  <c r="D85" i="1"/>
  <c r="BS4" i="12"/>
  <c r="BT4" i="12" s="1"/>
  <c r="BC137" i="12"/>
  <c r="O42" i="12"/>
  <c r="P42" i="12" s="1"/>
  <c r="Q42" i="12"/>
  <c r="R42" i="12" s="1"/>
  <c r="K42" i="12"/>
  <c r="L42" i="12" s="1"/>
  <c r="U42" i="12"/>
  <c r="V42" i="12" s="1"/>
  <c r="S42" i="12"/>
  <c r="T42" i="12" s="1"/>
  <c r="BK42" i="12"/>
  <c r="BM42" i="12"/>
  <c r="G42" i="12"/>
  <c r="AA42" i="12"/>
  <c r="AB42" i="12" s="1"/>
  <c r="Y42" i="12"/>
  <c r="Z42" i="12" s="1"/>
  <c r="W42" i="12"/>
  <c r="X42" i="12" s="1"/>
  <c r="J42" i="12"/>
  <c r="I42" i="12"/>
  <c r="M42" i="12"/>
  <c r="N42" i="12" s="1"/>
  <c r="H42" i="12"/>
  <c r="AC42" i="12"/>
  <c r="AD42" i="12" s="1"/>
  <c r="AY286" i="12"/>
  <c r="AZ286" i="12" s="1"/>
  <c r="AF286" i="12"/>
  <c r="AG286" i="12" s="1"/>
  <c r="BW286" i="12"/>
  <c r="BX286" i="12" s="1"/>
  <c r="BU286" i="12"/>
  <c r="BV286" i="12" s="1"/>
  <c r="BS230" i="12"/>
  <c r="BT230" i="12" s="1"/>
  <c r="AE230" i="12"/>
  <c r="BN230" i="12"/>
  <c r="BQ230" i="12"/>
  <c r="BR230" i="12" s="1"/>
  <c r="BL230" i="12"/>
  <c r="AK155" i="12"/>
  <c r="AN37" i="12"/>
  <c r="BS130" i="12"/>
  <c r="BT130" i="12" s="1"/>
  <c r="BQ130" i="12"/>
  <c r="BR130" i="12" s="1"/>
  <c r="BN130" i="12"/>
  <c r="BL130" i="12"/>
  <c r="AE130" i="12"/>
  <c r="BI172" i="12"/>
  <c r="D51" i="12"/>
  <c r="D53" i="1"/>
  <c r="BA31" i="12"/>
  <c r="BB31" i="12" s="1"/>
  <c r="BG31" i="12"/>
  <c r="BD31" i="12"/>
  <c r="BE31" i="12" s="1"/>
  <c r="BF31" i="12" s="1"/>
  <c r="AI31" i="12"/>
  <c r="AJ31" i="12" s="1"/>
  <c r="AK31" i="12" s="1"/>
  <c r="AX31" i="12"/>
  <c r="AU31" i="12"/>
  <c r="AR31" i="12"/>
  <c r="AS31" i="12" s="1"/>
  <c r="AT31" i="12" s="1"/>
  <c r="AL31" i="12"/>
  <c r="AM31" i="12" s="1"/>
  <c r="AN31" i="12" s="1"/>
  <c r="AO31" i="12"/>
  <c r="AP31" i="12" s="1"/>
  <c r="AQ31" i="12" s="1"/>
  <c r="AE341" i="12"/>
  <c r="BS341" i="12"/>
  <c r="BT341" i="12" s="1"/>
  <c r="BL341" i="12"/>
  <c r="BQ341" i="12"/>
  <c r="BR341" i="12" s="1"/>
  <c r="BN341" i="12"/>
  <c r="M266" i="8"/>
  <c r="E68" i="8"/>
  <c r="C68" i="8" s="1"/>
  <c r="G236" i="8"/>
  <c r="C236" i="8" s="1"/>
  <c r="K257" i="8"/>
  <c r="C257" i="8" s="1"/>
  <c r="AX254" i="12"/>
  <c r="AR254" i="12"/>
  <c r="AS254" i="12" s="1"/>
  <c r="AT254" i="12" s="1"/>
  <c r="BD254" i="12"/>
  <c r="BE254" i="12" s="1"/>
  <c r="AO254" i="12"/>
  <c r="AP254" i="12" s="1"/>
  <c r="AQ254" i="12" s="1"/>
  <c r="AL254" i="12"/>
  <c r="AM254" i="12" s="1"/>
  <c r="AN254" i="12" s="1"/>
  <c r="BG254" i="12"/>
  <c r="AU254" i="12"/>
  <c r="AI254" i="12"/>
  <c r="AJ254" i="12" s="1"/>
  <c r="BA254" i="12"/>
  <c r="BB254" i="12" s="1"/>
  <c r="J374" i="1"/>
  <c r="G374" i="1"/>
  <c r="J45" i="1"/>
  <c r="G45" i="1"/>
  <c r="BA51" i="12"/>
  <c r="BB51" i="12" s="1"/>
  <c r="BD51" i="12"/>
  <c r="BE51" i="12" s="1"/>
  <c r="AU51" i="12"/>
  <c r="AO51" i="12"/>
  <c r="AP51" i="12" s="1"/>
  <c r="AQ51" i="12" s="1"/>
  <c r="AR51" i="12"/>
  <c r="AS51" i="12" s="1"/>
  <c r="AT51" i="12" s="1"/>
  <c r="AL51" i="12"/>
  <c r="AM51" i="12" s="1"/>
  <c r="AN51" i="12" s="1"/>
  <c r="BG51" i="12"/>
  <c r="AX51" i="12"/>
  <c r="AI51" i="12"/>
  <c r="AJ51" i="12" s="1"/>
  <c r="AK51" i="12" s="1"/>
  <c r="J114" i="1"/>
  <c r="G114" i="1"/>
  <c r="BA134" i="12"/>
  <c r="BB134" i="12" s="1"/>
  <c r="AI134" i="12"/>
  <c r="AJ134" i="12" s="1"/>
  <c r="AX134" i="12"/>
  <c r="BD134" i="12"/>
  <c r="BE134" i="12" s="1"/>
  <c r="AO134" i="12"/>
  <c r="AP134" i="12" s="1"/>
  <c r="AQ134" i="12" s="1"/>
  <c r="BG134" i="12"/>
  <c r="AR134" i="12"/>
  <c r="AS134" i="12" s="1"/>
  <c r="AT134" i="12" s="1"/>
  <c r="AU134" i="12"/>
  <c r="AL134" i="12"/>
  <c r="AM134" i="12" s="1"/>
  <c r="AN134" i="12" s="1"/>
  <c r="D30" i="12"/>
  <c r="BC30" i="12" s="1"/>
  <c r="F81" i="9" a="1"/>
  <c r="F81" i="9" s="1"/>
  <c r="E80" i="8" s="1"/>
  <c r="C80" i="8" s="1"/>
  <c r="D32" i="1"/>
  <c r="BQ157" i="12"/>
  <c r="BR157" i="12" s="1"/>
  <c r="AE157" i="12"/>
  <c r="BL157" i="12"/>
  <c r="BN157" i="12"/>
  <c r="BS157" i="12"/>
  <c r="BT157" i="12" s="1"/>
  <c r="J376" i="1"/>
  <c r="G376" i="1"/>
  <c r="C269" i="8"/>
  <c r="BS196" i="12"/>
  <c r="BT196" i="12" s="1"/>
  <c r="BQ196" i="12"/>
  <c r="BR196" i="12" s="1"/>
  <c r="BN196" i="12"/>
  <c r="BL196" i="12"/>
  <c r="AE196" i="12"/>
  <c r="AK172" i="12"/>
  <c r="BH160" i="12"/>
  <c r="BI160" i="12" s="1"/>
  <c r="AH160" i="12"/>
  <c r="BO160" i="12"/>
  <c r="AY152" i="12"/>
  <c r="AZ152" i="12" s="1"/>
  <c r="AF152" i="12"/>
  <c r="AG152" i="12" s="1"/>
  <c r="BU152" i="12"/>
  <c r="BV152" i="12" s="1"/>
  <c r="BW152" i="12"/>
  <c r="BX152" i="12" s="1"/>
  <c r="BC136" i="12"/>
  <c r="BB88" i="12"/>
  <c r="AF88" i="12"/>
  <c r="BU8" i="12"/>
  <c r="BV8" i="12" s="1"/>
  <c r="AF8" i="12"/>
  <c r="AG8" i="12" s="1"/>
  <c r="BB8" i="12"/>
  <c r="BC8" i="12" s="1"/>
  <c r="BW8" i="12"/>
  <c r="BX8" i="12" s="1"/>
  <c r="BL8" i="12"/>
  <c r="AF40" i="12"/>
  <c r="AG40" i="12" s="1"/>
  <c r="AY40" i="12"/>
  <c r="AZ40" i="12" s="1"/>
  <c r="BU40" i="12"/>
  <c r="BV40" i="12" s="1"/>
  <c r="BW40" i="12"/>
  <c r="BX40" i="12" s="1"/>
  <c r="D313" i="12"/>
  <c r="D315" i="1"/>
  <c r="BH403" i="12"/>
  <c r="BI403" i="12" s="1"/>
  <c r="BO403" i="12"/>
  <c r="AH403" i="12"/>
  <c r="BN48" i="12"/>
  <c r="AE48" i="12"/>
  <c r="BQ48" i="12"/>
  <c r="BR48" i="12" s="1"/>
  <c r="BL48" i="12"/>
  <c r="BS48" i="12"/>
  <c r="BT48" i="12" s="1"/>
  <c r="BF124" i="12"/>
  <c r="AK349" i="12"/>
  <c r="AQ222" i="12"/>
  <c r="AN159" i="12"/>
  <c r="BQ199" i="12"/>
  <c r="BR199" i="12" s="1"/>
  <c r="AE199" i="12"/>
  <c r="BL199" i="12"/>
  <c r="BN199" i="12"/>
  <c r="BS199" i="12"/>
  <c r="BT199" i="12" s="1"/>
  <c r="AH281" i="12"/>
  <c r="BO281" i="12"/>
  <c r="BH281" i="12"/>
  <c r="BI281" i="12" s="1"/>
  <c r="BO398" i="12"/>
  <c r="AH398" i="12"/>
  <c r="BH398" i="12"/>
  <c r="BI398" i="12" s="1"/>
  <c r="BU323" i="12"/>
  <c r="BV323" i="12" s="1"/>
  <c r="BW323" i="12"/>
  <c r="BX323" i="12" s="1"/>
  <c r="AF323" i="12"/>
  <c r="AG323" i="12" s="1"/>
  <c r="AY323" i="12"/>
  <c r="AZ323" i="12" s="1"/>
  <c r="BC290" i="12"/>
  <c r="BH142" i="12"/>
  <c r="BI142" i="12" s="1"/>
  <c r="AH142" i="12"/>
  <c r="BO142" i="12"/>
  <c r="BQ136" i="12"/>
  <c r="BR136" i="12" s="1"/>
  <c r="AK287" i="12"/>
  <c r="BH195" i="12"/>
  <c r="BI195" i="12" s="1"/>
  <c r="AH195" i="12"/>
  <c r="BO195" i="12"/>
  <c r="AQ170" i="12"/>
  <c r="BO167" i="12"/>
  <c r="AH167" i="12"/>
  <c r="BH167" i="12"/>
  <c r="BI167" i="12" s="1"/>
  <c r="BS101" i="12"/>
  <c r="BT101" i="12" s="1"/>
  <c r="AE101" i="12"/>
  <c r="BN101" i="12"/>
  <c r="BQ101" i="12"/>
  <c r="BR101" i="12" s="1"/>
  <c r="BL101" i="12"/>
  <c r="BL399" i="12"/>
  <c r="BS399" i="12"/>
  <c r="BT399" i="12" s="1"/>
  <c r="BQ399" i="12"/>
  <c r="BR399" i="12" s="1"/>
  <c r="BN399" i="12"/>
  <c r="AE399" i="12"/>
  <c r="BC307" i="12"/>
  <c r="BH291" i="12"/>
  <c r="BI291" i="12" s="1"/>
  <c r="AH291" i="12"/>
  <c r="BO291" i="12"/>
  <c r="BQ89" i="12"/>
  <c r="BR89" i="12" s="1"/>
  <c r="BS89" i="12"/>
  <c r="BT89" i="12" s="1"/>
  <c r="BL89" i="12"/>
  <c r="AE89" i="12"/>
  <c r="BL314" i="12"/>
  <c r="BQ314" i="12"/>
  <c r="BR314" i="12" s="1"/>
  <c r="AE314" i="12"/>
  <c r="BN314" i="12"/>
  <c r="BS314" i="12"/>
  <c r="BT314" i="12" s="1"/>
  <c r="AQ233" i="12"/>
  <c r="BO366" i="12"/>
  <c r="BH366" i="12"/>
  <c r="AH366" i="12"/>
  <c r="BF333" i="12"/>
  <c r="BF270" i="12"/>
  <c r="BC14" i="12"/>
  <c r="BQ373" i="12"/>
  <c r="BR373" i="12" s="1"/>
  <c r="AE373" i="12"/>
  <c r="BS373" i="12"/>
  <c r="BT373" i="12" s="1"/>
  <c r="BN373" i="12"/>
  <c r="BL373" i="12"/>
  <c r="D177" i="12"/>
  <c r="BC177" i="12" s="1"/>
  <c r="D179" i="1"/>
  <c r="BS143" i="12"/>
  <c r="BT143" i="12" s="1"/>
  <c r="BQ143" i="12"/>
  <c r="BR143" i="12" s="1"/>
  <c r="BN143" i="12"/>
  <c r="BL143" i="12"/>
  <c r="AE143" i="12"/>
  <c r="AF350" i="12"/>
  <c r="AG350" i="12" s="1"/>
  <c r="BW350" i="12"/>
  <c r="BX350" i="12" s="1"/>
  <c r="BU350" i="12"/>
  <c r="BV350" i="12" s="1"/>
  <c r="AY350" i="12"/>
  <c r="AZ350" i="12" s="1"/>
  <c r="AQ365" i="12"/>
  <c r="BU293" i="12"/>
  <c r="BV293" i="12" s="1"/>
  <c r="BW293" i="12"/>
  <c r="BX293" i="12" s="1"/>
  <c r="AF293" i="12"/>
  <c r="AG293" i="12" s="1"/>
  <c r="AY293" i="12"/>
  <c r="AZ293" i="12" s="1"/>
  <c r="BW45" i="12"/>
  <c r="BX45" i="12" s="1"/>
  <c r="AY45" i="12"/>
  <c r="AZ45" i="12" s="1"/>
  <c r="AF45" i="12"/>
  <c r="AG45" i="12" s="1"/>
  <c r="BU45" i="12"/>
  <c r="BV45" i="12" s="1"/>
  <c r="AH25" i="12"/>
  <c r="BH25" i="12"/>
  <c r="BI25" i="12" s="1"/>
  <c r="BO25" i="12"/>
  <c r="AK354" i="12"/>
  <c r="AQ224" i="12"/>
  <c r="BU55" i="12"/>
  <c r="BV55" i="12" s="1"/>
  <c r="AY55" i="12"/>
  <c r="AZ55" i="12" s="1"/>
  <c r="BW55" i="12"/>
  <c r="BX55" i="12" s="1"/>
  <c r="AF55" i="12"/>
  <c r="AG55" i="12" s="1"/>
  <c r="BC162" i="12"/>
  <c r="BL269" i="12"/>
  <c r="BS269" i="12"/>
  <c r="BT269" i="12" s="1"/>
  <c r="BQ269" i="12"/>
  <c r="BR269" i="12" s="1"/>
  <c r="BN269" i="12"/>
  <c r="AE269" i="12"/>
  <c r="BU329" i="12"/>
  <c r="BV329" i="12" s="1"/>
  <c r="AF329" i="12"/>
  <c r="AY329" i="12"/>
  <c r="BW329" i="12"/>
  <c r="BX329" i="12" s="1"/>
  <c r="BN221" i="12"/>
  <c r="BS221" i="12"/>
  <c r="BT221" i="12" s="1"/>
  <c r="BQ221" i="12"/>
  <c r="BR221" i="12" s="1"/>
  <c r="BL221" i="12"/>
  <c r="AE221" i="12"/>
  <c r="AH397" i="12"/>
  <c r="BH397" i="12"/>
  <c r="BI397" i="12" s="1"/>
  <c r="BO397" i="12"/>
  <c r="BH64" i="12"/>
  <c r="BO64" i="12"/>
  <c r="AH64" i="12"/>
  <c r="AK358" i="12"/>
  <c r="BH302" i="12"/>
  <c r="BI302" i="12" s="1"/>
  <c r="AH302" i="12"/>
  <c r="BO302" i="12"/>
  <c r="BF7" i="12"/>
  <c r="AN215" i="12"/>
  <c r="AQ169" i="12"/>
  <c r="J40" i="1"/>
  <c r="G40" i="1"/>
  <c r="G117" i="1"/>
  <c r="J117" i="1"/>
  <c r="C136" i="8"/>
  <c r="C249" i="8"/>
  <c r="C299" i="8"/>
  <c r="D197" i="12"/>
  <c r="AK197" i="12" s="1"/>
  <c r="D199" i="1"/>
  <c r="BM350" i="12"/>
  <c r="H350" i="12"/>
  <c r="W350" i="12"/>
  <c r="X350" i="12" s="1"/>
  <c r="I350" i="12"/>
  <c r="G350" i="12"/>
  <c r="AC350" i="12"/>
  <c r="AD350" i="12" s="1"/>
  <c r="O350" i="12"/>
  <c r="P350" i="12" s="1"/>
  <c r="M350" i="12"/>
  <c r="N350" i="12" s="1"/>
  <c r="K350" i="12"/>
  <c r="L350" i="12" s="1"/>
  <c r="J350" i="12"/>
  <c r="AA350" i="12"/>
  <c r="AB350" i="12" s="1"/>
  <c r="Y350" i="12"/>
  <c r="Z350" i="12" s="1"/>
  <c r="Q350" i="12"/>
  <c r="R350" i="12" s="1"/>
  <c r="U350" i="12"/>
  <c r="V350" i="12" s="1"/>
  <c r="S350" i="12"/>
  <c r="T350" i="12" s="1"/>
  <c r="J38" i="1"/>
  <c r="G38" i="1"/>
  <c r="J214" i="1"/>
  <c r="G214" i="1"/>
  <c r="BO67" i="12"/>
  <c r="BH67" i="12"/>
  <c r="AH67" i="12"/>
  <c r="BS190" i="12"/>
  <c r="BT190" i="12" s="1"/>
  <c r="BQ190" i="12"/>
  <c r="BR190" i="12" s="1"/>
  <c r="AE190" i="12"/>
  <c r="BN190" i="12"/>
  <c r="BL190" i="12"/>
  <c r="AL362" i="12"/>
  <c r="AM362" i="12" s="1"/>
  <c r="AN362" i="12" s="1"/>
  <c r="BG362" i="12"/>
  <c r="AI362" i="12"/>
  <c r="AJ362" i="12" s="1"/>
  <c r="BD362" i="12"/>
  <c r="BE362" i="12" s="1"/>
  <c r="AX362" i="12"/>
  <c r="AU362" i="12"/>
  <c r="AO362" i="12"/>
  <c r="AP362" i="12" s="1"/>
  <c r="AQ362" i="12" s="1"/>
  <c r="BA362" i="12"/>
  <c r="BB362" i="12" s="1"/>
  <c r="AR362" i="12"/>
  <c r="AS362" i="12" s="1"/>
  <c r="AT362" i="12" s="1"/>
  <c r="AZ182" i="12"/>
  <c r="D98" i="1"/>
  <c r="D96" i="12"/>
  <c r="BO117" i="12"/>
  <c r="BH117" i="12"/>
  <c r="BI117" i="12" s="1"/>
  <c r="AH117" i="12"/>
  <c r="J386" i="1"/>
  <c r="G386" i="1"/>
  <c r="D176" i="12"/>
  <c r="AN176" i="12" s="1"/>
  <c r="D178" i="1"/>
  <c r="D31" i="12"/>
  <c r="D33" i="1"/>
  <c r="G293" i="1"/>
  <c r="J293" i="1"/>
  <c r="G13" i="1"/>
  <c r="J13" i="1"/>
  <c r="AF265" i="12"/>
  <c r="BW265" i="12"/>
  <c r="BX265" i="12" s="1"/>
  <c r="AY265" i="12"/>
  <c r="BU265" i="12"/>
  <c r="BV265" i="12" s="1"/>
  <c r="BO137" i="12"/>
  <c r="BH137" i="12"/>
  <c r="BI137" i="12" s="1"/>
  <c r="AH137" i="12"/>
  <c r="BN286" i="12"/>
  <c r="AE286" i="12"/>
  <c r="BS286" i="12"/>
  <c r="BT286" i="12" s="1"/>
  <c r="BQ286" i="12"/>
  <c r="BR286" i="12" s="1"/>
  <c r="BL286" i="12"/>
  <c r="AN155" i="12"/>
  <c r="BW278" i="12"/>
  <c r="BX278" i="12" s="1"/>
  <c r="AY278" i="12"/>
  <c r="AZ278" i="12" s="1"/>
  <c r="BU278" i="12"/>
  <c r="BV278" i="12" s="1"/>
  <c r="AF278" i="12"/>
  <c r="BF90" i="12"/>
  <c r="BN37" i="12"/>
  <c r="AE37" i="12"/>
  <c r="BQ37" i="12"/>
  <c r="BR37" i="12" s="1"/>
  <c r="BL37" i="12"/>
  <c r="BS37" i="12"/>
  <c r="BT37" i="12" s="1"/>
  <c r="D344" i="12"/>
  <c r="D346" i="1"/>
  <c r="BC27" i="12"/>
  <c r="AN173" i="12"/>
  <c r="F40" i="12"/>
  <c r="BU341" i="12"/>
  <c r="BV341" i="12" s="1"/>
  <c r="AF341" i="12"/>
  <c r="AG341" i="12" s="1"/>
  <c r="BW341" i="12"/>
  <c r="BX341" i="12" s="1"/>
  <c r="AY341" i="12"/>
  <c r="E70" i="8"/>
  <c r="C70" i="8" s="1"/>
  <c r="K259" i="8"/>
  <c r="C259" i="8" s="1"/>
  <c r="G238" i="8"/>
  <c r="C238" i="8" s="1"/>
  <c r="AU58" i="12"/>
  <c r="BG58" i="12"/>
  <c r="AO58" i="12"/>
  <c r="AP58" i="12" s="1"/>
  <c r="AQ58" i="12" s="1"/>
  <c r="AI58" i="12"/>
  <c r="AJ58" i="12" s="1"/>
  <c r="AK58" i="12" s="1"/>
  <c r="BD58" i="12"/>
  <c r="BE58" i="12" s="1"/>
  <c r="AX58" i="12"/>
  <c r="BA58" i="12"/>
  <c r="BB58" i="12" s="1"/>
  <c r="AR58" i="12"/>
  <c r="AS58" i="12" s="1"/>
  <c r="AT58" i="12" s="1"/>
  <c r="AL58" i="12"/>
  <c r="AM58" i="12" s="1"/>
  <c r="AN58" i="12" s="1"/>
  <c r="G305" i="1"/>
  <c r="J305" i="1"/>
  <c r="AX61" i="12"/>
  <c r="AL61" i="12"/>
  <c r="AM61" i="12" s="1"/>
  <c r="AN61" i="12" s="1"/>
  <c r="BG61" i="12"/>
  <c r="AI61" i="12"/>
  <c r="AJ61" i="12" s="1"/>
  <c r="AK61" i="12" s="1"/>
  <c r="BD61" i="12"/>
  <c r="BE61" i="12" s="1"/>
  <c r="AR61" i="12"/>
  <c r="AS61" i="12" s="1"/>
  <c r="AT61" i="12" s="1"/>
  <c r="BA61" i="12"/>
  <c r="BB61" i="12" s="1"/>
  <c r="AU61" i="12"/>
  <c r="AO61" i="12"/>
  <c r="AP61" i="12" s="1"/>
  <c r="AQ61" i="12" s="1"/>
  <c r="BQ94" i="12"/>
  <c r="J372" i="12"/>
  <c r="BK372" i="12"/>
  <c r="H374" i="1" s="1"/>
  <c r="Y372" i="12"/>
  <c r="Z372" i="12" s="1"/>
  <c r="H372" i="12"/>
  <c r="O372" i="12"/>
  <c r="P372" i="12" s="1"/>
  <c r="M372" i="12"/>
  <c r="N372" i="12" s="1"/>
  <c r="AA372" i="12"/>
  <c r="AB372" i="12" s="1"/>
  <c r="W372" i="12"/>
  <c r="X372" i="12" s="1"/>
  <c r="Q372" i="12"/>
  <c r="R372" i="12" s="1"/>
  <c r="K372" i="12"/>
  <c r="L372" i="12" s="1"/>
  <c r="I372" i="12"/>
  <c r="AC372" i="12"/>
  <c r="AD372" i="12" s="1"/>
  <c r="U372" i="12"/>
  <c r="V372" i="12" s="1"/>
  <c r="BM372" i="12"/>
  <c r="S372" i="12"/>
  <c r="T372" i="12" s="1"/>
  <c r="G372" i="12"/>
  <c r="W43" i="12"/>
  <c r="X43" i="12" s="1"/>
  <c r="G43" i="12"/>
  <c r="M43" i="12"/>
  <c r="N43" i="12" s="1"/>
  <c r="BM43" i="12"/>
  <c r="K43" i="12"/>
  <c r="L43" i="12" s="1"/>
  <c r="S43" i="12"/>
  <c r="T43" i="12" s="1"/>
  <c r="BK43" i="12"/>
  <c r="O43" i="12"/>
  <c r="P43" i="12" s="1"/>
  <c r="J43" i="12"/>
  <c r="Q43" i="12"/>
  <c r="R43" i="12" s="1"/>
  <c r="U43" i="12"/>
  <c r="V43" i="12" s="1"/>
  <c r="H43" i="12"/>
  <c r="I43" i="12"/>
  <c r="AC43" i="12"/>
  <c r="AD43" i="12" s="1"/>
  <c r="AA43" i="12"/>
  <c r="AB43" i="12" s="1"/>
  <c r="Y43" i="12"/>
  <c r="Z43" i="12" s="1"/>
  <c r="BF96" i="12"/>
  <c r="H112" i="12"/>
  <c r="W112" i="12"/>
  <c r="X112" i="12" s="1"/>
  <c r="G112" i="12"/>
  <c r="O112" i="12"/>
  <c r="P112" i="12" s="1"/>
  <c r="M112" i="12"/>
  <c r="N112" i="12" s="1"/>
  <c r="Y112" i="12"/>
  <c r="Z112" i="12" s="1"/>
  <c r="BK112" i="12"/>
  <c r="K112" i="12"/>
  <c r="L112" i="12" s="1"/>
  <c r="J112" i="12"/>
  <c r="U112" i="12"/>
  <c r="V112" i="12" s="1"/>
  <c r="S112" i="12"/>
  <c r="T112" i="12" s="1"/>
  <c r="AC112" i="12"/>
  <c r="AD112" i="12" s="1"/>
  <c r="BM112" i="12"/>
  <c r="Q112" i="12"/>
  <c r="R112" i="12" s="1"/>
  <c r="F112" i="12"/>
  <c r="AA112" i="12"/>
  <c r="AB112" i="12" s="1"/>
  <c r="I112" i="12"/>
  <c r="BG259" i="12"/>
  <c r="AO259" i="12"/>
  <c r="AP259" i="12" s="1"/>
  <c r="AQ259" i="12" s="1"/>
  <c r="BA259" i="12"/>
  <c r="BB259" i="12" s="1"/>
  <c r="AU259" i="12"/>
  <c r="AI259" i="12"/>
  <c r="AJ259" i="12" s="1"/>
  <c r="AX259" i="12"/>
  <c r="AL259" i="12"/>
  <c r="AM259" i="12" s="1"/>
  <c r="AN259" i="12" s="1"/>
  <c r="BD259" i="12"/>
  <c r="BE259" i="12" s="1"/>
  <c r="AR259" i="12"/>
  <c r="AS259" i="12" s="1"/>
  <c r="AT259" i="12" s="1"/>
  <c r="AQ157" i="12"/>
  <c r="J374" i="12"/>
  <c r="H374" i="12"/>
  <c r="W374" i="12"/>
  <c r="X374" i="12" s="1"/>
  <c r="BK374" i="12"/>
  <c r="S374" i="12"/>
  <c r="T374" i="12" s="1"/>
  <c r="Q374" i="12"/>
  <c r="R374" i="12" s="1"/>
  <c r="O374" i="12"/>
  <c r="P374" i="12" s="1"/>
  <c r="F374" i="12"/>
  <c r="Y374" i="12"/>
  <c r="Z374" i="12" s="1"/>
  <c r="U374" i="12"/>
  <c r="V374" i="12" s="1"/>
  <c r="K374" i="12"/>
  <c r="L374" i="12" s="1"/>
  <c r="I374" i="12"/>
  <c r="G374" i="12"/>
  <c r="AC374" i="12"/>
  <c r="AD374" i="12" s="1"/>
  <c r="AA374" i="12"/>
  <c r="AB374" i="12" s="1"/>
  <c r="M374" i="12"/>
  <c r="N374" i="12" s="1"/>
  <c r="BM374" i="12"/>
  <c r="BS204" i="12"/>
  <c r="BT204" i="12" s="1"/>
  <c r="BQ204" i="12"/>
  <c r="BR204" i="12" s="1"/>
  <c r="BN204" i="12"/>
  <c r="BL204" i="12"/>
  <c r="AE204" i="12"/>
  <c r="AH188" i="12"/>
  <c r="BH188" i="12"/>
  <c r="BI188" i="12" s="1"/>
  <c r="BO188" i="12"/>
  <c r="BB180" i="12"/>
  <c r="AF180" i="12"/>
  <c r="BC172" i="12"/>
  <c r="AH152" i="12"/>
  <c r="BO152" i="12"/>
  <c r="BH152" i="12"/>
  <c r="BI152" i="12" s="1"/>
  <c r="BC128" i="12"/>
  <c r="BC32" i="12"/>
  <c r="C226" i="8"/>
  <c r="D317" i="12"/>
  <c r="AK317" i="12" s="1"/>
  <c r="D319" i="1"/>
  <c r="C270" i="8"/>
  <c r="C289" i="8"/>
  <c r="BC222" i="12"/>
  <c r="C197" i="8"/>
  <c r="BW70" i="12"/>
  <c r="BX70" i="12" s="1"/>
  <c r="BU70" i="12"/>
  <c r="BV70" i="12" s="1"/>
  <c r="AF70" i="12"/>
  <c r="AY70" i="12"/>
  <c r="AH343" i="12"/>
  <c r="BO343" i="12"/>
  <c r="BH343" i="12"/>
  <c r="BI343" i="12" s="1"/>
  <c r="BW199" i="12"/>
  <c r="BX199" i="12" s="1"/>
  <c r="BU199" i="12"/>
  <c r="BV199" i="12" s="1"/>
  <c r="AF199" i="12"/>
  <c r="AG199" i="12" s="1"/>
  <c r="AY199" i="12"/>
  <c r="AZ199" i="12" s="1"/>
  <c r="BF167" i="12"/>
  <c r="BC398" i="12"/>
  <c r="BO369" i="12"/>
  <c r="BH369" i="12"/>
  <c r="BI369" i="12" s="1"/>
  <c r="AH369" i="12"/>
  <c r="BS323" i="12"/>
  <c r="BT323" i="12" s="1"/>
  <c r="AE323" i="12"/>
  <c r="BL323" i="12"/>
  <c r="BN323" i="12"/>
  <c r="BQ323" i="12"/>
  <c r="BR323" i="12" s="1"/>
  <c r="AN290" i="12"/>
  <c r="AE235" i="12"/>
  <c r="BS235" i="12"/>
  <c r="BQ235" i="12"/>
  <c r="BR235" i="12" s="1"/>
  <c r="BL235" i="12"/>
  <c r="BC153" i="12"/>
  <c r="BC287" i="12"/>
  <c r="BC195" i="12"/>
  <c r="BU170" i="12"/>
  <c r="BV170" i="12" s="1"/>
  <c r="BW170" i="12"/>
  <c r="BX170" i="12" s="1"/>
  <c r="AF170" i="12"/>
  <c r="AG170" i="12" s="1"/>
  <c r="AY170" i="12"/>
  <c r="AZ170" i="12" s="1"/>
  <c r="BO139" i="12"/>
  <c r="BH139" i="12"/>
  <c r="BI139" i="12" s="1"/>
  <c r="AH139" i="12"/>
  <c r="BQ122" i="12"/>
  <c r="BR122" i="12" s="1"/>
  <c r="BN122" i="12"/>
  <c r="BL122" i="12"/>
  <c r="BS122" i="12"/>
  <c r="BT122" i="12" s="1"/>
  <c r="AE122" i="12"/>
  <c r="BH78" i="12"/>
  <c r="BI78" i="12" s="1"/>
  <c r="BO78" i="12"/>
  <c r="AH78" i="12"/>
  <c r="D198" i="12"/>
  <c r="D200" i="1"/>
  <c r="AN167" i="12"/>
  <c r="BI101" i="12"/>
  <c r="AH399" i="12"/>
  <c r="BH399" i="12"/>
  <c r="BI399" i="12" s="1"/>
  <c r="BO399" i="12"/>
  <c r="BN330" i="12"/>
  <c r="BL330" i="12"/>
  <c r="BS330" i="12"/>
  <c r="BT330" i="12" s="1"/>
  <c r="BQ330" i="12"/>
  <c r="BR330" i="12" s="1"/>
  <c r="AE330" i="12"/>
  <c r="BU307" i="12"/>
  <c r="BV307" i="12" s="1"/>
  <c r="AF307" i="12"/>
  <c r="AG307" i="12" s="1"/>
  <c r="AY307" i="12"/>
  <c r="AZ307" i="12" s="1"/>
  <c r="BW307" i="12"/>
  <c r="BX307" i="12" s="1"/>
  <c r="BF233" i="12"/>
  <c r="BN97" i="12"/>
  <c r="BS97" i="12"/>
  <c r="BT97" i="12" s="1"/>
  <c r="BQ97" i="12"/>
  <c r="BR97" i="12" s="1"/>
  <c r="BL97" i="12"/>
  <c r="AE97" i="12"/>
  <c r="BW366" i="12"/>
  <c r="BX366" i="12" s="1"/>
  <c r="AY366" i="12"/>
  <c r="BU366" i="12"/>
  <c r="BV366" i="12" s="1"/>
  <c r="AF366" i="12"/>
  <c r="BS353" i="12"/>
  <c r="BT353" i="12" s="1"/>
  <c r="BQ353" i="12"/>
  <c r="BR353" i="12" s="1"/>
  <c r="BN353" i="12"/>
  <c r="BL353" i="12"/>
  <c r="AE353" i="12"/>
  <c r="BS317" i="12"/>
  <c r="BT317" i="12" s="1"/>
  <c r="BN317" i="12"/>
  <c r="BL317" i="12"/>
  <c r="BQ317" i="12"/>
  <c r="BR317" i="12" s="1"/>
  <c r="AE317" i="12"/>
  <c r="D8" i="12"/>
  <c r="D10" i="1"/>
  <c r="BC373" i="12"/>
  <c r="BH253" i="12"/>
  <c r="AH253" i="12"/>
  <c r="BO253" i="12"/>
  <c r="BC100" i="12"/>
  <c r="D149" i="12"/>
  <c r="D151" i="1"/>
  <c r="D181" i="12"/>
  <c r="D183" i="1"/>
  <c r="BH243" i="12"/>
  <c r="AH243" i="12"/>
  <c r="BO243" i="12"/>
  <c r="AY143" i="12"/>
  <c r="AF143" i="12"/>
  <c r="BU143" i="12"/>
  <c r="BV143" i="12" s="1"/>
  <c r="BW143" i="12"/>
  <c r="BX143" i="12" s="1"/>
  <c r="AK109" i="12"/>
  <c r="BO365" i="12"/>
  <c r="AH365" i="12"/>
  <c r="BH365" i="12"/>
  <c r="BI365" i="12" s="1"/>
  <c r="BF345" i="12"/>
  <c r="BC293" i="12"/>
  <c r="BF354" i="12"/>
  <c r="BS224" i="12"/>
  <c r="BT224" i="12" s="1"/>
  <c r="BL224" i="12"/>
  <c r="AE224" i="12"/>
  <c r="BQ224" i="12"/>
  <c r="BR224" i="12" s="1"/>
  <c r="BN224" i="12"/>
  <c r="D388" i="12"/>
  <c r="D390" i="1"/>
  <c r="BH183" i="12"/>
  <c r="BI183" i="12" s="1"/>
  <c r="BO183" i="12"/>
  <c r="AH183" i="12"/>
  <c r="AY269" i="12"/>
  <c r="BU269" i="12"/>
  <c r="BV269" i="12" s="1"/>
  <c r="BW269" i="12"/>
  <c r="AF269" i="12"/>
  <c r="BC329" i="12"/>
  <c r="BW261" i="12"/>
  <c r="BX261" i="12" s="1"/>
  <c r="AF261" i="12"/>
  <c r="BU261" i="12"/>
  <c r="BV261" i="12" s="1"/>
  <c r="AY261" i="12"/>
  <c r="AF221" i="12"/>
  <c r="BW221" i="12"/>
  <c r="BX221" i="12" s="1"/>
  <c r="BU221" i="12"/>
  <c r="BV221" i="12" s="1"/>
  <c r="AY221" i="12"/>
  <c r="BC185" i="12"/>
  <c r="AF375" i="12"/>
  <c r="AG375" i="12" s="1"/>
  <c r="BU375" i="12"/>
  <c r="BV375" i="12" s="1"/>
  <c r="AY375" i="12"/>
  <c r="AZ375" i="12" s="1"/>
  <c r="BW375" i="12"/>
  <c r="BX375" i="12" s="1"/>
  <c r="AN358" i="12"/>
  <c r="AK302" i="12"/>
  <c r="BO7" i="12"/>
  <c r="BH7" i="12"/>
  <c r="BI7" i="12" s="1"/>
  <c r="AH7" i="12"/>
  <c r="BC169" i="12"/>
  <c r="I425" i="3"/>
  <c r="C425" i="3" s="1"/>
  <c r="D75" i="12"/>
  <c r="BI75" i="12" s="1"/>
  <c r="D77" i="1"/>
  <c r="Q115" i="12"/>
  <c r="R115" i="12" s="1"/>
  <c r="O115" i="12"/>
  <c r="P115" i="12" s="1"/>
  <c r="Y115" i="12"/>
  <c r="Z115" i="12" s="1"/>
  <c r="F115" i="12"/>
  <c r="BM115" i="12"/>
  <c r="W115" i="12"/>
  <c r="X115" i="12" s="1"/>
  <c r="M115" i="12"/>
  <c r="N115" i="12" s="1"/>
  <c r="BK115" i="12"/>
  <c r="H117" i="1" s="1"/>
  <c r="K115" i="12"/>
  <c r="L115" i="12" s="1"/>
  <c r="J115" i="12"/>
  <c r="I115" i="12"/>
  <c r="AC115" i="12"/>
  <c r="AD115" i="12" s="1"/>
  <c r="U115" i="12"/>
  <c r="V115" i="12" s="1"/>
  <c r="S115" i="12"/>
  <c r="T115" i="12" s="1"/>
  <c r="H115" i="12"/>
  <c r="G115" i="12"/>
  <c r="AA115" i="12"/>
  <c r="AB115" i="12" s="1"/>
  <c r="AZ3" i="12"/>
  <c r="BN114" i="12"/>
  <c r="AE114" i="12"/>
  <c r="BQ114" i="12"/>
  <c r="BR114" i="12" s="1"/>
  <c r="BL114" i="12"/>
  <c r="BS114" i="12"/>
  <c r="BT114" i="12" s="1"/>
  <c r="C244" i="8"/>
  <c r="D213" i="12"/>
  <c r="D215" i="1"/>
  <c r="BQ349" i="12"/>
  <c r="BR349" i="12" s="1"/>
  <c r="S212" i="12"/>
  <c r="T212" i="12" s="1"/>
  <c r="I212" i="12"/>
  <c r="AA212" i="12"/>
  <c r="AB212" i="12" s="1"/>
  <c r="H212" i="12"/>
  <c r="G212" i="12"/>
  <c r="M212" i="12"/>
  <c r="N212" i="12" s="1"/>
  <c r="BM212" i="12"/>
  <c r="K212" i="12"/>
  <c r="L212" i="12" s="1"/>
  <c r="J212" i="12"/>
  <c r="Q212" i="12"/>
  <c r="R212" i="12" s="1"/>
  <c r="AC212" i="12"/>
  <c r="AD212" i="12" s="1"/>
  <c r="Y212" i="12"/>
  <c r="Z212" i="12" s="1"/>
  <c r="W212" i="12"/>
  <c r="X212" i="12" s="1"/>
  <c r="BK212" i="12"/>
  <c r="H214" i="1" s="1"/>
  <c r="O212" i="12"/>
  <c r="P212" i="12" s="1"/>
  <c r="U212" i="12"/>
  <c r="V212" i="12" s="1"/>
  <c r="AY190" i="12"/>
  <c r="AZ190" i="12" s="1"/>
  <c r="BU190" i="12"/>
  <c r="BV190" i="12" s="1"/>
  <c r="AF190" i="12"/>
  <c r="AG190" i="12" s="1"/>
  <c r="BW190" i="12"/>
  <c r="BX190" i="12" s="1"/>
  <c r="AU23" i="12"/>
  <c r="AO23" i="12"/>
  <c r="AP23" i="12" s="1"/>
  <c r="AQ23" i="12" s="1"/>
  <c r="AX23" i="12"/>
  <c r="BD23" i="12"/>
  <c r="BE23" i="12" s="1"/>
  <c r="BA23" i="12"/>
  <c r="BB23" i="12" s="1"/>
  <c r="AR23" i="12"/>
  <c r="AS23" i="12" s="1"/>
  <c r="AT23" i="12" s="1"/>
  <c r="AL23" i="12"/>
  <c r="AM23" i="12" s="1"/>
  <c r="AN23" i="12" s="1"/>
  <c r="AI23" i="12"/>
  <c r="AJ23" i="12" s="1"/>
  <c r="AK23" i="12" s="1"/>
  <c r="BG23" i="12"/>
  <c r="AH194" i="12"/>
  <c r="BH194" i="12"/>
  <c r="BO194" i="12"/>
  <c r="G37" i="1"/>
  <c r="J37" i="1"/>
  <c r="BF203" i="12"/>
  <c r="BN117" i="12"/>
  <c r="AE117" i="12"/>
  <c r="BL117" i="12"/>
  <c r="BS117" i="12"/>
  <c r="BT117" i="12" s="1"/>
  <c r="BQ117" i="12"/>
  <c r="BR117" i="12" s="1"/>
  <c r="J384" i="12"/>
  <c r="O384" i="12"/>
  <c r="P384" i="12" s="1"/>
  <c r="M384" i="12"/>
  <c r="N384" i="12" s="1"/>
  <c r="BM384" i="12"/>
  <c r="BK384" i="12"/>
  <c r="H386" i="1" s="1"/>
  <c r="S384" i="12"/>
  <c r="T384" i="12" s="1"/>
  <c r="U384" i="12"/>
  <c r="V384" i="12" s="1"/>
  <c r="Q384" i="12"/>
  <c r="R384" i="12" s="1"/>
  <c r="K384" i="12"/>
  <c r="L384" i="12" s="1"/>
  <c r="I384" i="12"/>
  <c r="H384" i="12"/>
  <c r="AC384" i="12"/>
  <c r="AD384" i="12" s="1"/>
  <c r="AA384" i="12"/>
  <c r="AB384" i="12" s="1"/>
  <c r="Y384" i="12"/>
  <c r="Z384" i="12" s="1"/>
  <c r="W384" i="12"/>
  <c r="X384" i="12" s="1"/>
  <c r="G384" i="12"/>
  <c r="W291" i="12"/>
  <c r="X291" i="12" s="1"/>
  <c r="G291" i="12"/>
  <c r="Y291" i="12"/>
  <c r="Z291" i="12" s="1"/>
  <c r="H291" i="12"/>
  <c r="BK291" i="12"/>
  <c r="O291" i="12"/>
  <c r="P291" i="12" s="1"/>
  <c r="M291" i="12"/>
  <c r="N291" i="12" s="1"/>
  <c r="K291" i="12"/>
  <c r="L291" i="12" s="1"/>
  <c r="J291" i="12"/>
  <c r="I291" i="12"/>
  <c r="S291" i="12"/>
  <c r="T291" i="12" s="1"/>
  <c r="U291" i="12"/>
  <c r="V291" i="12" s="1"/>
  <c r="Q291" i="12"/>
  <c r="R291" i="12" s="1"/>
  <c r="AC291" i="12"/>
  <c r="AD291" i="12" s="1"/>
  <c r="BM291" i="12"/>
  <c r="AA291" i="12"/>
  <c r="AB291" i="12" s="1"/>
  <c r="AA11" i="12"/>
  <c r="AB11" i="12" s="1"/>
  <c r="K11" i="12"/>
  <c r="L11" i="12" s="1"/>
  <c r="Q11" i="12"/>
  <c r="R11" i="12" s="1"/>
  <c r="O11" i="12"/>
  <c r="P11" i="12" s="1"/>
  <c r="BK11" i="12"/>
  <c r="S11" i="12"/>
  <c r="T11" i="12" s="1"/>
  <c r="U11" i="12"/>
  <c r="V11" i="12" s="1"/>
  <c r="Y11" i="12"/>
  <c r="Z11" i="12" s="1"/>
  <c r="W11" i="12"/>
  <c r="X11" i="12" s="1"/>
  <c r="I11" i="12"/>
  <c r="H11" i="12"/>
  <c r="G11" i="12"/>
  <c r="F11" i="12"/>
  <c r="J11" i="12"/>
  <c r="AC11" i="12"/>
  <c r="AD11" i="12" s="1"/>
  <c r="BM11" i="12"/>
  <c r="M11" i="12"/>
  <c r="N11" i="12" s="1"/>
  <c r="AK137" i="12"/>
  <c r="BW27" i="12"/>
  <c r="BX27" i="12" s="1"/>
  <c r="AY27" i="12"/>
  <c r="AZ27" i="12" s="1"/>
  <c r="AF27" i="12"/>
  <c r="AG27" i="12" s="1"/>
  <c r="BU27" i="12"/>
  <c r="BV27" i="12" s="1"/>
  <c r="BO334" i="12"/>
  <c r="AH334" i="12"/>
  <c r="BH334" i="12"/>
  <c r="D274" i="12"/>
  <c r="BF274" i="12" s="1"/>
  <c r="D276" i="1"/>
  <c r="BO230" i="12"/>
  <c r="BH230" i="12"/>
  <c r="AH230" i="12"/>
  <c r="BH155" i="12"/>
  <c r="BI155" i="12" s="1"/>
  <c r="BO155" i="12"/>
  <c r="AH155" i="12"/>
  <c r="BS278" i="12"/>
  <c r="BT278" i="12" s="1"/>
  <c r="BQ278" i="12"/>
  <c r="BR278" i="12" s="1"/>
  <c r="BN278" i="12"/>
  <c r="BL278" i="12"/>
  <c r="AE278" i="12"/>
  <c r="BW90" i="12"/>
  <c r="BX90" i="12" s="1"/>
  <c r="AY90" i="12"/>
  <c r="AZ90" i="12" s="1"/>
  <c r="AF90" i="12"/>
  <c r="AG90" i="12" s="1"/>
  <c r="BU90" i="12"/>
  <c r="BV90" i="12" s="1"/>
  <c r="AN48" i="12"/>
  <c r="BW37" i="12"/>
  <c r="BX37" i="12" s="1"/>
  <c r="AY37" i="12"/>
  <c r="BU37" i="12"/>
  <c r="BV37" i="12" s="1"/>
  <c r="AF37" i="12"/>
  <c r="D304" i="12"/>
  <c r="D306" i="1"/>
  <c r="BO27" i="12"/>
  <c r="BH27" i="12"/>
  <c r="BI27" i="12" s="1"/>
  <c r="AH27" i="12"/>
  <c r="BS197" i="12"/>
  <c r="BT197" i="12" s="1"/>
  <c r="BQ197" i="12"/>
  <c r="BR197" i="12" s="1"/>
  <c r="AE197" i="12"/>
  <c r="BN197" i="12"/>
  <c r="BL197" i="12"/>
  <c r="BC173" i="12"/>
  <c r="BF6" i="12"/>
  <c r="BW130" i="12"/>
  <c r="BX130" i="12" s="1"/>
  <c r="BU130" i="12"/>
  <c r="BV130" i="12" s="1"/>
  <c r="AY130" i="12"/>
  <c r="AF130" i="12"/>
  <c r="AF25" i="12"/>
  <c r="AG25" i="12" s="1"/>
  <c r="BC379" i="12"/>
  <c r="BD393" i="12"/>
  <c r="BE393" i="12" s="1"/>
  <c r="BF393" i="12" s="1"/>
  <c r="AL393" i="12"/>
  <c r="AM393" i="12" s="1"/>
  <c r="AN393" i="12" s="1"/>
  <c r="BA393" i="12"/>
  <c r="BB393" i="12" s="1"/>
  <c r="BC393" i="12" s="1"/>
  <c r="AI393" i="12"/>
  <c r="AJ393" i="12" s="1"/>
  <c r="AK393" i="12" s="1"/>
  <c r="AX393" i="12"/>
  <c r="AU393" i="12"/>
  <c r="AO393" i="12"/>
  <c r="AP393" i="12" s="1"/>
  <c r="AQ393" i="12" s="1"/>
  <c r="AR393" i="12"/>
  <c r="AS393" i="12" s="1"/>
  <c r="AT393" i="12" s="1"/>
  <c r="BG393" i="12"/>
  <c r="BC341" i="12"/>
  <c r="O52" i="12"/>
  <c r="P52" i="12" s="1"/>
  <c r="M52" i="12"/>
  <c r="N52" i="12" s="1"/>
  <c r="BM52" i="12"/>
  <c r="K52" i="12"/>
  <c r="L52" i="12" s="1"/>
  <c r="AC52" i="12"/>
  <c r="AD52" i="12" s="1"/>
  <c r="I52" i="12"/>
  <c r="AA52" i="12"/>
  <c r="AB52" i="12" s="1"/>
  <c r="H52" i="12"/>
  <c r="Y52" i="12"/>
  <c r="Z52" i="12" s="1"/>
  <c r="W52" i="12"/>
  <c r="X52" i="12" s="1"/>
  <c r="BK52" i="12"/>
  <c r="H54" i="1" s="1"/>
  <c r="U52" i="12"/>
  <c r="V52" i="12" s="1"/>
  <c r="S52" i="12"/>
  <c r="T52" i="12" s="1"/>
  <c r="Q52" i="12"/>
  <c r="R52" i="12" s="1"/>
  <c r="J52" i="12"/>
  <c r="G52" i="12"/>
  <c r="BF34" i="12"/>
  <c r="W303" i="12"/>
  <c r="X303" i="12" s="1"/>
  <c r="O303" i="12"/>
  <c r="P303" i="12" s="1"/>
  <c r="G303" i="12"/>
  <c r="AA303" i="12"/>
  <c r="AB303" i="12" s="1"/>
  <c r="Y303" i="12"/>
  <c r="Z303" i="12" s="1"/>
  <c r="BM303" i="12"/>
  <c r="AC303" i="12"/>
  <c r="AD303" i="12" s="1"/>
  <c r="U303" i="12"/>
  <c r="V303" i="12" s="1"/>
  <c r="BK303" i="12"/>
  <c r="H305" i="1" s="1"/>
  <c r="S303" i="12"/>
  <c r="T303" i="12" s="1"/>
  <c r="K303" i="12"/>
  <c r="L303" i="12" s="1"/>
  <c r="M303" i="12"/>
  <c r="N303" i="12" s="1"/>
  <c r="J303" i="12"/>
  <c r="I303" i="12"/>
  <c r="Q303" i="12"/>
  <c r="R303" i="12" s="1"/>
  <c r="H303" i="12"/>
  <c r="AX121" i="12"/>
  <c r="AU121" i="12"/>
  <c r="AO121" i="12"/>
  <c r="AP121" i="12" s="1"/>
  <c r="AQ121" i="12" s="1"/>
  <c r="AL121" i="12"/>
  <c r="AM121" i="12" s="1"/>
  <c r="AN121" i="12" s="1"/>
  <c r="AI121" i="12"/>
  <c r="AJ121" i="12" s="1"/>
  <c r="AK121" i="12" s="1"/>
  <c r="BA121" i="12"/>
  <c r="BB121" i="12" s="1"/>
  <c r="BC121" i="12" s="1"/>
  <c r="AR121" i="12"/>
  <c r="AS121" i="12" s="1"/>
  <c r="AT121" i="12" s="1"/>
  <c r="BG121" i="12"/>
  <c r="BD121" i="12"/>
  <c r="BE121" i="12" s="1"/>
  <c r="BF121" i="12" s="1"/>
  <c r="D22" i="12"/>
  <c r="BC22" i="12" s="1"/>
  <c r="D24" i="1"/>
  <c r="BO108" i="12"/>
  <c r="AH108" i="12"/>
  <c r="BH108" i="12"/>
  <c r="BI108" i="12" s="1"/>
  <c r="BW96" i="12"/>
  <c r="BX96" i="12" s="1"/>
  <c r="AF96" i="12"/>
  <c r="AG96" i="12" s="1"/>
  <c r="AY96" i="12"/>
  <c r="AZ96" i="12" s="1"/>
  <c r="BU96" i="12"/>
  <c r="BV96" i="12" s="1"/>
  <c r="AR13" i="12"/>
  <c r="AS13" i="12" s="1"/>
  <c r="AT13" i="12" s="1"/>
  <c r="AO13" i="12"/>
  <c r="AP13" i="12" s="1"/>
  <c r="AQ13" i="12" s="1"/>
  <c r="BG13" i="12"/>
  <c r="BA13" i="12"/>
  <c r="BB13" i="12" s="1"/>
  <c r="BC13" i="12" s="1"/>
  <c r="AU13" i="12"/>
  <c r="AX13" i="12"/>
  <c r="AI13" i="12"/>
  <c r="AJ13" i="12" s="1"/>
  <c r="AK13" i="12" s="1"/>
  <c r="BD13" i="12"/>
  <c r="BE13" i="12" s="1"/>
  <c r="BF13" i="12" s="1"/>
  <c r="AL13" i="12"/>
  <c r="AM13" i="12" s="1"/>
  <c r="AN13" i="12" s="1"/>
  <c r="J56" i="1"/>
  <c r="G56" i="1"/>
  <c r="BH157" i="12"/>
  <c r="BI157" i="12" s="1"/>
  <c r="AH157" i="12"/>
  <c r="BO157" i="12"/>
  <c r="D338" i="12"/>
  <c r="D340" i="1"/>
  <c r="AA13" i="12"/>
  <c r="AB13" i="12" s="1"/>
  <c r="K13" i="12"/>
  <c r="L13" i="12" s="1"/>
  <c r="I13" i="12"/>
  <c r="G13" i="12"/>
  <c r="W13" i="12"/>
  <c r="X13" i="12" s="1"/>
  <c r="S13" i="12"/>
  <c r="T13" i="12" s="1"/>
  <c r="AC13" i="12"/>
  <c r="AD13" i="12" s="1"/>
  <c r="Q13" i="12"/>
  <c r="R13" i="12" s="1"/>
  <c r="Y13" i="12"/>
  <c r="Z13" i="12" s="1"/>
  <c r="U13" i="12"/>
  <c r="V13" i="12" s="1"/>
  <c r="BM13" i="12"/>
  <c r="M13" i="12"/>
  <c r="N13" i="12" s="1"/>
  <c r="BK13" i="12"/>
  <c r="O13" i="12"/>
  <c r="P13" i="12" s="1"/>
  <c r="J13" i="12"/>
  <c r="H13" i="12"/>
  <c r="BL350" i="12"/>
  <c r="AE350" i="12"/>
  <c r="BS350" i="12"/>
  <c r="BT350" i="12" s="1"/>
  <c r="BQ350" i="12"/>
  <c r="BR350" i="12" s="1"/>
  <c r="BN350" i="12"/>
  <c r="BF390" i="12"/>
  <c r="AK365" i="12"/>
  <c r="D340" i="12"/>
  <c r="D342" i="1"/>
  <c r="BO45" i="12"/>
  <c r="AH45" i="12"/>
  <c r="BH45" i="12"/>
  <c r="BD5" i="12"/>
  <c r="BA5" i="12"/>
  <c r="BB5" i="12" s="1"/>
  <c r="BC5" i="12" s="1"/>
  <c r="AI5" i="12"/>
  <c r="AJ5" i="12" s="1"/>
  <c r="AK5" i="12" s="1"/>
  <c r="BG5" i="12"/>
  <c r="AL5" i="12"/>
  <c r="AX5" i="12"/>
  <c r="AX409" i="12" s="1"/>
  <c r="AO5" i="12"/>
  <c r="AP5" i="12" s="1"/>
  <c r="AQ5" i="12" s="1"/>
  <c r="AU5" i="12"/>
  <c r="AR5" i="12"/>
  <c r="AS5" i="12" s="1"/>
  <c r="AT5" i="12" s="1"/>
  <c r="BO354" i="12"/>
  <c r="AH354" i="12"/>
  <c r="BH354" i="12"/>
  <c r="BI354" i="12" s="1"/>
  <c r="BW224" i="12"/>
  <c r="BX224" i="12" s="1"/>
  <c r="BU224" i="12"/>
  <c r="BV224" i="12" s="1"/>
  <c r="AY224" i="12"/>
  <c r="AZ224" i="12" s="1"/>
  <c r="AF224" i="12"/>
  <c r="AG224" i="12" s="1"/>
  <c r="BW180" i="12"/>
  <c r="BX180" i="12" s="1"/>
  <c r="BN301" i="12"/>
  <c r="BL301" i="12"/>
  <c r="BS301" i="12"/>
  <c r="BT301" i="12" s="1"/>
  <c r="BQ301" i="12"/>
  <c r="BR301" i="12" s="1"/>
  <c r="AE301" i="12"/>
  <c r="BO79" i="12"/>
  <c r="BH79" i="12"/>
  <c r="AH79" i="12"/>
  <c r="BC76" i="12"/>
  <c r="BS329" i="12"/>
  <c r="BT329" i="12" s="1"/>
  <c r="BN329" i="12"/>
  <c r="BL329" i="12"/>
  <c r="AE329" i="12"/>
  <c r="BQ329" i="12"/>
  <c r="BR329" i="12" s="1"/>
  <c r="D182" i="12"/>
  <c r="D184" i="1"/>
  <c r="BN231" i="12"/>
  <c r="AE231" i="12"/>
  <c r="BL231" i="12"/>
  <c r="BS231" i="12"/>
  <c r="BT231" i="12" s="1"/>
  <c r="BQ231" i="12"/>
  <c r="BR231" i="12" s="1"/>
  <c r="BF358" i="12"/>
  <c r="AK232" i="12"/>
  <c r="BC295" i="12"/>
  <c r="BF215" i="12"/>
  <c r="BH169" i="12"/>
  <c r="BI169" i="12" s="1"/>
  <c r="BO169" i="12"/>
  <c r="AH169" i="12"/>
  <c r="BM38" i="12"/>
  <c r="H38" i="12"/>
  <c r="Y38" i="12"/>
  <c r="Z38" i="12" s="1"/>
  <c r="G38" i="12"/>
  <c r="O38" i="12"/>
  <c r="P38" i="12" s="1"/>
  <c r="M38" i="12"/>
  <c r="N38" i="12" s="1"/>
  <c r="S38" i="12"/>
  <c r="T38" i="12" s="1"/>
  <c r="Q38" i="12"/>
  <c r="R38" i="12" s="1"/>
  <c r="BK38" i="12"/>
  <c r="H40" i="1" s="1"/>
  <c r="AC38" i="12"/>
  <c r="AD38" i="12" s="1"/>
  <c r="AA38" i="12"/>
  <c r="AB38" i="12" s="1"/>
  <c r="W38" i="12"/>
  <c r="X38" i="12" s="1"/>
  <c r="U38" i="12"/>
  <c r="V38" i="12" s="1"/>
  <c r="K38" i="12"/>
  <c r="L38" i="12" s="1"/>
  <c r="J38" i="12"/>
  <c r="I38" i="12"/>
  <c r="F38" i="12"/>
  <c r="G22" i="1"/>
  <c r="J22" i="1"/>
  <c r="D102" i="12"/>
  <c r="D104" i="1"/>
  <c r="D108" i="1"/>
  <c r="D106" i="12"/>
  <c r="D217" i="12"/>
  <c r="BC217" i="12" s="1"/>
  <c r="D219" i="1"/>
  <c r="AR279" i="12"/>
  <c r="AS279" i="12" s="1"/>
  <c r="AT279" i="12" s="1"/>
  <c r="AL279" i="12"/>
  <c r="AM279" i="12" s="1"/>
  <c r="AN279" i="12" s="1"/>
  <c r="BD279" i="12"/>
  <c r="BE279" i="12" s="1"/>
  <c r="BF279" i="12" s="1"/>
  <c r="AI279" i="12"/>
  <c r="AJ279" i="12" s="1"/>
  <c r="AK279" i="12" s="1"/>
  <c r="BG279" i="12"/>
  <c r="BA279" i="12"/>
  <c r="BB279" i="12" s="1"/>
  <c r="BC279" i="12" s="1"/>
  <c r="AX279" i="12"/>
  <c r="AU279" i="12"/>
  <c r="AO279" i="12"/>
  <c r="AP279" i="12" s="1"/>
  <c r="AQ279" i="12" s="1"/>
  <c r="M267" i="8"/>
  <c r="E82" i="8"/>
  <c r="C82" i="8" s="1"/>
  <c r="I244" i="8"/>
  <c r="BC29" i="12"/>
  <c r="AE67" i="12"/>
  <c r="BQ67" i="12"/>
  <c r="BS67" i="12"/>
  <c r="BT67" i="12" s="1"/>
  <c r="BL67" i="12"/>
  <c r="AI371" i="12"/>
  <c r="AJ371" i="12" s="1"/>
  <c r="AK371" i="12" s="1"/>
  <c r="BA371" i="12"/>
  <c r="BB371" i="12" s="1"/>
  <c r="BC371" i="12" s="1"/>
  <c r="BD371" i="12"/>
  <c r="BE371" i="12" s="1"/>
  <c r="BF371" i="12" s="1"/>
  <c r="AR371" i="12"/>
  <c r="AS371" i="12" s="1"/>
  <c r="AT371" i="12" s="1"/>
  <c r="AL371" i="12"/>
  <c r="AM371" i="12" s="1"/>
  <c r="AN371" i="12" s="1"/>
  <c r="BG371" i="12"/>
  <c r="AO371" i="12"/>
  <c r="AP371" i="12" s="1"/>
  <c r="AQ371" i="12" s="1"/>
  <c r="AX371" i="12"/>
  <c r="AU371" i="12"/>
  <c r="AK190" i="12"/>
  <c r="D18" i="12"/>
  <c r="D20" i="1"/>
  <c r="BW382" i="12"/>
  <c r="BX382" i="12" s="1"/>
  <c r="AY382" i="12"/>
  <c r="AZ382" i="12" s="1"/>
  <c r="AF382" i="12"/>
  <c r="AG382" i="12" s="1"/>
  <c r="BU382" i="12"/>
  <c r="AQ50" i="12"/>
  <c r="H35" i="12"/>
  <c r="S35" i="12"/>
  <c r="T35" i="12" s="1"/>
  <c r="Q35" i="12"/>
  <c r="R35" i="12" s="1"/>
  <c r="O35" i="12"/>
  <c r="P35" i="12" s="1"/>
  <c r="U35" i="12"/>
  <c r="V35" i="12" s="1"/>
  <c r="Y35" i="12"/>
  <c r="Z35" i="12" s="1"/>
  <c r="BK35" i="12"/>
  <c r="AC35" i="12"/>
  <c r="AD35" i="12" s="1"/>
  <c r="AA35" i="12"/>
  <c r="AB35" i="12" s="1"/>
  <c r="K35" i="12"/>
  <c r="L35" i="12" s="1"/>
  <c r="BM35" i="12"/>
  <c r="M35" i="12"/>
  <c r="N35" i="12" s="1"/>
  <c r="J35" i="12"/>
  <c r="I35" i="12"/>
  <c r="G35" i="12"/>
  <c r="W35" i="12"/>
  <c r="X35" i="12" s="1"/>
  <c r="AK203" i="12"/>
  <c r="AY117" i="12"/>
  <c r="AZ117" i="12" s="1"/>
  <c r="AF117" i="12"/>
  <c r="AG117" i="12" s="1"/>
  <c r="BU117" i="12"/>
  <c r="BV117" i="12" s="1"/>
  <c r="BW117" i="12"/>
  <c r="BX117" i="12" s="1"/>
  <c r="D343" i="12"/>
  <c r="BF343" i="12" s="1"/>
  <c r="D345" i="1"/>
  <c r="BQ28" i="12"/>
  <c r="BR28" i="12" s="1"/>
  <c r="D91" i="12"/>
  <c r="D93" i="1"/>
  <c r="BQ265" i="12"/>
  <c r="BR265" i="12" s="1"/>
  <c r="BL265" i="12"/>
  <c r="AE265" i="12"/>
  <c r="BS265" i="12"/>
  <c r="AY334" i="12"/>
  <c r="AF334" i="12"/>
  <c r="BW334" i="12"/>
  <c r="BU334" i="12"/>
  <c r="BV334" i="12" s="1"/>
  <c r="C265" i="8"/>
  <c r="D47" i="12"/>
  <c r="D49" i="1"/>
  <c r="F63" i="9" a="1"/>
  <c r="F63" i="9" s="1"/>
  <c r="C300" i="8"/>
  <c r="BF27" i="12"/>
  <c r="BH173" i="12"/>
  <c r="BI173" i="12" s="1"/>
  <c r="BO173" i="12"/>
  <c r="AH173" i="12"/>
  <c r="BW25" i="12"/>
  <c r="BX25" i="12" s="1"/>
  <c r="D89" i="12"/>
  <c r="D91" i="1"/>
  <c r="AN34" i="12"/>
  <c r="AA17" i="12"/>
  <c r="AB17" i="12" s="1"/>
  <c r="K17" i="12"/>
  <c r="L17" i="12" s="1"/>
  <c r="AC17" i="12"/>
  <c r="AD17" i="12" s="1"/>
  <c r="I17" i="12"/>
  <c r="BK17" i="12"/>
  <c r="Y17" i="12"/>
  <c r="Z17" i="12" s="1"/>
  <c r="H17" i="12"/>
  <c r="W17" i="12"/>
  <c r="X17" i="12" s="1"/>
  <c r="S17" i="12"/>
  <c r="T17" i="12" s="1"/>
  <c r="Q17" i="12"/>
  <c r="R17" i="12" s="1"/>
  <c r="O17" i="12"/>
  <c r="P17" i="12" s="1"/>
  <c r="M17" i="12"/>
  <c r="N17" i="12" s="1"/>
  <c r="BM17" i="12"/>
  <c r="U17" i="12"/>
  <c r="V17" i="12" s="1"/>
  <c r="J17" i="12"/>
  <c r="G17" i="12"/>
  <c r="G161" i="1"/>
  <c r="J161" i="1"/>
  <c r="D87" i="12"/>
  <c r="BF87" i="12" s="1"/>
  <c r="D89" i="1"/>
  <c r="BG118" i="12"/>
  <c r="AO118" i="12"/>
  <c r="AP118" i="12" s="1"/>
  <c r="AQ118" i="12" s="1"/>
  <c r="AR118" i="12"/>
  <c r="AS118" i="12" s="1"/>
  <c r="AT118" i="12" s="1"/>
  <c r="AI118" i="12"/>
  <c r="AJ118" i="12" s="1"/>
  <c r="AX118" i="12"/>
  <c r="BA118" i="12"/>
  <c r="BB118" i="12" s="1"/>
  <c r="AU118" i="12"/>
  <c r="BD118" i="12"/>
  <c r="BE118" i="12" s="1"/>
  <c r="AL118" i="12"/>
  <c r="AM118" i="12" s="1"/>
  <c r="AN118" i="12" s="1"/>
  <c r="BS94" i="12"/>
  <c r="BT94" i="12" s="1"/>
  <c r="J130" i="1"/>
  <c r="G130" i="1"/>
  <c r="BF108" i="12"/>
  <c r="J378" i="1"/>
  <c r="G378" i="1"/>
  <c r="D76" i="12"/>
  <c r="D78" i="1"/>
  <c r="AK157" i="12"/>
  <c r="J15" i="1"/>
  <c r="G15" i="1"/>
  <c r="D237" i="12" l="1"/>
  <c r="D239" i="1"/>
  <c r="D254" i="12"/>
  <c r="D256" i="1"/>
  <c r="D260" i="1"/>
  <c r="D258" i="12"/>
  <c r="AH5" i="12"/>
  <c r="BH5" i="12"/>
  <c r="BO5" i="12"/>
  <c r="BO409" i="12" s="1"/>
  <c r="BG409" i="12"/>
  <c r="J321" i="1"/>
  <c r="G321" i="1"/>
  <c r="AF394" i="12"/>
  <c r="AG394" i="12" s="1"/>
  <c r="AY394" i="12"/>
  <c r="AZ394" i="12" s="1"/>
  <c r="BW394" i="12"/>
  <c r="BX394" i="12" s="1"/>
  <c r="BU394" i="12"/>
  <c r="BV394" i="12" s="1"/>
  <c r="AA133" i="12"/>
  <c r="AB133" i="12" s="1"/>
  <c r="K133" i="12"/>
  <c r="L133" i="12" s="1"/>
  <c r="S133" i="12"/>
  <c r="T133" i="12" s="1"/>
  <c r="BM133" i="12"/>
  <c r="U133" i="12"/>
  <c r="V133" i="12" s="1"/>
  <c r="Q133" i="12"/>
  <c r="R133" i="12" s="1"/>
  <c r="BK133" i="12"/>
  <c r="H135" i="1" s="1"/>
  <c r="G133" i="12"/>
  <c r="F133" i="12"/>
  <c r="O133" i="12"/>
  <c r="P133" i="12" s="1"/>
  <c r="AC133" i="12"/>
  <c r="AD133" i="12" s="1"/>
  <c r="Y133" i="12"/>
  <c r="Z133" i="12" s="1"/>
  <c r="H133" i="12"/>
  <c r="W133" i="12"/>
  <c r="X133" i="12" s="1"/>
  <c r="J133" i="12"/>
  <c r="M133" i="12"/>
  <c r="N133" i="12" s="1"/>
  <c r="I133" i="12"/>
  <c r="W34" i="12"/>
  <c r="X34" i="12" s="1"/>
  <c r="M34" i="12"/>
  <c r="N34" i="12" s="1"/>
  <c r="K34" i="12"/>
  <c r="L34" i="12" s="1"/>
  <c r="AC34" i="12"/>
  <c r="AD34" i="12" s="1"/>
  <c r="J34" i="12"/>
  <c r="S34" i="12"/>
  <c r="T34" i="12" s="1"/>
  <c r="Y34" i="12"/>
  <c r="Z34" i="12" s="1"/>
  <c r="U34" i="12"/>
  <c r="V34" i="12" s="1"/>
  <c r="O34" i="12"/>
  <c r="P34" i="12" s="1"/>
  <c r="Q34" i="12"/>
  <c r="R34" i="12" s="1"/>
  <c r="AA34" i="12"/>
  <c r="AB34" i="12" s="1"/>
  <c r="H34" i="12"/>
  <c r="BK34" i="12"/>
  <c r="H36" i="1" s="1"/>
  <c r="BM34" i="12"/>
  <c r="I34" i="12"/>
  <c r="G34" i="12"/>
  <c r="F34" i="12"/>
  <c r="G35" i="1"/>
  <c r="J35" i="1"/>
  <c r="J299" i="1"/>
  <c r="G299" i="1"/>
  <c r="L2" i="12"/>
  <c r="J21" i="1"/>
  <c r="G21" i="1"/>
  <c r="BO131" i="12"/>
  <c r="BH131" i="12"/>
  <c r="BI131" i="12" s="1"/>
  <c r="AH131" i="12"/>
  <c r="J212" i="1"/>
  <c r="G212" i="1"/>
  <c r="J348" i="1"/>
  <c r="G348" i="1"/>
  <c r="S174" i="12"/>
  <c r="T174" i="12" s="1"/>
  <c r="U174" i="12"/>
  <c r="V174" i="12" s="1"/>
  <c r="BM174" i="12"/>
  <c r="Q174" i="12"/>
  <c r="R174" i="12" s="1"/>
  <c r="BK174" i="12"/>
  <c r="H176" i="1" s="1"/>
  <c r="AC174" i="12"/>
  <c r="AD174" i="12" s="1"/>
  <c r="I174" i="12"/>
  <c r="J174" i="12"/>
  <c r="H174" i="12"/>
  <c r="O174" i="12"/>
  <c r="P174" i="12" s="1"/>
  <c r="Y174" i="12"/>
  <c r="Z174" i="12" s="1"/>
  <c r="G174" i="12"/>
  <c r="F174" i="12"/>
  <c r="M174" i="12"/>
  <c r="N174" i="12" s="1"/>
  <c r="AA174" i="12"/>
  <c r="AB174" i="12" s="1"/>
  <c r="W174" i="12"/>
  <c r="X174" i="12" s="1"/>
  <c r="K174" i="12"/>
  <c r="L174" i="12" s="1"/>
  <c r="AN174" i="12"/>
  <c r="AK174" i="12"/>
  <c r="AG231" i="12"/>
  <c r="AC277" i="12"/>
  <c r="AD277" i="12" s="1"/>
  <c r="M277" i="12"/>
  <c r="N277" i="12" s="1"/>
  <c r="BK277" i="12"/>
  <c r="H279" i="1" s="1"/>
  <c r="S277" i="12"/>
  <c r="T277" i="12" s="1"/>
  <c r="Q277" i="12"/>
  <c r="R277" i="12" s="1"/>
  <c r="G277" i="12"/>
  <c r="AA277" i="12"/>
  <c r="AB277" i="12" s="1"/>
  <c r="O277" i="12"/>
  <c r="P277" i="12" s="1"/>
  <c r="U277" i="12"/>
  <c r="V277" i="12" s="1"/>
  <c r="BM277" i="12"/>
  <c r="K277" i="12"/>
  <c r="L277" i="12" s="1"/>
  <c r="J277" i="12"/>
  <c r="W277" i="12"/>
  <c r="X277" i="12" s="1"/>
  <c r="I277" i="12"/>
  <c r="Y277" i="12"/>
  <c r="Z277" i="12" s="1"/>
  <c r="H277" i="12"/>
  <c r="AQ277" i="12"/>
  <c r="F277" i="12"/>
  <c r="BC277" i="12"/>
  <c r="AN277" i="12"/>
  <c r="AK277" i="12"/>
  <c r="S399" i="12"/>
  <c r="T399" i="12" s="1"/>
  <c r="Q399" i="12"/>
  <c r="R399" i="12" s="1"/>
  <c r="M399" i="12"/>
  <c r="N399" i="12" s="1"/>
  <c r="W399" i="12"/>
  <c r="X399" i="12" s="1"/>
  <c r="U399" i="12"/>
  <c r="V399" i="12" s="1"/>
  <c r="O399" i="12"/>
  <c r="P399" i="12" s="1"/>
  <c r="G399" i="12"/>
  <c r="AC399" i="12"/>
  <c r="AD399" i="12" s="1"/>
  <c r="I399" i="12"/>
  <c r="K399" i="12"/>
  <c r="L399" i="12" s="1"/>
  <c r="J399" i="12"/>
  <c r="H399" i="12"/>
  <c r="BM399" i="12"/>
  <c r="Y399" i="12"/>
  <c r="Z399" i="12" s="1"/>
  <c r="AA399" i="12"/>
  <c r="AB399" i="12" s="1"/>
  <c r="F399" i="12"/>
  <c r="AH371" i="12"/>
  <c r="BO371" i="12"/>
  <c r="BH371" i="12"/>
  <c r="BI371" i="12" s="1"/>
  <c r="AY134" i="12"/>
  <c r="AF134" i="12"/>
  <c r="AG134" i="12" s="1"/>
  <c r="BW134" i="12"/>
  <c r="BX134" i="12" s="1"/>
  <c r="BU134" i="12"/>
  <c r="BV134" i="12" s="1"/>
  <c r="AH309" i="12"/>
  <c r="BH309" i="12"/>
  <c r="BI309" i="12" s="1"/>
  <c r="BO309" i="12"/>
  <c r="BO237" i="12"/>
  <c r="AH237" i="12"/>
  <c r="BH237" i="12"/>
  <c r="BI237" i="12" s="1"/>
  <c r="BS309" i="12"/>
  <c r="BT309" i="12" s="1"/>
  <c r="BQ309" i="12"/>
  <c r="BR309" i="12" s="1"/>
  <c r="AE309" i="12"/>
  <c r="BN309" i="12"/>
  <c r="BL309" i="12"/>
  <c r="AZ86" i="12"/>
  <c r="AS409" i="12"/>
  <c r="AT2" i="12"/>
  <c r="AT409" i="12" s="1"/>
  <c r="S142" i="12"/>
  <c r="T142" i="12" s="1"/>
  <c r="U142" i="12"/>
  <c r="V142" i="12" s="1"/>
  <c r="O142" i="12"/>
  <c r="P142" i="12" s="1"/>
  <c r="M142" i="12"/>
  <c r="N142" i="12" s="1"/>
  <c r="BM142" i="12"/>
  <c r="I142" i="12"/>
  <c r="AA142" i="12"/>
  <c r="AB142" i="12" s="1"/>
  <c r="Y142" i="12"/>
  <c r="Z142" i="12" s="1"/>
  <c r="K142" i="12"/>
  <c r="L142" i="12" s="1"/>
  <c r="H142" i="12"/>
  <c r="G142" i="12"/>
  <c r="AC142" i="12"/>
  <c r="AD142" i="12" s="1"/>
  <c r="BK142" i="12"/>
  <c r="H144" i="1" s="1"/>
  <c r="W142" i="12"/>
  <c r="X142" i="12" s="1"/>
  <c r="Q142" i="12"/>
  <c r="R142" i="12" s="1"/>
  <c r="J142" i="12"/>
  <c r="F142" i="12"/>
  <c r="D265" i="12"/>
  <c r="D267" i="1"/>
  <c r="BO347" i="12"/>
  <c r="BH347" i="12"/>
  <c r="AH347" i="12"/>
  <c r="BH154" i="12"/>
  <c r="BI154" i="12" s="1"/>
  <c r="AH154" i="12"/>
  <c r="BO154" i="12"/>
  <c r="G353" i="1"/>
  <c r="J353" i="1"/>
  <c r="BF299" i="12"/>
  <c r="H33" i="12"/>
  <c r="AA33" i="12"/>
  <c r="AB33" i="12" s="1"/>
  <c r="J33" i="12"/>
  <c r="I33" i="12"/>
  <c r="AC33" i="12"/>
  <c r="AD33" i="12" s="1"/>
  <c r="G33" i="12"/>
  <c r="Y33" i="12"/>
  <c r="Z33" i="12" s="1"/>
  <c r="W33" i="12"/>
  <c r="X33" i="12" s="1"/>
  <c r="U33" i="12"/>
  <c r="V33" i="12" s="1"/>
  <c r="F33" i="12"/>
  <c r="O33" i="12"/>
  <c r="P33" i="12" s="1"/>
  <c r="M33" i="12"/>
  <c r="N33" i="12" s="1"/>
  <c r="BM33" i="12"/>
  <c r="K33" i="12"/>
  <c r="L33" i="12" s="1"/>
  <c r="S33" i="12"/>
  <c r="T33" i="12" s="1"/>
  <c r="Q33" i="12"/>
  <c r="R33" i="12" s="1"/>
  <c r="BI33" i="12"/>
  <c r="BF33" i="12"/>
  <c r="AO409" i="12"/>
  <c r="AZ352" i="12"/>
  <c r="BW53" i="12"/>
  <c r="BX53" i="12" s="1"/>
  <c r="AY53" i="12"/>
  <c r="AZ53" i="12" s="1"/>
  <c r="BU53" i="12"/>
  <c r="BV53" i="12" s="1"/>
  <c r="AF53" i="12"/>
  <c r="AG53" i="12" s="1"/>
  <c r="D115" i="1"/>
  <c r="D113" i="12"/>
  <c r="BM297" i="12"/>
  <c r="K297" i="12"/>
  <c r="L297" i="12" s="1"/>
  <c r="U297" i="12"/>
  <c r="V297" i="12" s="1"/>
  <c r="S297" i="12"/>
  <c r="T297" i="12" s="1"/>
  <c r="O297" i="12"/>
  <c r="P297" i="12" s="1"/>
  <c r="BK297" i="12"/>
  <c r="H299" i="1" s="1"/>
  <c r="M297" i="12"/>
  <c r="N297" i="12" s="1"/>
  <c r="AC297" i="12"/>
  <c r="AD297" i="12" s="1"/>
  <c r="AA297" i="12"/>
  <c r="AB297" i="12" s="1"/>
  <c r="G297" i="12"/>
  <c r="W297" i="12"/>
  <c r="X297" i="12" s="1"/>
  <c r="Y297" i="12"/>
  <c r="Z297" i="12" s="1"/>
  <c r="H297" i="12"/>
  <c r="I297" i="12"/>
  <c r="J297" i="12"/>
  <c r="Q297" i="12"/>
  <c r="R297" i="12" s="1"/>
  <c r="F297" i="12"/>
  <c r="BW145" i="12"/>
  <c r="BX145" i="12" s="1"/>
  <c r="AF145" i="12"/>
  <c r="AG145" i="12" s="1"/>
  <c r="BU145" i="12"/>
  <c r="BV145" i="12" s="1"/>
  <c r="AY145" i="12"/>
  <c r="AZ145" i="12" s="1"/>
  <c r="BO113" i="12"/>
  <c r="AH113" i="12"/>
  <c r="BH113" i="12"/>
  <c r="BI113" i="12" s="1"/>
  <c r="M341" i="12"/>
  <c r="N341" i="12" s="1"/>
  <c r="K341" i="12"/>
  <c r="L341" i="12" s="1"/>
  <c r="Y341" i="12"/>
  <c r="Z341" i="12" s="1"/>
  <c r="W341" i="12"/>
  <c r="X341" i="12" s="1"/>
  <c r="S341" i="12"/>
  <c r="T341" i="12" s="1"/>
  <c r="Q341" i="12"/>
  <c r="R341" i="12" s="1"/>
  <c r="O341" i="12"/>
  <c r="P341" i="12" s="1"/>
  <c r="BM341" i="12"/>
  <c r="J341" i="12"/>
  <c r="I341" i="12"/>
  <c r="BK341" i="12"/>
  <c r="H343" i="1" s="1"/>
  <c r="H341" i="12"/>
  <c r="G341" i="12"/>
  <c r="AC341" i="12"/>
  <c r="AD341" i="12" s="1"/>
  <c r="AA341" i="12"/>
  <c r="AB341" i="12" s="1"/>
  <c r="U341" i="12"/>
  <c r="V341" i="12" s="1"/>
  <c r="F341" i="12"/>
  <c r="BT256" i="12"/>
  <c r="BI297" i="12"/>
  <c r="H360" i="12"/>
  <c r="W360" i="12"/>
  <c r="X360" i="12" s="1"/>
  <c r="G360" i="12"/>
  <c r="BK360" i="12"/>
  <c r="H362" i="1" s="1"/>
  <c r="O360" i="12"/>
  <c r="P360" i="12" s="1"/>
  <c r="M360" i="12"/>
  <c r="N360" i="12" s="1"/>
  <c r="Q360" i="12"/>
  <c r="R360" i="12" s="1"/>
  <c r="K360" i="12"/>
  <c r="L360" i="12" s="1"/>
  <c r="AC360" i="12"/>
  <c r="AD360" i="12" s="1"/>
  <c r="BM360" i="12"/>
  <c r="AA360" i="12"/>
  <c r="AB360" i="12" s="1"/>
  <c r="I360" i="12"/>
  <c r="U360" i="12"/>
  <c r="V360" i="12" s="1"/>
  <c r="S360" i="12"/>
  <c r="T360" i="12" s="1"/>
  <c r="J360" i="12"/>
  <c r="F360" i="12"/>
  <c r="Y360" i="12"/>
  <c r="Z360" i="12" s="1"/>
  <c r="BC360" i="12"/>
  <c r="BF360" i="12"/>
  <c r="D264" i="12"/>
  <c r="D266" i="1"/>
  <c r="BO179" i="12"/>
  <c r="AH179" i="12"/>
  <c r="BH179" i="12"/>
  <c r="BI179" i="12" s="1"/>
  <c r="AH385" i="12"/>
  <c r="BH385" i="12"/>
  <c r="BI385" i="12" s="1"/>
  <c r="BO385" i="12"/>
  <c r="AK134" i="12"/>
  <c r="J298" i="1"/>
  <c r="G298" i="1"/>
  <c r="BL201" i="12"/>
  <c r="BS201" i="12"/>
  <c r="BT201" i="12" s="1"/>
  <c r="BN201" i="12"/>
  <c r="AE201" i="12"/>
  <c r="BQ201" i="12"/>
  <c r="BR201" i="12" s="1"/>
  <c r="J306" i="1"/>
  <c r="G306" i="1"/>
  <c r="D141" i="12"/>
  <c r="D143" i="1"/>
  <c r="BW151" i="12"/>
  <c r="BX151" i="12" s="1"/>
  <c r="BU151" i="12"/>
  <c r="BV151" i="12" s="1"/>
  <c r="AF151" i="12"/>
  <c r="AG151" i="12" s="1"/>
  <c r="AY151" i="12"/>
  <c r="AZ151" i="12" s="1"/>
  <c r="BU309" i="12"/>
  <c r="BV309" i="12" s="1"/>
  <c r="AY309" i="12"/>
  <c r="AZ309" i="12" s="1"/>
  <c r="AF309" i="12"/>
  <c r="AG309" i="12" s="1"/>
  <c r="BW309" i="12"/>
  <c r="BX309" i="12" s="1"/>
  <c r="BC237" i="12"/>
  <c r="AZ272" i="12"/>
  <c r="AQ201" i="12"/>
  <c r="BH394" i="12"/>
  <c r="BI394" i="12" s="1"/>
  <c r="AH394" i="12"/>
  <c r="BO394" i="12"/>
  <c r="BF133" i="12"/>
  <c r="J351" i="12"/>
  <c r="BM351" i="12"/>
  <c r="H351" i="12"/>
  <c r="Y351" i="12"/>
  <c r="Z351" i="12" s="1"/>
  <c r="G351" i="12"/>
  <c r="AA351" i="12"/>
  <c r="AB351" i="12" s="1"/>
  <c r="W351" i="12"/>
  <c r="X351" i="12" s="1"/>
  <c r="S351" i="12"/>
  <c r="T351" i="12" s="1"/>
  <c r="Q351" i="12"/>
  <c r="R351" i="12" s="1"/>
  <c r="BK351" i="12"/>
  <c r="AC351" i="12"/>
  <c r="AD351" i="12" s="1"/>
  <c r="M351" i="12"/>
  <c r="N351" i="12" s="1"/>
  <c r="O351" i="12"/>
  <c r="P351" i="12" s="1"/>
  <c r="K351" i="12"/>
  <c r="L351" i="12" s="1"/>
  <c r="I351" i="12"/>
  <c r="U351" i="12"/>
  <c r="V351" i="12" s="1"/>
  <c r="F351" i="12"/>
  <c r="J272" i="1"/>
  <c r="G272" i="1"/>
  <c r="BL279" i="12"/>
  <c r="AE279" i="12"/>
  <c r="BN279" i="12"/>
  <c r="BQ279" i="12"/>
  <c r="BR279" i="12" s="1"/>
  <c r="BS279" i="12"/>
  <c r="BT279" i="12" s="1"/>
  <c r="D298" i="12"/>
  <c r="D300" i="1"/>
  <c r="G31" i="1"/>
  <c r="J31" i="1"/>
  <c r="BS19" i="12"/>
  <c r="BT19" i="12" s="1"/>
  <c r="BQ19" i="12"/>
  <c r="BR19" i="12" s="1"/>
  <c r="BN19" i="12"/>
  <c r="BL19" i="12"/>
  <c r="AE19" i="12"/>
  <c r="Y114" i="12"/>
  <c r="Z114" i="12" s="1"/>
  <c r="I114" i="12"/>
  <c r="H114" i="12"/>
  <c r="W114" i="12"/>
  <c r="X114" i="12" s="1"/>
  <c r="G114" i="12"/>
  <c r="Q114" i="12"/>
  <c r="R114" i="12" s="1"/>
  <c r="O114" i="12"/>
  <c r="P114" i="12" s="1"/>
  <c r="K114" i="12"/>
  <c r="L114" i="12" s="1"/>
  <c r="BM114" i="12"/>
  <c r="J114" i="12"/>
  <c r="AA114" i="12"/>
  <c r="AB114" i="12" s="1"/>
  <c r="AC114" i="12"/>
  <c r="AD114" i="12" s="1"/>
  <c r="U114" i="12"/>
  <c r="V114" i="12" s="1"/>
  <c r="M114" i="12"/>
  <c r="N114" i="12" s="1"/>
  <c r="S114" i="12"/>
  <c r="T114" i="12" s="1"/>
  <c r="BK114" i="12"/>
  <c r="H116" i="1" s="1"/>
  <c r="F114" i="12"/>
  <c r="BF114" i="12"/>
  <c r="AA385" i="12"/>
  <c r="AB385" i="12" s="1"/>
  <c r="J385" i="12"/>
  <c r="BK385" i="12"/>
  <c r="I385" i="12"/>
  <c r="Y385" i="12"/>
  <c r="Z385" i="12" s="1"/>
  <c r="H385" i="12"/>
  <c r="K385" i="12"/>
  <c r="L385" i="12" s="1"/>
  <c r="G385" i="12"/>
  <c r="AC385" i="12"/>
  <c r="AD385" i="12" s="1"/>
  <c r="W385" i="12"/>
  <c r="X385" i="12" s="1"/>
  <c r="U385" i="12"/>
  <c r="V385" i="12" s="1"/>
  <c r="M385" i="12"/>
  <c r="N385" i="12" s="1"/>
  <c r="BM385" i="12"/>
  <c r="S385" i="12"/>
  <c r="T385" i="12" s="1"/>
  <c r="Q385" i="12"/>
  <c r="R385" i="12" s="1"/>
  <c r="O385" i="12"/>
  <c r="P385" i="12" s="1"/>
  <c r="F385" i="12"/>
  <c r="S182" i="12"/>
  <c r="T182" i="12" s="1"/>
  <c r="BK182" i="12"/>
  <c r="H184" i="1" s="1"/>
  <c r="U182" i="12"/>
  <c r="V182" i="12" s="1"/>
  <c r="Q182" i="12"/>
  <c r="R182" i="12" s="1"/>
  <c r="M182" i="12"/>
  <c r="N182" i="12" s="1"/>
  <c r="BM182" i="12"/>
  <c r="AA182" i="12"/>
  <c r="AB182" i="12" s="1"/>
  <c r="AC182" i="12"/>
  <c r="AD182" i="12" s="1"/>
  <c r="O182" i="12"/>
  <c r="P182" i="12" s="1"/>
  <c r="W182" i="12"/>
  <c r="X182" i="12" s="1"/>
  <c r="Y182" i="12"/>
  <c r="Z182" i="12" s="1"/>
  <c r="K182" i="12"/>
  <c r="L182" i="12" s="1"/>
  <c r="J182" i="12"/>
  <c r="I182" i="12"/>
  <c r="F182" i="12"/>
  <c r="H182" i="12"/>
  <c r="G182" i="12"/>
  <c r="BF182" i="12"/>
  <c r="BW207" i="12"/>
  <c r="BX207" i="12" s="1"/>
  <c r="AY207" i="12"/>
  <c r="BU207" i="12"/>
  <c r="BV207" i="12" s="1"/>
  <c r="AF207" i="12"/>
  <c r="AG207" i="12" s="1"/>
  <c r="AY289" i="12"/>
  <c r="AZ289" i="12" s="1"/>
  <c r="AF289" i="12"/>
  <c r="BW289" i="12"/>
  <c r="BU289" i="12"/>
  <c r="BV289" i="12" s="1"/>
  <c r="BU335" i="12"/>
  <c r="BV335" i="12" s="1"/>
  <c r="AF335" i="12"/>
  <c r="AG335" i="12" s="1"/>
  <c r="AY335" i="12"/>
  <c r="AZ335" i="12" s="1"/>
  <c r="BW335" i="12"/>
  <c r="BX335" i="12" s="1"/>
  <c r="J32" i="1"/>
  <c r="G32" i="1"/>
  <c r="D243" i="12"/>
  <c r="BT243" i="12" s="1"/>
  <c r="D245" i="1"/>
  <c r="J158" i="1"/>
  <c r="G158" i="1"/>
  <c r="Q123" i="12"/>
  <c r="R123" i="12" s="1"/>
  <c r="O123" i="12"/>
  <c r="P123" i="12" s="1"/>
  <c r="M123" i="12"/>
  <c r="N123" i="12" s="1"/>
  <c r="H123" i="12"/>
  <c r="U123" i="12"/>
  <c r="V123" i="12" s="1"/>
  <c r="S123" i="12"/>
  <c r="T123" i="12" s="1"/>
  <c r="K123" i="12"/>
  <c r="L123" i="12" s="1"/>
  <c r="F123" i="12"/>
  <c r="BM123" i="12"/>
  <c r="I123" i="12"/>
  <c r="AA123" i="12"/>
  <c r="AB123" i="12" s="1"/>
  <c r="Y123" i="12"/>
  <c r="Z123" i="12" s="1"/>
  <c r="AC123" i="12"/>
  <c r="AD123" i="12" s="1"/>
  <c r="G123" i="12"/>
  <c r="J123" i="12"/>
  <c r="BK123" i="12"/>
  <c r="H125" i="1" s="1"/>
  <c r="W123" i="12"/>
  <c r="X123" i="12" s="1"/>
  <c r="BF123" i="12"/>
  <c r="BQ289" i="12"/>
  <c r="BR289" i="12" s="1"/>
  <c r="AE289" i="12"/>
  <c r="BL289" i="12"/>
  <c r="BN289" i="12"/>
  <c r="BS289" i="12"/>
  <c r="BT289" i="12" s="1"/>
  <c r="BK205" i="12"/>
  <c r="H207" i="1" s="1"/>
  <c r="AA205" i="12"/>
  <c r="AB205" i="12" s="1"/>
  <c r="K205" i="12"/>
  <c r="L205" i="12" s="1"/>
  <c r="J205" i="12"/>
  <c r="W205" i="12"/>
  <c r="X205" i="12" s="1"/>
  <c r="O205" i="12"/>
  <c r="P205" i="12" s="1"/>
  <c r="AC205" i="12"/>
  <c r="AD205" i="12" s="1"/>
  <c r="Q205" i="12"/>
  <c r="R205" i="12" s="1"/>
  <c r="I205" i="12"/>
  <c r="H205" i="12"/>
  <c r="G205" i="12"/>
  <c r="Y205" i="12"/>
  <c r="Z205" i="12" s="1"/>
  <c r="U205" i="12"/>
  <c r="V205" i="12" s="1"/>
  <c r="M205" i="12"/>
  <c r="N205" i="12" s="1"/>
  <c r="F205" i="12"/>
  <c r="BM205" i="12"/>
  <c r="S205" i="12"/>
  <c r="T205" i="12" s="1"/>
  <c r="AN205" i="12"/>
  <c r="BM300" i="12"/>
  <c r="Q300" i="12"/>
  <c r="R300" i="12" s="1"/>
  <c r="BK300" i="12"/>
  <c r="H302" i="1" s="1"/>
  <c r="F300" i="12"/>
  <c r="W300" i="12"/>
  <c r="X300" i="12" s="1"/>
  <c r="S300" i="12"/>
  <c r="T300" i="12" s="1"/>
  <c r="O300" i="12"/>
  <c r="P300" i="12" s="1"/>
  <c r="M300" i="12"/>
  <c r="N300" i="12" s="1"/>
  <c r="K300" i="12"/>
  <c r="L300" i="12" s="1"/>
  <c r="J300" i="12"/>
  <c r="H300" i="12"/>
  <c r="G300" i="12"/>
  <c r="Y300" i="12"/>
  <c r="Z300" i="12" s="1"/>
  <c r="AC300" i="12"/>
  <c r="AD300" i="12" s="1"/>
  <c r="AA300" i="12"/>
  <c r="AB300" i="12" s="1"/>
  <c r="U300" i="12"/>
  <c r="V300" i="12" s="1"/>
  <c r="I300" i="12"/>
  <c r="AK300" i="12"/>
  <c r="D87" i="1"/>
  <c r="D85" i="12"/>
  <c r="BS151" i="12"/>
  <c r="BT151" i="12" s="1"/>
  <c r="BN151" i="12"/>
  <c r="BQ151" i="12"/>
  <c r="BR151" i="12" s="1"/>
  <c r="BL151" i="12"/>
  <c r="AE151" i="12"/>
  <c r="J402" i="1"/>
  <c r="G402" i="1"/>
  <c r="BW255" i="12"/>
  <c r="BX255" i="12" s="1"/>
  <c r="AY255" i="12"/>
  <c r="AF255" i="12"/>
  <c r="BU255" i="12"/>
  <c r="BV255" i="12" s="1"/>
  <c r="AA319" i="12"/>
  <c r="AB319" i="12" s="1"/>
  <c r="H319" i="12"/>
  <c r="G319" i="12"/>
  <c r="Y319" i="12"/>
  <c r="Z319" i="12" s="1"/>
  <c r="O319" i="12"/>
  <c r="P319" i="12" s="1"/>
  <c r="BM319" i="12"/>
  <c r="M319" i="12"/>
  <c r="N319" i="12" s="1"/>
  <c r="S319" i="12"/>
  <c r="T319" i="12" s="1"/>
  <c r="Q319" i="12"/>
  <c r="R319" i="12" s="1"/>
  <c r="K319" i="12"/>
  <c r="L319" i="12" s="1"/>
  <c r="J319" i="12"/>
  <c r="I319" i="12"/>
  <c r="AC319" i="12"/>
  <c r="AD319" i="12" s="1"/>
  <c r="W319" i="12"/>
  <c r="X319" i="12" s="1"/>
  <c r="BK319" i="12"/>
  <c r="U319" i="12"/>
  <c r="V319" i="12" s="1"/>
  <c r="F319" i="12"/>
  <c r="BC134" i="12"/>
  <c r="AZ258" i="12"/>
  <c r="I246" i="8"/>
  <c r="C246" i="8" s="1"/>
  <c r="E63" i="8"/>
  <c r="C63" i="8" s="1"/>
  <c r="BQ218" i="12"/>
  <c r="BR218" i="12" s="1"/>
  <c r="BL218" i="12"/>
  <c r="AE218" i="12"/>
  <c r="BN218" i="12"/>
  <c r="BS218" i="12"/>
  <c r="BT218" i="12" s="1"/>
  <c r="S194" i="12"/>
  <c r="T194" i="12" s="1"/>
  <c r="O194" i="12"/>
  <c r="P194" i="12" s="1"/>
  <c r="M194" i="12"/>
  <c r="N194" i="12" s="1"/>
  <c r="Y194" i="12"/>
  <c r="Z194" i="12" s="1"/>
  <c r="AA194" i="12"/>
  <c r="AB194" i="12" s="1"/>
  <c r="K194" i="12"/>
  <c r="L194" i="12" s="1"/>
  <c r="J194" i="12"/>
  <c r="BK194" i="12"/>
  <c r="H196" i="1" s="1"/>
  <c r="U194" i="12"/>
  <c r="V194" i="12" s="1"/>
  <c r="Q194" i="12"/>
  <c r="R194" i="12" s="1"/>
  <c r="G194" i="12"/>
  <c r="BM194" i="12"/>
  <c r="I194" i="12"/>
  <c r="AC194" i="12"/>
  <c r="AD194" i="12" s="1"/>
  <c r="W194" i="12"/>
  <c r="X194" i="12" s="1"/>
  <c r="H194" i="12"/>
  <c r="F194" i="12"/>
  <c r="AK194" i="12"/>
  <c r="BC194" i="12"/>
  <c r="AN161" i="12"/>
  <c r="BH207" i="12"/>
  <c r="BO207" i="12"/>
  <c r="AH207" i="12"/>
  <c r="AH11" i="12"/>
  <c r="BO11" i="12"/>
  <c r="BH11" i="12"/>
  <c r="BI11" i="12" s="1"/>
  <c r="BF341" i="12"/>
  <c r="E74" i="8"/>
  <c r="C74" i="8" s="1"/>
  <c r="I242" i="8"/>
  <c r="C242" i="8" s="1"/>
  <c r="S89" i="12"/>
  <c r="T89" i="12" s="1"/>
  <c r="I89" i="12"/>
  <c r="AA89" i="12"/>
  <c r="AB89" i="12" s="1"/>
  <c r="H89" i="12"/>
  <c r="G89" i="12"/>
  <c r="W89" i="12"/>
  <c r="X89" i="12" s="1"/>
  <c r="U89" i="12"/>
  <c r="V89" i="12" s="1"/>
  <c r="K89" i="12"/>
  <c r="L89" i="12" s="1"/>
  <c r="BM89" i="12"/>
  <c r="M89" i="12"/>
  <c r="N89" i="12" s="1"/>
  <c r="Q89" i="12"/>
  <c r="R89" i="12" s="1"/>
  <c r="O89" i="12"/>
  <c r="P89" i="12" s="1"/>
  <c r="J89" i="12"/>
  <c r="Y89" i="12"/>
  <c r="Z89" i="12" s="1"/>
  <c r="BK89" i="12"/>
  <c r="H91" i="1" s="1"/>
  <c r="AC89" i="12"/>
  <c r="AD89" i="12" s="1"/>
  <c r="F89" i="12"/>
  <c r="BM304" i="12"/>
  <c r="S304" i="12"/>
  <c r="T304" i="12" s="1"/>
  <c r="Q304" i="12"/>
  <c r="R304" i="12" s="1"/>
  <c r="BK304" i="12"/>
  <c r="H306" i="1" s="1"/>
  <c r="U304" i="12"/>
  <c r="V304" i="12" s="1"/>
  <c r="AC304" i="12"/>
  <c r="AD304" i="12" s="1"/>
  <c r="J304" i="12"/>
  <c r="AA304" i="12"/>
  <c r="AB304" i="12" s="1"/>
  <c r="O304" i="12"/>
  <c r="P304" i="12" s="1"/>
  <c r="M304" i="12"/>
  <c r="N304" i="12" s="1"/>
  <c r="H304" i="12"/>
  <c r="G304" i="12"/>
  <c r="W304" i="12"/>
  <c r="X304" i="12" s="1"/>
  <c r="I304" i="12"/>
  <c r="K304" i="12"/>
  <c r="L304" i="12" s="1"/>
  <c r="Y304" i="12"/>
  <c r="Z304" i="12" s="1"/>
  <c r="F304" i="12"/>
  <c r="BC304" i="12"/>
  <c r="J183" i="1"/>
  <c r="G183" i="1"/>
  <c r="BC254" i="12"/>
  <c r="D366" i="12"/>
  <c r="D368" i="1"/>
  <c r="BF385" i="12"/>
  <c r="D361" i="12"/>
  <c r="BI361" i="12" s="1"/>
  <c r="D363" i="1"/>
  <c r="BN405" i="12"/>
  <c r="BL405" i="12"/>
  <c r="H407" i="1" s="1"/>
  <c r="BQ405" i="12"/>
  <c r="BR405" i="12" s="1"/>
  <c r="BS405" i="12"/>
  <c r="BT405" i="12" s="1"/>
  <c r="AE405" i="12"/>
  <c r="AZ75" i="12"/>
  <c r="BH337" i="12"/>
  <c r="BI337" i="12" s="1"/>
  <c r="BO337" i="12"/>
  <c r="AH337" i="12"/>
  <c r="BU154" i="12"/>
  <c r="BV154" i="12" s="1"/>
  <c r="AY154" i="12"/>
  <c r="AZ154" i="12" s="1"/>
  <c r="AF154" i="12"/>
  <c r="AG154" i="12" s="1"/>
  <c r="BW154" i="12"/>
  <c r="BX154" i="12" s="1"/>
  <c r="AQ217" i="12"/>
  <c r="H232" i="12"/>
  <c r="W232" i="12"/>
  <c r="X232" i="12" s="1"/>
  <c r="G232" i="12"/>
  <c r="BK232" i="12"/>
  <c r="H234" i="1" s="1"/>
  <c r="S232" i="12"/>
  <c r="T232" i="12" s="1"/>
  <c r="K232" i="12"/>
  <c r="L232" i="12" s="1"/>
  <c r="Y232" i="12"/>
  <c r="Z232" i="12" s="1"/>
  <c r="U232" i="12"/>
  <c r="V232" i="12" s="1"/>
  <c r="J232" i="12"/>
  <c r="I232" i="12"/>
  <c r="AA232" i="12"/>
  <c r="AB232" i="12" s="1"/>
  <c r="AC232" i="12"/>
  <c r="AD232" i="12" s="1"/>
  <c r="BM232" i="12"/>
  <c r="Q232" i="12"/>
  <c r="R232" i="12" s="1"/>
  <c r="O232" i="12"/>
  <c r="P232" i="12" s="1"/>
  <c r="M232" i="12"/>
  <c r="N232" i="12" s="1"/>
  <c r="F232" i="12"/>
  <c r="AQ232" i="12"/>
  <c r="AZ177" i="12"/>
  <c r="J351" i="1"/>
  <c r="G351" i="1"/>
  <c r="AA171" i="12"/>
  <c r="AB171" i="12" s="1"/>
  <c r="K171" i="12"/>
  <c r="L171" i="12" s="1"/>
  <c r="O171" i="12"/>
  <c r="P171" i="12" s="1"/>
  <c r="M171" i="12"/>
  <c r="N171" i="12" s="1"/>
  <c r="AC171" i="12"/>
  <c r="AD171" i="12" s="1"/>
  <c r="H171" i="12"/>
  <c r="G171" i="12"/>
  <c r="BK171" i="12"/>
  <c r="H173" i="1" s="1"/>
  <c r="S171" i="12"/>
  <c r="T171" i="12" s="1"/>
  <c r="BM171" i="12"/>
  <c r="Y171" i="12"/>
  <c r="Z171" i="12" s="1"/>
  <c r="U171" i="12"/>
  <c r="V171" i="12" s="1"/>
  <c r="I171" i="12"/>
  <c r="J171" i="12"/>
  <c r="W171" i="12"/>
  <c r="X171" i="12" s="1"/>
  <c r="Q171" i="12"/>
  <c r="R171" i="12" s="1"/>
  <c r="BF171" i="12"/>
  <c r="AQ171" i="12"/>
  <c r="F171" i="12"/>
  <c r="AN171" i="12"/>
  <c r="BC171" i="12"/>
  <c r="BI45" i="12"/>
  <c r="AG269" i="12"/>
  <c r="BK181" i="12"/>
  <c r="H183" i="1" s="1"/>
  <c r="AA181" i="12"/>
  <c r="AB181" i="12" s="1"/>
  <c r="K181" i="12"/>
  <c r="L181" i="12" s="1"/>
  <c r="J181" i="12"/>
  <c r="O181" i="12"/>
  <c r="P181" i="12" s="1"/>
  <c r="Q181" i="12"/>
  <c r="R181" i="12" s="1"/>
  <c r="M181" i="12"/>
  <c r="N181" i="12" s="1"/>
  <c r="Y181" i="12"/>
  <c r="Z181" i="12" s="1"/>
  <c r="I181" i="12"/>
  <c r="H181" i="12"/>
  <c r="W181" i="12"/>
  <c r="X181" i="12" s="1"/>
  <c r="BM181" i="12"/>
  <c r="S181" i="12"/>
  <c r="T181" i="12" s="1"/>
  <c r="G181" i="12"/>
  <c r="F181" i="12"/>
  <c r="U181" i="12"/>
  <c r="V181" i="12" s="1"/>
  <c r="AC181" i="12"/>
  <c r="AD181" i="12" s="1"/>
  <c r="BC181" i="12"/>
  <c r="BF181" i="12"/>
  <c r="AK181" i="12"/>
  <c r="J200" i="1"/>
  <c r="G200" i="1"/>
  <c r="AG180" i="12"/>
  <c r="BW259" i="12"/>
  <c r="BX259" i="12" s="1"/>
  <c r="BU259" i="12"/>
  <c r="BV259" i="12" s="1"/>
  <c r="AF259" i="12"/>
  <c r="AY259" i="12"/>
  <c r="H114" i="1"/>
  <c r="BO61" i="12"/>
  <c r="BH61" i="12"/>
  <c r="AH61" i="12"/>
  <c r="D71" i="1"/>
  <c r="D69" i="12"/>
  <c r="BR69" i="12" s="1"/>
  <c r="AZ265" i="12"/>
  <c r="H96" i="12"/>
  <c r="BM96" i="12"/>
  <c r="K96" i="12"/>
  <c r="L96" i="12" s="1"/>
  <c r="AA96" i="12"/>
  <c r="AB96" i="12" s="1"/>
  <c r="J96" i="12"/>
  <c r="BK96" i="12"/>
  <c r="H98" i="1" s="1"/>
  <c r="I96" i="12"/>
  <c r="M96" i="12"/>
  <c r="N96" i="12" s="1"/>
  <c r="G96" i="12"/>
  <c r="O96" i="12"/>
  <c r="P96" i="12" s="1"/>
  <c r="S96" i="12"/>
  <c r="T96" i="12" s="1"/>
  <c r="Q96" i="12"/>
  <c r="R96" i="12" s="1"/>
  <c r="U96" i="12"/>
  <c r="V96" i="12" s="1"/>
  <c r="Y96" i="12"/>
  <c r="Z96" i="12" s="1"/>
  <c r="W96" i="12"/>
  <c r="X96" i="12" s="1"/>
  <c r="AC96" i="12"/>
  <c r="AD96" i="12" s="1"/>
  <c r="F96" i="12"/>
  <c r="AG329" i="12"/>
  <c r="AK254" i="12"/>
  <c r="AY175" i="12"/>
  <c r="AZ175" i="12" s="1"/>
  <c r="AF175" i="12"/>
  <c r="AG175" i="12" s="1"/>
  <c r="BW175" i="12"/>
  <c r="BX175" i="12" s="1"/>
  <c r="BU175" i="12"/>
  <c r="BV175" i="12" s="1"/>
  <c r="BI93" i="12"/>
  <c r="D226" i="12"/>
  <c r="D228" i="1"/>
  <c r="AE49" i="12"/>
  <c r="BN49" i="12"/>
  <c r="BQ49" i="12"/>
  <c r="BR49" i="12" s="1"/>
  <c r="BS49" i="12"/>
  <c r="BT49" i="12" s="1"/>
  <c r="BL49" i="12"/>
  <c r="BO355" i="12"/>
  <c r="BH355" i="12"/>
  <c r="BI355" i="12" s="1"/>
  <c r="AH355" i="12"/>
  <c r="H50" i="1"/>
  <c r="BM28" i="12"/>
  <c r="K28" i="12"/>
  <c r="L28" i="12" s="1"/>
  <c r="H28" i="12"/>
  <c r="BK28" i="12"/>
  <c r="H30" i="1" s="1"/>
  <c r="W28" i="12"/>
  <c r="X28" i="12" s="1"/>
  <c r="M28" i="12"/>
  <c r="N28" i="12" s="1"/>
  <c r="O28" i="12"/>
  <c r="P28" i="12" s="1"/>
  <c r="J28" i="12"/>
  <c r="I28" i="12"/>
  <c r="G28" i="12"/>
  <c r="AC28" i="12"/>
  <c r="AD28" i="12" s="1"/>
  <c r="AA28" i="12"/>
  <c r="AB28" i="12" s="1"/>
  <c r="U28" i="12"/>
  <c r="V28" i="12" s="1"/>
  <c r="Y28" i="12"/>
  <c r="Z28" i="12" s="1"/>
  <c r="S28" i="12"/>
  <c r="T28" i="12" s="1"/>
  <c r="Q28" i="12"/>
  <c r="R28" i="12" s="1"/>
  <c r="F28" i="12"/>
  <c r="BF28" i="12"/>
  <c r="D100" i="1"/>
  <c r="D98" i="12"/>
  <c r="J288" i="1"/>
  <c r="G288" i="1"/>
  <c r="BI321" i="12"/>
  <c r="BI18" i="12"/>
  <c r="BC385" i="12"/>
  <c r="BS161" i="12"/>
  <c r="BT161" i="12" s="1"/>
  <c r="BN161" i="12"/>
  <c r="BL161" i="12"/>
  <c r="AE161" i="12"/>
  <c r="BQ161" i="12"/>
  <c r="BR161" i="12" s="1"/>
  <c r="BF237" i="12"/>
  <c r="BI91" i="12"/>
  <c r="J350" i="1"/>
  <c r="G350" i="1"/>
  <c r="BU150" i="12"/>
  <c r="BV150" i="12" s="1"/>
  <c r="BW150" i="12"/>
  <c r="BX150" i="12" s="1"/>
  <c r="AF150" i="12"/>
  <c r="AG150" i="12" s="1"/>
  <c r="AY150" i="12"/>
  <c r="AZ150" i="12" s="1"/>
  <c r="J122" i="1"/>
  <c r="G122" i="1"/>
  <c r="AG18" i="12"/>
  <c r="BR76" i="12"/>
  <c r="BU405" i="12"/>
  <c r="BV405" i="12" s="1"/>
  <c r="AY405" i="12"/>
  <c r="AZ405" i="12" s="1"/>
  <c r="BW405" i="12"/>
  <c r="BX405" i="12" s="1"/>
  <c r="AF405" i="12"/>
  <c r="AG405" i="12" s="1"/>
  <c r="AG46" i="12"/>
  <c r="J292" i="1"/>
  <c r="G292" i="1"/>
  <c r="BO17" i="12"/>
  <c r="BH17" i="12"/>
  <c r="BI17" i="12" s="1"/>
  <c r="AH17" i="12"/>
  <c r="BF83" i="12"/>
  <c r="I411" i="3"/>
  <c r="J370" i="1"/>
  <c r="G370" i="1"/>
  <c r="BC317" i="12"/>
  <c r="D134" i="12"/>
  <c r="D136" i="1"/>
  <c r="AG168" i="12"/>
  <c r="AG177" i="12"/>
  <c r="AZ16" i="12"/>
  <c r="G211" i="1"/>
  <c r="J211" i="1"/>
  <c r="AG352" i="12"/>
  <c r="J281" i="1"/>
  <c r="G281" i="1"/>
  <c r="AQ219" i="12"/>
  <c r="BL145" i="12"/>
  <c r="AE145" i="12"/>
  <c r="BS145" i="12"/>
  <c r="BT145" i="12" s="1"/>
  <c r="BQ145" i="12"/>
  <c r="BR145" i="12" s="1"/>
  <c r="BN145" i="12"/>
  <c r="V2" i="12"/>
  <c r="D335" i="12"/>
  <c r="AK335" i="12" s="1"/>
  <c r="D337" i="1"/>
  <c r="G197" i="1"/>
  <c r="J197" i="1"/>
  <c r="W287" i="12"/>
  <c r="X287" i="12" s="1"/>
  <c r="G287" i="12"/>
  <c r="U287" i="12"/>
  <c r="V287" i="12" s="1"/>
  <c r="O287" i="12"/>
  <c r="P287" i="12" s="1"/>
  <c r="M287" i="12"/>
  <c r="N287" i="12" s="1"/>
  <c r="H287" i="12"/>
  <c r="BM287" i="12"/>
  <c r="F287" i="12"/>
  <c r="AC287" i="12"/>
  <c r="AD287" i="12" s="1"/>
  <c r="BK287" i="12"/>
  <c r="H289" i="1" s="1"/>
  <c r="K287" i="12"/>
  <c r="L287" i="12" s="1"/>
  <c r="J287" i="12"/>
  <c r="I287" i="12"/>
  <c r="Y287" i="12"/>
  <c r="Z287" i="12" s="1"/>
  <c r="S287" i="12"/>
  <c r="T287" i="12" s="1"/>
  <c r="Q287" i="12"/>
  <c r="R287" i="12" s="1"/>
  <c r="AA287" i="12"/>
  <c r="AB287" i="12" s="1"/>
  <c r="AN287" i="12"/>
  <c r="AH138" i="12"/>
  <c r="BH138" i="12"/>
  <c r="BI138" i="12" s="1"/>
  <c r="BO138" i="12"/>
  <c r="AZ209" i="12"/>
  <c r="D193" i="12"/>
  <c r="D195" i="1"/>
  <c r="J192" i="1"/>
  <c r="G192" i="1"/>
  <c r="BM349" i="12"/>
  <c r="H349" i="12"/>
  <c r="BK349" i="12"/>
  <c r="H351" i="1" s="1"/>
  <c r="W349" i="12"/>
  <c r="X349" i="12" s="1"/>
  <c r="M349" i="12"/>
  <c r="N349" i="12" s="1"/>
  <c r="AC349" i="12"/>
  <c r="AD349" i="12" s="1"/>
  <c r="AA349" i="12"/>
  <c r="AB349" i="12" s="1"/>
  <c r="Y349" i="12"/>
  <c r="Z349" i="12" s="1"/>
  <c r="K349" i="12"/>
  <c r="L349" i="12" s="1"/>
  <c r="U349" i="12"/>
  <c r="V349" i="12" s="1"/>
  <c r="S349" i="12"/>
  <c r="T349" i="12" s="1"/>
  <c r="J349" i="12"/>
  <c r="I349" i="12"/>
  <c r="G349" i="12"/>
  <c r="O349" i="12"/>
  <c r="P349" i="12" s="1"/>
  <c r="Q349" i="12"/>
  <c r="R349" i="12" s="1"/>
  <c r="F349" i="12"/>
  <c r="BC349" i="12"/>
  <c r="J311" i="1"/>
  <c r="G311" i="1"/>
  <c r="BF352" i="12"/>
  <c r="AK102" i="12"/>
  <c r="AC283" i="12"/>
  <c r="AD283" i="12" s="1"/>
  <c r="M283" i="12"/>
  <c r="N283" i="12" s="1"/>
  <c r="BK283" i="12"/>
  <c r="H285" i="1" s="1"/>
  <c r="U283" i="12"/>
  <c r="V283" i="12" s="1"/>
  <c r="S283" i="12"/>
  <c r="T283" i="12" s="1"/>
  <c r="AA283" i="12"/>
  <c r="AB283" i="12" s="1"/>
  <c r="Y283" i="12"/>
  <c r="Z283" i="12" s="1"/>
  <c r="K283" i="12"/>
  <c r="L283" i="12" s="1"/>
  <c r="J283" i="12"/>
  <c r="I283" i="12"/>
  <c r="BM283" i="12"/>
  <c r="Q283" i="12"/>
  <c r="R283" i="12" s="1"/>
  <c r="W283" i="12"/>
  <c r="X283" i="12" s="1"/>
  <c r="O283" i="12"/>
  <c r="P283" i="12" s="1"/>
  <c r="H283" i="12"/>
  <c r="G283" i="12"/>
  <c r="F283" i="12"/>
  <c r="AQ283" i="12"/>
  <c r="AG274" i="12"/>
  <c r="BI277" i="12"/>
  <c r="AG164" i="12"/>
  <c r="J342" i="1"/>
  <c r="G342" i="1"/>
  <c r="BO23" i="12"/>
  <c r="BH23" i="12"/>
  <c r="BI23" i="12" s="1"/>
  <c r="AH23" i="12"/>
  <c r="AG114" i="12"/>
  <c r="BX272" i="12"/>
  <c r="AY17" i="12"/>
  <c r="AZ17" i="12" s="1"/>
  <c r="BU17" i="12"/>
  <c r="BV17" i="12" s="1"/>
  <c r="BW17" i="12"/>
  <c r="BX17" i="12" s="1"/>
  <c r="AF17" i="12"/>
  <c r="AG17" i="12" s="1"/>
  <c r="AE58" i="12"/>
  <c r="BL58" i="12"/>
  <c r="BS58" i="12"/>
  <c r="BT58" i="12" s="1"/>
  <c r="BQ58" i="12"/>
  <c r="BQ355" i="12"/>
  <c r="BR355" i="12" s="1"/>
  <c r="BN355" i="12"/>
  <c r="AE355" i="12"/>
  <c r="BL355" i="12"/>
  <c r="BS355" i="12"/>
  <c r="BT355" i="12" s="1"/>
  <c r="AG272" i="12"/>
  <c r="G51" i="1"/>
  <c r="J51" i="1"/>
  <c r="BM338" i="12"/>
  <c r="AC338" i="12"/>
  <c r="AD338" i="12" s="1"/>
  <c r="BK338" i="12"/>
  <c r="H340" i="1" s="1"/>
  <c r="W338" i="12"/>
  <c r="X338" i="12" s="1"/>
  <c r="M338" i="12"/>
  <c r="N338" i="12" s="1"/>
  <c r="K338" i="12"/>
  <c r="L338" i="12" s="1"/>
  <c r="J338" i="12"/>
  <c r="I338" i="12"/>
  <c r="H338" i="12"/>
  <c r="G338" i="12"/>
  <c r="AA338" i="12"/>
  <c r="AB338" i="12" s="1"/>
  <c r="Q338" i="12"/>
  <c r="R338" i="12" s="1"/>
  <c r="U338" i="12"/>
  <c r="V338" i="12" s="1"/>
  <c r="S338" i="12"/>
  <c r="T338" i="12" s="1"/>
  <c r="Y338" i="12"/>
  <c r="Z338" i="12" s="1"/>
  <c r="O338" i="12"/>
  <c r="P338" i="12" s="1"/>
  <c r="F338" i="12"/>
  <c r="BC338" i="12"/>
  <c r="D135" i="12"/>
  <c r="AG135" i="12" s="1"/>
  <c r="D137" i="1"/>
  <c r="BO279" i="12"/>
  <c r="AH279" i="12"/>
  <c r="BH279" i="12"/>
  <c r="BI279" i="12" s="1"/>
  <c r="BE5" i="12"/>
  <c r="BD409" i="12"/>
  <c r="M313" i="12"/>
  <c r="N313" i="12" s="1"/>
  <c r="Q313" i="12"/>
  <c r="R313" i="12" s="1"/>
  <c r="Y313" i="12"/>
  <c r="Z313" i="12" s="1"/>
  <c r="AA313" i="12"/>
  <c r="AB313" i="12" s="1"/>
  <c r="W313" i="12"/>
  <c r="X313" i="12" s="1"/>
  <c r="U313" i="12"/>
  <c r="V313" i="12" s="1"/>
  <c r="BM313" i="12"/>
  <c r="J313" i="12"/>
  <c r="H313" i="12"/>
  <c r="G313" i="12"/>
  <c r="AC313" i="12"/>
  <c r="AD313" i="12" s="1"/>
  <c r="S313" i="12"/>
  <c r="T313" i="12" s="1"/>
  <c r="O313" i="12"/>
  <c r="P313" i="12" s="1"/>
  <c r="BK313" i="12"/>
  <c r="H315" i="1" s="1"/>
  <c r="K313" i="12"/>
  <c r="L313" i="12" s="1"/>
  <c r="I313" i="12"/>
  <c r="F313" i="12"/>
  <c r="AK313" i="12"/>
  <c r="AQ182" i="12"/>
  <c r="BI274" i="12"/>
  <c r="W45" i="12"/>
  <c r="X45" i="12" s="1"/>
  <c r="G45" i="12"/>
  <c r="K45" i="12"/>
  <c r="L45" i="12" s="1"/>
  <c r="AC45" i="12"/>
  <c r="AD45" i="12" s="1"/>
  <c r="J45" i="12"/>
  <c r="S45" i="12"/>
  <c r="T45" i="12" s="1"/>
  <c r="BK45" i="12"/>
  <c r="H47" i="1" s="1"/>
  <c r="F45" i="12"/>
  <c r="Y45" i="12"/>
  <c r="Z45" i="12" s="1"/>
  <c r="U45" i="12"/>
  <c r="V45" i="12" s="1"/>
  <c r="Q45" i="12"/>
  <c r="R45" i="12" s="1"/>
  <c r="O45" i="12"/>
  <c r="P45" i="12" s="1"/>
  <c r="AA45" i="12"/>
  <c r="AB45" i="12" s="1"/>
  <c r="M45" i="12"/>
  <c r="N45" i="12" s="1"/>
  <c r="H45" i="12"/>
  <c r="I45" i="12"/>
  <c r="BM45" i="12"/>
  <c r="AN45" i="12"/>
  <c r="AQ45" i="12"/>
  <c r="BF127" i="12"/>
  <c r="Q129" i="12"/>
  <c r="R129" i="12" s="1"/>
  <c r="O129" i="12"/>
  <c r="P129" i="12" s="1"/>
  <c r="K129" i="12"/>
  <c r="L129" i="12" s="1"/>
  <c r="AC129" i="12"/>
  <c r="AD129" i="12" s="1"/>
  <c r="J129" i="12"/>
  <c r="BM129" i="12"/>
  <c r="M129" i="12"/>
  <c r="N129" i="12" s="1"/>
  <c r="I129" i="12"/>
  <c r="S129" i="12"/>
  <c r="T129" i="12" s="1"/>
  <c r="H129" i="12"/>
  <c r="W129" i="12"/>
  <c r="X129" i="12" s="1"/>
  <c r="AA129" i="12"/>
  <c r="AB129" i="12" s="1"/>
  <c r="G129" i="12"/>
  <c r="Y129" i="12"/>
  <c r="Z129" i="12" s="1"/>
  <c r="U129" i="12"/>
  <c r="V129" i="12" s="1"/>
  <c r="BK129" i="12"/>
  <c r="H131" i="1" s="1"/>
  <c r="F129" i="12"/>
  <c r="BF129" i="12"/>
  <c r="BH218" i="12"/>
  <c r="AH218" i="12"/>
  <c r="BO218" i="12"/>
  <c r="BF161" i="12"/>
  <c r="BI313" i="12"/>
  <c r="AK274" i="12"/>
  <c r="BS335" i="12"/>
  <c r="BT335" i="12" s="1"/>
  <c r="BQ335" i="12"/>
  <c r="BR335" i="12" s="1"/>
  <c r="BL335" i="12"/>
  <c r="BN335" i="12"/>
  <c r="AE335" i="12"/>
  <c r="AK201" i="12"/>
  <c r="BN367" i="12"/>
  <c r="AE367" i="12"/>
  <c r="BQ367" i="12"/>
  <c r="BR367" i="12" s="1"/>
  <c r="BS367" i="12"/>
  <c r="BT367" i="12" s="1"/>
  <c r="BL367" i="12"/>
  <c r="BF329" i="12"/>
  <c r="AA165" i="12"/>
  <c r="AB165" i="12" s="1"/>
  <c r="K165" i="12"/>
  <c r="L165" i="12" s="1"/>
  <c r="S165" i="12"/>
  <c r="T165" i="12" s="1"/>
  <c r="W165" i="12"/>
  <c r="X165" i="12" s="1"/>
  <c r="Y165" i="12"/>
  <c r="Z165" i="12" s="1"/>
  <c r="U165" i="12"/>
  <c r="V165" i="12" s="1"/>
  <c r="Q165" i="12"/>
  <c r="R165" i="12" s="1"/>
  <c r="G165" i="12"/>
  <c r="BM165" i="12"/>
  <c r="O165" i="12"/>
  <c r="P165" i="12" s="1"/>
  <c r="BK165" i="12"/>
  <c r="H167" i="1" s="1"/>
  <c r="M165" i="12"/>
  <c r="N165" i="12" s="1"/>
  <c r="J165" i="12"/>
  <c r="I165" i="12"/>
  <c r="H165" i="12"/>
  <c r="AC165" i="12"/>
  <c r="AD165" i="12" s="1"/>
  <c r="F165" i="12"/>
  <c r="AQ165" i="12"/>
  <c r="AN165" i="12"/>
  <c r="BC165" i="12"/>
  <c r="BF165" i="12"/>
  <c r="AZ340" i="12"/>
  <c r="BI327" i="12"/>
  <c r="BU138" i="12"/>
  <c r="BV138" i="12" s="1"/>
  <c r="AF138" i="12"/>
  <c r="AG138" i="12" s="1"/>
  <c r="BW138" i="12"/>
  <c r="BX138" i="12" s="1"/>
  <c r="AY138" i="12"/>
  <c r="AZ138" i="12" s="1"/>
  <c r="S14" i="12"/>
  <c r="T14" i="12" s="1"/>
  <c r="W14" i="12"/>
  <c r="X14" i="12" s="1"/>
  <c r="U14" i="12"/>
  <c r="V14" i="12" s="1"/>
  <c r="K14" i="12"/>
  <c r="L14" i="12" s="1"/>
  <c r="J14" i="12"/>
  <c r="Y14" i="12"/>
  <c r="Z14" i="12" s="1"/>
  <c r="Q14" i="12"/>
  <c r="R14" i="12" s="1"/>
  <c r="AC14" i="12"/>
  <c r="AD14" i="12" s="1"/>
  <c r="BM14" i="12"/>
  <c r="AA14" i="12"/>
  <c r="AB14" i="12" s="1"/>
  <c r="O14" i="12"/>
  <c r="P14" i="12" s="1"/>
  <c r="H14" i="12"/>
  <c r="G14" i="12"/>
  <c r="BK14" i="12"/>
  <c r="H16" i="1" s="1"/>
  <c r="M14" i="12"/>
  <c r="N14" i="12" s="1"/>
  <c r="I14" i="12"/>
  <c r="F14" i="12"/>
  <c r="G285" i="1"/>
  <c r="J285" i="1"/>
  <c r="AK171" i="12"/>
  <c r="AG37" i="12"/>
  <c r="BT265" i="12"/>
  <c r="AY121" i="12"/>
  <c r="AZ121" i="12" s="1"/>
  <c r="AF121" i="12"/>
  <c r="AG121" i="12" s="1"/>
  <c r="BU121" i="12"/>
  <c r="BV121" i="12" s="1"/>
  <c r="BW121" i="12"/>
  <c r="BX121" i="12" s="1"/>
  <c r="BF23" i="12"/>
  <c r="J151" i="1"/>
  <c r="G151" i="1"/>
  <c r="S198" i="12"/>
  <c r="T198" i="12" s="1"/>
  <c r="BK198" i="12"/>
  <c r="H200" i="1" s="1"/>
  <c r="U198" i="12"/>
  <c r="V198" i="12" s="1"/>
  <c r="Q198" i="12"/>
  <c r="R198" i="12" s="1"/>
  <c r="AC198" i="12"/>
  <c r="AD198" i="12" s="1"/>
  <c r="J198" i="12"/>
  <c r="Y198" i="12"/>
  <c r="Z198" i="12" s="1"/>
  <c r="W198" i="12"/>
  <c r="X198" i="12" s="1"/>
  <c r="BM198" i="12"/>
  <c r="I198" i="12"/>
  <c r="M198" i="12"/>
  <c r="N198" i="12" s="1"/>
  <c r="K198" i="12"/>
  <c r="L198" i="12" s="1"/>
  <c r="H198" i="12"/>
  <c r="G198" i="12"/>
  <c r="AA198" i="12"/>
  <c r="AB198" i="12" s="1"/>
  <c r="O198" i="12"/>
  <c r="P198" i="12" s="1"/>
  <c r="AN198" i="12"/>
  <c r="F198" i="12"/>
  <c r="BC180" i="12"/>
  <c r="H45" i="1"/>
  <c r="AZ341" i="12"/>
  <c r="AG278" i="12"/>
  <c r="J98" i="1"/>
  <c r="G98" i="1"/>
  <c r="BI64" i="12"/>
  <c r="BF223" i="12"/>
  <c r="BC198" i="12"/>
  <c r="BQ254" i="12"/>
  <c r="BR254" i="12" s="1"/>
  <c r="BN254" i="12"/>
  <c r="BL254" i="12"/>
  <c r="AE254" i="12"/>
  <c r="BS254" i="12"/>
  <c r="BT254" i="12" s="1"/>
  <c r="D271" i="12"/>
  <c r="D273" i="1"/>
  <c r="BO127" i="12"/>
  <c r="BH127" i="12"/>
  <c r="BI127" i="12" s="1"/>
  <c r="AH127" i="12"/>
  <c r="BU49" i="12"/>
  <c r="BV49" i="12" s="1"/>
  <c r="AF49" i="12"/>
  <c r="AG49" i="12" s="1"/>
  <c r="BW49" i="12"/>
  <c r="BX49" i="12" s="1"/>
  <c r="AY49" i="12"/>
  <c r="AZ49" i="12" s="1"/>
  <c r="J327" i="1"/>
  <c r="G327" i="1"/>
  <c r="AF355" i="12"/>
  <c r="AG355" i="12" s="1"/>
  <c r="BW355" i="12"/>
  <c r="BX355" i="12" s="1"/>
  <c r="BU355" i="12"/>
  <c r="BV355" i="12" s="1"/>
  <c r="AY355" i="12"/>
  <c r="AZ355" i="12" s="1"/>
  <c r="AY285" i="12"/>
  <c r="AZ285" i="12" s="1"/>
  <c r="BW285" i="12"/>
  <c r="BX285" i="12" s="1"/>
  <c r="BU285" i="12"/>
  <c r="BV285" i="12" s="1"/>
  <c r="AF285" i="12"/>
  <c r="AG285" i="12" s="1"/>
  <c r="J55" i="1"/>
  <c r="G55" i="1"/>
  <c r="O286" i="12"/>
  <c r="P286" i="12" s="1"/>
  <c r="BK286" i="12"/>
  <c r="H288" i="1" s="1"/>
  <c r="I286" i="12"/>
  <c r="Y286" i="12"/>
  <c r="Z286" i="12" s="1"/>
  <c r="H286" i="12"/>
  <c r="K286" i="12"/>
  <c r="L286" i="12" s="1"/>
  <c r="AC286" i="12"/>
  <c r="AD286" i="12" s="1"/>
  <c r="J286" i="12"/>
  <c r="G286" i="12"/>
  <c r="AA286" i="12"/>
  <c r="AB286" i="12" s="1"/>
  <c r="W286" i="12"/>
  <c r="X286" i="12" s="1"/>
  <c r="Q286" i="12"/>
  <c r="R286" i="12" s="1"/>
  <c r="U286" i="12"/>
  <c r="V286" i="12" s="1"/>
  <c r="BM286" i="12"/>
  <c r="M286" i="12"/>
  <c r="N286" i="12" s="1"/>
  <c r="S286" i="12"/>
  <c r="T286" i="12" s="1"/>
  <c r="F286" i="12"/>
  <c r="BC286" i="12"/>
  <c r="AK286" i="12"/>
  <c r="AK193" i="12"/>
  <c r="BW9" i="12"/>
  <c r="BX9" i="12" s="1"/>
  <c r="AY9" i="12"/>
  <c r="AZ9" i="12" s="1"/>
  <c r="BU9" i="12"/>
  <c r="BV9" i="12" s="1"/>
  <c r="AF9" i="12"/>
  <c r="AG9" i="12" s="1"/>
  <c r="BQ81" i="12"/>
  <c r="AE81" i="12"/>
  <c r="BS81" i="12"/>
  <c r="BT81" i="12" s="1"/>
  <c r="BN81" i="12"/>
  <c r="BL81" i="12"/>
  <c r="BI331" i="12"/>
  <c r="AH161" i="12"/>
  <c r="BO161" i="12"/>
  <c r="BH161" i="12"/>
  <c r="BI161" i="12" s="1"/>
  <c r="BN237" i="12"/>
  <c r="AE237" i="12"/>
  <c r="BL237" i="12"/>
  <c r="BS237" i="12"/>
  <c r="BT237" i="12" s="1"/>
  <c r="BQ237" i="12"/>
  <c r="BR237" i="12" s="1"/>
  <c r="BM348" i="12"/>
  <c r="BK348" i="12"/>
  <c r="H350" i="1" s="1"/>
  <c r="I348" i="12"/>
  <c r="G348" i="12"/>
  <c r="W348" i="12"/>
  <c r="X348" i="12" s="1"/>
  <c r="U348" i="12"/>
  <c r="V348" i="12" s="1"/>
  <c r="S348" i="12"/>
  <c r="T348" i="12" s="1"/>
  <c r="AA348" i="12"/>
  <c r="AB348" i="12" s="1"/>
  <c r="Y348" i="12"/>
  <c r="Z348" i="12" s="1"/>
  <c r="J348" i="12"/>
  <c r="H348" i="12"/>
  <c r="O348" i="12"/>
  <c r="P348" i="12" s="1"/>
  <c r="M348" i="12"/>
  <c r="N348" i="12" s="1"/>
  <c r="K348" i="12"/>
  <c r="L348" i="12" s="1"/>
  <c r="AC348" i="12"/>
  <c r="AD348" i="12" s="1"/>
  <c r="Q348" i="12"/>
  <c r="R348" i="12" s="1"/>
  <c r="F348" i="12"/>
  <c r="BF348" i="12"/>
  <c r="AK348" i="12"/>
  <c r="Y120" i="12"/>
  <c r="Z120" i="12" s="1"/>
  <c r="I120" i="12"/>
  <c r="H120" i="12"/>
  <c r="W120" i="12"/>
  <c r="X120" i="12" s="1"/>
  <c r="G120" i="12"/>
  <c r="O120" i="12"/>
  <c r="P120" i="12" s="1"/>
  <c r="BM120" i="12"/>
  <c r="BK120" i="12"/>
  <c r="H122" i="1" s="1"/>
  <c r="U120" i="12"/>
  <c r="V120" i="12" s="1"/>
  <c r="S120" i="12"/>
  <c r="T120" i="12" s="1"/>
  <c r="M120" i="12"/>
  <c r="N120" i="12" s="1"/>
  <c r="K120" i="12"/>
  <c r="L120" i="12" s="1"/>
  <c r="Q120" i="12"/>
  <c r="R120" i="12" s="1"/>
  <c r="J120" i="12"/>
  <c r="AC120" i="12"/>
  <c r="AD120" i="12" s="1"/>
  <c r="AA120" i="12"/>
  <c r="AB120" i="12" s="1"/>
  <c r="BC120" i="12"/>
  <c r="F120" i="12"/>
  <c r="AZ120" i="12"/>
  <c r="BF120" i="12"/>
  <c r="AG28" i="12"/>
  <c r="BC18" i="12"/>
  <c r="BO405" i="12"/>
  <c r="BH405" i="12"/>
  <c r="BI405" i="12" s="1"/>
  <c r="AH405" i="12"/>
  <c r="BS186" i="12"/>
  <c r="BT186" i="12" s="1"/>
  <c r="BQ186" i="12"/>
  <c r="BR186" i="12" s="1"/>
  <c r="BN186" i="12"/>
  <c r="AE186" i="12"/>
  <c r="BL186" i="12"/>
  <c r="AZ400" i="12"/>
  <c r="AK202" i="12"/>
  <c r="O290" i="12"/>
  <c r="P290" i="12" s="1"/>
  <c r="BM290" i="12"/>
  <c r="K290" i="12"/>
  <c r="L290" i="12" s="1"/>
  <c r="AA290" i="12"/>
  <c r="AB290" i="12" s="1"/>
  <c r="J290" i="12"/>
  <c r="BK290" i="12"/>
  <c r="H292" i="1" s="1"/>
  <c r="I290" i="12"/>
  <c r="Y290" i="12"/>
  <c r="Z290" i="12" s="1"/>
  <c r="W290" i="12"/>
  <c r="X290" i="12" s="1"/>
  <c r="AC290" i="12"/>
  <c r="AD290" i="12" s="1"/>
  <c r="S290" i="12"/>
  <c r="T290" i="12" s="1"/>
  <c r="Q290" i="12"/>
  <c r="R290" i="12" s="1"/>
  <c r="U290" i="12"/>
  <c r="V290" i="12" s="1"/>
  <c r="F290" i="12"/>
  <c r="M290" i="12"/>
  <c r="N290" i="12" s="1"/>
  <c r="H290" i="12"/>
  <c r="G290" i="12"/>
  <c r="AK290" i="12"/>
  <c r="J297" i="1"/>
  <c r="G297" i="1"/>
  <c r="BH335" i="12"/>
  <c r="AH335" i="12"/>
  <c r="BO335" i="12"/>
  <c r="AG240" i="12"/>
  <c r="AH271" i="12"/>
  <c r="BO271" i="12"/>
  <c r="BH271" i="12"/>
  <c r="AE98" i="12"/>
  <c r="BS98" i="12"/>
  <c r="BT98" i="12" s="1"/>
  <c r="BQ98" i="12"/>
  <c r="BL98" i="12"/>
  <c r="BN98" i="12"/>
  <c r="AK351" i="12"/>
  <c r="AZ85" i="12"/>
  <c r="BC282" i="12"/>
  <c r="H368" i="12"/>
  <c r="W368" i="12"/>
  <c r="X368" i="12" s="1"/>
  <c r="G368" i="12"/>
  <c r="J368" i="12"/>
  <c r="S368" i="12"/>
  <c r="T368" i="12" s="1"/>
  <c r="Y368" i="12"/>
  <c r="Z368" i="12" s="1"/>
  <c r="U368" i="12"/>
  <c r="V368" i="12" s="1"/>
  <c r="O368" i="12"/>
  <c r="P368" i="12" s="1"/>
  <c r="M368" i="12"/>
  <c r="N368" i="12" s="1"/>
  <c r="Q368" i="12"/>
  <c r="R368" i="12" s="1"/>
  <c r="K368" i="12"/>
  <c r="L368" i="12" s="1"/>
  <c r="BM368" i="12"/>
  <c r="I368" i="12"/>
  <c r="BK368" i="12"/>
  <c r="H370" i="1" s="1"/>
  <c r="AC368" i="12"/>
  <c r="AD368" i="12" s="1"/>
  <c r="AA368" i="12"/>
  <c r="AB368" i="12" s="1"/>
  <c r="F368" i="12"/>
  <c r="BC368" i="12"/>
  <c r="AF65" i="12"/>
  <c r="BW65" i="12"/>
  <c r="BX65" i="12" s="1"/>
  <c r="AY65" i="12"/>
  <c r="BU65" i="12"/>
  <c r="BV65" i="12" s="1"/>
  <c r="BI133" i="12"/>
  <c r="BQ337" i="12"/>
  <c r="BR337" i="12" s="1"/>
  <c r="BN337" i="12"/>
  <c r="BS337" i="12"/>
  <c r="BT337" i="12" s="1"/>
  <c r="AE337" i="12"/>
  <c r="BL337" i="12"/>
  <c r="BV398" i="12"/>
  <c r="Y116" i="12"/>
  <c r="Z116" i="12" s="1"/>
  <c r="I116" i="12"/>
  <c r="H116" i="12"/>
  <c r="W116" i="12"/>
  <c r="X116" i="12" s="1"/>
  <c r="G116" i="12"/>
  <c r="K116" i="12"/>
  <c r="L116" i="12" s="1"/>
  <c r="AC116" i="12"/>
  <c r="AD116" i="12" s="1"/>
  <c r="J116" i="12"/>
  <c r="BM116" i="12"/>
  <c r="O116" i="12"/>
  <c r="P116" i="12" s="1"/>
  <c r="Q116" i="12"/>
  <c r="R116" i="12" s="1"/>
  <c r="BK116" i="12"/>
  <c r="H118" i="1" s="1"/>
  <c r="AA116" i="12"/>
  <c r="AB116" i="12" s="1"/>
  <c r="M116" i="12"/>
  <c r="N116" i="12" s="1"/>
  <c r="S116" i="12"/>
  <c r="T116" i="12" s="1"/>
  <c r="U116" i="12"/>
  <c r="V116" i="12" s="1"/>
  <c r="F116" i="12"/>
  <c r="BF198" i="12"/>
  <c r="J164" i="1"/>
  <c r="G164" i="1"/>
  <c r="AZ168" i="12"/>
  <c r="BV381" i="12"/>
  <c r="D73" i="1"/>
  <c r="D71" i="12"/>
  <c r="AC279" i="12"/>
  <c r="AD279" i="12" s="1"/>
  <c r="M279" i="12"/>
  <c r="N279" i="12" s="1"/>
  <c r="BK279" i="12"/>
  <c r="H281" i="1" s="1"/>
  <c r="S279" i="12"/>
  <c r="T279" i="12" s="1"/>
  <c r="Q279" i="12"/>
  <c r="R279" i="12" s="1"/>
  <c r="G279" i="12"/>
  <c r="AA279" i="12"/>
  <c r="AB279" i="12" s="1"/>
  <c r="Y279" i="12"/>
  <c r="Z279" i="12" s="1"/>
  <c r="BM279" i="12"/>
  <c r="K279" i="12"/>
  <c r="L279" i="12" s="1"/>
  <c r="J279" i="12"/>
  <c r="W279" i="12"/>
  <c r="X279" i="12" s="1"/>
  <c r="I279" i="12"/>
  <c r="H279" i="12"/>
  <c r="O279" i="12"/>
  <c r="P279" i="12" s="1"/>
  <c r="U279" i="12"/>
  <c r="V279" i="12" s="1"/>
  <c r="F279" i="12"/>
  <c r="J330" i="1"/>
  <c r="G330" i="1"/>
  <c r="AZ174" i="12"/>
  <c r="AN47" i="12"/>
  <c r="AK114" i="12"/>
  <c r="BI217" i="12"/>
  <c r="AG353" i="12"/>
  <c r="AZ197" i="12"/>
  <c r="BI185" i="12"/>
  <c r="AZ165" i="12"/>
  <c r="S138" i="12"/>
  <c r="T138" i="12" s="1"/>
  <c r="Q138" i="12"/>
  <c r="R138" i="12" s="1"/>
  <c r="M138" i="12"/>
  <c r="N138" i="12" s="1"/>
  <c r="K138" i="12"/>
  <c r="L138" i="12" s="1"/>
  <c r="W138" i="12"/>
  <c r="X138" i="12" s="1"/>
  <c r="U138" i="12"/>
  <c r="V138" i="12" s="1"/>
  <c r="BM138" i="12"/>
  <c r="G138" i="12"/>
  <c r="BK138" i="12"/>
  <c r="Y138" i="12"/>
  <c r="Z138" i="12" s="1"/>
  <c r="O138" i="12"/>
  <c r="P138" i="12" s="1"/>
  <c r="AC138" i="12"/>
  <c r="AD138" i="12" s="1"/>
  <c r="AA138" i="12"/>
  <c r="AB138" i="12" s="1"/>
  <c r="I138" i="12"/>
  <c r="J138" i="12"/>
  <c r="H138" i="12"/>
  <c r="F138" i="12"/>
  <c r="BI272" i="12"/>
  <c r="D143" i="12"/>
  <c r="D145" i="1"/>
  <c r="BH102" i="12"/>
  <c r="BI102" i="12" s="1"/>
  <c r="AH102" i="12"/>
  <c r="BO102" i="12"/>
  <c r="AK205" i="12"/>
  <c r="BC133" i="12"/>
  <c r="J304" i="1"/>
  <c r="G304" i="1"/>
  <c r="D196" i="12"/>
  <c r="D198" i="1"/>
  <c r="J184" i="1"/>
  <c r="G184" i="1"/>
  <c r="AH58" i="12"/>
  <c r="BO58" i="12"/>
  <c r="BH58" i="12"/>
  <c r="BW374" i="12"/>
  <c r="BX374" i="12" s="1"/>
  <c r="AY374" i="12"/>
  <c r="AZ374" i="12" s="1"/>
  <c r="BU374" i="12"/>
  <c r="BV374" i="12" s="1"/>
  <c r="AF374" i="12"/>
  <c r="AG374" i="12" s="1"/>
  <c r="BR71" i="12"/>
  <c r="BW279" i="12"/>
  <c r="BX279" i="12" s="1"/>
  <c r="AF279" i="12"/>
  <c r="AG279" i="12" s="1"/>
  <c r="BU279" i="12"/>
  <c r="BV279" i="12" s="1"/>
  <c r="AY279" i="12"/>
  <c r="AZ279" i="12" s="1"/>
  <c r="J340" i="1"/>
  <c r="G340" i="1"/>
  <c r="D248" i="12"/>
  <c r="D250" i="1"/>
  <c r="BW19" i="12"/>
  <c r="BX19" i="12" s="1"/>
  <c r="AF19" i="12"/>
  <c r="AG19" i="12" s="1"/>
  <c r="BU19" i="12"/>
  <c r="BV19" i="12" s="1"/>
  <c r="AY19" i="12"/>
  <c r="AZ19" i="12" s="1"/>
  <c r="J196" i="1"/>
  <c r="G196" i="1"/>
  <c r="BO225" i="12"/>
  <c r="AH225" i="12"/>
  <c r="BH225" i="12"/>
  <c r="J91" i="1"/>
  <c r="G91" i="1"/>
  <c r="J315" i="1"/>
  <c r="G315" i="1"/>
  <c r="J47" i="1"/>
  <c r="G47" i="1"/>
  <c r="AK127" i="12"/>
  <c r="BO285" i="12"/>
  <c r="AH285" i="12"/>
  <c r="BH285" i="12"/>
  <c r="BI285" i="12" s="1"/>
  <c r="G131" i="1"/>
  <c r="J131" i="1"/>
  <c r="BH374" i="12"/>
  <c r="BI374" i="12" s="1"/>
  <c r="BO374" i="12"/>
  <c r="AH374" i="12"/>
  <c r="BI338" i="12"/>
  <c r="BM400" i="12"/>
  <c r="AA400" i="12"/>
  <c r="AB400" i="12" s="1"/>
  <c r="K400" i="12"/>
  <c r="L400" i="12" s="1"/>
  <c r="U400" i="12"/>
  <c r="V400" i="12" s="1"/>
  <c r="S400" i="12"/>
  <c r="T400" i="12" s="1"/>
  <c r="I400" i="12"/>
  <c r="H400" i="12"/>
  <c r="AC400" i="12"/>
  <c r="AD400" i="12" s="1"/>
  <c r="G400" i="12"/>
  <c r="BK400" i="12"/>
  <c r="H402" i="1" s="1"/>
  <c r="Y400" i="12"/>
  <c r="Z400" i="12" s="1"/>
  <c r="J400" i="12"/>
  <c r="W400" i="12"/>
  <c r="X400" i="12" s="1"/>
  <c r="Q400" i="12"/>
  <c r="R400" i="12" s="1"/>
  <c r="O400" i="12"/>
  <c r="P400" i="12" s="1"/>
  <c r="M400" i="12"/>
  <c r="N400" i="12" s="1"/>
  <c r="F400" i="12"/>
  <c r="AF385" i="12"/>
  <c r="AG385" i="12" s="1"/>
  <c r="BW385" i="12"/>
  <c r="BX385" i="12" s="1"/>
  <c r="BU385" i="12"/>
  <c r="BV385" i="12" s="1"/>
  <c r="AY385" i="12"/>
  <c r="AZ385" i="12" s="1"/>
  <c r="BM296" i="12"/>
  <c r="O296" i="12"/>
  <c r="P296" i="12" s="1"/>
  <c r="U296" i="12"/>
  <c r="V296" i="12" s="1"/>
  <c r="S296" i="12"/>
  <c r="T296" i="12" s="1"/>
  <c r="W296" i="12"/>
  <c r="X296" i="12" s="1"/>
  <c r="M296" i="12"/>
  <c r="N296" i="12" s="1"/>
  <c r="K296" i="12"/>
  <c r="L296" i="12" s="1"/>
  <c r="Y296" i="12"/>
  <c r="Z296" i="12" s="1"/>
  <c r="I296" i="12"/>
  <c r="BK296" i="12"/>
  <c r="H298" i="1" s="1"/>
  <c r="H296" i="12"/>
  <c r="G296" i="12"/>
  <c r="Q296" i="12"/>
  <c r="R296" i="12" s="1"/>
  <c r="J296" i="12"/>
  <c r="F296" i="12"/>
  <c r="AA296" i="12"/>
  <c r="AB296" i="12" s="1"/>
  <c r="AC296" i="12"/>
  <c r="AD296" i="12" s="1"/>
  <c r="BF296" i="12"/>
  <c r="BC296" i="12"/>
  <c r="J280" i="1"/>
  <c r="G280" i="1"/>
  <c r="BC335" i="12"/>
  <c r="BT240" i="12"/>
  <c r="BQ225" i="12"/>
  <c r="BR225" i="12" s="1"/>
  <c r="AE225" i="12"/>
  <c r="BL225" i="12"/>
  <c r="BS225" i="12"/>
  <c r="BT225" i="12" s="1"/>
  <c r="BN225" i="12"/>
  <c r="AR409" i="12"/>
  <c r="BL154" i="12"/>
  <c r="BS154" i="12"/>
  <c r="BT154" i="12" s="1"/>
  <c r="BQ154" i="12"/>
  <c r="BR154" i="12" s="1"/>
  <c r="BN154" i="12"/>
  <c r="AE154" i="12"/>
  <c r="J185" i="1"/>
  <c r="G185" i="1"/>
  <c r="J234" i="1"/>
  <c r="G234" i="1"/>
  <c r="AG340" i="12"/>
  <c r="G79" i="1"/>
  <c r="J79" i="1"/>
  <c r="G173" i="1"/>
  <c r="J173" i="1"/>
  <c r="J16" i="1"/>
  <c r="G16" i="1"/>
  <c r="H361" i="1"/>
  <c r="BC123" i="12"/>
  <c r="AZ70" i="12"/>
  <c r="AZ329" i="12"/>
  <c r="J30" i="1"/>
  <c r="G30" i="1"/>
  <c r="W53" i="12"/>
  <c r="X53" i="12" s="1"/>
  <c r="G53" i="12"/>
  <c r="AA53" i="12"/>
  <c r="AB53" i="12" s="1"/>
  <c r="J53" i="12"/>
  <c r="Y53" i="12"/>
  <c r="Z53" i="12" s="1"/>
  <c r="H53" i="12"/>
  <c r="O53" i="12"/>
  <c r="P53" i="12" s="1"/>
  <c r="BM53" i="12"/>
  <c r="Q53" i="12"/>
  <c r="R53" i="12" s="1"/>
  <c r="U53" i="12"/>
  <c r="V53" i="12" s="1"/>
  <c r="M53" i="12"/>
  <c r="N53" i="12" s="1"/>
  <c r="S53" i="12"/>
  <c r="T53" i="12" s="1"/>
  <c r="BK53" i="12"/>
  <c r="H55" i="1" s="1"/>
  <c r="AC53" i="12"/>
  <c r="AD53" i="12" s="1"/>
  <c r="K53" i="12"/>
  <c r="L53" i="12" s="1"/>
  <c r="I53" i="12"/>
  <c r="F53" i="12"/>
  <c r="AH151" i="12"/>
  <c r="BO151" i="12"/>
  <c r="BH151" i="12"/>
  <c r="BI151" i="12" s="1"/>
  <c r="AK237" i="12"/>
  <c r="BH255" i="12"/>
  <c r="AH255" i="12"/>
  <c r="BO255" i="12"/>
  <c r="BQ150" i="12"/>
  <c r="BR150" i="12" s="1"/>
  <c r="AE150" i="12"/>
  <c r="BN150" i="12"/>
  <c r="BS150" i="12"/>
  <c r="BT150" i="12" s="1"/>
  <c r="BL150" i="12"/>
  <c r="AK352" i="12"/>
  <c r="D228" i="12"/>
  <c r="D230" i="1"/>
  <c r="G97" i="12"/>
  <c r="W97" i="12"/>
  <c r="X97" i="12" s="1"/>
  <c r="U97" i="12"/>
  <c r="V97" i="12" s="1"/>
  <c r="BM97" i="12"/>
  <c r="S97" i="12"/>
  <c r="T97" i="12" s="1"/>
  <c r="O97" i="12"/>
  <c r="P97" i="12" s="1"/>
  <c r="M97" i="12"/>
  <c r="N97" i="12" s="1"/>
  <c r="BK97" i="12"/>
  <c r="H99" i="1" s="1"/>
  <c r="Q97" i="12"/>
  <c r="R97" i="12" s="1"/>
  <c r="H97" i="12"/>
  <c r="Y97" i="12"/>
  <c r="Z97" i="12" s="1"/>
  <c r="AA97" i="12"/>
  <c r="AB97" i="12" s="1"/>
  <c r="K97" i="12"/>
  <c r="L97" i="12" s="1"/>
  <c r="J97" i="12"/>
  <c r="I97" i="12"/>
  <c r="AC97" i="12"/>
  <c r="AD97" i="12" s="1"/>
  <c r="BF97" i="12"/>
  <c r="F97" i="12"/>
  <c r="U278" i="12"/>
  <c r="V278" i="12" s="1"/>
  <c r="Q278" i="12"/>
  <c r="R278" i="12" s="1"/>
  <c r="O278" i="12"/>
  <c r="P278" i="12" s="1"/>
  <c r="H278" i="12"/>
  <c r="AC278" i="12"/>
  <c r="AD278" i="12" s="1"/>
  <c r="G278" i="12"/>
  <c r="F278" i="12"/>
  <c r="AA278" i="12"/>
  <c r="AB278" i="12" s="1"/>
  <c r="J278" i="12"/>
  <c r="I278" i="12"/>
  <c r="W278" i="12"/>
  <c r="X278" i="12" s="1"/>
  <c r="BM278" i="12"/>
  <c r="S278" i="12"/>
  <c r="T278" i="12" s="1"/>
  <c r="BK278" i="12"/>
  <c r="H280" i="1" s="1"/>
  <c r="Y278" i="12"/>
  <c r="Z278" i="12" s="1"/>
  <c r="K278" i="12"/>
  <c r="L278" i="12" s="1"/>
  <c r="M278" i="12"/>
  <c r="N278" i="12" s="1"/>
  <c r="BF278" i="12"/>
  <c r="BO83" i="12"/>
  <c r="BH83" i="12"/>
  <c r="BI83" i="12" s="1"/>
  <c r="AH83" i="12"/>
  <c r="BC219" i="12"/>
  <c r="BC188" i="12"/>
  <c r="BU347" i="12"/>
  <c r="BV347" i="12" s="1"/>
  <c r="AF347" i="12"/>
  <c r="AG347" i="12" s="1"/>
  <c r="BW347" i="12"/>
  <c r="BX347" i="12" s="1"/>
  <c r="AY347" i="12"/>
  <c r="BK183" i="12"/>
  <c r="H185" i="1" s="1"/>
  <c r="AA183" i="12"/>
  <c r="AB183" i="12" s="1"/>
  <c r="K183" i="12"/>
  <c r="L183" i="12" s="1"/>
  <c r="J183" i="12"/>
  <c r="AC183" i="12"/>
  <c r="AD183" i="12" s="1"/>
  <c r="G183" i="12"/>
  <c r="Y183" i="12"/>
  <c r="Z183" i="12" s="1"/>
  <c r="BM183" i="12"/>
  <c r="O183" i="12"/>
  <c r="P183" i="12" s="1"/>
  <c r="W183" i="12"/>
  <c r="X183" i="12" s="1"/>
  <c r="U183" i="12"/>
  <c r="V183" i="12" s="1"/>
  <c r="I183" i="12"/>
  <c r="S183" i="12"/>
  <c r="T183" i="12" s="1"/>
  <c r="Q183" i="12"/>
  <c r="R183" i="12" s="1"/>
  <c r="H183" i="12"/>
  <c r="M183" i="12"/>
  <c r="N183" i="12" s="1"/>
  <c r="F183" i="12"/>
  <c r="AK183" i="12"/>
  <c r="AN183" i="12"/>
  <c r="BK209" i="12"/>
  <c r="H211" i="1" s="1"/>
  <c r="AA209" i="12"/>
  <c r="AB209" i="12" s="1"/>
  <c r="K209" i="12"/>
  <c r="L209" i="12" s="1"/>
  <c r="J209" i="12"/>
  <c r="I209" i="12"/>
  <c r="H209" i="12"/>
  <c r="AC209" i="12"/>
  <c r="AD209" i="12" s="1"/>
  <c r="G209" i="12"/>
  <c r="S209" i="12"/>
  <c r="T209" i="12" s="1"/>
  <c r="U209" i="12"/>
  <c r="V209" i="12" s="1"/>
  <c r="BM209" i="12"/>
  <c r="Y209" i="12"/>
  <c r="Z209" i="12" s="1"/>
  <c r="W209" i="12"/>
  <c r="X209" i="12" s="1"/>
  <c r="Q209" i="12"/>
  <c r="R209" i="12" s="1"/>
  <c r="M209" i="12"/>
  <c r="N209" i="12" s="1"/>
  <c r="O209" i="12"/>
  <c r="P209" i="12" s="1"/>
  <c r="BF209" i="12"/>
  <c r="F209" i="12"/>
  <c r="AK209" i="12"/>
  <c r="AQ209" i="12"/>
  <c r="AK297" i="12"/>
  <c r="G270" i="12"/>
  <c r="W270" i="12"/>
  <c r="X270" i="12" s="1"/>
  <c r="BK270" i="12"/>
  <c r="H272" i="1" s="1"/>
  <c r="O270" i="12"/>
  <c r="P270" i="12" s="1"/>
  <c r="M270" i="12"/>
  <c r="N270" i="12" s="1"/>
  <c r="Y270" i="12"/>
  <c r="Z270" i="12" s="1"/>
  <c r="U270" i="12"/>
  <c r="V270" i="12" s="1"/>
  <c r="S270" i="12"/>
  <c r="T270" i="12" s="1"/>
  <c r="H270" i="12"/>
  <c r="AA270" i="12"/>
  <c r="AB270" i="12" s="1"/>
  <c r="BM270" i="12"/>
  <c r="AC270" i="12"/>
  <c r="AD270" i="12" s="1"/>
  <c r="I270" i="12"/>
  <c r="J270" i="12"/>
  <c r="Q270" i="12"/>
  <c r="R270" i="12" s="1"/>
  <c r="K270" i="12"/>
  <c r="L270" i="12" s="1"/>
  <c r="F270" i="12"/>
  <c r="AG308" i="12"/>
  <c r="AC77" i="12"/>
  <c r="AD77" i="12" s="1"/>
  <c r="U77" i="12"/>
  <c r="V77" i="12" s="1"/>
  <c r="S77" i="12"/>
  <c r="T77" i="12" s="1"/>
  <c r="AA77" i="12"/>
  <c r="AB77" i="12" s="1"/>
  <c r="BM77" i="12"/>
  <c r="K77" i="12"/>
  <c r="L77" i="12" s="1"/>
  <c r="J77" i="12"/>
  <c r="W77" i="12"/>
  <c r="X77" i="12" s="1"/>
  <c r="G77" i="12"/>
  <c r="Y77" i="12"/>
  <c r="Z77" i="12" s="1"/>
  <c r="M77" i="12"/>
  <c r="N77" i="12" s="1"/>
  <c r="I77" i="12"/>
  <c r="Q77" i="12"/>
  <c r="R77" i="12" s="1"/>
  <c r="O77" i="12"/>
  <c r="P77" i="12" s="1"/>
  <c r="H77" i="12"/>
  <c r="BK77" i="12"/>
  <c r="H79" i="1" s="1"/>
  <c r="F77" i="12"/>
  <c r="AG219" i="12"/>
  <c r="J289" i="1"/>
  <c r="G289" i="1"/>
  <c r="AK341" i="12"/>
  <c r="BN121" i="12"/>
  <c r="AE121" i="12"/>
  <c r="BL121" i="12"/>
  <c r="BQ121" i="12"/>
  <c r="BR121" i="12" s="1"/>
  <c r="BS121" i="12"/>
  <c r="BT121" i="12" s="1"/>
  <c r="BC23" i="12"/>
  <c r="BN118" i="12"/>
  <c r="BL118" i="12"/>
  <c r="BQ118" i="12"/>
  <c r="BR118" i="12" s="1"/>
  <c r="AE118" i="12"/>
  <c r="BS118" i="12"/>
  <c r="BT118" i="12" s="1"/>
  <c r="BV382" i="12"/>
  <c r="AZ37" i="12"/>
  <c r="BI230" i="12"/>
  <c r="BW23" i="12"/>
  <c r="BX23" i="12" s="1"/>
  <c r="AY23" i="12"/>
  <c r="AZ23" i="12" s="1"/>
  <c r="BU23" i="12"/>
  <c r="BV23" i="12" s="1"/>
  <c r="AF23" i="12"/>
  <c r="AG23" i="12" s="1"/>
  <c r="AA149" i="12"/>
  <c r="AB149" i="12" s="1"/>
  <c r="K149" i="12"/>
  <c r="L149" i="12" s="1"/>
  <c r="AC149" i="12"/>
  <c r="AD149" i="12" s="1"/>
  <c r="BM149" i="12"/>
  <c r="J149" i="12"/>
  <c r="I149" i="12"/>
  <c r="M149" i="12"/>
  <c r="N149" i="12" s="1"/>
  <c r="H149" i="12"/>
  <c r="Q149" i="12"/>
  <c r="R149" i="12" s="1"/>
  <c r="O149" i="12"/>
  <c r="P149" i="12" s="1"/>
  <c r="G149" i="12"/>
  <c r="Y149" i="12"/>
  <c r="Z149" i="12" s="1"/>
  <c r="BK149" i="12"/>
  <c r="H151" i="1" s="1"/>
  <c r="S149" i="12"/>
  <c r="T149" i="12" s="1"/>
  <c r="F149" i="12"/>
  <c r="W149" i="12"/>
  <c r="X149" i="12" s="1"/>
  <c r="U149" i="12"/>
  <c r="V149" i="12" s="1"/>
  <c r="BC149" i="12"/>
  <c r="AG149" i="12"/>
  <c r="AE259" i="12"/>
  <c r="BS259" i="12"/>
  <c r="BQ259" i="12"/>
  <c r="BR259" i="12" s="1"/>
  <c r="BL259" i="12"/>
  <c r="BW61" i="12"/>
  <c r="BX61" i="12" s="1"/>
  <c r="AY61" i="12"/>
  <c r="BU61" i="12"/>
  <c r="BV61" i="12" s="1"/>
  <c r="AF61" i="12"/>
  <c r="AG265" i="12"/>
  <c r="AQ194" i="12"/>
  <c r="AK182" i="12"/>
  <c r="BI366" i="12"/>
  <c r="AY51" i="12"/>
  <c r="AZ51" i="12" s="1"/>
  <c r="AF51" i="12"/>
  <c r="AG51" i="12" s="1"/>
  <c r="BW51" i="12"/>
  <c r="BX51" i="12" s="1"/>
  <c r="BU51" i="12"/>
  <c r="BV51" i="12" s="1"/>
  <c r="AH254" i="12"/>
  <c r="BO254" i="12"/>
  <c r="BH254" i="12"/>
  <c r="BI254" i="12" s="1"/>
  <c r="G85" i="1"/>
  <c r="J85" i="1"/>
  <c r="J274" i="1"/>
  <c r="G274" i="1"/>
  <c r="BI386" i="12"/>
  <c r="O46" i="12"/>
  <c r="P46" i="12" s="1"/>
  <c r="S46" i="12"/>
  <c r="T46" i="12" s="1"/>
  <c r="Q46" i="12"/>
  <c r="R46" i="12" s="1"/>
  <c r="M46" i="12"/>
  <c r="N46" i="12" s="1"/>
  <c r="K46" i="12"/>
  <c r="L46" i="12" s="1"/>
  <c r="J46" i="12"/>
  <c r="I46" i="12"/>
  <c r="H46" i="12"/>
  <c r="G46" i="12"/>
  <c r="BM46" i="12"/>
  <c r="U46" i="12"/>
  <c r="V46" i="12" s="1"/>
  <c r="BK46" i="12"/>
  <c r="H48" i="1" s="1"/>
  <c r="AA46" i="12"/>
  <c r="AB46" i="12" s="1"/>
  <c r="AC46" i="12"/>
  <c r="AD46" i="12" s="1"/>
  <c r="Y46" i="12"/>
  <c r="Z46" i="12" s="1"/>
  <c r="W46" i="12"/>
  <c r="X46" i="12" s="1"/>
  <c r="F46" i="12"/>
  <c r="BN127" i="12"/>
  <c r="AE127" i="12"/>
  <c r="BL127" i="12"/>
  <c r="BQ127" i="12"/>
  <c r="BR127" i="12" s="1"/>
  <c r="BS127" i="12"/>
  <c r="BT127" i="12" s="1"/>
  <c r="O325" i="12"/>
  <c r="P325" i="12" s="1"/>
  <c r="AC325" i="12"/>
  <c r="AD325" i="12" s="1"/>
  <c r="H325" i="12"/>
  <c r="G325" i="12"/>
  <c r="AA325" i="12"/>
  <c r="AB325" i="12" s="1"/>
  <c r="Q325" i="12"/>
  <c r="R325" i="12" s="1"/>
  <c r="M325" i="12"/>
  <c r="N325" i="12" s="1"/>
  <c r="S325" i="12"/>
  <c r="T325" i="12" s="1"/>
  <c r="K325" i="12"/>
  <c r="L325" i="12" s="1"/>
  <c r="J325" i="12"/>
  <c r="Y325" i="12"/>
  <c r="Z325" i="12" s="1"/>
  <c r="W325" i="12"/>
  <c r="X325" i="12" s="1"/>
  <c r="U325" i="12"/>
  <c r="V325" i="12" s="1"/>
  <c r="BM325" i="12"/>
  <c r="BK325" i="12"/>
  <c r="H327" i="1" s="1"/>
  <c r="I325" i="12"/>
  <c r="F325" i="12"/>
  <c r="BC325" i="12"/>
  <c r="AQ325" i="12"/>
  <c r="BO103" i="12"/>
  <c r="BH103" i="12"/>
  <c r="BI103" i="12" s="1"/>
  <c r="AH103" i="12"/>
  <c r="AK106" i="12"/>
  <c r="D94" i="12"/>
  <c r="D96" i="1"/>
  <c r="AZ214" i="12"/>
  <c r="AE193" i="12"/>
  <c r="BS193" i="12"/>
  <c r="BT193" i="12" s="1"/>
  <c r="BQ193" i="12"/>
  <c r="BR193" i="12" s="1"/>
  <c r="BN193" i="12"/>
  <c r="BL193" i="12"/>
  <c r="BS9" i="12"/>
  <c r="BT9" i="12" s="1"/>
  <c r="AE9" i="12"/>
  <c r="BQ9" i="12"/>
  <c r="BR9" i="12" s="1"/>
  <c r="BN9" i="12"/>
  <c r="BL9" i="12"/>
  <c r="H11" i="1" s="1"/>
  <c r="BC81" i="12"/>
  <c r="AK133" i="12"/>
  <c r="G95" i="1"/>
  <c r="J95" i="1"/>
  <c r="BU161" i="12"/>
  <c r="BV161" i="12" s="1"/>
  <c r="AF161" i="12"/>
  <c r="AG161" i="12" s="1"/>
  <c r="BW161" i="12"/>
  <c r="BX161" i="12" s="1"/>
  <c r="AY161" i="12"/>
  <c r="AZ161" i="12" s="1"/>
  <c r="AF237" i="12"/>
  <c r="AG237" i="12" s="1"/>
  <c r="BW237" i="12"/>
  <c r="BX237" i="12" s="1"/>
  <c r="AY237" i="12"/>
  <c r="AZ237" i="12" s="1"/>
  <c r="BU237" i="12"/>
  <c r="BV237" i="12" s="1"/>
  <c r="BC378" i="12"/>
  <c r="BQ207" i="12"/>
  <c r="BR207" i="12" s="1"/>
  <c r="BL207" i="12"/>
  <c r="BS207" i="12"/>
  <c r="BT207" i="12" s="1"/>
  <c r="BN207" i="12"/>
  <c r="AE207" i="12"/>
  <c r="BH150" i="12"/>
  <c r="BI150" i="12" s="1"/>
  <c r="BO150" i="12"/>
  <c r="AH150" i="12"/>
  <c r="AE275" i="12"/>
  <c r="BS275" i="12"/>
  <c r="BT275" i="12" s="1"/>
  <c r="BQ275" i="12"/>
  <c r="BR275" i="12" s="1"/>
  <c r="BN275" i="12"/>
  <c r="BL275" i="12"/>
  <c r="AN209" i="12"/>
  <c r="BU186" i="12"/>
  <c r="BV186" i="12" s="1"/>
  <c r="AF186" i="12"/>
  <c r="AG186" i="12" s="1"/>
  <c r="BW186" i="12"/>
  <c r="BX186" i="12" s="1"/>
  <c r="AY186" i="12"/>
  <c r="AZ186" i="12" s="1"/>
  <c r="BR2" i="12"/>
  <c r="AZ327" i="12"/>
  <c r="AF83" i="12"/>
  <c r="AG83" i="12" s="1"/>
  <c r="BW83" i="12"/>
  <c r="BX83" i="12" s="1"/>
  <c r="BU83" i="12"/>
  <c r="BV83" i="12" s="1"/>
  <c r="AY83" i="12"/>
  <c r="AZ83" i="12" s="1"/>
  <c r="S295" i="12"/>
  <c r="T295" i="12" s="1"/>
  <c r="Q295" i="12"/>
  <c r="R295" i="12" s="1"/>
  <c r="AC295" i="12"/>
  <c r="AD295" i="12" s="1"/>
  <c r="H295" i="12"/>
  <c r="G295" i="12"/>
  <c r="AA295" i="12"/>
  <c r="AB295" i="12" s="1"/>
  <c r="BM295" i="12"/>
  <c r="BK295" i="12"/>
  <c r="H297" i="1" s="1"/>
  <c r="Y295" i="12"/>
  <c r="Z295" i="12" s="1"/>
  <c r="W295" i="12"/>
  <c r="X295" i="12" s="1"/>
  <c r="U295" i="12"/>
  <c r="V295" i="12" s="1"/>
  <c r="I295" i="12"/>
  <c r="K295" i="12"/>
  <c r="L295" i="12" s="1"/>
  <c r="M295" i="12"/>
  <c r="N295" i="12" s="1"/>
  <c r="J295" i="12"/>
  <c r="O295" i="12"/>
  <c r="P295" i="12" s="1"/>
  <c r="F295" i="12"/>
  <c r="D234" i="12"/>
  <c r="D236" i="1"/>
  <c r="BI278" i="12"/>
  <c r="BS271" i="12"/>
  <c r="BT271" i="12" s="1"/>
  <c r="BN271" i="12"/>
  <c r="BL271" i="12"/>
  <c r="AE271" i="12"/>
  <c r="BQ271" i="12"/>
  <c r="BR271" i="12" s="1"/>
  <c r="BO351" i="12"/>
  <c r="BH351" i="12"/>
  <c r="BI351" i="12" s="1"/>
  <c r="AH351" i="12"/>
  <c r="BA409" i="12"/>
  <c r="AQ282" i="12"/>
  <c r="D84" i="12"/>
  <c r="D86" i="1"/>
  <c r="BU337" i="12"/>
  <c r="BV337" i="12" s="1"/>
  <c r="AF337" i="12"/>
  <c r="AG337" i="12" s="1"/>
  <c r="AY337" i="12"/>
  <c r="AZ337" i="12" s="1"/>
  <c r="BW337" i="12"/>
  <c r="BX337" i="12" s="1"/>
  <c r="AA7" i="12"/>
  <c r="AB7" i="12" s="1"/>
  <c r="K7" i="12"/>
  <c r="L7" i="12" s="1"/>
  <c r="O7" i="12"/>
  <c r="P7" i="12" s="1"/>
  <c r="M7" i="12"/>
  <c r="N7" i="12" s="1"/>
  <c r="AC7" i="12"/>
  <c r="AD7" i="12" s="1"/>
  <c r="H7" i="12"/>
  <c r="G7" i="12"/>
  <c r="Y7" i="12"/>
  <c r="Z7" i="12" s="1"/>
  <c r="BM7" i="12"/>
  <c r="W7" i="12"/>
  <c r="X7" i="12" s="1"/>
  <c r="S7" i="12"/>
  <c r="T7" i="12" s="1"/>
  <c r="BK7" i="12"/>
  <c r="H9" i="1" s="1"/>
  <c r="U7" i="12"/>
  <c r="V7" i="12" s="1"/>
  <c r="Q7" i="12"/>
  <c r="R7" i="12" s="1"/>
  <c r="J7" i="12"/>
  <c r="I7" i="12"/>
  <c r="F7" i="12"/>
  <c r="AG7" i="12"/>
  <c r="J118" i="1"/>
  <c r="G118" i="1"/>
  <c r="AZ313" i="12"/>
  <c r="S162" i="12"/>
  <c r="T162" i="12" s="1"/>
  <c r="M162" i="12"/>
  <c r="N162" i="12" s="1"/>
  <c r="AC162" i="12"/>
  <c r="AD162" i="12" s="1"/>
  <c r="K162" i="12"/>
  <c r="L162" i="12" s="1"/>
  <c r="J162" i="12"/>
  <c r="I162" i="12"/>
  <c r="BM162" i="12"/>
  <c r="Y162" i="12"/>
  <c r="Z162" i="12" s="1"/>
  <c r="W162" i="12"/>
  <c r="X162" i="12" s="1"/>
  <c r="U162" i="12"/>
  <c r="V162" i="12" s="1"/>
  <c r="G162" i="12"/>
  <c r="Q162" i="12"/>
  <c r="R162" i="12" s="1"/>
  <c r="O162" i="12"/>
  <c r="P162" i="12" s="1"/>
  <c r="H162" i="12"/>
  <c r="BK162" i="12"/>
  <c r="H164" i="1" s="1"/>
  <c r="AA162" i="12"/>
  <c r="AB162" i="12" s="1"/>
  <c r="F162" i="12"/>
  <c r="AG304" i="12"/>
  <c r="AZ381" i="12"/>
  <c r="BI125" i="12"/>
  <c r="D240" i="12"/>
  <c r="D242" i="1"/>
  <c r="H65" i="1"/>
  <c r="N2" i="12"/>
  <c r="BO47" i="12"/>
  <c r="AH47" i="12"/>
  <c r="BH47" i="12"/>
  <c r="BI47" i="12" s="1"/>
  <c r="D262" i="12"/>
  <c r="D264" i="1"/>
  <c r="AY131" i="12"/>
  <c r="AZ131" i="12" s="1"/>
  <c r="AF131" i="12"/>
  <c r="AG131" i="12" s="1"/>
  <c r="BW131" i="12"/>
  <c r="BX131" i="12" s="1"/>
  <c r="BU131" i="12"/>
  <c r="BV131" i="12" s="1"/>
  <c r="BI340" i="12"/>
  <c r="BC205" i="12"/>
  <c r="AG165" i="12"/>
  <c r="AZ133" i="12"/>
  <c r="AQ181" i="12"/>
  <c r="H41" i="1"/>
  <c r="AG120" i="12"/>
  <c r="J140" i="1"/>
  <c r="G140" i="1"/>
  <c r="AQ296" i="12"/>
  <c r="BI226" i="12"/>
  <c r="G339" i="1"/>
  <c r="J339" i="1"/>
  <c r="BM302" i="12"/>
  <c r="BK302" i="12"/>
  <c r="H304" i="1" s="1"/>
  <c r="I302" i="12"/>
  <c r="G302" i="12"/>
  <c r="K302" i="12"/>
  <c r="L302" i="12" s="1"/>
  <c r="AC302" i="12"/>
  <c r="AD302" i="12" s="1"/>
  <c r="J302" i="12"/>
  <c r="U302" i="12"/>
  <c r="V302" i="12" s="1"/>
  <c r="S302" i="12"/>
  <c r="T302" i="12" s="1"/>
  <c r="Y302" i="12"/>
  <c r="Z302" i="12" s="1"/>
  <c r="W302" i="12"/>
  <c r="X302" i="12" s="1"/>
  <c r="Q302" i="12"/>
  <c r="R302" i="12" s="1"/>
  <c r="H302" i="12"/>
  <c r="AA302" i="12"/>
  <c r="AB302" i="12" s="1"/>
  <c r="O302" i="12"/>
  <c r="P302" i="12" s="1"/>
  <c r="M302" i="12"/>
  <c r="N302" i="12" s="1"/>
  <c r="F302" i="12"/>
  <c r="BC302" i="12"/>
  <c r="AQ302" i="12"/>
  <c r="O272" i="12"/>
  <c r="P272" i="12" s="1"/>
  <c r="M272" i="12"/>
  <c r="N272" i="12" s="1"/>
  <c r="Y272" i="12"/>
  <c r="Z272" i="12" s="1"/>
  <c r="W272" i="12"/>
  <c r="X272" i="12" s="1"/>
  <c r="S272" i="12"/>
  <c r="T272" i="12" s="1"/>
  <c r="Q272" i="12"/>
  <c r="R272" i="12" s="1"/>
  <c r="F272" i="12"/>
  <c r="AC272" i="12"/>
  <c r="AD272" i="12" s="1"/>
  <c r="BM272" i="12"/>
  <c r="AA272" i="12"/>
  <c r="AB272" i="12" s="1"/>
  <c r="H272" i="12"/>
  <c r="U272" i="12"/>
  <c r="V272" i="12" s="1"/>
  <c r="BK272" i="12"/>
  <c r="H274" i="1" s="1"/>
  <c r="I272" i="12"/>
  <c r="K272" i="12"/>
  <c r="L272" i="12" s="1"/>
  <c r="J272" i="12"/>
  <c r="G272" i="12"/>
  <c r="BN285" i="12"/>
  <c r="BL285" i="12"/>
  <c r="BS285" i="12"/>
  <c r="BT285" i="12" s="1"/>
  <c r="AE285" i="12"/>
  <c r="BQ285" i="12"/>
  <c r="BR285" i="12" s="1"/>
  <c r="BO81" i="12"/>
  <c r="BH81" i="12"/>
  <c r="AH81" i="12"/>
  <c r="BS11" i="12"/>
  <c r="BT11" i="12" s="1"/>
  <c r="BQ11" i="12"/>
  <c r="BR11" i="12" s="1"/>
  <c r="AE11" i="12"/>
  <c r="BL11" i="12"/>
  <c r="BN11" i="12"/>
  <c r="H92" i="12"/>
  <c r="BK92" i="12"/>
  <c r="H94" i="1" s="1"/>
  <c r="I92" i="12"/>
  <c r="Y92" i="12"/>
  <c r="Z92" i="12" s="1"/>
  <c r="G92" i="12"/>
  <c r="W92" i="12"/>
  <c r="X92" i="12" s="1"/>
  <c r="J92" i="12"/>
  <c r="AC92" i="12"/>
  <c r="AD92" i="12" s="1"/>
  <c r="S92" i="12"/>
  <c r="T92" i="12" s="1"/>
  <c r="U92" i="12"/>
  <c r="V92" i="12" s="1"/>
  <c r="Q92" i="12"/>
  <c r="R92" i="12" s="1"/>
  <c r="K92" i="12"/>
  <c r="L92" i="12" s="1"/>
  <c r="BM92" i="12"/>
  <c r="O92" i="12"/>
  <c r="P92" i="12" s="1"/>
  <c r="M92" i="12"/>
  <c r="N92" i="12" s="1"/>
  <c r="AA92" i="12"/>
  <c r="AB92" i="12" s="1"/>
  <c r="BI92" i="12"/>
  <c r="BC92" i="12"/>
  <c r="F92" i="12"/>
  <c r="BN92" i="12"/>
  <c r="AH186" i="12"/>
  <c r="BO186" i="12"/>
  <c r="BH186" i="12"/>
  <c r="BI186" i="12" s="1"/>
  <c r="AG327" i="12"/>
  <c r="S180" i="12"/>
  <c r="T180" i="12" s="1"/>
  <c r="I180" i="12"/>
  <c r="AA180" i="12"/>
  <c r="AB180" i="12" s="1"/>
  <c r="H180" i="12"/>
  <c r="G180" i="12"/>
  <c r="BM180" i="12"/>
  <c r="O180" i="12"/>
  <c r="P180" i="12" s="1"/>
  <c r="AC180" i="12"/>
  <c r="AD180" i="12" s="1"/>
  <c r="W180" i="12"/>
  <c r="X180" i="12" s="1"/>
  <c r="K180" i="12"/>
  <c r="L180" i="12" s="1"/>
  <c r="J180" i="12"/>
  <c r="BK180" i="12"/>
  <c r="H182" i="1" s="1"/>
  <c r="Q180" i="12"/>
  <c r="R180" i="12" s="1"/>
  <c r="M180" i="12"/>
  <c r="N180" i="12" s="1"/>
  <c r="U180" i="12"/>
  <c r="V180" i="12" s="1"/>
  <c r="Y180" i="12"/>
  <c r="Z180" i="12" s="1"/>
  <c r="F180" i="12"/>
  <c r="BI180" i="12"/>
  <c r="D70" i="12"/>
  <c r="D72" i="1"/>
  <c r="T2" i="12"/>
  <c r="BU305" i="12"/>
  <c r="BV305" i="12" s="1"/>
  <c r="AY305" i="12"/>
  <c r="AZ305" i="12" s="1"/>
  <c r="AF305" i="12"/>
  <c r="AG305" i="12" s="1"/>
  <c r="BW305" i="12"/>
  <c r="BX305" i="12" s="1"/>
  <c r="BK337" i="12"/>
  <c r="H339" i="1" s="1"/>
  <c r="W337" i="12"/>
  <c r="X337" i="12" s="1"/>
  <c r="U337" i="12"/>
  <c r="V337" i="12" s="1"/>
  <c r="Q337" i="12"/>
  <c r="R337" i="12" s="1"/>
  <c r="AC337" i="12"/>
  <c r="AD337" i="12" s="1"/>
  <c r="AA337" i="12"/>
  <c r="AB337" i="12" s="1"/>
  <c r="G337" i="12"/>
  <c r="Y337" i="12"/>
  <c r="Z337" i="12" s="1"/>
  <c r="I337" i="12"/>
  <c r="K337" i="12"/>
  <c r="L337" i="12" s="1"/>
  <c r="J337" i="12"/>
  <c r="H337" i="12"/>
  <c r="S337" i="12"/>
  <c r="T337" i="12" s="1"/>
  <c r="BM337" i="12"/>
  <c r="O337" i="12"/>
  <c r="P337" i="12" s="1"/>
  <c r="M337" i="12"/>
  <c r="N337" i="12" s="1"/>
  <c r="F337" i="12"/>
  <c r="BT248" i="12"/>
  <c r="J232" i="1"/>
  <c r="G232" i="1"/>
  <c r="BW118" i="12"/>
  <c r="BX118" i="12" s="1"/>
  <c r="AY118" i="12"/>
  <c r="AF118" i="12"/>
  <c r="BU118" i="12"/>
  <c r="BV118" i="12" s="1"/>
  <c r="BM340" i="12"/>
  <c r="AA340" i="12"/>
  <c r="AB340" i="12" s="1"/>
  <c r="H340" i="12"/>
  <c r="G340" i="12"/>
  <c r="Y340" i="12"/>
  <c r="Z340" i="12" s="1"/>
  <c r="F340" i="12"/>
  <c r="AC340" i="12"/>
  <c r="AD340" i="12" s="1"/>
  <c r="W340" i="12"/>
  <c r="X340" i="12" s="1"/>
  <c r="BK340" i="12"/>
  <c r="H342" i="1" s="1"/>
  <c r="U340" i="12"/>
  <c r="V340" i="12" s="1"/>
  <c r="Q340" i="12"/>
  <c r="R340" i="12" s="1"/>
  <c r="O340" i="12"/>
  <c r="P340" i="12" s="1"/>
  <c r="M340" i="12"/>
  <c r="N340" i="12" s="1"/>
  <c r="S340" i="12"/>
  <c r="T340" i="12" s="1"/>
  <c r="K340" i="12"/>
  <c r="L340" i="12" s="1"/>
  <c r="I340" i="12"/>
  <c r="J340" i="12"/>
  <c r="J276" i="1"/>
  <c r="G276" i="1"/>
  <c r="D79" i="12"/>
  <c r="D81" i="1"/>
  <c r="BS31" i="12"/>
  <c r="BT31" i="12" s="1"/>
  <c r="AE31" i="12"/>
  <c r="BQ31" i="12"/>
  <c r="BR31" i="12" s="1"/>
  <c r="BL31" i="12"/>
  <c r="BN31" i="12"/>
  <c r="D308" i="12"/>
  <c r="D310" i="1"/>
  <c r="BO319" i="12"/>
  <c r="AH319" i="12"/>
  <c r="BH319" i="12"/>
  <c r="BI319" i="12" s="1"/>
  <c r="J18" i="1"/>
  <c r="G18" i="1"/>
  <c r="G221" i="1"/>
  <c r="J221" i="1"/>
  <c r="J382" i="1"/>
  <c r="G382" i="1"/>
  <c r="AN193" i="12"/>
  <c r="BM352" i="12"/>
  <c r="BK352" i="12"/>
  <c r="H354" i="1" s="1"/>
  <c r="AC352" i="12"/>
  <c r="AD352" i="12" s="1"/>
  <c r="J352" i="12"/>
  <c r="H352" i="12"/>
  <c r="Y352" i="12"/>
  <c r="Z352" i="12" s="1"/>
  <c r="G352" i="12"/>
  <c r="U352" i="12"/>
  <c r="V352" i="12" s="1"/>
  <c r="S352" i="12"/>
  <c r="T352" i="12" s="1"/>
  <c r="AA352" i="12"/>
  <c r="AB352" i="12" s="1"/>
  <c r="W352" i="12"/>
  <c r="X352" i="12" s="1"/>
  <c r="O352" i="12"/>
  <c r="P352" i="12" s="1"/>
  <c r="M352" i="12"/>
  <c r="N352" i="12" s="1"/>
  <c r="K352" i="12"/>
  <c r="L352" i="12" s="1"/>
  <c r="I352" i="12"/>
  <c r="F352" i="12"/>
  <c r="Q352" i="12"/>
  <c r="R352" i="12" s="1"/>
  <c r="AN352" i="12"/>
  <c r="BF180" i="12"/>
  <c r="G229" i="1"/>
  <c r="J229" i="1"/>
  <c r="BU271" i="12"/>
  <c r="BV271" i="12" s="1"/>
  <c r="AY271" i="12"/>
  <c r="AZ271" i="12" s="1"/>
  <c r="AF271" i="12"/>
  <c r="AG271" i="12" s="1"/>
  <c r="BW271" i="12"/>
  <c r="BX271" i="12" s="1"/>
  <c r="BS282" i="12"/>
  <c r="BT282" i="12" s="1"/>
  <c r="BL282" i="12"/>
  <c r="BQ282" i="12"/>
  <c r="BR282" i="12" s="1"/>
  <c r="AE282" i="12"/>
  <c r="BN282" i="12"/>
  <c r="BH9" i="12"/>
  <c r="BI9" i="12" s="1"/>
  <c r="AH9" i="12"/>
  <c r="AH409" i="12" s="1"/>
  <c r="BO9" i="12"/>
  <c r="BI71" i="12"/>
  <c r="D357" i="12"/>
  <c r="D359" i="1"/>
  <c r="BX300" i="12"/>
  <c r="J384" i="1"/>
  <c r="G384" i="1"/>
  <c r="BC98" i="12"/>
  <c r="D331" i="12"/>
  <c r="D333" i="1"/>
  <c r="AY282" i="12"/>
  <c r="AZ282" i="12" s="1"/>
  <c r="BW282" i="12"/>
  <c r="BX282" i="12" s="1"/>
  <c r="AF282" i="12"/>
  <c r="AG282" i="12" s="1"/>
  <c r="BU282" i="12"/>
  <c r="BV282" i="12" s="1"/>
  <c r="J372" i="1"/>
  <c r="G372" i="1"/>
  <c r="AQ174" i="12"/>
  <c r="BI94" i="12"/>
  <c r="H23" i="12"/>
  <c r="M23" i="12"/>
  <c r="N23" i="12" s="1"/>
  <c r="Y23" i="12"/>
  <c r="Z23" i="12" s="1"/>
  <c r="U23" i="12"/>
  <c r="V23" i="12" s="1"/>
  <c r="W23" i="12"/>
  <c r="X23" i="12" s="1"/>
  <c r="AC23" i="12"/>
  <c r="AD23" i="12" s="1"/>
  <c r="S23" i="12"/>
  <c r="T23" i="12" s="1"/>
  <c r="AA23" i="12"/>
  <c r="AB23" i="12" s="1"/>
  <c r="O23" i="12"/>
  <c r="P23" i="12" s="1"/>
  <c r="Q23" i="12"/>
  <c r="R23" i="12" s="1"/>
  <c r="I23" i="12"/>
  <c r="G23" i="12"/>
  <c r="J23" i="12"/>
  <c r="BM23" i="12"/>
  <c r="K23" i="12"/>
  <c r="L23" i="12" s="1"/>
  <c r="BK23" i="12"/>
  <c r="F23" i="12"/>
  <c r="BX2" i="12"/>
  <c r="AZ89" i="12"/>
  <c r="BI360" i="12"/>
  <c r="BI79" i="12"/>
  <c r="AG366" i="12"/>
  <c r="J175" i="1"/>
  <c r="G175" i="1"/>
  <c r="J103" i="1"/>
  <c r="G103" i="1"/>
  <c r="BF30" i="12"/>
  <c r="H110" i="1"/>
  <c r="BS62" i="12"/>
  <c r="BT62" i="12" s="1"/>
  <c r="BQ62" i="12"/>
  <c r="BL62" i="12"/>
  <c r="AE62" i="12"/>
  <c r="BU211" i="12"/>
  <c r="BV211" i="12" s="1"/>
  <c r="AF211" i="12"/>
  <c r="AG211" i="12" s="1"/>
  <c r="AY211" i="12"/>
  <c r="AZ211" i="12" s="1"/>
  <c r="BW211" i="12"/>
  <c r="BX211" i="12" s="1"/>
  <c r="BW378" i="12"/>
  <c r="BX378" i="12" s="1"/>
  <c r="BU378" i="12"/>
  <c r="BV378" i="12" s="1"/>
  <c r="AY378" i="12"/>
  <c r="AZ378" i="12" s="1"/>
  <c r="AF378" i="12"/>
  <c r="AG378" i="12" s="1"/>
  <c r="BC313" i="12"/>
  <c r="H214" i="12"/>
  <c r="U214" i="12"/>
  <c r="V214" i="12" s="1"/>
  <c r="Y214" i="12"/>
  <c r="Z214" i="12" s="1"/>
  <c r="W214" i="12"/>
  <c r="X214" i="12" s="1"/>
  <c r="S214" i="12"/>
  <c r="T214" i="12" s="1"/>
  <c r="Q214" i="12"/>
  <c r="R214" i="12" s="1"/>
  <c r="BM214" i="12"/>
  <c r="I214" i="12"/>
  <c r="F214" i="12"/>
  <c r="AA214" i="12"/>
  <c r="AB214" i="12" s="1"/>
  <c r="O214" i="12"/>
  <c r="P214" i="12" s="1"/>
  <c r="AC214" i="12"/>
  <c r="AD214" i="12" s="1"/>
  <c r="M214" i="12"/>
  <c r="N214" i="12" s="1"/>
  <c r="G214" i="12"/>
  <c r="K214" i="12"/>
  <c r="L214" i="12" s="1"/>
  <c r="J214" i="12"/>
  <c r="BK214" i="12"/>
  <c r="H216" i="1" s="1"/>
  <c r="BF214" i="12"/>
  <c r="AQ214" i="12"/>
  <c r="AN180" i="12"/>
  <c r="H37" i="12"/>
  <c r="AC37" i="12"/>
  <c r="AD37" i="12" s="1"/>
  <c r="BM37" i="12"/>
  <c r="K37" i="12"/>
  <c r="L37" i="12" s="1"/>
  <c r="J37" i="12"/>
  <c r="AA37" i="12"/>
  <c r="AB37" i="12" s="1"/>
  <c r="G37" i="12"/>
  <c r="Q37" i="12"/>
  <c r="R37" i="12" s="1"/>
  <c r="S37" i="12"/>
  <c r="T37" i="12" s="1"/>
  <c r="O37" i="12"/>
  <c r="P37" i="12" s="1"/>
  <c r="M37" i="12"/>
  <c r="N37" i="12" s="1"/>
  <c r="I37" i="12"/>
  <c r="Y37" i="12"/>
  <c r="Z37" i="12" s="1"/>
  <c r="W37" i="12"/>
  <c r="X37" i="12" s="1"/>
  <c r="BK37" i="12"/>
  <c r="H39" i="1" s="1"/>
  <c r="U37" i="12"/>
  <c r="V37" i="12" s="1"/>
  <c r="F37" i="12"/>
  <c r="BC37" i="12"/>
  <c r="H370" i="12"/>
  <c r="W370" i="12"/>
  <c r="X370" i="12" s="1"/>
  <c r="G370" i="12"/>
  <c r="BK370" i="12"/>
  <c r="H372" i="1" s="1"/>
  <c r="U370" i="12"/>
  <c r="V370" i="12" s="1"/>
  <c r="BM370" i="12"/>
  <c r="O370" i="12"/>
  <c r="P370" i="12" s="1"/>
  <c r="M370" i="12"/>
  <c r="N370" i="12" s="1"/>
  <c r="K370" i="12"/>
  <c r="L370" i="12" s="1"/>
  <c r="S370" i="12"/>
  <c r="T370" i="12" s="1"/>
  <c r="Q370" i="12"/>
  <c r="R370" i="12" s="1"/>
  <c r="J370" i="12"/>
  <c r="I370" i="12"/>
  <c r="AC370" i="12"/>
  <c r="AD370" i="12" s="1"/>
  <c r="AA370" i="12"/>
  <c r="AB370" i="12" s="1"/>
  <c r="Y370" i="12"/>
  <c r="Z370" i="12" s="1"/>
  <c r="F370" i="12"/>
  <c r="BC297" i="12"/>
  <c r="BF300" i="12"/>
  <c r="U280" i="12"/>
  <c r="V280" i="12" s="1"/>
  <c r="S280" i="12"/>
  <c r="T280" i="12" s="1"/>
  <c r="Q280" i="12"/>
  <c r="R280" i="12" s="1"/>
  <c r="AC280" i="12"/>
  <c r="AD280" i="12" s="1"/>
  <c r="G280" i="12"/>
  <c r="F280" i="12"/>
  <c r="AA280" i="12"/>
  <c r="AB280" i="12" s="1"/>
  <c r="O280" i="12"/>
  <c r="P280" i="12" s="1"/>
  <c r="M280" i="12"/>
  <c r="N280" i="12" s="1"/>
  <c r="BM280" i="12"/>
  <c r="J280" i="12"/>
  <c r="I280" i="12"/>
  <c r="H280" i="12"/>
  <c r="W280" i="12"/>
  <c r="X280" i="12" s="1"/>
  <c r="K280" i="12"/>
  <c r="L280" i="12" s="1"/>
  <c r="Y280" i="12"/>
  <c r="Z280" i="12" s="1"/>
  <c r="BC280" i="12"/>
  <c r="AQ280" i="12"/>
  <c r="J380" i="1"/>
  <c r="G380" i="1"/>
  <c r="D334" i="12"/>
  <c r="AG334" i="12" s="1"/>
  <c r="D336" i="1"/>
  <c r="BM398" i="12"/>
  <c r="AA398" i="12"/>
  <c r="AB398" i="12" s="1"/>
  <c r="K398" i="12"/>
  <c r="L398" i="12" s="1"/>
  <c r="S398" i="12"/>
  <c r="T398" i="12" s="1"/>
  <c r="Q398" i="12"/>
  <c r="R398" i="12" s="1"/>
  <c r="U398" i="12"/>
  <c r="V398" i="12" s="1"/>
  <c r="I398" i="12"/>
  <c r="H398" i="12"/>
  <c r="G398" i="12"/>
  <c r="J398" i="12"/>
  <c r="W398" i="12"/>
  <c r="X398" i="12" s="1"/>
  <c r="O398" i="12"/>
  <c r="P398" i="12" s="1"/>
  <c r="AC398" i="12"/>
  <c r="AD398" i="12" s="1"/>
  <c r="Y398" i="12"/>
  <c r="Z398" i="12" s="1"/>
  <c r="M398" i="12"/>
  <c r="N398" i="12" s="1"/>
  <c r="F398" i="12"/>
  <c r="BF398" i="12"/>
  <c r="BI240" i="12"/>
  <c r="J322" i="1"/>
  <c r="G322" i="1"/>
  <c r="BC33" i="12"/>
  <c r="S18" i="12"/>
  <c r="T18" i="12" s="1"/>
  <c r="Y18" i="12"/>
  <c r="Z18" i="12" s="1"/>
  <c r="H18" i="12"/>
  <c r="W18" i="12"/>
  <c r="X18" i="12" s="1"/>
  <c r="M18" i="12"/>
  <c r="N18" i="12" s="1"/>
  <c r="K18" i="12"/>
  <c r="L18" i="12" s="1"/>
  <c r="BK18" i="12"/>
  <c r="H20" i="1" s="1"/>
  <c r="Q18" i="12"/>
  <c r="R18" i="12" s="1"/>
  <c r="BM18" i="12"/>
  <c r="O18" i="12"/>
  <c r="P18" i="12" s="1"/>
  <c r="J18" i="12"/>
  <c r="U18" i="12"/>
  <c r="V18" i="12" s="1"/>
  <c r="I18" i="12"/>
  <c r="G18" i="12"/>
  <c r="AC18" i="12"/>
  <c r="AD18" i="12" s="1"/>
  <c r="AA18" i="12"/>
  <c r="AB18" i="12" s="1"/>
  <c r="F18" i="12"/>
  <c r="C441" i="3"/>
  <c r="K427" i="3"/>
  <c r="J390" i="1"/>
  <c r="G390" i="1"/>
  <c r="J319" i="1"/>
  <c r="G319" i="1"/>
  <c r="G33" i="1"/>
  <c r="J33" i="1"/>
  <c r="BS51" i="12"/>
  <c r="BT51" i="12" s="1"/>
  <c r="BQ51" i="12"/>
  <c r="BR51" i="12" s="1"/>
  <c r="BL51" i="12"/>
  <c r="AE51" i="12"/>
  <c r="BN51" i="12"/>
  <c r="AA173" i="12"/>
  <c r="AB173" i="12" s="1"/>
  <c r="K173" i="12"/>
  <c r="L173" i="12" s="1"/>
  <c r="G173" i="12"/>
  <c r="W173" i="12"/>
  <c r="X173" i="12" s="1"/>
  <c r="J173" i="12"/>
  <c r="I173" i="12"/>
  <c r="AC173" i="12"/>
  <c r="AD173" i="12" s="1"/>
  <c r="H173" i="12"/>
  <c r="BM173" i="12"/>
  <c r="Y173" i="12"/>
  <c r="Z173" i="12" s="1"/>
  <c r="M173" i="12"/>
  <c r="N173" i="12" s="1"/>
  <c r="S173" i="12"/>
  <c r="T173" i="12" s="1"/>
  <c r="Q173" i="12"/>
  <c r="R173" i="12" s="1"/>
  <c r="BK173" i="12"/>
  <c r="H175" i="1" s="1"/>
  <c r="U173" i="12"/>
  <c r="V173" i="12" s="1"/>
  <c r="O173" i="12"/>
  <c r="P173" i="12" s="1"/>
  <c r="F173" i="12"/>
  <c r="AK173" i="12"/>
  <c r="BX321" i="12"/>
  <c r="BH275" i="12"/>
  <c r="BO275" i="12"/>
  <c r="AH275" i="12"/>
  <c r="AZ142" i="12"/>
  <c r="J308" i="1"/>
  <c r="G308" i="1"/>
  <c r="S168" i="12"/>
  <c r="T168" i="12" s="1"/>
  <c r="BK168" i="12"/>
  <c r="H170" i="1" s="1"/>
  <c r="I168" i="12"/>
  <c r="Y168" i="12"/>
  <c r="Z168" i="12" s="1"/>
  <c r="H168" i="12"/>
  <c r="G168" i="12"/>
  <c r="O168" i="12"/>
  <c r="P168" i="12" s="1"/>
  <c r="AA168" i="12"/>
  <c r="AB168" i="12" s="1"/>
  <c r="AC168" i="12"/>
  <c r="AD168" i="12" s="1"/>
  <c r="BM168" i="12"/>
  <c r="W168" i="12"/>
  <c r="X168" i="12" s="1"/>
  <c r="U168" i="12"/>
  <c r="V168" i="12" s="1"/>
  <c r="J168" i="12"/>
  <c r="K168" i="12"/>
  <c r="L168" i="12" s="1"/>
  <c r="Q168" i="12"/>
  <c r="R168" i="12" s="1"/>
  <c r="M168" i="12"/>
  <c r="N168" i="12" s="1"/>
  <c r="F168" i="12"/>
  <c r="AK168" i="12"/>
  <c r="D74" i="12"/>
  <c r="AG74" i="12" s="1"/>
  <c r="D76" i="1"/>
  <c r="BC298" i="12"/>
  <c r="BC300" i="12"/>
  <c r="J395" i="1"/>
  <c r="G395" i="1"/>
  <c r="AN234" i="12"/>
  <c r="J378" i="12"/>
  <c r="H378" i="12"/>
  <c r="AA378" i="12"/>
  <c r="AB378" i="12" s="1"/>
  <c r="G378" i="12"/>
  <c r="BM378" i="12"/>
  <c r="U378" i="12"/>
  <c r="V378" i="12" s="1"/>
  <c r="S378" i="12"/>
  <c r="T378" i="12" s="1"/>
  <c r="BK378" i="12"/>
  <c r="M378" i="12"/>
  <c r="N378" i="12" s="1"/>
  <c r="K378" i="12"/>
  <c r="L378" i="12" s="1"/>
  <c r="W378" i="12"/>
  <c r="X378" i="12" s="1"/>
  <c r="I378" i="12"/>
  <c r="F378" i="12"/>
  <c r="AC378" i="12"/>
  <c r="AD378" i="12" s="1"/>
  <c r="Y378" i="12"/>
  <c r="Z378" i="12" s="1"/>
  <c r="Q378" i="12"/>
  <c r="R378" i="12" s="1"/>
  <c r="O378" i="12"/>
  <c r="P378" i="12" s="1"/>
  <c r="AZ14" i="12"/>
  <c r="AG2" i="12"/>
  <c r="AG296" i="12"/>
  <c r="H106" i="1"/>
  <c r="D267" i="12"/>
  <c r="BT267" i="12" s="1"/>
  <c r="D269" i="1"/>
  <c r="AZ343" i="12"/>
  <c r="J188" i="1"/>
  <c r="G188" i="1"/>
  <c r="BO118" i="12"/>
  <c r="AH118" i="12"/>
  <c r="BH118" i="12"/>
  <c r="J104" i="1"/>
  <c r="G104" i="1"/>
  <c r="BW13" i="12"/>
  <c r="BX13" i="12" s="1"/>
  <c r="AY13" i="12"/>
  <c r="AZ13" i="12" s="1"/>
  <c r="BU13" i="12"/>
  <c r="BV13" i="12" s="1"/>
  <c r="AF13" i="12"/>
  <c r="AG13" i="12" s="1"/>
  <c r="J422" i="3"/>
  <c r="J388" i="12"/>
  <c r="O388" i="12"/>
  <c r="P388" i="12" s="1"/>
  <c r="M388" i="12"/>
  <c r="N388" i="12" s="1"/>
  <c r="U388" i="12"/>
  <c r="V388" i="12" s="1"/>
  <c r="S388" i="12"/>
  <c r="T388" i="12" s="1"/>
  <c r="AC388" i="12"/>
  <c r="AD388" i="12" s="1"/>
  <c r="AA388" i="12"/>
  <c r="AB388" i="12" s="1"/>
  <c r="I388" i="12"/>
  <c r="H388" i="12"/>
  <c r="G388" i="12"/>
  <c r="Y388" i="12"/>
  <c r="Z388" i="12" s="1"/>
  <c r="W388" i="12"/>
  <c r="X388" i="12" s="1"/>
  <c r="Q388" i="12"/>
  <c r="R388" i="12" s="1"/>
  <c r="K388" i="12"/>
  <c r="L388" i="12" s="1"/>
  <c r="BM388" i="12"/>
  <c r="F388" i="12"/>
  <c r="BF388" i="12"/>
  <c r="J10" i="1"/>
  <c r="G10" i="1"/>
  <c r="AZ366" i="12"/>
  <c r="J317" i="12"/>
  <c r="O317" i="12"/>
  <c r="P317" i="12" s="1"/>
  <c r="M317" i="12"/>
  <c r="N317" i="12" s="1"/>
  <c r="Q317" i="12"/>
  <c r="R317" i="12" s="1"/>
  <c r="BM317" i="12"/>
  <c r="AA317" i="12"/>
  <c r="AB317" i="12" s="1"/>
  <c r="I317" i="12"/>
  <c r="H317" i="12"/>
  <c r="G317" i="12"/>
  <c r="Y317" i="12"/>
  <c r="Z317" i="12" s="1"/>
  <c r="BK317" i="12"/>
  <c r="H319" i="1" s="1"/>
  <c r="W317" i="12"/>
  <c r="X317" i="12" s="1"/>
  <c r="U317" i="12"/>
  <c r="V317" i="12" s="1"/>
  <c r="K317" i="12"/>
  <c r="L317" i="12" s="1"/>
  <c r="AC317" i="12"/>
  <c r="AD317" i="12" s="1"/>
  <c r="S317" i="12"/>
  <c r="T317" i="12" s="1"/>
  <c r="F317" i="12"/>
  <c r="AN317" i="12"/>
  <c r="AF58" i="12"/>
  <c r="AY58" i="12"/>
  <c r="BW58" i="12"/>
  <c r="BX58" i="12" s="1"/>
  <c r="BU58" i="12"/>
  <c r="BV58" i="12" s="1"/>
  <c r="H31" i="12"/>
  <c r="Q31" i="12"/>
  <c r="R31" i="12" s="1"/>
  <c r="M31" i="12"/>
  <c r="N31" i="12" s="1"/>
  <c r="AA31" i="12"/>
  <c r="AB31" i="12" s="1"/>
  <c r="U31" i="12"/>
  <c r="V31" i="12" s="1"/>
  <c r="AC31" i="12"/>
  <c r="AD31" i="12" s="1"/>
  <c r="W31" i="12"/>
  <c r="X31" i="12" s="1"/>
  <c r="Y31" i="12"/>
  <c r="Z31" i="12" s="1"/>
  <c r="O31" i="12"/>
  <c r="P31" i="12" s="1"/>
  <c r="S31" i="12"/>
  <c r="T31" i="12" s="1"/>
  <c r="G31" i="12"/>
  <c r="F31" i="12"/>
  <c r="K31" i="12"/>
  <c r="L31" i="12" s="1"/>
  <c r="I31" i="12"/>
  <c r="J31" i="12"/>
  <c r="BM31" i="12"/>
  <c r="BW362" i="12"/>
  <c r="BX362" i="12" s="1"/>
  <c r="AF362" i="12"/>
  <c r="AY362" i="12"/>
  <c r="AZ362" i="12" s="1"/>
  <c r="BU362" i="12"/>
  <c r="BV362" i="12" s="1"/>
  <c r="BF51" i="12"/>
  <c r="D256" i="12"/>
  <c r="AZ256" i="12" s="1"/>
  <c r="D258" i="1"/>
  <c r="AH31" i="12"/>
  <c r="BH31" i="12"/>
  <c r="BI31" i="12" s="1"/>
  <c r="BO31" i="12"/>
  <c r="AG71" i="12"/>
  <c r="BR79" i="12"/>
  <c r="F5" i="2"/>
  <c r="K21" i="2"/>
  <c r="E18" i="2"/>
  <c r="I18" i="2" s="1"/>
  <c r="AZ230" i="12"/>
  <c r="BC319" i="12"/>
  <c r="AG182" i="12"/>
  <c r="D218" i="12"/>
  <c r="D220" i="1"/>
  <c r="AG321" i="12"/>
  <c r="D275" i="12"/>
  <c r="D277" i="1"/>
  <c r="AK165" i="12"/>
  <c r="BI182" i="12"/>
  <c r="AZ34" i="12"/>
  <c r="AQ46" i="12"/>
  <c r="BS401" i="12"/>
  <c r="BT401" i="12" s="1"/>
  <c r="BN401" i="12"/>
  <c r="BL401" i="12"/>
  <c r="H403" i="1" s="1"/>
  <c r="AE401" i="12"/>
  <c r="BQ401" i="12"/>
  <c r="BR401" i="12" s="1"/>
  <c r="BH211" i="12"/>
  <c r="BI211" i="12" s="1"/>
  <c r="AH211" i="12"/>
  <c r="BO211" i="12"/>
  <c r="AE255" i="12"/>
  <c r="BS255" i="12"/>
  <c r="BT255" i="12" s="1"/>
  <c r="BL255" i="12"/>
  <c r="BQ255" i="12"/>
  <c r="BR255" i="12" s="1"/>
  <c r="J366" i="1"/>
  <c r="G366" i="1"/>
  <c r="BF275" i="12"/>
  <c r="BC289" i="12"/>
  <c r="AZ322" i="12"/>
  <c r="BI267" i="12"/>
  <c r="BF217" i="12"/>
  <c r="AG198" i="12"/>
  <c r="BM336" i="12"/>
  <c r="W336" i="12"/>
  <c r="X336" i="12" s="1"/>
  <c r="U336" i="12"/>
  <c r="V336" i="12" s="1"/>
  <c r="G336" i="12"/>
  <c r="Y336" i="12"/>
  <c r="Z336" i="12" s="1"/>
  <c r="Q336" i="12"/>
  <c r="R336" i="12" s="1"/>
  <c r="O336" i="12"/>
  <c r="P336" i="12" s="1"/>
  <c r="M336" i="12"/>
  <c r="N336" i="12" s="1"/>
  <c r="AC336" i="12"/>
  <c r="AD336" i="12" s="1"/>
  <c r="AA336" i="12"/>
  <c r="AB336" i="12" s="1"/>
  <c r="K336" i="12"/>
  <c r="L336" i="12" s="1"/>
  <c r="J336" i="12"/>
  <c r="I336" i="12"/>
  <c r="H336" i="12"/>
  <c r="BK336" i="12"/>
  <c r="H338" i="1" s="1"/>
  <c r="F336" i="12"/>
  <c r="S336" i="12"/>
  <c r="T336" i="12" s="1"/>
  <c r="AN336" i="12"/>
  <c r="BF336" i="12"/>
  <c r="BM306" i="12"/>
  <c r="K306" i="12"/>
  <c r="L306" i="12" s="1"/>
  <c r="BK306" i="12"/>
  <c r="H308" i="1" s="1"/>
  <c r="I306" i="12"/>
  <c r="O306" i="12"/>
  <c r="P306" i="12" s="1"/>
  <c r="M306" i="12"/>
  <c r="N306" i="12" s="1"/>
  <c r="J306" i="12"/>
  <c r="H306" i="12"/>
  <c r="G306" i="12"/>
  <c r="AC306" i="12"/>
  <c r="AD306" i="12" s="1"/>
  <c r="AA306" i="12"/>
  <c r="AB306" i="12" s="1"/>
  <c r="Y306" i="12"/>
  <c r="Z306" i="12" s="1"/>
  <c r="Q306" i="12"/>
  <c r="R306" i="12" s="1"/>
  <c r="S306" i="12"/>
  <c r="T306" i="12" s="1"/>
  <c r="F306" i="12"/>
  <c r="U306" i="12"/>
  <c r="V306" i="12" s="1"/>
  <c r="W306" i="12"/>
  <c r="X306" i="12" s="1"/>
  <c r="AG300" i="12"/>
  <c r="AA5" i="12"/>
  <c r="AB5" i="12" s="1"/>
  <c r="K5" i="12"/>
  <c r="L5" i="12" s="1"/>
  <c r="S5" i="12"/>
  <c r="T5" i="12" s="1"/>
  <c r="J5" i="12"/>
  <c r="M5" i="12"/>
  <c r="N5" i="12" s="1"/>
  <c r="BK5" i="12"/>
  <c r="H7" i="1" s="1"/>
  <c r="I5" i="12"/>
  <c r="H5" i="12"/>
  <c r="AC5" i="12"/>
  <c r="AD5" i="12" s="1"/>
  <c r="F5" i="12"/>
  <c r="G5" i="12"/>
  <c r="W5" i="12"/>
  <c r="X5" i="12" s="1"/>
  <c r="Y5" i="12"/>
  <c r="Z5" i="12" s="1"/>
  <c r="O5" i="12"/>
  <c r="P5" i="12" s="1"/>
  <c r="BM5" i="12"/>
  <c r="U5" i="12"/>
  <c r="V5" i="12" s="1"/>
  <c r="Q5" i="12"/>
  <c r="R5" i="12" s="1"/>
  <c r="BC348" i="12"/>
  <c r="Y307" i="12"/>
  <c r="Z307" i="12" s="1"/>
  <c r="H307" i="12"/>
  <c r="W307" i="12"/>
  <c r="X307" i="12" s="1"/>
  <c r="Q307" i="12"/>
  <c r="R307" i="12" s="1"/>
  <c r="I307" i="12"/>
  <c r="S307" i="12"/>
  <c r="T307" i="12" s="1"/>
  <c r="O307" i="12"/>
  <c r="P307" i="12" s="1"/>
  <c r="M307" i="12"/>
  <c r="N307" i="12" s="1"/>
  <c r="U307" i="12"/>
  <c r="V307" i="12" s="1"/>
  <c r="BM307" i="12"/>
  <c r="K307" i="12"/>
  <c r="L307" i="12" s="1"/>
  <c r="J307" i="12"/>
  <c r="BK307" i="12"/>
  <c r="H309" i="1" s="1"/>
  <c r="AC307" i="12"/>
  <c r="AD307" i="12" s="1"/>
  <c r="AA307" i="12"/>
  <c r="AB307" i="12" s="1"/>
  <c r="G307" i="12"/>
  <c r="F307" i="12"/>
  <c r="AK307" i="12"/>
  <c r="BF307" i="12"/>
  <c r="J156" i="1"/>
  <c r="G156" i="1"/>
  <c r="BV399" i="12"/>
  <c r="AK142" i="12"/>
  <c r="AN351" i="12"/>
  <c r="J39" i="1"/>
  <c r="G39" i="1"/>
  <c r="E61" i="8"/>
  <c r="C61" i="8" s="1"/>
  <c r="K251" i="8"/>
  <c r="C251" i="8" s="1"/>
  <c r="AN360" i="12"/>
  <c r="AZ277" i="12"/>
  <c r="S393" i="12"/>
  <c r="T393" i="12" s="1"/>
  <c r="M393" i="12"/>
  <c r="N393" i="12" s="1"/>
  <c r="AC393" i="12"/>
  <c r="AD393" i="12" s="1"/>
  <c r="K393" i="12"/>
  <c r="L393" i="12" s="1"/>
  <c r="U393" i="12"/>
  <c r="V393" i="12" s="1"/>
  <c r="BM393" i="12"/>
  <c r="O393" i="12"/>
  <c r="P393" i="12" s="1"/>
  <c r="J393" i="12"/>
  <c r="H393" i="12"/>
  <c r="G393" i="12"/>
  <c r="Q393" i="12"/>
  <c r="R393" i="12" s="1"/>
  <c r="I393" i="12"/>
  <c r="AA393" i="12"/>
  <c r="AB393" i="12" s="1"/>
  <c r="Y393" i="12"/>
  <c r="Z393" i="12" s="1"/>
  <c r="W393" i="12"/>
  <c r="X393" i="12" s="1"/>
  <c r="BK393" i="12"/>
  <c r="F393" i="12"/>
  <c r="J138" i="1"/>
  <c r="G138" i="1"/>
  <c r="H344" i="1"/>
  <c r="BI197" i="12"/>
  <c r="AQ295" i="12"/>
  <c r="D301" i="12"/>
  <c r="AZ301" i="12" s="1"/>
  <c r="D303" i="1"/>
  <c r="AG204" i="12"/>
  <c r="J320" i="1"/>
  <c r="G320" i="1"/>
  <c r="BI214" i="12"/>
  <c r="BH35" i="12"/>
  <c r="BI35" i="12" s="1"/>
  <c r="AH35" i="12"/>
  <c r="BO35" i="12"/>
  <c r="AG306" i="12"/>
  <c r="AQ53" i="12"/>
  <c r="J356" i="1"/>
  <c r="G356" i="1"/>
  <c r="BI280" i="12"/>
  <c r="BF338" i="12"/>
  <c r="AZ296" i="12"/>
  <c r="BC148" i="12"/>
  <c r="BC168" i="12"/>
  <c r="BQ95" i="12"/>
  <c r="AE95" i="12"/>
  <c r="BL95" i="12"/>
  <c r="BS95" i="12"/>
  <c r="BT95" i="12" s="1"/>
  <c r="J171" i="1"/>
  <c r="G171" i="1"/>
  <c r="D82" i="12"/>
  <c r="D84" i="1"/>
  <c r="AG156" i="12"/>
  <c r="AZ264" i="12"/>
  <c r="BC214" i="12"/>
  <c r="S186" i="12"/>
  <c r="T186" i="12" s="1"/>
  <c r="G186" i="12"/>
  <c r="Y186" i="12"/>
  <c r="Z186" i="12" s="1"/>
  <c r="BM186" i="12"/>
  <c r="O186" i="12"/>
  <c r="P186" i="12" s="1"/>
  <c r="M186" i="12"/>
  <c r="N186" i="12" s="1"/>
  <c r="BK186" i="12"/>
  <c r="H188" i="1" s="1"/>
  <c r="AC186" i="12"/>
  <c r="AD186" i="12" s="1"/>
  <c r="AA186" i="12"/>
  <c r="AB186" i="12" s="1"/>
  <c r="J186" i="12"/>
  <c r="I186" i="12"/>
  <c r="H186" i="12"/>
  <c r="K186" i="12"/>
  <c r="L186" i="12" s="1"/>
  <c r="W186" i="12"/>
  <c r="X186" i="12" s="1"/>
  <c r="U186" i="12"/>
  <c r="V186" i="12" s="1"/>
  <c r="Q186" i="12"/>
  <c r="R186" i="12" s="1"/>
  <c r="F186" i="12"/>
  <c r="AZ269" i="12"/>
  <c r="AH51" i="12"/>
  <c r="BH51" i="12"/>
  <c r="BI51" i="12" s="1"/>
  <c r="BO51" i="12"/>
  <c r="G83" i="12"/>
  <c r="Y83" i="12"/>
  <c r="Z83" i="12" s="1"/>
  <c r="BK83" i="12"/>
  <c r="W83" i="12"/>
  <c r="X83" i="12" s="1"/>
  <c r="K83" i="12"/>
  <c r="L83" i="12" s="1"/>
  <c r="J83" i="12"/>
  <c r="I83" i="12"/>
  <c r="H83" i="12"/>
  <c r="U83" i="12"/>
  <c r="V83" i="12" s="1"/>
  <c r="AA83" i="12"/>
  <c r="AB83" i="12" s="1"/>
  <c r="O83" i="12"/>
  <c r="P83" i="12" s="1"/>
  <c r="S83" i="12"/>
  <c r="T83" i="12" s="1"/>
  <c r="BM83" i="12"/>
  <c r="Q83" i="12"/>
  <c r="R83" i="12" s="1"/>
  <c r="AC83" i="12"/>
  <c r="AD83" i="12" s="1"/>
  <c r="M83" i="12"/>
  <c r="N83" i="12" s="1"/>
  <c r="F83" i="12"/>
  <c r="BC193" i="12"/>
  <c r="J354" i="1"/>
  <c r="G354" i="1"/>
  <c r="U327" i="12"/>
  <c r="V327" i="12" s="1"/>
  <c r="Q327" i="12"/>
  <c r="R327" i="12" s="1"/>
  <c r="O327" i="12"/>
  <c r="P327" i="12" s="1"/>
  <c r="BM327" i="12"/>
  <c r="M327" i="12"/>
  <c r="N327" i="12" s="1"/>
  <c r="S327" i="12"/>
  <c r="T327" i="12" s="1"/>
  <c r="K327" i="12"/>
  <c r="L327" i="12" s="1"/>
  <c r="BK327" i="12"/>
  <c r="H329" i="1" s="1"/>
  <c r="AC327" i="12"/>
  <c r="AD327" i="12" s="1"/>
  <c r="W327" i="12"/>
  <c r="X327" i="12" s="1"/>
  <c r="J327" i="12"/>
  <c r="I327" i="12"/>
  <c r="AA327" i="12"/>
  <c r="AB327" i="12" s="1"/>
  <c r="Y327" i="12"/>
  <c r="Z327" i="12" s="1"/>
  <c r="G327" i="12"/>
  <c r="H327" i="12"/>
  <c r="F327" i="12"/>
  <c r="BC327" i="12"/>
  <c r="J190" i="1"/>
  <c r="G190" i="1"/>
  <c r="BL347" i="12"/>
  <c r="AE347" i="12"/>
  <c r="BS347" i="12"/>
  <c r="BT347" i="12" s="1"/>
  <c r="BN347" i="12"/>
  <c r="BQ347" i="12"/>
  <c r="BR347" i="12" s="1"/>
  <c r="G9" i="1"/>
  <c r="J9" i="1"/>
  <c r="J203" i="1"/>
  <c r="G203" i="1"/>
  <c r="AK113" i="12"/>
  <c r="J5" i="1"/>
  <c r="G5" i="1"/>
  <c r="BI206" i="12"/>
  <c r="J219" i="1"/>
  <c r="G219" i="1"/>
  <c r="BC182" i="12"/>
  <c r="AK180" i="12"/>
  <c r="AZ92" i="12"/>
  <c r="J388" i="1"/>
  <c r="G388" i="1"/>
  <c r="AF81" i="12"/>
  <c r="AG81" i="12" s="1"/>
  <c r="AY81" i="12"/>
  <c r="BW81" i="12"/>
  <c r="BX81" i="12" s="1"/>
  <c r="BU81" i="12"/>
  <c r="BV81" i="12" s="1"/>
  <c r="AH15" i="12"/>
  <c r="BO15" i="12"/>
  <c r="BH15" i="12"/>
  <c r="BI15" i="12" s="1"/>
  <c r="AQ34" i="12"/>
  <c r="J216" i="1"/>
  <c r="G216" i="1"/>
  <c r="AN296" i="12"/>
  <c r="BT2" i="12"/>
  <c r="J284" i="1"/>
  <c r="G284" i="1"/>
  <c r="O227" i="12"/>
  <c r="P227" i="12" s="1"/>
  <c r="AC227" i="12"/>
  <c r="AD227" i="12" s="1"/>
  <c r="K227" i="12"/>
  <c r="L227" i="12" s="1"/>
  <c r="J227" i="12"/>
  <c r="AA227" i="12"/>
  <c r="AB227" i="12" s="1"/>
  <c r="I227" i="12"/>
  <c r="S227" i="12"/>
  <c r="T227" i="12" s="1"/>
  <c r="BM227" i="12"/>
  <c r="Q227" i="12"/>
  <c r="R227" i="12" s="1"/>
  <c r="U227" i="12"/>
  <c r="V227" i="12" s="1"/>
  <c r="Y227" i="12"/>
  <c r="Z227" i="12" s="1"/>
  <c r="W227" i="12"/>
  <c r="X227" i="12" s="1"/>
  <c r="F227" i="12"/>
  <c r="BK227" i="12"/>
  <c r="M227" i="12"/>
  <c r="N227" i="12" s="1"/>
  <c r="H227" i="12"/>
  <c r="G227" i="12"/>
  <c r="BI352" i="12"/>
  <c r="AZ399" i="12"/>
  <c r="BC271" i="12"/>
  <c r="J166" i="1"/>
  <c r="G166" i="1"/>
  <c r="AE298" i="12"/>
  <c r="BS298" i="12"/>
  <c r="BT298" i="12" s="1"/>
  <c r="BN298" i="12"/>
  <c r="BL298" i="12"/>
  <c r="BQ298" i="12"/>
  <c r="BR298" i="12" s="1"/>
  <c r="AI409" i="12"/>
  <c r="BC227" i="12"/>
  <c r="AG217" i="12"/>
  <c r="D238" i="12"/>
  <c r="D240" i="1"/>
  <c r="BO95" i="12"/>
  <c r="BH95" i="12"/>
  <c r="AH95" i="12"/>
  <c r="BI82" i="12"/>
  <c r="H78" i="12"/>
  <c r="BK78" i="12"/>
  <c r="H80" i="1" s="1"/>
  <c r="I78" i="12"/>
  <c r="U78" i="12"/>
  <c r="V78" i="12" s="1"/>
  <c r="S78" i="12"/>
  <c r="T78" i="12" s="1"/>
  <c r="M78" i="12"/>
  <c r="N78" i="12" s="1"/>
  <c r="K78" i="12"/>
  <c r="L78" i="12" s="1"/>
  <c r="AC78" i="12"/>
  <c r="AD78" i="12" s="1"/>
  <c r="G78" i="12"/>
  <c r="F78" i="12"/>
  <c r="W78" i="12"/>
  <c r="X78" i="12" s="1"/>
  <c r="AA78" i="12"/>
  <c r="AB78" i="12" s="1"/>
  <c r="Y78" i="12"/>
  <c r="Z78" i="12" s="1"/>
  <c r="BM78" i="12"/>
  <c r="J78" i="12"/>
  <c r="O78" i="12"/>
  <c r="P78" i="12" s="1"/>
  <c r="Q78" i="12"/>
  <c r="R78" i="12" s="1"/>
  <c r="BC78" i="12"/>
  <c r="BF78" i="12"/>
  <c r="AK304" i="12"/>
  <c r="BX297" i="12"/>
  <c r="D299" i="12"/>
  <c r="D301" i="1"/>
  <c r="J20" i="1"/>
  <c r="G20" i="1"/>
  <c r="S75" i="12"/>
  <c r="T75" i="12" s="1"/>
  <c r="Q75" i="12"/>
  <c r="R75" i="12" s="1"/>
  <c r="W75" i="12"/>
  <c r="X75" i="12" s="1"/>
  <c r="BM75" i="12"/>
  <c r="M75" i="12"/>
  <c r="N75" i="12" s="1"/>
  <c r="K75" i="12"/>
  <c r="L75" i="12" s="1"/>
  <c r="J75" i="12"/>
  <c r="U75" i="12"/>
  <c r="V75" i="12" s="1"/>
  <c r="I75" i="12"/>
  <c r="H75" i="12"/>
  <c r="G75" i="12"/>
  <c r="F75" i="12"/>
  <c r="AA75" i="12"/>
  <c r="AB75" i="12" s="1"/>
  <c r="O75" i="12"/>
  <c r="P75" i="12" s="1"/>
  <c r="Y75" i="12"/>
  <c r="Z75" i="12" s="1"/>
  <c r="AC75" i="12"/>
  <c r="AD75" i="12" s="1"/>
  <c r="BK75" i="12"/>
  <c r="H77" i="1" s="1"/>
  <c r="BC75" i="12"/>
  <c r="AA177" i="12"/>
  <c r="AB177" i="12" s="1"/>
  <c r="K177" i="12"/>
  <c r="L177" i="12" s="1"/>
  <c r="I177" i="12"/>
  <c r="BK177" i="12"/>
  <c r="H179" i="1" s="1"/>
  <c r="Y177" i="12"/>
  <c r="Z177" i="12" s="1"/>
  <c r="H177" i="12"/>
  <c r="G177" i="12"/>
  <c r="O177" i="12"/>
  <c r="P177" i="12" s="1"/>
  <c r="M177" i="12"/>
  <c r="N177" i="12" s="1"/>
  <c r="J177" i="12"/>
  <c r="W177" i="12"/>
  <c r="X177" i="12" s="1"/>
  <c r="U177" i="12"/>
  <c r="V177" i="12" s="1"/>
  <c r="S177" i="12"/>
  <c r="T177" i="12" s="1"/>
  <c r="AC177" i="12"/>
  <c r="AD177" i="12" s="1"/>
  <c r="Q177" i="12"/>
  <c r="R177" i="12" s="1"/>
  <c r="BM177" i="12"/>
  <c r="F177" i="12"/>
  <c r="AN177" i="12"/>
  <c r="W223" i="12"/>
  <c r="X223" i="12" s="1"/>
  <c r="F223" i="12"/>
  <c r="U223" i="12"/>
  <c r="V223" i="12" s="1"/>
  <c r="M223" i="12"/>
  <c r="N223" i="12" s="1"/>
  <c r="O223" i="12"/>
  <c r="P223" i="12" s="1"/>
  <c r="BK223" i="12"/>
  <c r="H225" i="1" s="1"/>
  <c r="K223" i="12"/>
  <c r="L223" i="12" s="1"/>
  <c r="J223" i="12"/>
  <c r="I223" i="12"/>
  <c r="AA223" i="12"/>
  <c r="AB223" i="12" s="1"/>
  <c r="G223" i="12"/>
  <c r="Y223" i="12"/>
  <c r="Z223" i="12" s="1"/>
  <c r="Q223" i="12"/>
  <c r="R223" i="12" s="1"/>
  <c r="H223" i="12"/>
  <c r="S223" i="12"/>
  <c r="T223" i="12" s="1"/>
  <c r="BM223" i="12"/>
  <c r="AC223" i="12"/>
  <c r="AD223" i="12" s="1"/>
  <c r="BC223" i="12"/>
  <c r="AK319" i="12"/>
  <c r="AZ194" i="12"/>
  <c r="BF106" i="12"/>
  <c r="AK161" i="12"/>
  <c r="BC275" i="12"/>
  <c r="D146" i="12"/>
  <c r="D148" i="1"/>
  <c r="J170" i="1"/>
  <c r="G170" i="1"/>
  <c r="J382" i="12"/>
  <c r="H382" i="12"/>
  <c r="M382" i="12"/>
  <c r="N382" i="12" s="1"/>
  <c r="AC382" i="12"/>
  <c r="AD382" i="12" s="1"/>
  <c r="K382" i="12"/>
  <c r="L382" i="12" s="1"/>
  <c r="I382" i="12"/>
  <c r="W382" i="12"/>
  <c r="X382" i="12" s="1"/>
  <c r="U382" i="12"/>
  <c r="V382" i="12" s="1"/>
  <c r="G382" i="12"/>
  <c r="F382" i="12"/>
  <c r="BM382" i="12"/>
  <c r="S382" i="12"/>
  <c r="T382" i="12" s="1"/>
  <c r="AA382" i="12"/>
  <c r="AB382" i="12" s="1"/>
  <c r="BK382" i="12"/>
  <c r="H384" i="1" s="1"/>
  <c r="Y382" i="12"/>
  <c r="Z382" i="12" s="1"/>
  <c r="Q382" i="12"/>
  <c r="R382" i="12" s="1"/>
  <c r="O382" i="12"/>
  <c r="P382" i="12" s="1"/>
  <c r="S164" i="12"/>
  <c r="T164" i="12" s="1"/>
  <c r="G164" i="12"/>
  <c r="W164" i="12"/>
  <c r="X164" i="12" s="1"/>
  <c r="M164" i="12"/>
  <c r="N164" i="12" s="1"/>
  <c r="K164" i="12"/>
  <c r="L164" i="12" s="1"/>
  <c r="U164" i="12"/>
  <c r="V164" i="12" s="1"/>
  <c r="O164" i="12"/>
  <c r="P164" i="12" s="1"/>
  <c r="BM164" i="12"/>
  <c r="AC164" i="12"/>
  <c r="AD164" i="12" s="1"/>
  <c r="Q164" i="12"/>
  <c r="R164" i="12" s="1"/>
  <c r="J164" i="12"/>
  <c r="I164" i="12"/>
  <c r="H164" i="12"/>
  <c r="AA164" i="12"/>
  <c r="AB164" i="12" s="1"/>
  <c r="Y164" i="12"/>
  <c r="Z164" i="12" s="1"/>
  <c r="BK164" i="12"/>
  <c r="H166" i="1" s="1"/>
  <c r="F164" i="12"/>
  <c r="BF164" i="12"/>
  <c r="AF298" i="12"/>
  <c r="AG298" i="12" s="1"/>
  <c r="BW298" i="12"/>
  <c r="BX298" i="12" s="1"/>
  <c r="BU298" i="12"/>
  <c r="BV298" i="12" s="1"/>
  <c r="AY298" i="12"/>
  <c r="AZ298" i="12" s="1"/>
  <c r="AA153" i="12"/>
  <c r="AB153" i="12" s="1"/>
  <c r="K153" i="12"/>
  <c r="L153" i="12" s="1"/>
  <c r="M153" i="12"/>
  <c r="N153" i="12" s="1"/>
  <c r="AC153" i="12"/>
  <c r="AD153" i="12" s="1"/>
  <c r="Q153" i="12"/>
  <c r="R153" i="12" s="1"/>
  <c r="I153" i="12"/>
  <c r="H153" i="12"/>
  <c r="G153" i="12"/>
  <c r="W153" i="12"/>
  <c r="X153" i="12" s="1"/>
  <c r="S153" i="12"/>
  <c r="T153" i="12" s="1"/>
  <c r="O153" i="12"/>
  <c r="P153" i="12" s="1"/>
  <c r="J153" i="12"/>
  <c r="BM153" i="12"/>
  <c r="F153" i="12"/>
  <c r="BK153" i="12"/>
  <c r="H155" i="1" s="1"/>
  <c r="Y153" i="12"/>
  <c r="Z153" i="12" s="1"/>
  <c r="U153" i="12"/>
  <c r="V153" i="12" s="1"/>
  <c r="J127" i="1"/>
  <c r="G127" i="1"/>
  <c r="BC234" i="12"/>
  <c r="AZ2" i="12"/>
  <c r="J80" i="1"/>
  <c r="G80" i="1"/>
  <c r="AG297" i="12"/>
  <c r="BM91" i="12"/>
  <c r="K91" i="12"/>
  <c r="L91" i="12" s="1"/>
  <c r="AA91" i="12"/>
  <c r="AB91" i="12" s="1"/>
  <c r="J91" i="12"/>
  <c r="S91" i="12"/>
  <c r="T91" i="12" s="1"/>
  <c r="U91" i="12"/>
  <c r="V91" i="12" s="1"/>
  <c r="Q91" i="12"/>
  <c r="R91" i="12" s="1"/>
  <c r="H91" i="12"/>
  <c r="G91" i="12"/>
  <c r="AC91" i="12"/>
  <c r="AD91" i="12" s="1"/>
  <c r="Y91" i="12"/>
  <c r="Z91" i="12" s="1"/>
  <c r="M91" i="12"/>
  <c r="N91" i="12" s="1"/>
  <c r="I91" i="12"/>
  <c r="BK91" i="12"/>
  <c r="H93" i="1" s="1"/>
  <c r="O91" i="12"/>
  <c r="P91" i="12" s="1"/>
  <c r="W91" i="12"/>
  <c r="X91" i="12" s="1"/>
  <c r="F91" i="12"/>
  <c r="BF91" i="12"/>
  <c r="BC91" i="12"/>
  <c r="BN91" i="12"/>
  <c r="J108" i="1"/>
  <c r="G108" i="1"/>
  <c r="BS134" i="12"/>
  <c r="BT134" i="12" s="1"/>
  <c r="BQ134" i="12"/>
  <c r="BR134" i="12" s="1"/>
  <c r="AE134" i="12"/>
  <c r="BN134" i="12"/>
  <c r="BL134" i="12"/>
  <c r="AQ319" i="12"/>
  <c r="AG194" i="12"/>
  <c r="BC106" i="12"/>
  <c r="BI77" i="12"/>
  <c r="AQ177" i="12"/>
  <c r="AC381" i="12"/>
  <c r="AD381" i="12" s="1"/>
  <c r="K381" i="12"/>
  <c r="L381" i="12" s="1"/>
  <c r="AA381" i="12"/>
  <c r="AB381" i="12" s="1"/>
  <c r="I381" i="12"/>
  <c r="BM381" i="12"/>
  <c r="H381" i="12"/>
  <c r="Y381" i="12"/>
  <c r="Z381" i="12" s="1"/>
  <c r="U381" i="12"/>
  <c r="V381" i="12" s="1"/>
  <c r="S381" i="12"/>
  <c r="T381" i="12" s="1"/>
  <c r="G381" i="12"/>
  <c r="W381" i="12"/>
  <c r="X381" i="12" s="1"/>
  <c r="BK381" i="12"/>
  <c r="H383" i="1" s="1"/>
  <c r="Q381" i="12"/>
  <c r="R381" i="12" s="1"/>
  <c r="O381" i="12"/>
  <c r="P381" i="12" s="1"/>
  <c r="M381" i="12"/>
  <c r="N381" i="12" s="1"/>
  <c r="J381" i="12"/>
  <c r="F381" i="12"/>
  <c r="BF381" i="12"/>
  <c r="AH250" i="12"/>
  <c r="BO250" i="12"/>
  <c r="BH250" i="12"/>
  <c r="BI89" i="12"/>
  <c r="BO241" i="12"/>
  <c r="AH241" i="12"/>
  <c r="BH241" i="12"/>
  <c r="BI308" i="12"/>
  <c r="AZ97" i="12"/>
  <c r="BR74" i="12"/>
  <c r="Y126" i="12"/>
  <c r="Z126" i="12" s="1"/>
  <c r="I126" i="12"/>
  <c r="H126" i="12"/>
  <c r="W126" i="12"/>
  <c r="X126" i="12" s="1"/>
  <c r="G126" i="12"/>
  <c r="M126" i="12"/>
  <c r="N126" i="12" s="1"/>
  <c r="AC126" i="12"/>
  <c r="AD126" i="12" s="1"/>
  <c r="AA126" i="12"/>
  <c r="AB126" i="12" s="1"/>
  <c r="Q126" i="12"/>
  <c r="R126" i="12" s="1"/>
  <c r="U126" i="12"/>
  <c r="V126" i="12" s="1"/>
  <c r="BM126" i="12"/>
  <c r="O126" i="12"/>
  <c r="P126" i="12" s="1"/>
  <c r="K126" i="12"/>
  <c r="L126" i="12" s="1"/>
  <c r="J126" i="12"/>
  <c r="F126" i="12"/>
  <c r="BK126" i="12"/>
  <c r="H128" i="1" s="1"/>
  <c r="S126" i="12"/>
  <c r="T126" i="12" s="1"/>
  <c r="BF153" i="12"/>
  <c r="AQ227" i="12"/>
  <c r="BM320" i="12"/>
  <c r="BK320" i="12"/>
  <c r="H322" i="1" s="1"/>
  <c r="M320" i="12"/>
  <c r="N320" i="12" s="1"/>
  <c r="AC320" i="12"/>
  <c r="AD320" i="12" s="1"/>
  <c r="J320" i="12"/>
  <c r="S320" i="12"/>
  <c r="T320" i="12" s="1"/>
  <c r="Q320" i="12"/>
  <c r="R320" i="12" s="1"/>
  <c r="U320" i="12"/>
  <c r="V320" i="12" s="1"/>
  <c r="K320" i="12"/>
  <c r="L320" i="12" s="1"/>
  <c r="I320" i="12"/>
  <c r="H320" i="12"/>
  <c r="G320" i="12"/>
  <c r="O320" i="12"/>
  <c r="P320" i="12" s="1"/>
  <c r="F320" i="12"/>
  <c r="Y320" i="12"/>
  <c r="Z320" i="12" s="1"/>
  <c r="W320" i="12"/>
  <c r="X320" i="12" s="1"/>
  <c r="AA320" i="12"/>
  <c r="AB320" i="12" s="1"/>
  <c r="BC320" i="12"/>
  <c r="AK320" i="12"/>
  <c r="J78" i="1"/>
  <c r="G78" i="1"/>
  <c r="E62" i="8"/>
  <c r="C62" i="8" s="1"/>
  <c r="K252" i="8"/>
  <c r="C252" i="8" s="1"/>
  <c r="M261" i="8"/>
  <c r="C261" i="8" s="1"/>
  <c r="AE5" i="12"/>
  <c r="BL5" i="12"/>
  <c r="BL409" i="12" s="1"/>
  <c r="BQ5" i="12"/>
  <c r="BR5" i="12" s="1"/>
  <c r="BS5" i="12"/>
  <c r="BT5" i="12" s="1"/>
  <c r="BN5" i="12"/>
  <c r="Q22" i="12"/>
  <c r="R22" i="12" s="1"/>
  <c r="BK22" i="12"/>
  <c r="H24" i="1" s="1"/>
  <c r="U22" i="12"/>
  <c r="V22" i="12" s="1"/>
  <c r="AC22" i="12"/>
  <c r="AD22" i="12" s="1"/>
  <c r="H22" i="12"/>
  <c r="G22" i="12"/>
  <c r="Y22" i="12"/>
  <c r="Z22" i="12" s="1"/>
  <c r="W22" i="12"/>
  <c r="X22" i="12" s="1"/>
  <c r="O22" i="12"/>
  <c r="P22" i="12" s="1"/>
  <c r="S22" i="12"/>
  <c r="T22" i="12" s="1"/>
  <c r="M22" i="12"/>
  <c r="N22" i="12" s="1"/>
  <c r="K22" i="12"/>
  <c r="L22" i="12" s="1"/>
  <c r="J22" i="12"/>
  <c r="I22" i="12"/>
  <c r="AA22" i="12"/>
  <c r="AB22" i="12" s="1"/>
  <c r="BM22" i="12"/>
  <c r="F22" i="12"/>
  <c r="BF22" i="12"/>
  <c r="BS393" i="12"/>
  <c r="BT393" i="12" s="1"/>
  <c r="AE393" i="12"/>
  <c r="BQ393" i="12"/>
  <c r="BR393" i="12" s="1"/>
  <c r="BN393" i="12"/>
  <c r="BL393" i="12"/>
  <c r="H76" i="12"/>
  <c r="S76" i="12"/>
  <c r="T76" i="12" s="1"/>
  <c r="K76" i="12"/>
  <c r="L76" i="12" s="1"/>
  <c r="J76" i="12"/>
  <c r="M76" i="12"/>
  <c r="N76" i="12" s="1"/>
  <c r="BM76" i="12"/>
  <c r="I76" i="12"/>
  <c r="G76" i="12"/>
  <c r="U76" i="12"/>
  <c r="V76" i="12" s="1"/>
  <c r="AA76" i="12"/>
  <c r="AB76" i="12" s="1"/>
  <c r="AC76" i="12"/>
  <c r="AD76" i="12" s="1"/>
  <c r="BK76" i="12"/>
  <c r="H78" i="1" s="1"/>
  <c r="F76" i="12"/>
  <c r="Y76" i="12"/>
  <c r="Z76" i="12" s="1"/>
  <c r="Q76" i="12"/>
  <c r="R76" i="12" s="1"/>
  <c r="O76" i="12"/>
  <c r="P76" i="12" s="1"/>
  <c r="W76" i="12"/>
  <c r="X76" i="12" s="1"/>
  <c r="AZ76" i="12"/>
  <c r="BN76" i="12"/>
  <c r="J89" i="1"/>
  <c r="G89" i="1"/>
  <c r="G49" i="1"/>
  <c r="J49" i="1"/>
  <c r="BQ371" i="12"/>
  <c r="BR371" i="12" s="1"/>
  <c r="BN371" i="12"/>
  <c r="AE371" i="12"/>
  <c r="BS371" i="12"/>
  <c r="BT371" i="12" s="1"/>
  <c r="BL371" i="12"/>
  <c r="D81" i="12"/>
  <c r="D83" i="1"/>
  <c r="H102" i="12"/>
  <c r="U102" i="12"/>
  <c r="V102" i="12" s="1"/>
  <c r="BM102" i="12"/>
  <c r="O102" i="12"/>
  <c r="P102" i="12" s="1"/>
  <c r="BK102" i="12"/>
  <c r="J102" i="12"/>
  <c r="I102" i="12"/>
  <c r="G102" i="12"/>
  <c r="F102" i="12"/>
  <c r="Y102" i="12"/>
  <c r="Z102" i="12" s="1"/>
  <c r="AC102" i="12"/>
  <c r="AD102" i="12" s="1"/>
  <c r="AA102" i="12"/>
  <c r="AB102" i="12" s="1"/>
  <c r="W102" i="12"/>
  <c r="X102" i="12" s="1"/>
  <c r="M102" i="12"/>
  <c r="N102" i="12" s="1"/>
  <c r="K102" i="12"/>
  <c r="L102" i="12" s="1"/>
  <c r="S102" i="12"/>
  <c r="T102" i="12" s="1"/>
  <c r="Q102" i="12"/>
  <c r="R102" i="12" s="1"/>
  <c r="AQ183" i="12"/>
  <c r="BL13" i="12"/>
  <c r="H15" i="1" s="1"/>
  <c r="BN13" i="12"/>
  <c r="BS13" i="12"/>
  <c r="BT13" i="12" s="1"/>
  <c r="BQ13" i="12"/>
  <c r="BR13" i="12" s="1"/>
  <c r="AE13" i="12"/>
  <c r="BU393" i="12"/>
  <c r="BV393" i="12" s="1"/>
  <c r="AY393" i="12"/>
  <c r="AZ393" i="12" s="1"/>
  <c r="BW393" i="12"/>
  <c r="BX393" i="12" s="1"/>
  <c r="AF393" i="12"/>
  <c r="AG393" i="12" s="1"/>
  <c r="BI194" i="12"/>
  <c r="AZ180" i="12"/>
  <c r="AG143" i="12"/>
  <c r="S8" i="12"/>
  <c r="T8" i="12" s="1"/>
  <c r="BM8" i="12"/>
  <c r="K8" i="12"/>
  <c r="L8" i="12" s="1"/>
  <c r="BK8" i="12"/>
  <c r="H10" i="1" s="1"/>
  <c r="I8" i="12"/>
  <c r="Y8" i="12"/>
  <c r="Z8" i="12" s="1"/>
  <c r="H8" i="12"/>
  <c r="AA8" i="12"/>
  <c r="AB8" i="12" s="1"/>
  <c r="J8" i="12"/>
  <c r="G8" i="12"/>
  <c r="F8" i="12"/>
  <c r="AC8" i="12"/>
  <c r="AD8" i="12" s="1"/>
  <c r="W8" i="12"/>
  <c r="X8" i="12" s="1"/>
  <c r="M8" i="12"/>
  <c r="N8" i="12" s="1"/>
  <c r="U8" i="12"/>
  <c r="V8" i="12" s="1"/>
  <c r="Q8" i="12"/>
  <c r="R8" i="12" s="1"/>
  <c r="O8" i="12"/>
  <c r="P8" i="12" s="1"/>
  <c r="AZ8" i="12"/>
  <c r="BF8" i="12"/>
  <c r="D225" i="12"/>
  <c r="D227" i="1"/>
  <c r="BR94" i="12"/>
  <c r="J346" i="1"/>
  <c r="G346" i="1"/>
  <c r="J178" i="1"/>
  <c r="G178" i="1"/>
  <c r="BF362" i="12"/>
  <c r="AK153" i="12"/>
  <c r="BO134" i="12"/>
  <c r="AH134" i="12"/>
  <c r="BH134" i="12"/>
  <c r="BI134" i="12" s="1"/>
  <c r="BC51" i="12"/>
  <c r="D235" i="12"/>
  <c r="D237" i="1"/>
  <c r="BC31" i="12"/>
  <c r="H44" i="1"/>
  <c r="AZ87" i="12"/>
  <c r="BN75" i="12"/>
  <c r="D263" i="12"/>
  <c r="BT263" i="12" s="1"/>
  <c r="D265" i="1"/>
  <c r="AG230" i="12"/>
  <c r="BS319" i="12"/>
  <c r="BT319" i="12" s="1"/>
  <c r="BQ319" i="12"/>
  <c r="BR319" i="12" s="1"/>
  <c r="BN319" i="12"/>
  <c r="BL319" i="12"/>
  <c r="AE319" i="12"/>
  <c r="J206" i="1"/>
  <c r="G206" i="1"/>
  <c r="AZ173" i="12"/>
  <c r="AH106" i="12"/>
  <c r="BO106" i="12"/>
  <c r="BH106" i="12"/>
  <c r="BI106" i="12" s="1"/>
  <c r="H8" i="1"/>
  <c r="AK218" i="12"/>
  <c r="H110" i="12"/>
  <c r="W110" i="12"/>
  <c r="X110" i="12" s="1"/>
  <c r="G110" i="12"/>
  <c r="M110" i="12"/>
  <c r="N110" i="12" s="1"/>
  <c r="AC110" i="12"/>
  <c r="AD110" i="12" s="1"/>
  <c r="K110" i="12"/>
  <c r="L110" i="12" s="1"/>
  <c r="Q110" i="12"/>
  <c r="R110" i="12" s="1"/>
  <c r="BM110" i="12"/>
  <c r="O110" i="12"/>
  <c r="P110" i="12" s="1"/>
  <c r="U110" i="12"/>
  <c r="V110" i="12" s="1"/>
  <c r="S110" i="12"/>
  <c r="T110" i="12" s="1"/>
  <c r="BK110" i="12"/>
  <c r="H112" i="1" s="1"/>
  <c r="J110" i="12"/>
  <c r="AA110" i="12"/>
  <c r="AB110" i="12" s="1"/>
  <c r="Y110" i="12"/>
  <c r="Z110" i="12" s="1"/>
  <c r="I110" i="12"/>
  <c r="F110" i="12"/>
  <c r="BF110" i="12"/>
  <c r="J189" i="1"/>
  <c r="G189" i="1"/>
  <c r="AG34" i="12"/>
  <c r="AG338" i="12"/>
  <c r="BU401" i="12"/>
  <c r="BV401" i="12" s="1"/>
  <c r="AF401" i="12"/>
  <c r="AG401" i="12" s="1"/>
  <c r="BW401" i="12"/>
  <c r="BX401" i="12" s="1"/>
  <c r="AY401" i="12"/>
  <c r="AZ401" i="12" s="1"/>
  <c r="H364" i="12"/>
  <c r="W364" i="12"/>
  <c r="X364" i="12" s="1"/>
  <c r="G364" i="12"/>
  <c r="BM364" i="12"/>
  <c r="BK364" i="12"/>
  <c r="H366" i="1" s="1"/>
  <c r="Q364" i="12"/>
  <c r="R364" i="12" s="1"/>
  <c r="O364" i="12"/>
  <c r="P364" i="12" s="1"/>
  <c r="AC364" i="12"/>
  <c r="AD364" i="12" s="1"/>
  <c r="AA364" i="12"/>
  <c r="AB364" i="12" s="1"/>
  <c r="J364" i="12"/>
  <c r="I364" i="12"/>
  <c r="U364" i="12"/>
  <c r="V364" i="12" s="1"/>
  <c r="S364" i="12"/>
  <c r="T364" i="12" s="1"/>
  <c r="M364" i="12"/>
  <c r="N364" i="12" s="1"/>
  <c r="Y364" i="12"/>
  <c r="Z364" i="12" s="1"/>
  <c r="K364" i="12"/>
  <c r="L364" i="12" s="1"/>
  <c r="F364" i="12"/>
  <c r="AK364" i="12"/>
  <c r="BF364" i="12"/>
  <c r="BI265" i="12"/>
  <c r="BF194" i="12"/>
  <c r="H174" i="1"/>
  <c r="AG295" i="12"/>
  <c r="BF126" i="12"/>
  <c r="BF177" i="12"/>
  <c r="D314" i="12"/>
  <c r="D316" i="1"/>
  <c r="J7" i="1"/>
  <c r="G7" i="1"/>
  <c r="AZ380" i="12"/>
  <c r="AZ18" i="12"/>
  <c r="BI380" i="12"/>
  <c r="AY250" i="12"/>
  <c r="AF250" i="12"/>
  <c r="BU250" i="12"/>
  <c r="BV250" i="12" s="1"/>
  <c r="BW250" i="12"/>
  <c r="BX250" i="12" s="1"/>
  <c r="AZ149" i="12"/>
  <c r="BC183" i="12"/>
  <c r="S154" i="12"/>
  <c r="T154" i="12" s="1"/>
  <c r="AA154" i="12"/>
  <c r="AB154" i="12" s="1"/>
  <c r="J154" i="12"/>
  <c r="BK154" i="12"/>
  <c r="H156" i="1" s="1"/>
  <c r="I154" i="12"/>
  <c r="Y154" i="12"/>
  <c r="Z154" i="12" s="1"/>
  <c r="H154" i="12"/>
  <c r="AC154" i="12"/>
  <c r="AD154" i="12" s="1"/>
  <c r="F154" i="12"/>
  <c r="K154" i="12"/>
  <c r="L154" i="12" s="1"/>
  <c r="G154" i="12"/>
  <c r="U154" i="12"/>
  <c r="V154" i="12" s="1"/>
  <c r="BM154" i="12"/>
  <c r="Q154" i="12"/>
  <c r="R154" i="12" s="1"/>
  <c r="O154" i="12"/>
  <c r="P154" i="12" s="1"/>
  <c r="W154" i="12"/>
  <c r="X154" i="12" s="1"/>
  <c r="M154" i="12"/>
  <c r="N154" i="12" s="1"/>
  <c r="BF89" i="12"/>
  <c r="BF351" i="12"/>
  <c r="G355" i="1"/>
  <c r="J355" i="1"/>
  <c r="AG33" i="12"/>
  <c r="BI300" i="12"/>
  <c r="AG97" i="12"/>
  <c r="AQ336" i="12"/>
  <c r="S160" i="12"/>
  <c r="T160" i="12" s="1"/>
  <c r="U160" i="12"/>
  <c r="V160" i="12" s="1"/>
  <c r="J160" i="12"/>
  <c r="AC160" i="12"/>
  <c r="AD160" i="12" s="1"/>
  <c r="I160" i="12"/>
  <c r="H160" i="12"/>
  <c r="Q160" i="12"/>
  <c r="R160" i="12" s="1"/>
  <c r="BK160" i="12"/>
  <c r="H162" i="1" s="1"/>
  <c r="M160" i="12"/>
  <c r="N160" i="12" s="1"/>
  <c r="K160" i="12"/>
  <c r="L160" i="12" s="1"/>
  <c r="Y160" i="12"/>
  <c r="Z160" i="12" s="1"/>
  <c r="BM160" i="12"/>
  <c r="O160" i="12"/>
  <c r="P160" i="12" s="1"/>
  <c r="AA160" i="12"/>
  <c r="AB160" i="12" s="1"/>
  <c r="F160" i="12"/>
  <c r="W160" i="12"/>
  <c r="X160" i="12" s="1"/>
  <c r="G160" i="12"/>
  <c r="BC160" i="12"/>
  <c r="AQ160" i="12"/>
  <c r="AG277" i="12"/>
  <c r="H201" i="1"/>
  <c r="H22" i="1"/>
  <c r="AZ116" i="12"/>
  <c r="BM318" i="12"/>
  <c r="BK318" i="12"/>
  <c r="H320" i="1" s="1"/>
  <c r="AC318" i="12"/>
  <c r="AD318" i="12" s="1"/>
  <c r="J318" i="12"/>
  <c r="U318" i="12"/>
  <c r="V318" i="12" s="1"/>
  <c r="S318" i="12"/>
  <c r="T318" i="12" s="1"/>
  <c r="O318" i="12"/>
  <c r="P318" i="12" s="1"/>
  <c r="M318" i="12"/>
  <c r="N318" i="12" s="1"/>
  <c r="AA318" i="12"/>
  <c r="AB318" i="12" s="1"/>
  <c r="Y318" i="12"/>
  <c r="Z318" i="12" s="1"/>
  <c r="W318" i="12"/>
  <c r="X318" i="12" s="1"/>
  <c r="G318" i="12"/>
  <c r="H318" i="12"/>
  <c r="Q318" i="12"/>
  <c r="R318" i="12" s="1"/>
  <c r="K318" i="12"/>
  <c r="L318" i="12" s="1"/>
  <c r="I318" i="12"/>
  <c r="F318" i="12"/>
  <c r="AG123" i="12"/>
  <c r="AQ317" i="12"/>
  <c r="AG232" i="12"/>
  <c r="AG348" i="12"/>
  <c r="BL53" i="12"/>
  <c r="BN53" i="12"/>
  <c r="AE53" i="12"/>
  <c r="BQ53" i="12"/>
  <c r="BR53" i="12" s="1"/>
  <c r="BS53" i="12"/>
  <c r="BT53" i="12" s="1"/>
  <c r="BF174" i="12"/>
  <c r="X2" i="12"/>
  <c r="BS141" i="12"/>
  <c r="BT141" i="12" s="1"/>
  <c r="BQ141" i="12"/>
  <c r="BR141" i="12" s="1"/>
  <c r="AE141" i="12"/>
  <c r="BN141" i="12"/>
  <c r="BL141" i="12"/>
  <c r="D236" i="12"/>
  <c r="BI236" i="12" s="1"/>
  <c r="D238" i="1"/>
  <c r="AZ64" i="12"/>
  <c r="H354" i="12"/>
  <c r="O354" i="12"/>
  <c r="P354" i="12" s="1"/>
  <c r="M354" i="12"/>
  <c r="N354" i="12" s="1"/>
  <c r="K354" i="12"/>
  <c r="L354" i="12" s="1"/>
  <c r="AC354" i="12"/>
  <c r="AD354" i="12" s="1"/>
  <c r="J354" i="12"/>
  <c r="BK354" i="12"/>
  <c r="H356" i="1" s="1"/>
  <c r="I354" i="12"/>
  <c r="Y354" i="12"/>
  <c r="Z354" i="12" s="1"/>
  <c r="W354" i="12"/>
  <c r="X354" i="12" s="1"/>
  <c r="AA354" i="12"/>
  <c r="AB354" i="12" s="1"/>
  <c r="U354" i="12"/>
  <c r="V354" i="12" s="1"/>
  <c r="S354" i="12"/>
  <c r="T354" i="12" s="1"/>
  <c r="G354" i="12"/>
  <c r="F354" i="12"/>
  <c r="Q354" i="12"/>
  <c r="R354" i="12" s="1"/>
  <c r="BM354" i="12"/>
  <c r="BF399" i="12"/>
  <c r="AZ364" i="12"/>
  <c r="AZ91" i="12"/>
  <c r="AZ78" i="12"/>
  <c r="BI187" i="12"/>
  <c r="AA169" i="12"/>
  <c r="AB169" i="12" s="1"/>
  <c r="K169" i="12"/>
  <c r="L169" i="12" s="1"/>
  <c r="U169" i="12"/>
  <c r="V169" i="12" s="1"/>
  <c r="G169" i="12"/>
  <c r="F169" i="12"/>
  <c r="Y169" i="12"/>
  <c r="Z169" i="12" s="1"/>
  <c r="O169" i="12"/>
  <c r="P169" i="12" s="1"/>
  <c r="J169" i="12"/>
  <c r="I169" i="12"/>
  <c r="M169" i="12"/>
  <c r="N169" i="12" s="1"/>
  <c r="BK169" i="12"/>
  <c r="H171" i="1" s="1"/>
  <c r="Q169" i="12"/>
  <c r="R169" i="12" s="1"/>
  <c r="W169" i="12"/>
  <c r="X169" i="12" s="1"/>
  <c r="S169" i="12"/>
  <c r="T169" i="12" s="1"/>
  <c r="H169" i="12"/>
  <c r="BM169" i="12"/>
  <c r="AC169" i="12"/>
  <c r="AD169" i="12" s="1"/>
  <c r="BF169" i="12"/>
  <c r="BC34" i="12"/>
  <c r="AG181" i="12"/>
  <c r="D244" i="12"/>
  <c r="D246" i="1"/>
  <c r="AK272" i="12"/>
  <c r="AK296" i="12"/>
  <c r="AG386" i="12"/>
  <c r="BT264" i="12"/>
  <c r="J295" i="1"/>
  <c r="G295" i="1"/>
  <c r="AZ336" i="12"/>
  <c r="AY127" i="12"/>
  <c r="AZ127" i="12" s="1"/>
  <c r="AF127" i="12"/>
  <c r="BU127" i="12"/>
  <c r="BV127" i="12" s="1"/>
  <c r="BW127" i="12"/>
  <c r="BX127" i="12" s="1"/>
  <c r="AH147" i="12"/>
  <c r="BH147" i="12"/>
  <c r="BO147" i="12"/>
  <c r="U93" i="12"/>
  <c r="V93" i="12" s="1"/>
  <c r="BK93" i="12"/>
  <c r="H95" i="1" s="1"/>
  <c r="Q93" i="12"/>
  <c r="R93" i="12" s="1"/>
  <c r="O93" i="12"/>
  <c r="P93" i="12" s="1"/>
  <c r="AA93" i="12"/>
  <c r="AB93" i="12" s="1"/>
  <c r="Y93" i="12"/>
  <c r="Z93" i="12" s="1"/>
  <c r="M93" i="12"/>
  <c r="N93" i="12" s="1"/>
  <c r="K93" i="12"/>
  <c r="L93" i="12" s="1"/>
  <c r="J93" i="12"/>
  <c r="H93" i="12"/>
  <c r="G93" i="12"/>
  <c r="AC93" i="12"/>
  <c r="AD93" i="12" s="1"/>
  <c r="I93" i="12"/>
  <c r="W93" i="12"/>
  <c r="X93" i="12" s="1"/>
  <c r="BM93" i="12"/>
  <c r="S93" i="12"/>
  <c r="T93" i="12" s="1"/>
  <c r="F93" i="12"/>
  <c r="BF93" i="12"/>
  <c r="BW275" i="12"/>
  <c r="BU275" i="12"/>
  <c r="BV275" i="12" s="1"/>
  <c r="AF275" i="12"/>
  <c r="AY275" i="12"/>
  <c r="AZ275" i="12" s="1"/>
  <c r="BQ250" i="12"/>
  <c r="BR250" i="12" s="1"/>
  <c r="BL250" i="12"/>
  <c r="AE250" i="12"/>
  <c r="BS250" i="12"/>
  <c r="BO98" i="12"/>
  <c r="BH98" i="12"/>
  <c r="BI98" i="12" s="1"/>
  <c r="AH98" i="12"/>
  <c r="AG94" i="12"/>
  <c r="D229" i="12"/>
  <c r="D231" i="1"/>
  <c r="BF272" i="12"/>
  <c r="G323" i="1"/>
  <c r="J323" i="1"/>
  <c r="J217" i="1"/>
  <c r="G217" i="1"/>
  <c r="AA161" i="12"/>
  <c r="AB161" i="12" s="1"/>
  <c r="K161" i="12"/>
  <c r="L161" i="12" s="1"/>
  <c r="Q161" i="12"/>
  <c r="R161" i="12" s="1"/>
  <c r="BM161" i="12"/>
  <c r="U161" i="12"/>
  <c r="V161" i="12" s="1"/>
  <c r="I161" i="12"/>
  <c r="M161" i="12"/>
  <c r="N161" i="12" s="1"/>
  <c r="BK161" i="12"/>
  <c r="H163" i="1" s="1"/>
  <c r="AC161" i="12"/>
  <c r="AD161" i="12" s="1"/>
  <c r="O161" i="12"/>
  <c r="P161" i="12" s="1"/>
  <c r="Y161" i="12"/>
  <c r="Z161" i="12" s="1"/>
  <c r="J161" i="12"/>
  <c r="H161" i="12"/>
  <c r="G161" i="12"/>
  <c r="S161" i="12"/>
  <c r="T161" i="12" s="1"/>
  <c r="W161" i="12"/>
  <c r="X161" i="12" s="1"/>
  <c r="F161" i="12"/>
  <c r="BN111" i="12"/>
  <c r="AE111" i="12"/>
  <c r="BS111" i="12"/>
  <c r="BT111" i="12" s="1"/>
  <c r="BL111" i="12"/>
  <c r="BQ111" i="12"/>
  <c r="BR111" i="12" s="1"/>
  <c r="AH175" i="12"/>
  <c r="BH175" i="12"/>
  <c r="BI175" i="12" s="1"/>
  <c r="BO175" i="12"/>
  <c r="BI205" i="12"/>
  <c r="BN103" i="12"/>
  <c r="AE103" i="12"/>
  <c r="BS103" i="12"/>
  <c r="BT103" i="12" s="1"/>
  <c r="BQ103" i="12"/>
  <c r="BR103" i="12" s="1"/>
  <c r="BL103" i="12"/>
  <c r="H105" i="1" s="1"/>
  <c r="BN378" i="12"/>
  <c r="BL378" i="12"/>
  <c r="BS378" i="12"/>
  <c r="BT378" i="12" s="1"/>
  <c r="BQ378" i="12"/>
  <c r="BR378" i="12" s="1"/>
  <c r="AE378" i="12"/>
  <c r="D127" i="12"/>
  <c r="D129" i="1"/>
  <c r="BX327" i="12"/>
  <c r="BF335" i="12"/>
  <c r="S188" i="12"/>
  <c r="T188" i="12" s="1"/>
  <c r="Q188" i="12"/>
  <c r="R188" i="12" s="1"/>
  <c r="O188" i="12"/>
  <c r="P188" i="12" s="1"/>
  <c r="AA188" i="12"/>
  <c r="AB188" i="12" s="1"/>
  <c r="H188" i="12"/>
  <c r="Y188" i="12"/>
  <c r="Z188" i="12" s="1"/>
  <c r="K188" i="12"/>
  <c r="L188" i="12" s="1"/>
  <c r="M188" i="12"/>
  <c r="N188" i="12" s="1"/>
  <c r="J188" i="12"/>
  <c r="BM188" i="12"/>
  <c r="I188" i="12"/>
  <c r="BK188" i="12"/>
  <c r="H190" i="1" s="1"/>
  <c r="G188" i="12"/>
  <c r="AC188" i="12"/>
  <c r="AD188" i="12" s="1"/>
  <c r="W188" i="12"/>
  <c r="X188" i="12" s="1"/>
  <c r="U188" i="12"/>
  <c r="V188" i="12" s="1"/>
  <c r="F188" i="12"/>
  <c r="BF188" i="12"/>
  <c r="J331" i="1"/>
  <c r="G331" i="1"/>
  <c r="J150" i="1"/>
  <c r="G150" i="1"/>
  <c r="AN347" i="12"/>
  <c r="BK201" i="12"/>
  <c r="H203" i="1" s="1"/>
  <c r="AA201" i="12"/>
  <c r="AB201" i="12" s="1"/>
  <c r="K201" i="12"/>
  <c r="L201" i="12" s="1"/>
  <c r="J201" i="12"/>
  <c r="S201" i="12"/>
  <c r="T201" i="12" s="1"/>
  <c r="H201" i="12"/>
  <c r="M201" i="12"/>
  <c r="N201" i="12" s="1"/>
  <c r="I201" i="12"/>
  <c r="G201" i="12"/>
  <c r="W201" i="12"/>
  <c r="X201" i="12" s="1"/>
  <c r="F201" i="12"/>
  <c r="U201" i="12"/>
  <c r="V201" i="12" s="1"/>
  <c r="Y201" i="12"/>
  <c r="Z201" i="12" s="1"/>
  <c r="Q201" i="12"/>
  <c r="R201" i="12" s="1"/>
  <c r="BM201" i="12"/>
  <c r="AC201" i="12"/>
  <c r="AD201" i="12" s="1"/>
  <c r="O201" i="12"/>
  <c r="P201" i="12" s="1"/>
  <c r="AK234" i="12"/>
  <c r="J25" i="1"/>
  <c r="G25" i="1"/>
  <c r="AK141" i="12"/>
  <c r="BN113" i="12"/>
  <c r="AE113" i="12"/>
  <c r="BQ113" i="12"/>
  <c r="BR113" i="12" s="1"/>
  <c r="BS113" i="12"/>
  <c r="BT113" i="12" s="1"/>
  <c r="BL113" i="12"/>
  <c r="BO305" i="12"/>
  <c r="AH305" i="12"/>
  <c r="BH305" i="12"/>
  <c r="BI305" i="12" s="1"/>
  <c r="BF95" i="12"/>
  <c r="BR68" i="12"/>
  <c r="AF111" i="12"/>
  <c r="AG111" i="12" s="1"/>
  <c r="AY111" i="12"/>
  <c r="AZ111" i="12" s="1"/>
  <c r="BU111" i="12"/>
  <c r="BV111" i="12" s="1"/>
  <c r="BW111" i="12"/>
  <c r="BX111" i="12" s="1"/>
  <c r="AG273" i="12"/>
  <c r="H230" i="12"/>
  <c r="W230" i="12"/>
  <c r="X230" i="12" s="1"/>
  <c r="G230" i="12"/>
  <c r="O230" i="12"/>
  <c r="P230" i="12" s="1"/>
  <c r="M230" i="12"/>
  <c r="N230" i="12" s="1"/>
  <c r="BK230" i="12"/>
  <c r="H232" i="1" s="1"/>
  <c r="Q230" i="12"/>
  <c r="R230" i="12" s="1"/>
  <c r="Y230" i="12"/>
  <c r="Z230" i="12" s="1"/>
  <c r="U230" i="12"/>
  <c r="V230" i="12" s="1"/>
  <c r="F230" i="12"/>
  <c r="AC230" i="12"/>
  <c r="AD230" i="12" s="1"/>
  <c r="AA230" i="12"/>
  <c r="AB230" i="12" s="1"/>
  <c r="K230" i="12"/>
  <c r="L230" i="12" s="1"/>
  <c r="J230" i="12"/>
  <c r="BM230" i="12"/>
  <c r="I230" i="12"/>
  <c r="S230" i="12"/>
  <c r="T230" i="12" s="1"/>
  <c r="AQ230" i="12"/>
  <c r="BI174" i="12"/>
  <c r="BK274" i="12"/>
  <c r="H276" i="1" s="1"/>
  <c r="I274" i="12"/>
  <c r="Y274" i="12"/>
  <c r="Z274" i="12" s="1"/>
  <c r="H274" i="12"/>
  <c r="G274" i="12"/>
  <c r="W274" i="12"/>
  <c r="X274" i="12" s="1"/>
  <c r="Q274" i="12"/>
  <c r="R274" i="12" s="1"/>
  <c r="BM274" i="12"/>
  <c r="O274" i="12"/>
  <c r="P274" i="12" s="1"/>
  <c r="AA274" i="12"/>
  <c r="AB274" i="12" s="1"/>
  <c r="U274" i="12"/>
  <c r="V274" i="12" s="1"/>
  <c r="AC274" i="12"/>
  <c r="AD274" i="12" s="1"/>
  <c r="S274" i="12"/>
  <c r="T274" i="12" s="1"/>
  <c r="J274" i="12"/>
  <c r="M274" i="12"/>
  <c r="N274" i="12" s="1"/>
  <c r="K274" i="12"/>
  <c r="L274" i="12" s="1"/>
  <c r="F274" i="12"/>
  <c r="J77" i="1"/>
  <c r="G77" i="1"/>
  <c r="BF142" i="12"/>
  <c r="BC362" i="12"/>
  <c r="G179" i="1"/>
  <c r="J179" i="1"/>
  <c r="AN188" i="12"/>
  <c r="U30" i="12"/>
  <c r="V30" i="12" s="1"/>
  <c r="K30" i="12"/>
  <c r="L30" i="12" s="1"/>
  <c r="I30" i="12"/>
  <c r="AA30" i="12"/>
  <c r="AB30" i="12" s="1"/>
  <c r="H30" i="12"/>
  <c r="Y30" i="12"/>
  <c r="Z30" i="12" s="1"/>
  <c r="S30" i="12"/>
  <c r="T30" i="12" s="1"/>
  <c r="Q30" i="12"/>
  <c r="R30" i="12" s="1"/>
  <c r="O30" i="12"/>
  <c r="P30" i="12" s="1"/>
  <c r="M30" i="12"/>
  <c r="N30" i="12" s="1"/>
  <c r="BK30" i="12"/>
  <c r="H32" i="1" s="1"/>
  <c r="J30" i="12"/>
  <c r="G30" i="12"/>
  <c r="W30" i="12"/>
  <c r="X30" i="12" s="1"/>
  <c r="AC30" i="12"/>
  <c r="AD30" i="12" s="1"/>
  <c r="BM30" i="12"/>
  <c r="F30" i="12"/>
  <c r="BF254" i="12"/>
  <c r="BW31" i="12"/>
  <c r="BX31" i="12" s="1"/>
  <c r="AF31" i="12"/>
  <c r="AG31" i="12" s="1"/>
  <c r="AY31" i="12"/>
  <c r="AZ31" i="12" s="1"/>
  <c r="BU31" i="12"/>
  <c r="BV31" i="12" s="1"/>
  <c r="J225" i="1"/>
  <c r="G225" i="1"/>
  <c r="J187" i="1"/>
  <c r="G187" i="1"/>
  <c r="BS175" i="12"/>
  <c r="BT175" i="12" s="1"/>
  <c r="BQ175" i="12"/>
  <c r="BR175" i="12" s="1"/>
  <c r="AE175" i="12"/>
  <c r="BN175" i="12"/>
  <c r="BL175" i="12"/>
  <c r="AZ71" i="12"/>
  <c r="H286" i="1"/>
  <c r="AF103" i="12"/>
  <c r="AG103" i="12" s="1"/>
  <c r="BU103" i="12"/>
  <c r="BV103" i="12" s="1"/>
  <c r="BW103" i="12"/>
  <c r="BX103" i="12" s="1"/>
  <c r="AY103" i="12"/>
  <c r="AZ103" i="12" s="1"/>
  <c r="M329" i="12"/>
  <c r="N329" i="12" s="1"/>
  <c r="BM329" i="12"/>
  <c r="K329" i="12"/>
  <c r="L329" i="12" s="1"/>
  <c r="AC329" i="12"/>
  <c r="AD329" i="12" s="1"/>
  <c r="I329" i="12"/>
  <c r="AA329" i="12"/>
  <c r="AB329" i="12" s="1"/>
  <c r="H329" i="12"/>
  <c r="Q329" i="12"/>
  <c r="R329" i="12" s="1"/>
  <c r="BK329" i="12"/>
  <c r="H331" i="1" s="1"/>
  <c r="O329" i="12"/>
  <c r="P329" i="12" s="1"/>
  <c r="Y329" i="12"/>
  <c r="Z329" i="12" s="1"/>
  <c r="G329" i="12"/>
  <c r="W329" i="12"/>
  <c r="X329" i="12" s="1"/>
  <c r="U329" i="12"/>
  <c r="V329" i="12" s="1"/>
  <c r="S329" i="12"/>
  <c r="T329" i="12" s="1"/>
  <c r="J329" i="12"/>
  <c r="F329" i="12"/>
  <c r="AZ360" i="12"/>
  <c r="S148" i="12"/>
  <c r="T148" i="12" s="1"/>
  <c r="O148" i="12"/>
  <c r="P148" i="12" s="1"/>
  <c r="M148" i="12"/>
  <c r="N148" i="12" s="1"/>
  <c r="W148" i="12"/>
  <c r="X148" i="12" s="1"/>
  <c r="BM148" i="12"/>
  <c r="U148" i="12"/>
  <c r="V148" i="12" s="1"/>
  <c r="K148" i="12"/>
  <c r="L148" i="12" s="1"/>
  <c r="BK148" i="12"/>
  <c r="H150" i="1" s="1"/>
  <c r="J148" i="12"/>
  <c r="AC148" i="12"/>
  <c r="AD148" i="12" s="1"/>
  <c r="AA148" i="12"/>
  <c r="AB148" i="12" s="1"/>
  <c r="I148" i="12"/>
  <c r="Y148" i="12"/>
  <c r="Z148" i="12" s="1"/>
  <c r="H148" i="12"/>
  <c r="Q148" i="12"/>
  <c r="R148" i="12" s="1"/>
  <c r="G148" i="12"/>
  <c r="F148" i="12"/>
  <c r="BF148" i="12"/>
  <c r="BC299" i="12"/>
  <c r="AZ266" i="12"/>
  <c r="AF113" i="12"/>
  <c r="AG113" i="12" s="1"/>
  <c r="BU113" i="12"/>
  <c r="BV113" i="12" s="1"/>
  <c r="BW113" i="12"/>
  <c r="BX113" i="12" s="1"/>
  <c r="AY113" i="12"/>
  <c r="AZ113" i="12" s="1"/>
  <c r="Y124" i="12"/>
  <c r="Z124" i="12" s="1"/>
  <c r="I124" i="12"/>
  <c r="H124" i="12"/>
  <c r="W124" i="12"/>
  <c r="X124" i="12" s="1"/>
  <c r="G124" i="12"/>
  <c r="BK124" i="12"/>
  <c r="H126" i="1" s="1"/>
  <c r="S124" i="12"/>
  <c r="T124" i="12" s="1"/>
  <c r="J124" i="12"/>
  <c r="U124" i="12"/>
  <c r="V124" i="12" s="1"/>
  <c r="K124" i="12"/>
  <c r="L124" i="12" s="1"/>
  <c r="M124" i="12"/>
  <c r="N124" i="12" s="1"/>
  <c r="Q124" i="12"/>
  <c r="R124" i="12" s="1"/>
  <c r="O124" i="12"/>
  <c r="P124" i="12" s="1"/>
  <c r="AA124" i="12"/>
  <c r="AB124" i="12" s="1"/>
  <c r="BM124" i="12"/>
  <c r="AC124" i="12"/>
  <c r="AD124" i="12" s="1"/>
  <c r="BC124" i="12"/>
  <c r="F124" i="12"/>
  <c r="AZ268" i="12"/>
  <c r="J93" i="1"/>
  <c r="G93" i="1"/>
  <c r="H106" i="12"/>
  <c r="W106" i="12"/>
  <c r="X106" i="12" s="1"/>
  <c r="G106" i="12"/>
  <c r="AA106" i="12"/>
  <c r="AB106" i="12" s="1"/>
  <c r="I106" i="12"/>
  <c r="BM106" i="12"/>
  <c r="Y106" i="12"/>
  <c r="Z106" i="12" s="1"/>
  <c r="M106" i="12"/>
  <c r="N106" i="12" s="1"/>
  <c r="S106" i="12"/>
  <c r="T106" i="12" s="1"/>
  <c r="Q106" i="12"/>
  <c r="R106" i="12" s="1"/>
  <c r="U106" i="12"/>
  <c r="V106" i="12" s="1"/>
  <c r="O106" i="12"/>
  <c r="P106" i="12" s="1"/>
  <c r="K106" i="12"/>
  <c r="L106" i="12" s="1"/>
  <c r="BK106" i="12"/>
  <c r="H108" i="1" s="1"/>
  <c r="J106" i="12"/>
  <c r="AC106" i="12"/>
  <c r="AD106" i="12" s="1"/>
  <c r="F106" i="12"/>
  <c r="D269" i="12"/>
  <c r="BX269" i="12" s="1"/>
  <c r="D271" i="1"/>
  <c r="BF230" i="12"/>
  <c r="BK185" i="12"/>
  <c r="H187" i="1" s="1"/>
  <c r="AA185" i="12"/>
  <c r="AB185" i="12" s="1"/>
  <c r="K185" i="12"/>
  <c r="L185" i="12" s="1"/>
  <c r="J185" i="12"/>
  <c r="S185" i="12"/>
  <c r="T185" i="12" s="1"/>
  <c r="M185" i="12"/>
  <c r="N185" i="12" s="1"/>
  <c r="I185" i="12"/>
  <c r="AC185" i="12"/>
  <c r="AD185" i="12" s="1"/>
  <c r="Y185" i="12"/>
  <c r="Z185" i="12" s="1"/>
  <c r="H185" i="12"/>
  <c r="U185" i="12"/>
  <c r="V185" i="12" s="1"/>
  <c r="Q185" i="12"/>
  <c r="R185" i="12" s="1"/>
  <c r="BM185" i="12"/>
  <c r="W185" i="12"/>
  <c r="X185" i="12" s="1"/>
  <c r="O185" i="12"/>
  <c r="P185" i="12" s="1"/>
  <c r="G185" i="12"/>
  <c r="BF185" i="12"/>
  <c r="F185" i="12"/>
  <c r="AN185" i="12"/>
  <c r="AZ321" i="12"/>
  <c r="BS147" i="12"/>
  <c r="BT147" i="12" s="1"/>
  <c r="AE147" i="12"/>
  <c r="BL147" i="12"/>
  <c r="BQ147" i="12"/>
  <c r="BR147" i="12" s="1"/>
  <c r="BN147" i="12"/>
  <c r="AY193" i="12"/>
  <c r="AZ193" i="12" s="1"/>
  <c r="BW193" i="12"/>
  <c r="BX193" i="12" s="1"/>
  <c r="BU193" i="12"/>
  <c r="BV193" i="12" s="1"/>
  <c r="AF193" i="12"/>
  <c r="AG193" i="12" s="1"/>
  <c r="BI238" i="12"/>
  <c r="G383" i="1"/>
  <c r="J383" i="1"/>
  <c r="BM392" i="12"/>
  <c r="M392" i="12"/>
  <c r="N392" i="12" s="1"/>
  <c r="AC392" i="12"/>
  <c r="AD392" i="12" s="1"/>
  <c r="K392" i="12"/>
  <c r="L392" i="12" s="1"/>
  <c r="Y392" i="12"/>
  <c r="Z392" i="12" s="1"/>
  <c r="I392" i="12"/>
  <c r="BK392" i="12"/>
  <c r="H394" i="1" s="1"/>
  <c r="H392" i="12"/>
  <c r="G392" i="12"/>
  <c r="O392" i="12"/>
  <c r="P392" i="12" s="1"/>
  <c r="J392" i="12"/>
  <c r="U392" i="12"/>
  <c r="V392" i="12" s="1"/>
  <c r="W392" i="12"/>
  <c r="X392" i="12" s="1"/>
  <c r="S392" i="12"/>
  <c r="T392" i="12" s="1"/>
  <c r="Q392" i="12"/>
  <c r="R392" i="12" s="1"/>
  <c r="AA392" i="12"/>
  <c r="AB392" i="12" s="1"/>
  <c r="F392" i="12"/>
  <c r="BC400" i="12"/>
  <c r="AU409" i="12"/>
  <c r="U282" i="12"/>
  <c r="V282" i="12" s="1"/>
  <c r="S282" i="12"/>
  <c r="T282" i="12" s="1"/>
  <c r="Q282" i="12"/>
  <c r="R282" i="12" s="1"/>
  <c r="F282" i="12"/>
  <c r="AA282" i="12"/>
  <c r="AB282" i="12" s="1"/>
  <c r="Y282" i="12"/>
  <c r="Z282" i="12" s="1"/>
  <c r="BK282" i="12"/>
  <c r="H284" i="1" s="1"/>
  <c r="W282" i="12"/>
  <c r="X282" i="12" s="1"/>
  <c r="I282" i="12"/>
  <c r="K282" i="12"/>
  <c r="L282" i="12" s="1"/>
  <c r="J282" i="12"/>
  <c r="M282" i="12"/>
  <c r="N282" i="12" s="1"/>
  <c r="H282" i="12"/>
  <c r="G282" i="12"/>
  <c r="AC282" i="12"/>
  <c r="AD282" i="12" s="1"/>
  <c r="BM282" i="12"/>
  <c r="O282" i="12"/>
  <c r="P282" i="12" s="1"/>
  <c r="AG399" i="12"/>
  <c r="AK282" i="12"/>
  <c r="J128" i="1"/>
  <c r="G128" i="1"/>
  <c r="BF227" i="12"/>
  <c r="BX296" i="12"/>
  <c r="J126" i="1"/>
  <c r="G126" i="1"/>
  <c r="BN362" i="12"/>
  <c r="AE362" i="12"/>
  <c r="BS362" i="12"/>
  <c r="BT362" i="12" s="1"/>
  <c r="BQ362" i="12"/>
  <c r="BR362" i="12" s="1"/>
  <c r="BL362" i="12"/>
  <c r="AY254" i="12"/>
  <c r="AZ254" i="12" s="1"/>
  <c r="AF254" i="12"/>
  <c r="AG254" i="12" s="1"/>
  <c r="BU254" i="12"/>
  <c r="BV254" i="12" s="1"/>
  <c r="BW254" i="12"/>
  <c r="BX254" i="12" s="1"/>
  <c r="D130" i="12"/>
  <c r="AG130" i="12" s="1"/>
  <c r="D132" i="1"/>
  <c r="D362" i="12"/>
  <c r="D364" i="1"/>
  <c r="AZ188" i="12"/>
  <c r="E19" i="2"/>
  <c r="I19" i="2" s="1"/>
  <c r="G5" i="2"/>
  <c r="BO49" i="12"/>
  <c r="AH49" i="12"/>
  <c r="BH49" i="12"/>
  <c r="BI49" i="12" s="1"/>
  <c r="D66" i="12"/>
  <c r="D68" i="1"/>
  <c r="AG173" i="12"/>
  <c r="BK101" i="12"/>
  <c r="H103" i="1" s="1"/>
  <c r="I101" i="12"/>
  <c r="Y101" i="12"/>
  <c r="Z101" i="12" s="1"/>
  <c r="H101" i="12"/>
  <c r="G101" i="12"/>
  <c r="AA101" i="12"/>
  <c r="AB101" i="12" s="1"/>
  <c r="W101" i="12"/>
  <c r="X101" i="12" s="1"/>
  <c r="F101" i="12"/>
  <c r="S101" i="12"/>
  <c r="T101" i="12" s="1"/>
  <c r="Q101" i="12"/>
  <c r="R101" i="12" s="1"/>
  <c r="O101" i="12"/>
  <c r="P101" i="12" s="1"/>
  <c r="U101" i="12"/>
  <c r="V101" i="12" s="1"/>
  <c r="BM101" i="12"/>
  <c r="J101" i="12"/>
  <c r="M101" i="12"/>
  <c r="N101" i="12" s="1"/>
  <c r="K101" i="12"/>
  <c r="L101" i="12" s="1"/>
  <c r="AC101" i="12"/>
  <c r="AD101" i="12" s="1"/>
  <c r="BC101" i="12"/>
  <c r="AK101" i="12"/>
  <c r="AZ274" i="12"/>
  <c r="BN211" i="12"/>
  <c r="BL211" i="12"/>
  <c r="AE211" i="12"/>
  <c r="BS211" i="12"/>
  <c r="BT211" i="12" s="1"/>
  <c r="BQ211" i="12"/>
  <c r="BR211" i="12" s="1"/>
  <c r="BH378" i="12"/>
  <c r="BI378" i="12" s="1"/>
  <c r="AH378" i="12"/>
  <c r="BO378" i="12"/>
  <c r="J338" i="1"/>
  <c r="G338" i="1"/>
  <c r="AZ244" i="12"/>
  <c r="AZ300" i="12"/>
  <c r="G309" i="1"/>
  <c r="J309" i="1"/>
  <c r="BX308" i="12"/>
  <c r="AZ235" i="12"/>
  <c r="AG266" i="12"/>
  <c r="Q125" i="12"/>
  <c r="R125" i="12" s="1"/>
  <c r="O125" i="12"/>
  <c r="P125" i="12" s="1"/>
  <c r="AA125" i="12"/>
  <c r="AB125" i="12" s="1"/>
  <c r="H125" i="12"/>
  <c r="G125" i="12"/>
  <c r="Y125" i="12"/>
  <c r="Z125" i="12" s="1"/>
  <c r="J125" i="12"/>
  <c r="AC125" i="12"/>
  <c r="AD125" i="12" s="1"/>
  <c r="K125" i="12"/>
  <c r="L125" i="12" s="1"/>
  <c r="I125" i="12"/>
  <c r="W125" i="12"/>
  <c r="X125" i="12" s="1"/>
  <c r="U125" i="12"/>
  <c r="V125" i="12" s="1"/>
  <c r="BK125" i="12"/>
  <c r="H127" i="1" s="1"/>
  <c r="M125" i="12"/>
  <c r="N125" i="12" s="1"/>
  <c r="S125" i="12"/>
  <c r="T125" i="12" s="1"/>
  <c r="BM125" i="12"/>
  <c r="BC125" i="12"/>
  <c r="F125" i="12"/>
  <c r="D294" i="12"/>
  <c r="AG294" i="12" s="1"/>
  <c r="D296" i="1"/>
  <c r="BS99" i="12"/>
  <c r="BT99" i="12" s="1"/>
  <c r="BQ99" i="12"/>
  <c r="AE99" i="12"/>
  <c r="BN99" i="12"/>
  <c r="BL99" i="12"/>
  <c r="BK87" i="12"/>
  <c r="H89" i="1" s="1"/>
  <c r="I87" i="12"/>
  <c r="J87" i="12"/>
  <c r="AA87" i="12"/>
  <c r="AB87" i="12" s="1"/>
  <c r="H87" i="12"/>
  <c r="BM87" i="12"/>
  <c r="Y87" i="12"/>
  <c r="Z87" i="12" s="1"/>
  <c r="G87" i="12"/>
  <c r="M87" i="12"/>
  <c r="N87" i="12" s="1"/>
  <c r="U87" i="12"/>
  <c r="V87" i="12" s="1"/>
  <c r="S87" i="12"/>
  <c r="T87" i="12" s="1"/>
  <c r="AC87" i="12"/>
  <c r="AD87" i="12" s="1"/>
  <c r="W87" i="12"/>
  <c r="X87" i="12" s="1"/>
  <c r="K87" i="12"/>
  <c r="L87" i="12" s="1"/>
  <c r="Q87" i="12"/>
  <c r="R87" i="12" s="1"/>
  <c r="O87" i="12"/>
  <c r="P87" i="12" s="1"/>
  <c r="F87" i="12"/>
  <c r="BN87" i="12"/>
  <c r="W47" i="12"/>
  <c r="X47" i="12" s="1"/>
  <c r="G47" i="12"/>
  <c r="O47" i="12"/>
  <c r="P47" i="12" s="1"/>
  <c r="M47" i="12"/>
  <c r="N47" i="12" s="1"/>
  <c r="BK47" i="12"/>
  <c r="H49" i="1" s="1"/>
  <c r="U47" i="12"/>
  <c r="V47" i="12" s="1"/>
  <c r="J47" i="12"/>
  <c r="AC47" i="12"/>
  <c r="AD47" i="12" s="1"/>
  <c r="H47" i="12"/>
  <c r="AA47" i="12"/>
  <c r="AB47" i="12" s="1"/>
  <c r="BM47" i="12"/>
  <c r="Y47" i="12"/>
  <c r="Z47" i="12" s="1"/>
  <c r="S47" i="12"/>
  <c r="T47" i="12" s="1"/>
  <c r="K47" i="12"/>
  <c r="L47" i="12" s="1"/>
  <c r="I47" i="12"/>
  <c r="Q47" i="12"/>
  <c r="R47" i="12" s="1"/>
  <c r="F47" i="12"/>
  <c r="J345" i="1"/>
  <c r="G345" i="1"/>
  <c r="H37" i="1"/>
  <c r="BU371" i="12"/>
  <c r="BV371" i="12" s="1"/>
  <c r="AF371" i="12"/>
  <c r="AG371" i="12" s="1"/>
  <c r="BW371" i="12"/>
  <c r="BX371" i="12" s="1"/>
  <c r="AY371" i="12"/>
  <c r="AZ371" i="12" s="1"/>
  <c r="BC114" i="12"/>
  <c r="BU5" i="12"/>
  <c r="BV5" i="12" s="1"/>
  <c r="AF5" i="12"/>
  <c r="AG5" i="12" s="1"/>
  <c r="AY5" i="12"/>
  <c r="AZ5" i="12" s="1"/>
  <c r="BW5" i="12"/>
  <c r="BX5" i="12" s="1"/>
  <c r="BO121" i="12"/>
  <c r="BH121" i="12"/>
  <c r="BI121" i="12" s="1"/>
  <c r="AH121" i="12"/>
  <c r="J215" i="1"/>
  <c r="G215" i="1"/>
  <c r="BC232" i="12"/>
  <c r="AZ143" i="12"/>
  <c r="BM344" i="12"/>
  <c r="G344" i="12"/>
  <c r="U344" i="12"/>
  <c r="V344" i="12" s="1"/>
  <c r="BK344" i="12"/>
  <c r="H346" i="1" s="1"/>
  <c r="Q344" i="12"/>
  <c r="R344" i="12" s="1"/>
  <c r="O344" i="12"/>
  <c r="P344" i="12" s="1"/>
  <c r="F344" i="12"/>
  <c r="AC344" i="12"/>
  <c r="AD344" i="12" s="1"/>
  <c r="AA344" i="12"/>
  <c r="AB344" i="12" s="1"/>
  <c r="Y344" i="12"/>
  <c r="Z344" i="12" s="1"/>
  <c r="W344" i="12"/>
  <c r="X344" i="12" s="1"/>
  <c r="S344" i="12"/>
  <c r="T344" i="12" s="1"/>
  <c r="M344" i="12"/>
  <c r="N344" i="12" s="1"/>
  <c r="K344" i="12"/>
  <c r="L344" i="12" s="1"/>
  <c r="J344" i="12"/>
  <c r="H344" i="12"/>
  <c r="I344" i="12"/>
  <c r="AK344" i="12"/>
  <c r="BC344" i="12"/>
  <c r="BF344" i="12"/>
  <c r="S176" i="12"/>
  <c r="T176" i="12" s="1"/>
  <c r="M176" i="12"/>
  <c r="N176" i="12" s="1"/>
  <c r="AC176" i="12"/>
  <c r="AD176" i="12" s="1"/>
  <c r="BM176" i="12"/>
  <c r="K176" i="12"/>
  <c r="L176" i="12" s="1"/>
  <c r="W176" i="12"/>
  <c r="X176" i="12" s="1"/>
  <c r="U176" i="12"/>
  <c r="V176" i="12" s="1"/>
  <c r="J176" i="12"/>
  <c r="O176" i="12"/>
  <c r="P176" i="12" s="1"/>
  <c r="I176" i="12"/>
  <c r="F176" i="12"/>
  <c r="AA176" i="12"/>
  <c r="AB176" i="12" s="1"/>
  <c r="Q176" i="12"/>
  <c r="R176" i="12" s="1"/>
  <c r="BK176" i="12"/>
  <c r="H178" i="1" s="1"/>
  <c r="Y176" i="12"/>
  <c r="Z176" i="12" s="1"/>
  <c r="H176" i="12"/>
  <c r="G176" i="12"/>
  <c r="BC176" i="12"/>
  <c r="AK176" i="12"/>
  <c r="J199" i="1"/>
  <c r="G199" i="1"/>
  <c r="D69" i="1"/>
  <c r="D67" i="12"/>
  <c r="BR67" i="12" s="1"/>
  <c r="G53" i="1"/>
  <c r="J53" i="1"/>
  <c r="D310" i="12"/>
  <c r="BX310" i="12" s="1"/>
  <c r="D312" i="1"/>
  <c r="AG270" i="12"/>
  <c r="BF327" i="12"/>
  <c r="BU319" i="12"/>
  <c r="BV319" i="12" s="1"/>
  <c r="AY319" i="12"/>
  <c r="AZ319" i="12" s="1"/>
  <c r="BW319" i="12"/>
  <c r="BX319" i="12" s="1"/>
  <c r="AF319" i="12"/>
  <c r="AG319" i="12" s="1"/>
  <c r="D202" i="12"/>
  <c r="BI202" i="12" s="1"/>
  <c r="D204" i="1"/>
  <c r="S204" i="12"/>
  <c r="T204" i="12" s="1"/>
  <c r="Q204" i="12"/>
  <c r="R204" i="12" s="1"/>
  <c r="O204" i="12"/>
  <c r="P204" i="12" s="1"/>
  <c r="AA204" i="12"/>
  <c r="AB204" i="12" s="1"/>
  <c r="H204" i="12"/>
  <c r="Y204" i="12"/>
  <c r="Z204" i="12" s="1"/>
  <c r="K204" i="12"/>
  <c r="L204" i="12" s="1"/>
  <c r="BK204" i="12"/>
  <c r="H206" i="1" s="1"/>
  <c r="W204" i="12"/>
  <c r="X204" i="12" s="1"/>
  <c r="J204" i="12"/>
  <c r="I204" i="12"/>
  <c r="G204" i="12"/>
  <c r="M204" i="12"/>
  <c r="N204" i="12" s="1"/>
  <c r="BM204" i="12"/>
  <c r="AC204" i="12"/>
  <c r="AD204" i="12" s="1"/>
  <c r="U204" i="12"/>
  <c r="V204" i="12" s="1"/>
  <c r="AQ204" i="12"/>
  <c r="F204" i="12"/>
  <c r="AG243" i="12"/>
  <c r="H119" i="1"/>
  <c r="BN179" i="12"/>
  <c r="BL179" i="12"/>
  <c r="BQ179" i="12"/>
  <c r="BR179" i="12" s="1"/>
  <c r="BS179" i="12"/>
  <c r="BT179" i="12" s="1"/>
  <c r="AE179" i="12"/>
  <c r="BW62" i="12"/>
  <c r="BX62" i="12" s="1"/>
  <c r="BU62" i="12"/>
  <c r="BV62" i="12" s="1"/>
  <c r="AY62" i="12"/>
  <c r="AF62" i="12"/>
  <c r="AN218" i="12"/>
  <c r="J112" i="1"/>
  <c r="G112" i="1"/>
  <c r="BK187" i="12"/>
  <c r="H189" i="1" s="1"/>
  <c r="AA187" i="12"/>
  <c r="AB187" i="12" s="1"/>
  <c r="K187" i="12"/>
  <c r="L187" i="12" s="1"/>
  <c r="J187" i="12"/>
  <c r="M187" i="12"/>
  <c r="N187" i="12" s="1"/>
  <c r="I187" i="12"/>
  <c r="BM187" i="12"/>
  <c r="U187" i="12"/>
  <c r="V187" i="12" s="1"/>
  <c r="S187" i="12"/>
  <c r="T187" i="12" s="1"/>
  <c r="Q187" i="12"/>
  <c r="R187" i="12" s="1"/>
  <c r="H187" i="12"/>
  <c r="AC187" i="12"/>
  <c r="AD187" i="12" s="1"/>
  <c r="F187" i="12"/>
  <c r="Y187" i="12"/>
  <c r="Z187" i="12" s="1"/>
  <c r="W187" i="12"/>
  <c r="X187" i="12" s="1"/>
  <c r="O187" i="12"/>
  <c r="P187" i="12" s="1"/>
  <c r="G187" i="12"/>
  <c r="AZ338" i="12"/>
  <c r="BH401" i="12"/>
  <c r="BI401" i="12" s="1"/>
  <c r="AH401" i="12"/>
  <c r="BO401" i="12"/>
  <c r="AK295" i="12"/>
  <c r="BF370" i="12"/>
  <c r="AK289" i="12"/>
  <c r="AZ295" i="12"/>
  <c r="BI177" i="12"/>
  <c r="AZ198" i="12"/>
  <c r="BF340" i="12"/>
  <c r="BV380" i="12"/>
  <c r="BC46" i="12"/>
  <c r="H14" i="1"/>
  <c r="BL83" i="12"/>
  <c r="AE83" i="12"/>
  <c r="BS83" i="12"/>
  <c r="BT83" i="12" s="1"/>
  <c r="BQ83" i="12"/>
  <c r="BR83" i="12" s="1"/>
  <c r="BN83" i="12"/>
  <c r="AE241" i="12"/>
  <c r="BL241" i="12"/>
  <c r="BS241" i="12"/>
  <c r="BQ241" i="12"/>
  <c r="BR241" i="12" s="1"/>
  <c r="BC270" i="12"/>
  <c r="AQ290" i="12"/>
  <c r="AY201" i="12"/>
  <c r="AZ201" i="12" s="1"/>
  <c r="BW201" i="12"/>
  <c r="BX201" i="12" s="1"/>
  <c r="AF201" i="12"/>
  <c r="AG201" i="12" s="1"/>
  <c r="BU201" i="12"/>
  <c r="BV201" i="12" s="1"/>
  <c r="BC209" i="12"/>
  <c r="AK126" i="12"/>
  <c r="J353" i="12"/>
  <c r="AA353" i="12"/>
  <c r="AB353" i="12" s="1"/>
  <c r="I353" i="12"/>
  <c r="Q353" i="12"/>
  <c r="R353" i="12" s="1"/>
  <c r="BK353" i="12"/>
  <c r="H355" i="1" s="1"/>
  <c r="O353" i="12"/>
  <c r="P353" i="12" s="1"/>
  <c r="M353" i="12"/>
  <c r="N353" i="12" s="1"/>
  <c r="K353" i="12"/>
  <c r="L353" i="12" s="1"/>
  <c r="H353" i="12"/>
  <c r="AC353" i="12"/>
  <c r="AD353" i="12" s="1"/>
  <c r="BM353" i="12"/>
  <c r="Y353" i="12"/>
  <c r="Z353" i="12" s="1"/>
  <c r="W353" i="12"/>
  <c r="X353" i="12" s="1"/>
  <c r="S353" i="12"/>
  <c r="T353" i="12" s="1"/>
  <c r="U353" i="12"/>
  <c r="V353" i="12" s="1"/>
  <c r="G353" i="12"/>
  <c r="F353" i="12"/>
  <c r="BH298" i="12"/>
  <c r="BI298" i="12" s="1"/>
  <c r="BO298" i="12"/>
  <c r="AH298" i="12"/>
  <c r="AK116" i="12"/>
  <c r="AZ33" i="12"/>
  <c r="AN280" i="12"/>
  <c r="J328" i="1"/>
  <c r="G328" i="1"/>
  <c r="BO367" i="12"/>
  <c r="AH367" i="12"/>
  <c r="BH367" i="12"/>
  <c r="BI367" i="12" s="1"/>
  <c r="BC364" i="12"/>
  <c r="D257" i="12"/>
  <c r="AZ257" i="12" s="1"/>
  <c r="D259" i="1"/>
  <c r="J432" i="3"/>
  <c r="K429" i="3"/>
  <c r="J360" i="1"/>
  <c r="G360" i="1"/>
  <c r="AK336" i="12"/>
  <c r="BI294" i="12"/>
  <c r="AZ204" i="12"/>
  <c r="AZ123" i="12"/>
  <c r="AN353" i="12"/>
  <c r="BF205" i="12"/>
  <c r="AZ232" i="12"/>
  <c r="BX306" i="12"/>
  <c r="BC93" i="12"/>
  <c r="O367" i="12"/>
  <c r="P367" i="12" s="1"/>
  <c r="J367" i="12"/>
  <c r="BM367" i="12"/>
  <c r="H367" i="12"/>
  <c r="K367" i="12"/>
  <c r="L367" i="12" s="1"/>
  <c r="I367" i="12"/>
  <c r="AC367" i="12"/>
  <c r="AD367" i="12" s="1"/>
  <c r="G367" i="12"/>
  <c r="BK367" i="12"/>
  <c r="H369" i="1" s="1"/>
  <c r="AA367" i="12"/>
  <c r="AB367" i="12" s="1"/>
  <c r="U367" i="12"/>
  <c r="V367" i="12" s="1"/>
  <c r="S367" i="12"/>
  <c r="T367" i="12" s="1"/>
  <c r="Q367" i="12"/>
  <c r="R367" i="12" s="1"/>
  <c r="M367" i="12"/>
  <c r="N367" i="12" s="1"/>
  <c r="W367" i="12"/>
  <c r="X367" i="12" s="1"/>
  <c r="Y367" i="12"/>
  <c r="Z367" i="12" s="1"/>
  <c r="F367" i="12"/>
  <c r="Z2" i="12"/>
  <c r="AF141" i="12"/>
  <c r="AG141" i="12" s="1"/>
  <c r="BW141" i="12"/>
  <c r="BX141" i="12" s="1"/>
  <c r="BU141" i="12"/>
  <c r="BV141" i="12" s="1"/>
  <c r="AY141" i="12"/>
  <c r="AZ141" i="12" s="1"/>
  <c r="AZ183" i="12"/>
  <c r="H27" i="12"/>
  <c r="O27" i="12"/>
  <c r="P27" i="12" s="1"/>
  <c r="BM27" i="12"/>
  <c r="G27" i="12"/>
  <c r="BK27" i="12"/>
  <c r="H29" i="1" s="1"/>
  <c r="W27" i="12"/>
  <c r="X27" i="12" s="1"/>
  <c r="S27" i="12"/>
  <c r="T27" i="12" s="1"/>
  <c r="K27" i="12"/>
  <c r="L27" i="12" s="1"/>
  <c r="J27" i="12"/>
  <c r="I27" i="12"/>
  <c r="F27" i="12"/>
  <c r="AC27" i="12"/>
  <c r="AD27" i="12" s="1"/>
  <c r="Q27" i="12"/>
  <c r="R27" i="12" s="1"/>
  <c r="M27" i="12"/>
  <c r="N27" i="12" s="1"/>
  <c r="Y27" i="12"/>
  <c r="Z27" i="12" s="1"/>
  <c r="U27" i="12"/>
  <c r="V27" i="12" s="1"/>
  <c r="AA27" i="12"/>
  <c r="AB27" i="12" s="1"/>
  <c r="J332" i="1"/>
  <c r="G332" i="1"/>
  <c r="AF99" i="12"/>
  <c r="AY99" i="12"/>
  <c r="BW99" i="12"/>
  <c r="BX99" i="12" s="1"/>
  <c r="BU99" i="12"/>
  <c r="BV99" i="12" s="1"/>
  <c r="BF138" i="12"/>
  <c r="AZ181" i="12"/>
  <c r="G367" i="1"/>
  <c r="J367" i="1"/>
  <c r="K14" i="2"/>
  <c r="BK293" i="12"/>
  <c r="H295" i="1" s="1"/>
  <c r="I293" i="12"/>
  <c r="S293" i="12"/>
  <c r="T293" i="12" s="1"/>
  <c r="Q293" i="12"/>
  <c r="R293" i="12" s="1"/>
  <c r="U293" i="12"/>
  <c r="V293" i="12" s="1"/>
  <c r="BM293" i="12"/>
  <c r="O293" i="12"/>
  <c r="P293" i="12" s="1"/>
  <c r="G293" i="12"/>
  <c r="AC293" i="12"/>
  <c r="AD293" i="12" s="1"/>
  <c r="M293" i="12"/>
  <c r="N293" i="12" s="1"/>
  <c r="W293" i="12"/>
  <c r="X293" i="12" s="1"/>
  <c r="Y293" i="12"/>
  <c r="Z293" i="12" s="1"/>
  <c r="J293" i="12"/>
  <c r="K293" i="12"/>
  <c r="L293" i="12" s="1"/>
  <c r="H293" i="12"/>
  <c r="AA293" i="12"/>
  <c r="AB293" i="12" s="1"/>
  <c r="F293" i="12"/>
  <c r="BF293" i="12"/>
  <c r="AN3" i="12"/>
  <c r="J48" i="1"/>
  <c r="G48" i="1"/>
  <c r="D289" i="12"/>
  <c r="BF289" i="12" s="1"/>
  <c r="D291" i="1"/>
  <c r="AK298" i="12"/>
  <c r="BL23" i="12"/>
  <c r="BS23" i="12"/>
  <c r="BT23" i="12" s="1"/>
  <c r="AE23" i="12"/>
  <c r="AE409" i="12" s="1"/>
  <c r="BQ23" i="12"/>
  <c r="BR23" i="12" s="1"/>
  <c r="BN23" i="12"/>
  <c r="E58" i="8"/>
  <c r="C58" i="8" s="1"/>
  <c r="K248" i="8"/>
  <c r="C248" i="8" s="1"/>
  <c r="BN106" i="12"/>
  <c r="BL106" i="12"/>
  <c r="BS106" i="12"/>
  <c r="BT106" i="12" s="1"/>
  <c r="BQ106" i="12"/>
  <c r="BR106" i="12" s="1"/>
  <c r="AE106" i="12"/>
  <c r="AQ161" i="12"/>
  <c r="BC340" i="12"/>
  <c r="AG236" i="12"/>
  <c r="AC321" i="12"/>
  <c r="AD321" i="12" s="1"/>
  <c r="I321" i="12"/>
  <c r="H321" i="12"/>
  <c r="AA321" i="12"/>
  <c r="AB321" i="12" s="1"/>
  <c r="G321" i="12"/>
  <c r="W321" i="12"/>
  <c r="X321" i="12" s="1"/>
  <c r="U321" i="12"/>
  <c r="V321" i="12" s="1"/>
  <c r="K321" i="12"/>
  <c r="L321" i="12" s="1"/>
  <c r="M321" i="12"/>
  <c r="N321" i="12" s="1"/>
  <c r="J321" i="12"/>
  <c r="Y321" i="12"/>
  <c r="Z321" i="12" s="1"/>
  <c r="S321" i="12"/>
  <c r="T321" i="12" s="1"/>
  <c r="O321" i="12"/>
  <c r="P321" i="12" s="1"/>
  <c r="BM321" i="12"/>
  <c r="BK321" i="12"/>
  <c r="H323" i="1" s="1"/>
  <c r="Q321" i="12"/>
  <c r="R321" i="12" s="1"/>
  <c r="F321" i="12"/>
  <c r="BC321" i="12"/>
  <c r="D259" i="12"/>
  <c r="D261" i="1"/>
  <c r="AB2" i="12"/>
  <c r="AY47" i="12"/>
  <c r="AZ47" i="12" s="1"/>
  <c r="AF47" i="12"/>
  <c r="AG47" i="12" s="1"/>
  <c r="BU47" i="12"/>
  <c r="BV47" i="12" s="1"/>
  <c r="BW47" i="12"/>
  <c r="BX47" i="12" s="1"/>
  <c r="J334" i="1"/>
  <c r="G334" i="1"/>
  <c r="BV2" i="12"/>
  <c r="K250" i="8"/>
  <c r="C250" i="8" s="1"/>
  <c r="E60" i="8"/>
  <c r="C60" i="8" s="1"/>
  <c r="AZ297" i="12"/>
  <c r="BM217" i="12"/>
  <c r="K217" i="12"/>
  <c r="L217" i="12" s="1"/>
  <c r="AA217" i="12"/>
  <c r="AB217" i="12" s="1"/>
  <c r="J217" i="12"/>
  <c r="BK217" i="12"/>
  <c r="H219" i="1" s="1"/>
  <c r="I217" i="12"/>
  <c r="O217" i="12"/>
  <c r="P217" i="12" s="1"/>
  <c r="M217" i="12"/>
  <c r="N217" i="12" s="1"/>
  <c r="W217" i="12"/>
  <c r="X217" i="12" s="1"/>
  <c r="U217" i="12"/>
  <c r="V217" i="12" s="1"/>
  <c r="S217" i="12"/>
  <c r="T217" i="12" s="1"/>
  <c r="H217" i="12"/>
  <c r="G217" i="12"/>
  <c r="Y217" i="12"/>
  <c r="Z217" i="12" s="1"/>
  <c r="AC217" i="12"/>
  <c r="AD217" i="12" s="1"/>
  <c r="Q217" i="12"/>
  <c r="R217" i="12" s="1"/>
  <c r="F217" i="12"/>
  <c r="AK217" i="12"/>
  <c r="BO393" i="12"/>
  <c r="BH393" i="12"/>
  <c r="BI393" i="12" s="1"/>
  <c r="AH393" i="12"/>
  <c r="D288" i="12"/>
  <c r="BI288" i="12" s="1"/>
  <c r="D290" i="1"/>
  <c r="BH259" i="12"/>
  <c r="BO259" i="12"/>
  <c r="AH259" i="12"/>
  <c r="AG188" i="12"/>
  <c r="J386" i="12"/>
  <c r="W386" i="12"/>
  <c r="X386" i="12" s="1"/>
  <c r="U386" i="12"/>
  <c r="V386" i="12" s="1"/>
  <c r="S386" i="12"/>
  <c r="T386" i="12" s="1"/>
  <c r="BM386" i="12"/>
  <c r="Q386" i="12"/>
  <c r="R386" i="12" s="1"/>
  <c r="K386" i="12"/>
  <c r="L386" i="12" s="1"/>
  <c r="I386" i="12"/>
  <c r="H386" i="12"/>
  <c r="BK386" i="12"/>
  <c r="H388" i="1" s="1"/>
  <c r="G386" i="12"/>
  <c r="M386" i="12"/>
  <c r="N386" i="12" s="1"/>
  <c r="AC386" i="12"/>
  <c r="AD386" i="12" s="1"/>
  <c r="AA386" i="12"/>
  <c r="AB386" i="12" s="1"/>
  <c r="Y386" i="12"/>
  <c r="Z386" i="12" s="1"/>
  <c r="O386" i="12"/>
  <c r="P386" i="12" s="1"/>
  <c r="F386" i="12"/>
  <c r="BC386" i="12"/>
  <c r="BX274" i="12"/>
  <c r="BW106" i="12"/>
  <c r="BX106" i="12" s="1"/>
  <c r="AY106" i="12"/>
  <c r="AZ106" i="12" s="1"/>
  <c r="BU106" i="12"/>
  <c r="BV106" i="12" s="1"/>
  <c r="AF106" i="12"/>
  <c r="AG106" i="12" s="1"/>
  <c r="S16" i="12"/>
  <c r="T16" i="12" s="1"/>
  <c r="O16" i="12"/>
  <c r="P16" i="12" s="1"/>
  <c r="M16" i="12"/>
  <c r="N16" i="12" s="1"/>
  <c r="AC16" i="12"/>
  <c r="AD16" i="12" s="1"/>
  <c r="K16" i="12"/>
  <c r="L16" i="12" s="1"/>
  <c r="J16" i="12"/>
  <c r="W16" i="12"/>
  <c r="X16" i="12" s="1"/>
  <c r="BK16" i="12"/>
  <c r="H18" i="1" s="1"/>
  <c r="U16" i="12"/>
  <c r="V16" i="12" s="1"/>
  <c r="Q16" i="12"/>
  <c r="R16" i="12" s="1"/>
  <c r="BM16" i="12"/>
  <c r="Y16" i="12"/>
  <c r="Z16" i="12" s="1"/>
  <c r="BF16" i="12"/>
  <c r="AA16" i="12"/>
  <c r="AB16" i="12" s="1"/>
  <c r="I16" i="12"/>
  <c r="H16" i="12"/>
  <c r="G16" i="12"/>
  <c r="F16" i="12"/>
  <c r="AG16" i="12"/>
  <c r="U219" i="12"/>
  <c r="V219" i="12" s="1"/>
  <c r="S219" i="12"/>
  <c r="T219" i="12" s="1"/>
  <c r="M219" i="12"/>
  <c r="N219" i="12" s="1"/>
  <c r="Y219" i="12"/>
  <c r="Z219" i="12" s="1"/>
  <c r="J219" i="12"/>
  <c r="I219" i="12"/>
  <c r="H219" i="12"/>
  <c r="BK219" i="12"/>
  <c r="H221" i="1" s="1"/>
  <c r="W219" i="12"/>
  <c r="X219" i="12" s="1"/>
  <c r="AC219" i="12"/>
  <c r="AD219" i="12" s="1"/>
  <c r="K219" i="12"/>
  <c r="L219" i="12" s="1"/>
  <c r="Q219" i="12"/>
  <c r="R219" i="12" s="1"/>
  <c r="O219" i="12"/>
  <c r="P219" i="12" s="1"/>
  <c r="AA219" i="12"/>
  <c r="AB219" i="12" s="1"/>
  <c r="BM219" i="12"/>
  <c r="F219" i="12"/>
  <c r="G219" i="12"/>
  <c r="AK219" i="12"/>
  <c r="AN219" i="12"/>
  <c r="BU147" i="12"/>
  <c r="BV147" i="12" s="1"/>
  <c r="BW147" i="12"/>
  <c r="BX147" i="12" s="1"/>
  <c r="AY147" i="12"/>
  <c r="AF147" i="12"/>
  <c r="J380" i="12"/>
  <c r="H380" i="12"/>
  <c r="I380" i="12"/>
  <c r="O380" i="12"/>
  <c r="P380" i="12" s="1"/>
  <c r="M380" i="12"/>
  <c r="N380" i="12" s="1"/>
  <c r="G380" i="12"/>
  <c r="F380" i="12"/>
  <c r="W380" i="12"/>
  <c r="X380" i="12" s="1"/>
  <c r="BK380" i="12"/>
  <c r="H382" i="1" s="1"/>
  <c r="U380" i="12"/>
  <c r="V380" i="12" s="1"/>
  <c r="S380" i="12"/>
  <c r="T380" i="12" s="1"/>
  <c r="AC380" i="12"/>
  <c r="AD380" i="12" s="1"/>
  <c r="AA380" i="12"/>
  <c r="AB380" i="12" s="1"/>
  <c r="Y380" i="12"/>
  <c r="Z380" i="12" s="1"/>
  <c r="Q380" i="12"/>
  <c r="R380" i="12" s="1"/>
  <c r="K380" i="12"/>
  <c r="L380" i="12" s="1"/>
  <c r="BM380" i="12"/>
  <c r="BH193" i="12"/>
  <c r="BI193" i="12" s="1"/>
  <c r="BO193" i="12"/>
  <c r="AH193" i="12"/>
  <c r="J202" i="1"/>
  <c r="G202" i="1"/>
  <c r="AQ360" i="12"/>
  <c r="J155" i="1"/>
  <c r="G155" i="1"/>
  <c r="J24" i="1"/>
  <c r="G24" i="1"/>
  <c r="BC97" i="12"/>
  <c r="AN230" i="12"/>
  <c r="BM343" i="12"/>
  <c r="K343" i="12"/>
  <c r="L343" i="12" s="1"/>
  <c r="I343" i="12"/>
  <c r="Y343" i="12"/>
  <c r="Z343" i="12" s="1"/>
  <c r="H343" i="12"/>
  <c r="AC343" i="12"/>
  <c r="AD343" i="12" s="1"/>
  <c r="AA343" i="12"/>
  <c r="AB343" i="12" s="1"/>
  <c r="W343" i="12"/>
  <c r="X343" i="12" s="1"/>
  <c r="U343" i="12"/>
  <c r="V343" i="12" s="1"/>
  <c r="J343" i="12"/>
  <c r="G343" i="12"/>
  <c r="Q343" i="12"/>
  <c r="R343" i="12" s="1"/>
  <c r="O343" i="12"/>
  <c r="P343" i="12" s="1"/>
  <c r="S343" i="12"/>
  <c r="T343" i="12" s="1"/>
  <c r="M343" i="12"/>
  <c r="N343" i="12" s="1"/>
  <c r="F343" i="12"/>
  <c r="AK343" i="12"/>
  <c r="AM5" i="12"/>
  <c r="AN5" i="12" s="1"/>
  <c r="AL409" i="12"/>
  <c r="BH13" i="12"/>
  <c r="BI13" i="12" s="1"/>
  <c r="BO13" i="12"/>
  <c r="AH13" i="12"/>
  <c r="H13" i="1"/>
  <c r="H293" i="1"/>
  <c r="BK213" i="12"/>
  <c r="H215" i="1" s="1"/>
  <c r="AA213" i="12"/>
  <c r="AB213" i="12" s="1"/>
  <c r="K213" i="12"/>
  <c r="L213" i="12" s="1"/>
  <c r="J213" i="12"/>
  <c r="O213" i="12"/>
  <c r="P213" i="12" s="1"/>
  <c r="W213" i="12"/>
  <c r="X213" i="12" s="1"/>
  <c r="S213" i="12"/>
  <c r="T213" i="12" s="1"/>
  <c r="Q213" i="12"/>
  <c r="R213" i="12" s="1"/>
  <c r="F213" i="12"/>
  <c r="U213" i="12"/>
  <c r="V213" i="12" s="1"/>
  <c r="G213" i="12"/>
  <c r="I213" i="12"/>
  <c r="Y213" i="12"/>
  <c r="Z213" i="12" s="1"/>
  <c r="M213" i="12"/>
  <c r="N213" i="12" s="1"/>
  <c r="H213" i="12"/>
  <c r="BM213" i="12"/>
  <c r="AC213" i="12"/>
  <c r="AD213" i="12" s="1"/>
  <c r="BC213" i="12"/>
  <c r="AQ213" i="12"/>
  <c r="AK270" i="12"/>
  <c r="BQ61" i="12"/>
  <c r="AE61" i="12"/>
  <c r="BL61" i="12"/>
  <c r="BS61" i="12"/>
  <c r="BT61" i="12" s="1"/>
  <c r="BH362" i="12"/>
  <c r="BI362" i="12" s="1"/>
  <c r="AH362" i="12"/>
  <c r="BO362" i="12"/>
  <c r="BK197" i="12"/>
  <c r="H199" i="1" s="1"/>
  <c r="AA197" i="12"/>
  <c r="AB197" i="12" s="1"/>
  <c r="K197" i="12"/>
  <c r="L197" i="12" s="1"/>
  <c r="J197" i="12"/>
  <c r="O197" i="12"/>
  <c r="P197" i="12" s="1"/>
  <c r="W197" i="12"/>
  <c r="X197" i="12" s="1"/>
  <c r="S197" i="12"/>
  <c r="T197" i="12" s="1"/>
  <c r="Q197" i="12"/>
  <c r="R197" i="12" s="1"/>
  <c r="AC197" i="12"/>
  <c r="AD197" i="12" s="1"/>
  <c r="Y197" i="12"/>
  <c r="Z197" i="12" s="1"/>
  <c r="G197" i="12"/>
  <c r="U197" i="12"/>
  <c r="V197" i="12" s="1"/>
  <c r="M197" i="12"/>
  <c r="N197" i="12" s="1"/>
  <c r="I197" i="12"/>
  <c r="H197" i="12"/>
  <c r="BM197" i="12"/>
  <c r="F197" i="12"/>
  <c r="BC197" i="12"/>
  <c r="BF321" i="12"/>
  <c r="BN89" i="12"/>
  <c r="D268" i="12"/>
  <c r="D270" i="1"/>
  <c r="BF134" i="12"/>
  <c r="W51" i="12"/>
  <c r="X51" i="12" s="1"/>
  <c r="G51" i="12"/>
  <c r="Q51" i="12"/>
  <c r="R51" i="12" s="1"/>
  <c r="O51" i="12"/>
  <c r="P51" i="12" s="1"/>
  <c r="BM51" i="12"/>
  <c r="J51" i="12"/>
  <c r="AC51" i="12"/>
  <c r="AD51" i="12" s="1"/>
  <c r="H51" i="12"/>
  <c r="I51" i="12"/>
  <c r="M51" i="12"/>
  <c r="N51" i="12" s="1"/>
  <c r="K51" i="12"/>
  <c r="L51" i="12" s="1"/>
  <c r="BK51" i="12"/>
  <c r="H53" i="1" s="1"/>
  <c r="Y51" i="12"/>
  <c r="Z51" i="12" s="1"/>
  <c r="S51" i="12"/>
  <c r="T51" i="12" s="1"/>
  <c r="U51" i="12"/>
  <c r="V51" i="12" s="1"/>
  <c r="AA51" i="12"/>
  <c r="AB51" i="12" s="1"/>
  <c r="F51" i="12"/>
  <c r="BC77" i="12"/>
  <c r="AZ270" i="12"/>
  <c r="D253" i="12"/>
  <c r="BT253" i="12" s="1"/>
  <c r="D255" i="1"/>
  <c r="H29" i="12"/>
  <c r="Y29" i="12"/>
  <c r="Z29" i="12" s="1"/>
  <c r="G29" i="12"/>
  <c r="J29" i="12"/>
  <c r="BM29" i="12"/>
  <c r="W29" i="12"/>
  <c r="X29" i="12" s="1"/>
  <c r="I29" i="12"/>
  <c r="O29" i="12"/>
  <c r="P29" i="12" s="1"/>
  <c r="BK29" i="12"/>
  <c r="H31" i="1" s="1"/>
  <c r="K29" i="12"/>
  <c r="L29" i="12" s="1"/>
  <c r="M29" i="12"/>
  <c r="N29" i="12" s="1"/>
  <c r="AC29" i="12"/>
  <c r="AD29" i="12" s="1"/>
  <c r="S29" i="12"/>
  <c r="T29" i="12" s="1"/>
  <c r="Q29" i="12"/>
  <c r="R29" i="12" s="1"/>
  <c r="AA29" i="12"/>
  <c r="AB29" i="12" s="1"/>
  <c r="U29" i="12"/>
  <c r="V29" i="12" s="1"/>
  <c r="F29" i="12"/>
  <c r="BF29" i="12"/>
  <c r="D67" i="1"/>
  <c r="D65" i="12"/>
  <c r="BC65" i="12" s="1"/>
  <c r="BC127" i="12"/>
  <c r="AN319" i="12"/>
  <c r="D266" i="12"/>
  <c r="D268" i="1"/>
  <c r="AZ30" i="12"/>
  <c r="AZ243" i="12"/>
  <c r="AF179" i="12"/>
  <c r="AG179" i="12" s="1"/>
  <c r="AY179" i="12"/>
  <c r="AZ179" i="12" s="1"/>
  <c r="BW179" i="12"/>
  <c r="BX179" i="12" s="1"/>
  <c r="BU179" i="12"/>
  <c r="BV179" i="12" s="1"/>
  <c r="BI262" i="12"/>
  <c r="BL374" i="12"/>
  <c r="H376" i="1" s="1"/>
  <c r="BQ374" i="12"/>
  <c r="BR374" i="12" s="1"/>
  <c r="AE374" i="12"/>
  <c r="BS374" i="12"/>
  <c r="BT374" i="12" s="1"/>
  <c r="BN374" i="12"/>
  <c r="J116" i="1"/>
  <c r="G116" i="1"/>
  <c r="S156" i="12"/>
  <c r="T156" i="12" s="1"/>
  <c r="Q156" i="12"/>
  <c r="R156" i="12" s="1"/>
  <c r="H156" i="12"/>
  <c r="AA156" i="12"/>
  <c r="AB156" i="12" s="1"/>
  <c r="G156" i="12"/>
  <c r="O156" i="12"/>
  <c r="P156" i="12" s="1"/>
  <c r="W156" i="12"/>
  <c r="X156" i="12" s="1"/>
  <c r="I156" i="12"/>
  <c r="AC156" i="12"/>
  <c r="AD156" i="12" s="1"/>
  <c r="Y156" i="12"/>
  <c r="Z156" i="12" s="1"/>
  <c r="BK156" i="12"/>
  <c r="H158" i="1" s="1"/>
  <c r="M156" i="12"/>
  <c r="N156" i="12" s="1"/>
  <c r="BM156" i="12"/>
  <c r="K156" i="12"/>
  <c r="L156" i="12" s="1"/>
  <c r="J156" i="12"/>
  <c r="U156" i="12"/>
  <c r="V156" i="12" s="1"/>
  <c r="F156" i="12"/>
  <c r="AQ156" i="12"/>
  <c r="AK156" i="12"/>
  <c r="AN156" i="12"/>
  <c r="G387" i="1"/>
  <c r="J387" i="1"/>
  <c r="BW218" i="12"/>
  <c r="BX218" i="12" s="1"/>
  <c r="AF218" i="12"/>
  <c r="AG218" i="12" s="1"/>
  <c r="BU218" i="12"/>
  <c r="BV218" i="12" s="1"/>
  <c r="AY218" i="12"/>
  <c r="AZ218" i="12" s="1"/>
  <c r="BS15" i="12"/>
  <c r="BT15" i="12" s="1"/>
  <c r="BN15" i="12"/>
  <c r="BQ15" i="12"/>
  <c r="BR15" i="12" s="1"/>
  <c r="BL15" i="12"/>
  <c r="AE15" i="12"/>
  <c r="G125" i="1"/>
  <c r="J125" i="1"/>
  <c r="BQ385" i="12"/>
  <c r="BR385" i="12" s="1"/>
  <c r="BL385" i="12"/>
  <c r="AE385" i="12"/>
  <c r="BS385" i="12"/>
  <c r="BT385" i="12" s="1"/>
  <c r="BN385" i="12"/>
  <c r="AZ114" i="12"/>
  <c r="BC278" i="12"/>
  <c r="BO289" i="12"/>
  <c r="BH289" i="12"/>
  <c r="BI289" i="12" s="1"/>
  <c r="AH289" i="12"/>
  <c r="BX295" i="12"/>
  <c r="J207" i="1"/>
  <c r="G207" i="1"/>
  <c r="AG380" i="12"/>
  <c r="J302" i="1"/>
  <c r="G302" i="1"/>
  <c r="BI370" i="12"/>
  <c r="BI304" i="12"/>
  <c r="AF241" i="12"/>
  <c r="AY241" i="12"/>
  <c r="BW241" i="12"/>
  <c r="BX241" i="12" s="1"/>
  <c r="BU241" i="12"/>
  <c r="BV241" i="12" s="1"/>
  <c r="AK278" i="12"/>
  <c r="BC201" i="12"/>
  <c r="BI130" i="12"/>
  <c r="H341" i="1"/>
  <c r="BI400" i="12"/>
  <c r="J135" i="1"/>
  <c r="G135" i="1"/>
  <c r="BC82" i="12"/>
  <c r="BM326" i="12"/>
  <c r="BK326" i="12"/>
  <c r="H328" i="1" s="1"/>
  <c r="Q326" i="12"/>
  <c r="R326" i="12" s="1"/>
  <c r="W326" i="12"/>
  <c r="X326" i="12" s="1"/>
  <c r="U326" i="12"/>
  <c r="V326" i="12" s="1"/>
  <c r="AC326" i="12"/>
  <c r="AD326" i="12" s="1"/>
  <c r="M326" i="12"/>
  <c r="N326" i="12" s="1"/>
  <c r="O326" i="12"/>
  <c r="P326" i="12" s="1"/>
  <c r="K326" i="12"/>
  <c r="L326" i="12" s="1"/>
  <c r="J326" i="12"/>
  <c r="I326" i="12"/>
  <c r="Y326" i="12"/>
  <c r="Z326" i="12" s="1"/>
  <c r="S326" i="12"/>
  <c r="T326" i="12" s="1"/>
  <c r="H326" i="12"/>
  <c r="G326" i="12"/>
  <c r="F326" i="12"/>
  <c r="AA326" i="12"/>
  <c r="AB326" i="12" s="1"/>
  <c r="BF295" i="12"/>
  <c r="H358" i="12"/>
  <c r="W358" i="12"/>
  <c r="X358" i="12" s="1"/>
  <c r="G358" i="12"/>
  <c r="BK358" i="12"/>
  <c r="H360" i="1" s="1"/>
  <c r="Q358" i="12"/>
  <c r="R358" i="12" s="1"/>
  <c r="O358" i="12"/>
  <c r="P358" i="12" s="1"/>
  <c r="M358" i="12"/>
  <c r="N358" i="12" s="1"/>
  <c r="Y358" i="12"/>
  <c r="Z358" i="12" s="1"/>
  <c r="I358" i="12"/>
  <c r="F358" i="12"/>
  <c r="AA358" i="12"/>
  <c r="AB358" i="12" s="1"/>
  <c r="U358" i="12"/>
  <c r="V358" i="12" s="1"/>
  <c r="S358" i="12"/>
  <c r="T358" i="12" s="1"/>
  <c r="BM358" i="12"/>
  <c r="J358" i="12"/>
  <c r="AC358" i="12"/>
  <c r="AD358" i="12" s="1"/>
  <c r="K358" i="12"/>
  <c r="L358" i="12" s="1"/>
  <c r="BN96" i="12"/>
  <c r="AG29" i="12"/>
  <c r="D86" i="12"/>
  <c r="BR86" i="12" s="1"/>
  <c r="D88" i="1"/>
  <c r="BI256" i="12"/>
  <c r="AN217" i="12"/>
  <c r="BR92" i="12"/>
  <c r="J142" i="1"/>
  <c r="G142" i="1"/>
  <c r="BC96" i="12"/>
  <c r="BI228" i="12"/>
  <c r="BH141" i="12"/>
  <c r="BI141" i="12" s="1"/>
  <c r="BO141" i="12"/>
  <c r="AH141" i="12"/>
  <c r="D70" i="1"/>
  <c r="D68" i="12"/>
  <c r="AK177" i="12"/>
  <c r="BF317" i="12"/>
  <c r="AG183" i="12"/>
  <c r="BI296" i="12"/>
  <c r="BM330" i="12"/>
  <c r="BK330" i="12"/>
  <c r="H332" i="1" s="1"/>
  <c r="I330" i="12"/>
  <c r="G330" i="12"/>
  <c r="O330" i="12"/>
  <c r="P330" i="12" s="1"/>
  <c r="Q330" i="12"/>
  <c r="R330" i="12" s="1"/>
  <c r="M330" i="12"/>
  <c r="N330" i="12" s="1"/>
  <c r="K330" i="12"/>
  <c r="L330" i="12" s="1"/>
  <c r="U330" i="12"/>
  <c r="V330" i="12" s="1"/>
  <c r="W330" i="12"/>
  <c r="X330" i="12" s="1"/>
  <c r="S330" i="12"/>
  <c r="T330" i="12" s="1"/>
  <c r="J330" i="12"/>
  <c r="H330" i="12"/>
  <c r="AC330" i="12"/>
  <c r="AD330" i="12" s="1"/>
  <c r="AA330" i="12"/>
  <c r="AB330" i="12" s="1"/>
  <c r="Y330" i="12"/>
  <c r="Z330" i="12" s="1"/>
  <c r="F330" i="12"/>
  <c r="BR77" i="12"/>
  <c r="BF176" i="12"/>
  <c r="AQ173" i="12"/>
  <c r="J279" i="1"/>
  <c r="G279" i="1"/>
  <c r="D206" i="12"/>
  <c r="AG206" i="12" s="1"/>
  <c r="D208" i="1"/>
  <c r="BI258" i="12"/>
  <c r="AG280" i="12"/>
  <c r="BW102" i="12"/>
  <c r="BX102" i="12" s="1"/>
  <c r="AF102" i="12"/>
  <c r="AG102" i="12" s="1"/>
  <c r="BU102" i="12"/>
  <c r="BV102" i="12" s="1"/>
  <c r="AY102" i="12"/>
  <c r="AZ102" i="12" s="1"/>
  <c r="AK185" i="12"/>
  <c r="D118" i="12"/>
  <c r="D120" i="1"/>
  <c r="AZ22" i="12"/>
  <c r="BC142" i="12"/>
  <c r="BI219" i="12"/>
  <c r="H56" i="1"/>
  <c r="AG75" i="12"/>
  <c r="AG205" i="12"/>
  <c r="H157" i="1"/>
  <c r="AZ357" i="12"/>
  <c r="AK271" i="12"/>
  <c r="BS351" i="12"/>
  <c r="BT351" i="12" s="1"/>
  <c r="BL351" i="12"/>
  <c r="BQ351" i="12"/>
  <c r="BR351" i="12" s="1"/>
  <c r="BN351" i="12"/>
  <c r="AE351" i="12"/>
  <c r="AZ226" i="12"/>
  <c r="J168" i="1"/>
  <c r="G168" i="1"/>
  <c r="BK179" i="12"/>
  <c r="AA179" i="12"/>
  <c r="AB179" i="12" s="1"/>
  <c r="K179" i="12"/>
  <c r="L179" i="12" s="1"/>
  <c r="Y179" i="12"/>
  <c r="Z179" i="12" s="1"/>
  <c r="G179" i="12"/>
  <c r="BM179" i="12"/>
  <c r="W179" i="12"/>
  <c r="X179" i="12" s="1"/>
  <c r="S179" i="12"/>
  <c r="T179" i="12" s="1"/>
  <c r="I179" i="12"/>
  <c r="H179" i="12"/>
  <c r="O179" i="12"/>
  <c r="P179" i="12" s="1"/>
  <c r="AC179" i="12"/>
  <c r="AD179" i="12" s="1"/>
  <c r="U179" i="12"/>
  <c r="V179" i="12" s="1"/>
  <c r="J179" i="12"/>
  <c r="Q179" i="12"/>
  <c r="R179" i="12" s="1"/>
  <c r="M179" i="12"/>
  <c r="N179" i="12" s="1"/>
  <c r="F179" i="12"/>
  <c r="AN337" i="12"/>
  <c r="AZ398" i="12"/>
  <c r="BR96" i="12"/>
  <c r="J283" i="1"/>
  <c r="G283" i="1"/>
  <c r="BX304" i="12"/>
  <c r="J235" i="1"/>
  <c r="G235" i="1"/>
  <c r="S140" i="12"/>
  <c r="T140" i="12" s="1"/>
  <c r="BM140" i="12"/>
  <c r="K140" i="12"/>
  <c r="L140" i="12" s="1"/>
  <c r="AA140" i="12"/>
  <c r="AB140" i="12" s="1"/>
  <c r="J140" i="12"/>
  <c r="BK140" i="12"/>
  <c r="H142" i="1" s="1"/>
  <c r="I140" i="12"/>
  <c r="O140" i="12"/>
  <c r="P140" i="12" s="1"/>
  <c r="AC140" i="12"/>
  <c r="AD140" i="12" s="1"/>
  <c r="H140" i="12"/>
  <c r="G140" i="12"/>
  <c r="Q140" i="12"/>
  <c r="R140" i="12" s="1"/>
  <c r="M140" i="12"/>
  <c r="N140" i="12" s="1"/>
  <c r="U140" i="12"/>
  <c r="V140" i="12" s="1"/>
  <c r="W140" i="12"/>
  <c r="X140" i="12" s="1"/>
  <c r="Y140" i="12"/>
  <c r="Z140" i="12" s="1"/>
  <c r="BF140" i="12"/>
  <c r="F140" i="12"/>
  <c r="BC53" i="12"/>
  <c r="AG301" i="12"/>
  <c r="AN227" i="12"/>
  <c r="BF234" i="12"/>
  <c r="AG228" i="12"/>
  <c r="J153" i="1"/>
  <c r="G153" i="1"/>
  <c r="BM19" i="12"/>
  <c r="K19" i="12"/>
  <c r="L19" i="12" s="1"/>
  <c r="U19" i="12"/>
  <c r="V19" i="12" s="1"/>
  <c r="S19" i="12"/>
  <c r="T19" i="12" s="1"/>
  <c r="Y19" i="12"/>
  <c r="Z19" i="12" s="1"/>
  <c r="O19" i="12"/>
  <c r="P19" i="12" s="1"/>
  <c r="M19" i="12"/>
  <c r="N19" i="12" s="1"/>
  <c r="I19" i="12"/>
  <c r="H19" i="12"/>
  <c r="J19" i="12"/>
  <c r="AA19" i="12"/>
  <c r="AB19" i="12" s="1"/>
  <c r="W19" i="12"/>
  <c r="X19" i="12" s="1"/>
  <c r="Q19" i="12"/>
  <c r="R19" i="12" s="1"/>
  <c r="F19" i="12"/>
  <c r="AC19" i="12"/>
  <c r="AD19" i="12" s="1"/>
  <c r="G19" i="12"/>
  <c r="H377" i="1"/>
  <c r="AG14" i="12"/>
  <c r="D144" i="12"/>
  <c r="AG144" i="12" s="1"/>
  <c r="D146" i="1"/>
  <c r="AG332" i="12"/>
  <c r="AG202" i="12"/>
  <c r="S210" i="12"/>
  <c r="T210" i="12" s="1"/>
  <c r="O210" i="12"/>
  <c r="P210" i="12" s="1"/>
  <c r="M210" i="12"/>
  <c r="N210" i="12" s="1"/>
  <c r="Y210" i="12"/>
  <c r="Z210" i="12" s="1"/>
  <c r="AA210" i="12"/>
  <c r="AB210" i="12" s="1"/>
  <c r="U210" i="12"/>
  <c r="V210" i="12" s="1"/>
  <c r="AC210" i="12"/>
  <c r="AD210" i="12" s="1"/>
  <c r="H210" i="12"/>
  <c r="W210" i="12"/>
  <c r="X210" i="12" s="1"/>
  <c r="Q210" i="12"/>
  <c r="R210" i="12" s="1"/>
  <c r="K210" i="12"/>
  <c r="L210" i="12" s="1"/>
  <c r="J210" i="12"/>
  <c r="I210" i="12"/>
  <c r="BK210" i="12"/>
  <c r="H212" i="1" s="1"/>
  <c r="BM210" i="12"/>
  <c r="G210" i="12"/>
  <c r="F210" i="12"/>
  <c r="BI144" i="12"/>
  <c r="BM346" i="12"/>
  <c r="Q346" i="12"/>
  <c r="R346" i="12" s="1"/>
  <c r="O346" i="12"/>
  <c r="P346" i="12" s="1"/>
  <c r="M346" i="12"/>
  <c r="N346" i="12" s="1"/>
  <c r="U346" i="12"/>
  <c r="V346" i="12" s="1"/>
  <c r="BK346" i="12"/>
  <c r="H348" i="1" s="1"/>
  <c r="S346" i="12"/>
  <c r="T346" i="12" s="1"/>
  <c r="K346" i="12"/>
  <c r="L346" i="12" s="1"/>
  <c r="J346" i="12"/>
  <c r="W346" i="12"/>
  <c r="X346" i="12" s="1"/>
  <c r="I346" i="12"/>
  <c r="H346" i="12"/>
  <c r="Y346" i="12"/>
  <c r="Z346" i="12" s="1"/>
  <c r="AC346" i="12"/>
  <c r="AD346" i="12" s="1"/>
  <c r="G346" i="12"/>
  <c r="AA346" i="12"/>
  <c r="AB346" i="12" s="1"/>
  <c r="F346" i="12"/>
  <c r="AZ219" i="12"/>
  <c r="G373" i="1"/>
  <c r="J373" i="1"/>
  <c r="G357" i="1"/>
  <c r="J357" i="1"/>
  <c r="BO99" i="12"/>
  <c r="AH99" i="12"/>
  <c r="BH99" i="12"/>
  <c r="Y122" i="12"/>
  <c r="Z122" i="12" s="1"/>
  <c r="I122" i="12"/>
  <c r="H122" i="12"/>
  <c r="W122" i="12"/>
  <c r="X122" i="12" s="1"/>
  <c r="G122" i="12"/>
  <c r="AC122" i="12"/>
  <c r="AD122" i="12" s="1"/>
  <c r="J122" i="12"/>
  <c r="AA122" i="12"/>
  <c r="AB122" i="12" s="1"/>
  <c r="O122" i="12"/>
  <c r="P122" i="12" s="1"/>
  <c r="BK122" i="12"/>
  <c r="H124" i="1" s="1"/>
  <c r="U122" i="12"/>
  <c r="V122" i="12" s="1"/>
  <c r="M122" i="12"/>
  <c r="N122" i="12" s="1"/>
  <c r="BM122" i="12"/>
  <c r="K122" i="12"/>
  <c r="L122" i="12" s="1"/>
  <c r="S122" i="12"/>
  <c r="T122" i="12" s="1"/>
  <c r="Q122" i="12"/>
  <c r="R122" i="12" s="1"/>
  <c r="F122" i="12"/>
  <c r="AG331" i="12"/>
  <c r="H57" i="1"/>
  <c r="BR93" i="12"/>
  <c r="AG392" i="12"/>
  <c r="J205" i="1"/>
  <c r="G205" i="1"/>
  <c r="BI21" i="12"/>
  <c r="O365" i="12"/>
  <c r="P365" i="12" s="1"/>
  <c r="BM365" i="12"/>
  <c r="H365" i="12"/>
  <c r="BK365" i="12"/>
  <c r="H367" i="1" s="1"/>
  <c r="J365" i="12"/>
  <c r="AC365" i="12"/>
  <c r="AD365" i="12" s="1"/>
  <c r="I365" i="12"/>
  <c r="G365" i="12"/>
  <c r="AA365" i="12"/>
  <c r="AB365" i="12" s="1"/>
  <c r="K365" i="12"/>
  <c r="L365" i="12" s="1"/>
  <c r="Y365" i="12"/>
  <c r="Z365" i="12" s="1"/>
  <c r="W365" i="12"/>
  <c r="X365" i="12" s="1"/>
  <c r="U365" i="12"/>
  <c r="V365" i="12" s="1"/>
  <c r="M365" i="12"/>
  <c r="N365" i="12" s="1"/>
  <c r="Q365" i="12"/>
  <c r="R365" i="12" s="1"/>
  <c r="S365" i="12"/>
  <c r="T365" i="12" s="1"/>
  <c r="F365" i="12"/>
  <c r="D189" i="12"/>
  <c r="D191" i="1"/>
  <c r="BI344" i="12"/>
  <c r="J398" i="1"/>
  <c r="G398" i="1"/>
  <c r="BC102" i="12"/>
  <c r="BI232" i="12"/>
  <c r="BX273" i="12"/>
  <c r="AG22" i="12"/>
  <c r="BI156" i="12"/>
  <c r="J329" i="1"/>
  <c r="G329" i="1"/>
  <c r="BN17" i="12"/>
  <c r="BL17" i="12"/>
  <c r="H19" i="1" s="1"/>
  <c r="BQ17" i="12"/>
  <c r="BR17" i="12" s="1"/>
  <c r="BS17" i="12"/>
  <c r="BT17" i="12" s="1"/>
  <c r="AE17" i="12"/>
  <c r="AZ205" i="12"/>
  <c r="BC83" i="12"/>
  <c r="W49" i="12"/>
  <c r="X49" i="12" s="1"/>
  <c r="G49" i="12"/>
  <c r="Y49" i="12"/>
  <c r="Z49" i="12" s="1"/>
  <c r="H49" i="12"/>
  <c r="M49" i="12"/>
  <c r="N49" i="12" s="1"/>
  <c r="BM49" i="12"/>
  <c r="Q49" i="12"/>
  <c r="R49" i="12" s="1"/>
  <c r="K49" i="12"/>
  <c r="L49" i="12" s="1"/>
  <c r="I49" i="12"/>
  <c r="F49" i="12"/>
  <c r="AC49" i="12"/>
  <c r="AD49" i="12" s="1"/>
  <c r="BK49" i="12"/>
  <c r="AA49" i="12"/>
  <c r="AB49" i="12" s="1"/>
  <c r="O49" i="12"/>
  <c r="P49" i="12" s="1"/>
  <c r="U49" i="12"/>
  <c r="V49" i="12" s="1"/>
  <c r="S49" i="12"/>
  <c r="T49" i="12" s="1"/>
  <c r="J49" i="12"/>
  <c r="AG235" i="12"/>
  <c r="BI176" i="12"/>
  <c r="BF271" i="12"/>
  <c r="BF98" i="12"/>
  <c r="BU351" i="12"/>
  <c r="BV351" i="12" s="1"/>
  <c r="BW351" i="12"/>
  <c r="BX351" i="12" s="1"/>
  <c r="AY351" i="12"/>
  <c r="AZ351" i="12" s="1"/>
  <c r="AF351" i="12"/>
  <c r="AG351" i="12" s="1"/>
  <c r="AG226" i="12"/>
  <c r="AG85" i="12"/>
  <c r="BB409" i="12"/>
  <c r="C27" i="7" s="1"/>
  <c r="BC2" i="12"/>
  <c r="S166" i="12"/>
  <c r="T166" i="12" s="1"/>
  <c r="O166" i="12"/>
  <c r="P166" i="12" s="1"/>
  <c r="M166" i="12"/>
  <c r="N166" i="12" s="1"/>
  <c r="K166" i="12"/>
  <c r="L166" i="12" s="1"/>
  <c r="BM166" i="12"/>
  <c r="G166" i="12"/>
  <c r="Q166" i="12"/>
  <c r="R166" i="12" s="1"/>
  <c r="J166" i="12"/>
  <c r="I166" i="12"/>
  <c r="AA166" i="12"/>
  <c r="AB166" i="12" s="1"/>
  <c r="Y166" i="12"/>
  <c r="Z166" i="12" s="1"/>
  <c r="U166" i="12"/>
  <c r="V166" i="12" s="1"/>
  <c r="AC166" i="12"/>
  <c r="AD166" i="12" s="1"/>
  <c r="W166" i="12"/>
  <c r="X166" i="12" s="1"/>
  <c r="H166" i="12"/>
  <c r="BK166" i="12"/>
  <c r="H168" i="1" s="1"/>
  <c r="F166" i="12"/>
  <c r="G181" i="1"/>
  <c r="J181" i="1"/>
  <c r="J162" i="1"/>
  <c r="G162" i="1"/>
  <c r="BF337" i="12"/>
  <c r="AG398" i="12"/>
  <c r="AK160" i="12"/>
  <c r="AQ154" i="12"/>
  <c r="J102" i="1"/>
  <c r="G102" i="1"/>
  <c r="J326" i="1"/>
  <c r="G326" i="1"/>
  <c r="BQ35" i="12"/>
  <c r="BR35" i="12" s="1"/>
  <c r="BL35" i="12"/>
  <c r="AE35" i="12"/>
  <c r="BN35" i="12"/>
  <c r="BS35" i="12"/>
  <c r="BT35" i="12" s="1"/>
  <c r="AC281" i="12"/>
  <c r="AD281" i="12" s="1"/>
  <c r="M281" i="12"/>
  <c r="N281" i="12" s="1"/>
  <c r="BK281" i="12"/>
  <c r="H283" i="1" s="1"/>
  <c r="U281" i="12"/>
  <c r="V281" i="12" s="1"/>
  <c r="S281" i="12"/>
  <c r="T281" i="12" s="1"/>
  <c r="AA281" i="12"/>
  <c r="AB281" i="12" s="1"/>
  <c r="Y281" i="12"/>
  <c r="Z281" i="12" s="1"/>
  <c r="H281" i="12"/>
  <c r="G281" i="12"/>
  <c r="Q281" i="12"/>
  <c r="R281" i="12" s="1"/>
  <c r="I281" i="12"/>
  <c r="W281" i="12"/>
  <c r="X281" i="12" s="1"/>
  <c r="J281" i="12"/>
  <c r="O281" i="12"/>
  <c r="P281" i="12" s="1"/>
  <c r="BM281" i="12"/>
  <c r="K281" i="12"/>
  <c r="L281" i="12" s="1"/>
  <c r="F281" i="12"/>
  <c r="AZ304" i="12"/>
  <c r="AG381" i="12"/>
  <c r="O233" i="12"/>
  <c r="P233" i="12" s="1"/>
  <c r="BM233" i="12"/>
  <c r="AA233" i="12"/>
  <c r="AB233" i="12" s="1"/>
  <c r="H233" i="12"/>
  <c r="G233" i="12"/>
  <c r="Y233" i="12"/>
  <c r="Z233" i="12" s="1"/>
  <c r="AC233" i="12"/>
  <c r="AD233" i="12" s="1"/>
  <c r="Q233" i="12"/>
  <c r="R233" i="12" s="1"/>
  <c r="I233" i="12"/>
  <c r="W233" i="12"/>
  <c r="X233" i="12" s="1"/>
  <c r="U233" i="12"/>
  <c r="V233" i="12" s="1"/>
  <c r="S233" i="12"/>
  <c r="T233" i="12" s="1"/>
  <c r="J233" i="12"/>
  <c r="BK233" i="12"/>
  <c r="H235" i="1" s="1"/>
  <c r="M233" i="12"/>
  <c r="N233" i="12" s="1"/>
  <c r="K233" i="12"/>
  <c r="L233" i="12" s="1"/>
  <c r="F233" i="12"/>
  <c r="D347" i="12"/>
  <c r="D349" i="1"/>
  <c r="AZ348" i="12"/>
  <c r="BF53" i="12"/>
  <c r="BN227" i="12"/>
  <c r="AE227" i="12"/>
  <c r="BQ227" i="12"/>
  <c r="BR227" i="12" s="1"/>
  <c r="BS227" i="12"/>
  <c r="BT227" i="12" s="1"/>
  <c r="BL227" i="12"/>
  <c r="H90" i="12"/>
  <c r="O90" i="12"/>
  <c r="P90" i="12" s="1"/>
  <c r="M90" i="12"/>
  <c r="N90" i="12" s="1"/>
  <c r="U90" i="12"/>
  <c r="V90" i="12" s="1"/>
  <c r="W90" i="12"/>
  <c r="X90" i="12" s="1"/>
  <c r="S90" i="12"/>
  <c r="T90" i="12" s="1"/>
  <c r="I90" i="12"/>
  <c r="G90" i="12"/>
  <c r="BM90" i="12"/>
  <c r="BK90" i="12"/>
  <c r="H92" i="1" s="1"/>
  <c r="AC90" i="12"/>
  <c r="AD90" i="12" s="1"/>
  <c r="AA90" i="12"/>
  <c r="AB90" i="12" s="1"/>
  <c r="Q90" i="12"/>
  <c r="R90" i="12" s="1"/>
  <c r="K90" i="12"/>
  <c r="L90" i="12" s="1"/>
  <c r="Y90" i="12"/>
  <c r="Z90" i="12" s="1"/>
  <c r="J90" i="12"/>
  <c r="BN90" i="12"/>
  <c r="F90" i="12"/>
  <c r="BH145" i="12"/>
  <c r="BI145" i="12" s="1"/>
  <c r="AH145" i="12"/>
  <c r="BO145" i="12"/>
  <c r="BI257" i="12"/>
  <c r="AA151" i="12"/>
  <c r="AB151" i="12" s="1"/>
  <c r="K151" i="12"/>
  <c r="L151" i="12" s="1"/>
  <c r="U151" i="12"/>
  <c r="V151" i="12" s="1"/>
  <c r="S151" i="12"/>
  <c r="T151" i="12" s="1"/>
  <c r="M151" i="12"/>
  <c r="N151" i="12" s="1"/>
  <c r="W151" i="12"/>
  <c r="X151" i="12" s="1"/>
  <c r="O151" i="12"/>
  <c r="P151" i="12" s="1"/>
  <c r="J151" i="12"/>
  <c r="I151" i="12"/>
  <c r="BK151" i="12"/>
  <c r="H153" i="1" s="1"/>
  <c r="G151" i="12"/>
  <c r="Y151" i="12"/>
  <c r="Z151" i="12" s="1"/>
  <c r="Q151" i="12"/>
  <c r="R151" i="12" s="1"/>
  <c r="BM151" i="12"/>
  <c r="AC151" i="12"/>
  <c r="AD151" i="12" s="1"/>
  <c r="H151" i="12"/>
  <c r="F151" i="12"/>
  <c r="P2" i="12"/>
  <c r="D322" i="12"/>
  <c r="AG322" i="12" s="1"/>
  <c r="D324" i="1"/>
  <c r="G177" i="1"/>
  <c r="J177" i="1"/>
  <c r="Q371" i="12"/>
  <c r="R371" i="12" s="1"/>
  <c r="O371" i="12"/>
  <c r="P371" i="12" s="1"/>
  <c r="M371" i="12"/>
  <c r="N371" i="12" s="1"/>
  <c r="Y371" i="12"/>
  <c r="Z371" i="12" s="1"/>
  <c r="BK371" i="12"/>
  <c r="H373" i="1" s="1"/>
  <c r="K371" i="12"/>
  <c r="L371" i="12" s="1"/>
  <c r="J371" i="12"/>
  <c r="I371" i="12"/>
  <c r="H371" i="12"/>
  <c r="U371" i="12"/>
  <c r="V371" i="12" s="1"/>
  <c r="S371" i="12"/>
  <c r="T371" i="12" s="1"/>
  <c r="G371" i="12"/>
  <c r="BM371" i="12"/>
  <c r="AC371" i="12"/>
  <c r="AD371" i="12" s="1"/>
  <c r="AA371" i="12"/>
  <c r="AB371" i="12" s="1"/>
  <c r="W371" i="12"/>
  <c r="X371" i="12" s="1"/>
  <c r="F371" i="12"/>
  <c r="BM355" i="12"/>
  <c r="K355" i="12"/>
  <c r="L355" i="12" s="1"/>
  <c r="BK355" i="12"/>
  <c r="H357" i="1" s="1"/>
  <c r="I355" i="12"/>
  <c r="Q355" i="12"/>
  <c r="R355" i="12" s="1"/>
  <c r="M355" i="12"/>
  <c r="N355" i="12" s="1"/>
  <c r="J355" i="12"/>
  <c r="O355" i="12"/>
  <c r="P355" i="12" s="1"/>
  <c r="H355" i="12"/>
  <c r="G355" i="12"/>
  <c r="AC355" i="12"/>
  <c r="AD355" i="12" s="1"/>
  <c r="F355" i="12"/>
  <c r="AA355" i="12"/>
  <c r="AB355" i="12" s="1"/>
  <c r="Y355" i="12"/>
  <c r="Z355" i="12" s="1"/>
  <c r="U355" i="12"/>
  <c r="V355" i="12" s="1"/>
  <c r="W355" i="12"/>
  <c r="X355" i="12" s="1"/>
  <c r="S355" i="12"/>
  <c r="T355" i="12" s="1"/>
  <c r="J124" i="1"/>
  <c r="G124" i="1"/>
  <c r="AZ331" i="12"/>
  <c r="G287" i="1"/>
  <c r="J287" i="1"/>
  <c r="BV392" i="12"/>
  <c r="BI90" i="12"/>
  <c r="BK203" i="12"/>
  <c r="H205" i="1" s="1"/>
  <c r="AA203" i="12"/>
  <c r="AB203" i="12" s="1"/>
  <c r="K203" i="12"/>
  <c r="L203" i="12" s="1"/>
  <c r="J203" i="12"/>
  <c r="M203" i="12"/>
  <c r="N203" i="12" s="1"/>
  <c r="I203" i="12"/>
  <c r="BM203" i="12"/>
  <c r="U203" i="12"/>
  <c r="V203" i="12" s="1"/>
  <c r="S203" i="12"/>
  <c r="T203" i="12" s="1"/>
  <c r="AC203" i="12"/>
  <c r="AD203" i="12" s="1"/>
  <c r="Y203" i="12"/>
  <c r="Z203" i="12" s="1"/>
  <c r="F203" i="12"/>
  <c r="H203" i="12"/>
  <c r="G203" i="12"/>
  <c r="O203" i="12"/>
  <c r="P203" i="12" s="1"/>
  <c r="Q203" i="12"/>
  <c r="R203" i="12" s="1"/>
  <c r="W203" i="12"/>
  <c r="X203" i="12" s="1"/>
  <c r="D311" i="12"/>
  <c r="AZ311" i="12" s="1"/>
  <c r="D313" i="1"/>
  <c r="AG361" i="12"/>
  <c r="AA157" i="12"/>
  <c r="AB157" i="12" s="1"/>
  <c r="K157" i="12"/>
  <c r="L157" i="12" s="1"/>
  <c r="O157" i="12"/>
  <c r="P157" i="12" s="1"/>
  <c r="BK157" i="12"/>
  <c r="H159" i="1" s="1"/>
  <c r="S157" i="12"/>
  <c r="T157" i="12" s="1"/>
  <c r="G157" i="12"/>
  <c r="Y157" i="12"/>
  <c r="Z157" i="12" s="1"/>
  <c r="J157" i="12"/>
  <c r="I157" i="12"/>
  <c r="BM157" i="12"/>
  <c r="AC157" i="12"/>
  <c r="AD157" i="12" s="1"/>
  <c r="M157" i="12"/>
  <c r="N157" i="12" s="1"/>
  <c r="H157" i="12"/>
  <c r="W157" i="12"/>
  <c r="X157" i="12" s="1"/>
  <c r="U157" i="12"/>
  <c r="V157" i="12" s="1"/>
  <c r="Q157" i="12"/>
  <c r="R157" i="12" s="1"/>
  <c r="F157" i="12"/>
  <c r="BI123" i="12"/>
  <c r="J152" i="1"/>
  <c r="G152" i="1"/>
  <c r="BI336" i="12"/>
  <c r="AK140" i="12"/>
  <c r="BI46" i="12"/>
  <c r="J226" i="1"/>
  <c r="G226" i="1"/>
  <c r="BM396" i="12"/>
  <c r="AA396" i="12"/>
  <c r="AB396" i="12" s="1"/>
  <c r="K396" i="12"/>
  <c r="L396" i="12" s="1"/>
  <c r="Q396" i="12"/>
  <c r="R396" i="12" s="1"/>
  <c r="O396" i="12"/>
  <c r="P396" i="12" s="1"/>
  <c r="Y396" i="12"/>
  <c r="Z396" i="12" s="1"/>
  <c r="S396" i="12"/>
  <c r="T396" i="12" s="1"/>
  <c r="M396" i="12"/>
  <c r="N396" i="12" s="1"/>
  <c r="I396" i="12"/>
  <c r="H396" i="12"/>
  <c r="G396" i="12"/>
  <c r="W396" i="12"/>
  <c r="X396" i="12" s="1"/>
  <c r="BK396" i="12"/>
  <c r="H398" i="1" s="1"/>
  <c r="J396" i="12"/>
  <c r="AC396" i="12"/>
  <c r="AD396" i="12" s="1"/>
  <c r="U396" i="12"/>
  <c r="V396" i="12" s="1"/>
  <c r="F396" i="12"/>
  <c r="BO111" i="12"/>
  <c r="AH111" i="12"/>
  <c r="BH111" i="12"/>
  <c r="BI111" i="12" s="1"/>
  <c r="BL102" i="12"/>
  <c r="BN102" i="12"/>
  <c r="AE102" i="12"/>
  <c r="BQ102" i="12"/>
  <c r="BR102" i="12" s="1"/>
  <c r="BS102" i="12"/>
  <c r="BT102" i="12" s="1"/>
  <c r="D207" i="12"/>
  <c r="AK207" i="12" s="1"/>
  <c r="D209" i="1"/>
  <c r="G405" i="1"/>
  <c r="J405" i="1"/>
  <c r="J222" i="1"/>
  <c r="G222" i="1"/>
  <c r="J139" i="1"/>
  <c r="G139" i="1"/>
  <c r="K247" i="8"/>
  <c r="C247" i="8" s="1"/>
  <c r="E57" i="8"/>
  <c r="C57" i="8" s="1"/>
  <c r="AN154" i="12"/>
  <c r="H100" i="12"/>
  <c r="M100" i="12"/>
  <c r="N100" i="12" s="1"/>
  <c r="AC100" i="12"/>
  <c r="AD100" i="12" s="1"/>
  <c r="BM100" i="12"/>
  <c r="K100" i="12"/>
  <c r="L100" i="12" s="1"/>
  <c r="O100" i="12"/>
  <c r="P100" i="12" s="1"/>
  <c r="Y100" i="12"/>
  <c r="Z100" i="12" s="1"/>
  <c r="W100" i="12"/>
  <c r="X100" i="12" s="1"/>
  <c r="U100" i="12"/>
  <c r="V100" i="12" s="1"/>
  <c r="BK100" i="12"/>
  <c r="H102" i="1" s="1"/>
  <c r="J100" i="12"/>
  <c r="I100" i="12"/>
  <c r="G100" i="12"/>
  <c r="F100" i="12"/>
  <c r="S100" i="12"/>
  <c r="T100" i="12" s="1"/>
  <c r="Q100" i="12"/>
  <c r="R100" i="12" s="1"/>
  <c r="AA100" i="12"/>
  <c r="AB100" i="12" s="1"/>
  <c r="BM324" i="12"/>
  <c r="BK324" i="12"/>
  <c r="H326" i="1" s="1"/>
  <c r="O324" i="12"/>
  <c r="P324" i="12" s="1"/>
  <c r="J324" i="12"/>
  <c r="I324" i="12"/>
  <c r="H324" i="12"/>
  <c r="AC324" i="12"/>
  <c r="AD324" i="12" s="1"/>
  <c r="G324" i="12"/>
  <c r="AA324" i="12"/>
  <c r="AB324" i="12" s="1"/>
  <c r="Y324" i="12"/>
  <c r="Z324" i="12" s="1"/>
  <c r="Q324" i="12"/>
  <c r="R324" i="12" s="1"/>
  <c r="K324" i="12"/>
  <c r="L324" i="12" s="1"/>
  <c r="S324" i="12"/>
  <c r="T324" i="12" s="1"/>
  <c r="M324" i="12"/>
  <c r="N324" i="12" s="1"/>
  <c r="U324" i="12"/>
  <c r="V324" i="12" s="1"/>
  <c r="W324" i="12"/>
  <c r="X324" i="12" s="1"/>
  <c r="F324" i="12"/>
  <c r="BW35" i="12"/>
  <c r="BX35" i="12" s="1"/>
  <c r="BU35" i="12"/>
  <c r="BV35" i="12" s="1"/>
  <c r="AY35" i="12"/>
  <c r="AZ35" i="12" s="1"/>
  <c r="AF35" i="12"/>
  <c r="AG35" i="12" s="1"/>
  <c r="AJ409" i="12"/>
  <c r="C40" i="7" s="1"/>
  <c r="AK2" i="12"/>
  <c r="BT236" i="12"/>
  <c r="AH53" i="12"/>
  <c r="BO53" i="12"/>
  <c r="BH53" i="12"/>
  <c r="BI53" i="12" s="1"/>
  <c r="AF227" i="12"/>
  <c r="AG227" i="12" s="1"/>
  <c r="AY227" i="12"/>
  <c r="AZ227" i="12" s="1"/>
  <c r="BU227" i="12"/>
  <c r="BV227" i="12" s="1"/>
  <c r="BW227" i="12"/>
  <c r="BX227" i="12" s="1"/>
  <c r="J92" i="1"/>
  <c r="G92" i="1"/>
  <c r="BI126" i="12"/>
  <c r="AG174" i="12"/>
  <c r="AZ228" i="12"/>
  <c r="R2" i="12"/>
  <c r="D231" i="12"/>
  <c r="BI231" i="12" s="1"/>
  <c r="D233" i="1"/>
  <c r="BC305" i="12"/>
  <c r="BN131" i="12"/>
  <c r="AE131" i="12"/>
  <c r="BL131" i="12"/>
  <c r="H133" i="1" s="1"/>
  <c r="BS131" i="12"/>
  <c r="BT131" i="12" s="1"/>
  <c r="BQ131" i="12"/>
  <c r="BR131" i="12" s="1"/>
  <c r="BC202" i="12"/>
  <c r="BI264" i="12"/>
  <c r="AA175" i="12"/>
  <c r="AB175" i="12" s="1"/>
  <c r="K175" i="12"/>
  <c r="L175" i="12" s="1"/>
  <c r="Q175" i="12"/>
  <c r="R175" i="12" s="1"/>
  <c r="O175" i="12"/>
  <c r="P175" i="12" s="1"/>
  <c r="J175" i="12"/>
  <c r="I175" i="12"/>
  <c r="AC175" i="12"/>
  <c r="AD175" i="12" s="1"/>
  <c r="H175" i="12"/>
  <c r="BM175" i="12"/>
  <c r="U175" i="12"/>
  <c r="V175" i="12" s="1"/>
  <c r="Y175" i="12"/>
  <c r="Z175" i="12" s="1"/>
  <c r="W175" i="12"/>
  <c r="X175" i="12" s="1"/>
  <c r="S175" i="12"/>
  <c r="T175" i="12" s="1"/>
  <c r="M175" i="12"/>
  <c r="N175" i="12" s="1"/>
  <c r="G175" i="12"/>
  <c r="BK175" i="12"/>
  <c r="H177" i="1" s="1"/>
  <c r="F175" i="12"/>
  <c r="J176" i="1"/>
  <c r="G176" i="1"/>
  <c r="AZ231" i="12"/>
  <c r="J400" i="1"/>
  <c r="G400" i="1"/>
  <c r="BS138" i="12"/>
  <c r="BT138" i="12" s="1"/>
  <c r="AE138" i="12"/>
  <c r="BQ138" i="12"/>
  <c r="BR138" i="12" s="1"/>
  <c r="BL138" i="12"/>
  <c r="BN138" i="12"/>
  <c r="W285" i="12"/>
  <c r="X285" i="12" s="1"/>
  <c r="M285" i="12"/>
  <c r="N285" i="12" s="1"/>
  <c r="AC285" i="12"/>
  <c r="AD285" i="12" s="1"/>
  <c r="BM285" i="12"/>
  <c r="BK285" i="12"/>
  <c r="H287" i="1" s="1"/>
  <c r="U285" i="12"/>
  <c r="V285" i="12" s="1"/>
  <c r="Y285" i="12"/>
  <c r="Z285" i="12" s="1"/>
  <c r="S285" i="12"/>
  <c r="T285" i="12" s="1"/>
  <c r="Q285" i="12"/>
  <c r="R285" i="12" s="1"/>
  <c r="O285" i="12"/>
  <c r="P285" i="12" s="1"/>
  <c r="F285" i="12"/>
  <c r="J285" i="12"/>
  <c r="AA285" i="12"/>
  <c r="AB285" i="12" s="1"/>
  <c r="G285" i="12"/>
  <c r="K285" i="12"/>
  <c r="L285" i="12" s="1"/>
  <c r="I285" i="12"/>
  <c r="H285" i="12"/>
  <c r="AZ140" i="12"/>
  <c r="AZ392" i="12"/>
  <c r="H392" i="1"/>
  <c r="AA3" i="12"/>
  <c r="AB3" i="12" s="1"/>
  <c r="K3" i="12"/>
  <c r="L3" i="12" s="1"/>
  <c r="M3" i="12"/>
  <c r="N3" i="12" s="1"/>
  <c r="BM3" i="12"/>
  <c r="J3" i="12"/>
  <c r="I3" i="12"/>
  <c r="H3" i="12"/>
  <c r="S3" i="12"/>
  <c r="T3" i="12" s="1"/>
  <c r="Q3" i="12"/>
  <c r="R3" i="12" s="1"/>
  <c r="BK3" i="12"/>
  <c r="H5" i="1" s="1"/>
  <c r="O3" i="12"/>
  <c r="P3" i="12" s="1"/>
  <c r="G3" i="12"/>
  <c r="Y3" i="12"/>
  <c r="Z3" i="12" s="1"/>
  <c r="W3" i="12"/>
  <c r="X3" i="12" s="1"/>
  <c r="U3" i="12"/>
  <c r="V3" i="12" s="1"/>
  <c r="AC3" i="12"/>
  <c r="AD3" i="12" s="1"/>
  <c r="F3" i="12"/>
  <c r="G159" i="1"/>
  <c r="J159" i="1"/>
  <c r="AZ195" i="12"/>
  <c r="S150" i="12"/>
  <c r="T150" i="12" s="1"/>
  <c r="Y150" i="12"/>
  <c r="Z150" i="12" s="1"/>
  <c r="H150" i="12"/>
  <c r="G150" i="12"/>
  <c r="W150" i="12"/>
  <c r="X150" i="12" s="1"/>
  <c r="U150" i="12"/>
  <c r="V150" i="12" s="1"/>
  <c r="Q150" i="12"/>
  <c r="R150" i="12" s="1"/>
  <c r="BK150" i="12"/>
  <c r="H152" i="1" s="1"/>
  <c r="AC150" i="12"/>
  <c r="AD150" i="12" s="1"/>
  <c r="M150" i="12"/>
  <c r="N150" i="12" s="1"/>
  <c r="I150" i="12"/>
  <c r="K150" i="12"/>
  <c r="L150" i="12" s="1"/>
  <c r="AA150" i="12"/>
  <c r="AB150" i="12" s="1"/>
  <c r="J150" i="12"/>
  <c r="BM150" i="12"/>
  <c r="O150" i="12"/>
  <c r="P150" i="12" s="1"/>
  <c r="F150" i="12"/>
  <c r="BV388" i="12"/>
  <c r="H224" i="12"/>
  <c r="S224" i="12"/>
  <c r="T224" i="12" s="1"/>
  <c r="Q224" i="12"/>
  <c r="R224" i="12" s="1"/>
  <c r="AA224" i="12"/>
  <c r="AB224" i="12" s="1"/>
  <c r="J224" i="12"/>
  <c r="I224" i="12"/>
  <c r="G224" i="12"/>
  <c r="AC224" i="12"/>
  <c r="AD224" i="12" s="1"/>
  <c r="Y224" i="12"/>
  <c r="Z224" i="12" s="1"/>
  <c r="M224" i="12"/>
  <c r="N224" i="12" s="1"/>
  <c r="U224" i="12"/>
  <c r="V224" i="12" s="1"/>
  <c r="O224" i="12"/>
  <c r="P224" i="12" s="1"/>
  <c r="K224" i="12"/>
  <c r="L224" i="12" s="1"/>
  <c r="BM224" i="12"/>
  <c r="W224" i="12"/>
  <c r="X224" i="12" s="1"/>
  <c r="F224" i="12"/>
  <c r="AN224" i="12"/>
  <c r="BI224" i="12"/>
  <c r="S403" i="12"/>
  <c r="T403" i="12" s="1"/>
  <c r="Y403" i="12"/>
  <c r="Z403" i="12" s="1"/>
  <c r="G403" i="12"/>
  <c r="BK403" i="12"/>
  <c r="H405" i="1" s="1"/>
  <c r="W403" i="12"/>
  <c r="X403" i="12" s="1"/>
  <c r="U403" i="12"/>
  <c r="V403" i="12" s="1"/>
  <c r="M403" i="12"/>
  <c r="N403" i="12" s="1"/>
  <c r="BM403" i="12"/>
  <c r="AA403" i="12"/>
  <c r="AB403" i="12" s="1"/>
  <c r="K403" i="12"/>
  <c r="L403" i="12" s="1"/>
  <c r="J403" i="12"/>
  <c r="I403" i="12"/>
  <c r="O403" i="12"/>
  <c r="P403" i="12" s="1"/>
  <c r="H403" i="12"/>
  <c r="AC403" i="12"/>
  <c r="AD403" i="12" s="1"/>
  <c r="Q403" i="12"/>
  <c r="R403" i="12" s="1"/>
  <c r="F403" i="12"/>
  <c r="H220" i="12"/>
  <c r="Q220" i="12"/>
  <c r="R220" i="12" s="1"/>
  <c r="O220" i="12"/>
  <c r="P220" i="12" s="1"/>
  <c r="Y220" i="12"/>
  <c r="Z220" i="12" s="1"/>
  <c r="G220" i="12"/>
  <c r="AC220" i="12"/>
  <c r="AD220" i="12" s="1"/>
  <c r="F220" i="12"/>
  <c r="AA220" i="12"/>
  <c r="AB220" i="12" s="1"/>
  <c r="BM220" i="12"/>
  <c r="U220" i="12"/>
  <c r="V220" i="12" s="1"/>
  <c r="I220" i="12"/>
  <c r="W220" i="12"/>
  <c r="X220" i="12" s="1"/>
  <c r="S220" i="12"/>
  <c r="T220" i="12" s="1"/>
  <c r="BK220" i="12"/>
  <c r="H222" i="1" s="1"/>
  <c r="M220" i="12"/>
  <c r="N220" i="12" s="1"/>
  <c r="K220" i="12"/>
  <c r="L220" i="12" s="1"/>
  <c r="J220" i="12"/>
  <c r="AN220" i="12"/>
  <c r="AQ220" i="12"/>
  <c r="AK220" i="12"/>
  <c r="AA137" i="12"/>
  <c r="AB137" i="12" s="1"/>
  <c r="K137" i="12"/>
  <c r="L137" i="12" s="1"/>
  <c r="U137" i="12"/>
  <c r="V137" i="12" s="1"/>
  <c r="W137" i="12"/>
  <c r="X137" i="12" s="1"/>
  <c r="S137" i="12"/>
  <c r="T137" i="12" s="1"/>
  <c r="M137" i="12"/>
  <c r="N137" i="12" s="1"/>
  <c r="J137" i="12"/>
  <c r="BK137" i="12"/>
  <c r="H139" i="1" s="1"/>
  <c r="Y137" i="12"/>
  <c r="Z137" i="12" s="1"/>
  <c r="H137" i="12"/>
  <c r="G137" i="12"/>
  <c r="I137" i="12"/>
  <c r="F137" i="12"/>
  <c r="AC137" i="12"/>
  <c r="AD137" i="12" s="1"/>
  <c r="BM137" i="12"/>
  <c r="Q137" i="12"/>
  <c r="R137" i="12" s="1"/>
  <c r="O137" i="12"/>
  <c r="P137" i="12" s="1"/>
  <c r="G307" i="1"/>
  <c r="J307" i="1"/>
  <c r="J347" i="1"/>
  <c r="G347" i="1"/>
  <c r="BH299" i="12"/>
  <c r="BI299" i="12" s="1"/>
  <c r="AH299" i="12"/>
  <c r="BO299" i="12"/>
  <c r="G111" i="1"/>
  <c r="J111" i="1"/>
  <c r="D273" i="12"/>
  <c r="AZ273" i="12" s="1"/>
  <c r="D275" i="1"/>
  <c r="J172" i="1"/>
  <c r="G172" i="1"/>
  <c r="D239" i="12"/>
  <c r="AG239" i="12" s="1"/>
  <c r="D241" i="1"/>
  <c r="J134" i="1"/>
  <c r="G134" i="1"/>
  <c r="BM328" i="12"/>
  <c r="Q328" i="12"/>
  <c r="R328" i="12" s="1"/>
  <c r="O328" i="12"/>
  <c r="P328" i="12" s="1"/>
  <c r="Y328" i="12"/>
  <c r="Z328" i="12" s="1"/>
  <c r="W328" i="12"/>
  <c r="X328" i="12" s="1"/>
  <c r="BK328" i="12"/>
  <c r="H330" i="1" s="1"/>
  <c r="M328" i="12"/>
  <c r="N328" i="12" s="1"/>
  <c r="K328" i="12"/>
  <c r="L328" i="12" s="1"/>
  <c r="G328" i="12"/>
  <c r="U328" i="12"/>
  <c r="V328" i="12" s="1"/>
  <c r="S328" i="12"/>
  <c r="T328" i="12" s="1"/>
  <c r="AC328" i="12"/>
  <c r="AD328" i="12" s="1"/>
  <c r="H328" i="12"/>
  <c r="AA328" i="12"/>
  <c r="AB328" i="12" s="1"/>
  <c r="J328" i="12"/>
  <c r="I328" i="12"/>
  <c r="F328" i="12"/>
  <c r="BN234" i="12"/>
  <c r="BL234" i="12"/>
  <c r="BS234" i="12"/>
  <c r="BT234" i="12" s="1"/>
  <c r="AE234" i="12"/>
  <c r="BQ234" i="12"/>
  <c r="BR234" i="12" s="1"/>
  <c r="AG229" i="12"/>
  <c r="BC141" i="12"/>
  <c r="BC47" i="12"/>
  <c r="AZ223" i="12"/>
  <c r="BI307" i="12"/>
  <c r="BQ305" i="12"/>
  <c r="BR305" i="12" s="1"/>
  <c r="BN305" i="12"/>
  <c r="AE305" i="12"/>
  <c r="BS305" i="12"/>
  <c r="BT305" i="12" s="1"/>
  <c r="BL305" i="12"/>
  <c r="D221" i="12"/>
  <c r="D223" i="1"/>
  <c r="BK195" i="12"/>
  <c r="H197" i="1" s="1"/>
  <c r="AA195" i="12"/>
  <c r="AB195" i="12" s="1"/>
  <c r="K195" i="12"/>
  <c r="L195" i="12" s="1"/>
  <c r="J195" i="12"/>
  <c r="BM195" i="12"/>
  <c r="U195" i="12"/>
  <c r="V195" i="12" s="1"/>
  <c r="M195" i="12"/>
  <c r="N195" i="12" s="1"/>
  <c r="G195" i="12"/>
  <c r="Q195" i="12"/>
  <c r="R195" i="12" s="1"/>
  <c r="O195" i="12"/>
  <c r="P195" i="12" s="1"/>
  <c r="AC195" i="12"/>
  <c r="AD195" i="12" s="1"/>
  <c r="Y195" i="12"/>
  <c r="Z195" i="12" s="1"/>
  <c r="S195" i="12"/>
  <c r="T195" i="12" s="1"/>
  <c r="W195" i="12"/>
  <c r="X195" i="12" s="1"/>
  <c r="H195" i="12"/>
  <c r="I195" i="12"/>
  <c r="F195" i="12"/>
  <c r="BX326" i="12"/>
  <c r="AG248" i="12"/>
  <c r="BI381" i="12"/>
  <c r="AF95" i="12"/>
  <c r="AY95" i="12"/>
  <c r="AZ95" i="12" s="1"/>
  <c r="BW95" i="12"/>
  <c r="BX95" i="12" s="1"/>
  <c r="BU95" i="12"/>
  <c r="BV95" i="12" s="1"/>
  <c r="J224" i="1"/>
  <c r="G224" i="1"/>
  <c r="S215" i="12"/>
  <c r="T215" i="12" s="1"/>
  <c r="Q215" i="12"/>
  <c r="R215" i="12" s="1"/>
  <c r="K215" i="12"/>
  <c r="L215" i="12" s="1"/>
  <c r="J215" i="12"/>
  <c r="W215" i="12"/>
  <c r="X215" i="12" s="1"/>
  <c r="AC215" i="12"/>
  <c r="AD215" i="12" s="1"/>
  <c r="AA215" i="12"/>
  <c r="AB215" i="12" s="1"/>
  <c r="O215" i="12"/>
  <c r="P215" i="12" s="1"/>
  <c r="H215" i="12"/>
  <c r="G215" i="12"/>
  <c r="F215" i="12"/>
  <c r="M215" i="12"/>
  <c r="N215" i="12" s="1"/>
  <c r="I215" i="12"/>
  <c r="Y215" i="12"/>
  <c r="Z215" i="12" s="1"/>
  <c r="BM215" i="12"/>
  <c r="U215" i="12"/>
  <c r="V215" i="12" s="1"/>
  <c r="H141" i="1"/>
  <c r="AZ302" i="12"/>
  <c r="G325" i="1"/>
  <c r="J325" i="1"/>
  <c r="H161" i="1"/>
  <c r="AQ215" i="12"/>
  <c r="BI120" i="12"/>
  <c r="S190" i="12"/>
  <c r="T190" i="12" s="1"/>
  <c r="K190" i="12"/>
  <c r="L190" i="12" s="1"/>
  <c r="AC190" i="12"/>
  <c r="AD190" i="12" s="1"/>
  <c r="J190" i="12"/>
  <c r="I190" i="12"/>
  <c r="U190" i="12"/>
  <c r="V190" i="12" s="1"/>
  <c r="BK190" i="12"/>
  <c r="H192" i="1" s="1"/>
  <c r="G190" i="12"/>
  <c r="Q190" i="12"/>
  <c r="R190" i="12" s="1"/>
  <c r="H190" i="12"/>
  <c r="BM190" i="12"/>
  <c r="W190" i="12"/>
  <c r="X190" i="12" s="1"/>
  <c r="AA190" i="12"/>
  <c r="AB190" i="12" s="1"/>
  <c r="Y190" i="12"/>
  <c r="Z190" i="12" s="1"/>
  <c r="O190" i="12"/>
  <c r="P190" i="12" s="1"/>
  <c r="M190" i="12"/>
  <c r="N190" i="12" s="1"/>
  <c r="F190" i="12"/>
  <c r="AZ288" i="12"/>
  <c r="G335" i="1"/>
  <c r="J335" i="1"/>
  <c r="AZ79" i="12"/>
  <c r="J123" i="1"/>
  <c r="G123" i="1"/>
  <c r="BM309" i="12"/>
  <c r="Q309" i="12"/>
  <c r="R309" i="12" s="1"/>
  <c r="O309" i="12"/>
  <c r="P309" i="12" s="1"/>
  <c r="AC309" i="12"/>
  <c r="AD309" i="12" s="1"/>
  <c r="J309" i="12"/>
  <c r="I309" i="12"/>
  <c r="AA309" i="12"/>
  <c r="AB309" i="12" s="1"/>
  <c r="H309" i="12"/>
  <c r="S309" i="12"/>
  <c r="T309" i="12" s="1"/>
  <c r="Y309" i="12"/>
  <c r="Z309" i="12" s="1"/>
  <c r="W309" i="12"/>
  <c r="X309" i="12" s="1"/>
  <c r="U309" i="12"/>
  <c r="V309" i="12" s="1"/>
  <c r="BK309" i="12"/>
  <c r="H311" i="1" s="1"/>
  <c r="G309" i="12"/>
  <c r="M309" i="12"/>
  <c r="N309" i="12" s="1"/>
  <c r="K309" i="12"/>
  <c r="L309" i="12" s="1"/>
  <c r="F309" i="12"/>
  <c r="H399" i="1"/>
  <c r="G371" i="1"/>
  <c r="J371" i="1"/>
  <c r="BX336" i="12"/>
  <c r="AG185" i="12"/>
  <c r="BF328" i="12"/>
  <c r="D255" i="12"/>
  <c r="BC255" i="12" s="1"/>
  <c r="D257" i="1"/>
  <c r="BH19" i="12"/>
  <c r="BI19" i="12" s="1"/>
  <c r="BO19" i="12"/>
  <c r="AH19" i="12"/>
  <c r="H381" i="1"/>
  <c r="D158" i="12"/>
  <c r="BI158" i="12" s="1"/>
  <c r="D160" i="1"/>
  <c r="AH62" i="12"/>
  <c r="BO62" i="12"/>
  <c r="BH62" i="12"/>
  <c r="BX325" i="12"/>
  <c r="BT262" i="12"/>
  <c r="S200" i="12"/>
  <c r="T200" i="12" s="1"/>
  <c r="M200" i="12"/>
  <c r="N200" i="12" s="1"/>
  <c r="K200" i="12"/>
  <c r="L200" i="12" s="1"/>
  <c r="W200" i="12"/>
  <c r="X200" i="12" s="1"/>
  <c r="AC200" i="12"/>
  <c r="AD200" i="12" s="1"/>
  <c r="F200" i="12"/>
  <c r="AA200" i="12"/>
  <c r="AB200" i="12" s="1"/>
  <c r="J200" i="12"/>
  <c r="I200" i="12"/>
  <c r="O200" i="12"/>
  <c r="P200" i="12" s="1"/>
  <c r="BM200" i="12"/>
  <c r="H200" i="12"/>
  <c r="BK200" i="12"/>
  <c r="H202" i="1" s="1"/>
  <c r="G200" i="12"/>
  <c r="Y200" i="12"/>
  <c r="Z200" i="12" s="1"/>
  <c r="U200" i="12"/>
  <c r="V200" i="12" s="1"/>
  <c r="Q200" i="12"/>
  <c r="R200" i="12" s="1"/>
  <c r="BU15" i="12"/>
  <c r="BV15" i="12" s="1"/>
  <c r="BW15" i="12"/>
  <c r="BX15" i="12" s="1"/>
  <c r="AF15" i="12"/>
  <c r="AG15" i="12" s="1"/>
  <c r="AY15" i="12"/>
  <c r="AZ15" i="12" s="1"/>
  <c r="BC161" i="12"/>
  <c r="J394" i="1"/>
  <c r="G394" i="1"/>
  <c r="AY11" i="12"/>
  <c r="AZ11" i="12" s="1"/>
  <c r="AF11" i="12"/>
  <c r="AG11" i="12" s="1"/>
  <c r="BW11" i="12"/>
  <c r="BX11" i="12" s="1"/>
  <c r="BU11" i="12"/>
  <c r="BV11" i="12" s="1"/>
  <c r="AK275" i="12"/>
  <c r="BI114" i="12"/>
  <c r="AG169" i="12"/>
  <c r="AZ349" i="12"/>
  <c r="G99" i="1"/>
  <c r="J99" i="1"/>
  <c r="BI143" i="12"/>
  <c r="BI317" i="12"/>
  <c r="AZ240" i="12"/>
  <c r="H21" i="12"/>
  <c r="BK21" i="12"/>
  <c r="H23" i="1" s="1"/>
  <c r="W21" i="12"/>
  <c r="X21" i="12" s="1"/>
  <c r="U21" i="12"/>
  <c r="V21" i="12" s="1"/>
  <c r="S21" i="12"/>
  <c r="T21" i="12" s="1"/>
  <c r="K21" i="12"/>
  <c r="L21" i="12" s="1"/>
  <c r="J21" i="12"/>
  <c r="Q21" i="12"/>
  <c r="R21" i="12" s="1"/>
  <c r="M21" i="12"/>
  <c r="N21" i="12" s="1"/>
  <c r="O21" i="12"/>
  <c r="P21" i="12" s="1"/>
  <c r="F21" i="12"/>
  <c r="BM21" i="12"/>
  <c r="AA21" i="12"/>
  <c r="AB21" i="12" s="1"/>
  <c r="AC21" i="12"/>
  <c r="AD21" i="12" s="1"/>
  <c r="Y21" i="12"/>
  <c r="Z21" i="12" s="1"/>
  <c r="I21" i="12"/>
  <c r="G21" i="12"/>
  <c r="BC21" i="12"/>
  <c r="AN201" i="12"/>
  <c r="AF225" i="12"/>
  <c r="AG225" i="12" s="1"/>
  <c r="AY225" i="12"/>
  <c r="BW225" i="12"/>
  <c r="BX225" i="12" s="1"/>
  <c r="BU225" i="12"/>
  <c r="BV225" i="12" s="1"/>
  <c r="J144" i="1"/>
  <c r="G144" i="1"/>
  <c r="AZ160" i="12"/>
  <c r="AG324" i="12"/>
  <c r="BF298" i="12"/>
  <c r="AN282" i="12"/>
  <c r="BI320" i="12"/>
  <c r="AF367" i="12"/>
  <c r="AG367" i="12" s="1"/>
  <c r="BW367" i="12"/>
  <c r="BX367" i="12" s="1"/>
  <c r="AY367" i="12"/>
  <c r="AZ367" i="12" s="1"/>
  <c r="BU367" i="12"/>
  <c r="BV367" i="12" s="1"/>
  <c r="BS65" i="12"/>
  <c r="BT65" i="12" s="1"/>
  <c r="AE65" i="12"/>
  <c r="BQ65" i="12"/>
  <c r="BR65" i="12" s="1"/>
  <c r="BN65" i="12"/>
  <c r="BL65" i="12"/>
  <c r="AK337" i="12"/>
  <c r="AG200" i="12"/>
  <c r="BX277" i="12"/>
  <c r="S136" i="12"/>
  <c r="T136" i="12" s="1"/>
  <c r="BK136" i="12"/>
  <c r="H138" i="1" s="1"/>
  <c r="I136" i="12"/>
  <c r="Y136" i="12"/>
  <c r="Z136" i="12" s="1"/>
  <c r="H136" i="12"/>
  <c r="G136" i="12"/>
  <c r="M136" i="12"/>
  <c r="N136" i="12" s="1"/>
  <c r="K136" i="12"/>
  <c r="L136" i="12" s="1"/>
  <c r="BM136" i="12"/>
  <c r="AC136" i="12"/>
  <c r="AD136" i="12" s="1"/>
  <c r="W136" i="12"/>
  <c r="X136" i="12" s="1"/>
  <c r="U136" i="12"/>
  <c r="V136" i="12" s="1"/>
  <c r="AA136" i="12"/>
  <c r="AB136" i="12" s="1"/>
  <c r="O136" i="12"/>
  <c r="P136" i="12" s="1"/>
  <c r="Q136" i="12"/>
  <c r="R136" i="12" s="1"/>
  <c r="J136" i="12"/>
  <c r="F136" i="12"/>
  <c r="BC154" i="12"/>
  <c r="J36" i="1"/>
  <c r="G36" i="1"/>
  <c r="BR64" i="12"/>
  <c r="AZ126" i="12"/>
  <c r="AQ195" i="12"/>
  <c r="O305" i="12"/>
  <c r="P305" i="12" s="1"/>
  <c r="M305" i="12"/>
  <c r="N305" i="12" s="1"/>
  <c r="AA305" i="12"/>
  <c r="AB305" i="12" s="1"/>
  <c r="H305" i="12"/>
  <c r="G305" i="12"/>
  <c r="Y305" i="12"/>
  <c r="Z305" i="12" s="1"/>
  <c r="Q305" i="12"/>
  <c r="R305" i="12" s="1"/>
  <c r="BK305" i="12"/>
  <c r="J305" i="12"/>
  <c r="I305" i="12"/>
  <c r="K305" i="12"/>
  <c r="L305" i="12" s="1"/>
  <c r="U305" i="12"/>
  <c r="V305" i="12" s="1"/>
  <c r="BM305" i="12"/>
  <c r="S305" i="12"/>
  <c r="T305" i="12" s="1"/>
  <c r="AC305" i="12"/>
  <c r="AD305" i="12" s="1"/>
  <c r="W305" i="12"/>
  <c r="X305" i="12" s="1"/>
  <c r="F305" i="12"/>
  <c r="Q345" i="12"/>
  <c r="R345" i="12" s="1"/>
  <c r="AC345" i="12"/>
  <c r="AD345" i="12" s="1"/>
  <c r="I345" i="12"/>
  <c r="H345" i="12"/>
  <c r="AA345" i="12"/>
  <c r="AB345" i="12" s="1"/>
  <c r="G345" i="12"/>
  <c r="BM345" i="12"/>
  <c r="K345" i="12"/>
  <c r="L345" i="12" s="1"/>
  <c r="BK345" i="12"/>
  <c r="H347" i="1" s="1"/>
  <c r="J345" i="12"/>
  <c r="W345" i="12"/>
  <c r="X345" i="12" s="1"/>
  <c r="U345" i="12"/>
  <c r="V345" i="12" s="1"/>
  <c r="S345" i="12"/>
  <c r="T345" i="12" s="1"/>
  <c r="O345" i="12"/>
  <c r="P345" i="12" s="1"/>
  <c r="M345" i="12"/>
  <c r="N345" i="12" s="1"/>
  <c r="Y345" i="12"/>
  <c r="Z345" i="12" s="1"/>
  <c r="F345" i="12"/>
  <c r="BS299" i="12"/>
  <c r="BT299" i="12" s="1"/>
  <c r="BQ299" i="12"/>
  <c r="BR299" i="12" s="1"/>
  <c r="BL299" i="12"/>
  <c r="AE299" i="12"/>
  <c r="BN299" i="12"/>
  <c r="J391" i="1"/>
  <c r="G391" i="1"/>
  <c r="J294" i="1"/>
  <c r="G294" i="1"/>
  <c r="O109" i="12"/>
  <c r="P109" i="12" s="1"/>
  <c r="AC109" i="12"/>
  <c r="AD109" i="12" s="1"/>
  <c r="K109" i="12"/>
  <c r="L109" i="12" s="1"/>
  <c r="J109" i="12"/>
  <c r="AA109" i="12"/>
  <c r="AB109" i="12" s="1"/>
  <c r="I109" i="12"/>
  <c r="S109" i="12"/>
  <c r="T109" i="12" s="1"/>
  <c r="BM109" i="12"/>
  <c r="Q109" i="12"/>
  <c r="R109" i="12" s="1"/>
  <c r="BK109" i="12"/>
  <c r="H111" i="1" s="1"/>
  <c r="H109" i="12"/>
  <c r="G109" i="12"/>
  <c r="Y109" i="12"/>
  <c r="Z109" i="12" s="1"/>
  <c r="W109" i="12"/>
  <c r="X109" i="12" s="1"/>
  <c r="U109" i="12"/>
  <c r="V109" i="12" s="1"/>
  <c r="M109" i="12"/>
  <c r="N109" i="12" s="1"/>
  <c r="F109" i="12"/>
  <c r="S170" i="12"/>
  <c r="T170" i="12" s="1"/>
  <c r="Q170" i="12"/>
  <c r="R170" i="12" s="1"/>
  <c r="BK170" i="12"/>
  <c r="H172" i="1" s="1"/>
  <c r="O170" i="12"/>
  <c r="P170" i="12" s="1"/>
  <c r="AA170" i="12"/>
  <c r="AB170" i="12" s="1"/>
  <c r="G170" i="12"/>
  <c r="W170" i="12"/>
  <c r="X170" i="12" s="1"/>
  <c r="H170" i="12"/>
  <c r="F170" i="12"/>
  <c r="Y170" i="12"/>
  <c r="Z170" i="12" s="1"/>
  <c r="I170" i="12"/>
  <c r="BM170" i="12"/>
  <c r="U170" i="12"/>
  <c r="V170" i="12" s="1"/>
  <c r="AC170" i="12"/>
  <c r="AD170" i="12" s="1"/>
  <c r="M170" i="12"/>
  <c r="N170" i="12" s="1"/>
  <c r="K170" i="12"/>
  <c r="L170" i="12" s="1"/>
  <c r="J170" i="12"/>
  <c r="Y132" i="12"/>
  <c r="Z132" i="12" s="1"/>
  <c r="I132" i="12"/>
  <c r="H132" i="12"/>
  <c r="W132" i="12"/>
  <c r="X132" i="12" s="1"/>
  <c r="G132" i="12"/>
  <c r="K132" i="12"/>
  <c r="L132" i="12" s="1"/>
  <c r="AC132" i="12"/>
  <c r="AD132" i="12" s="1"/>
  <c r="J132" i="12"/>
  <c r="U132" i="12"/>
  <c r="V132" i="12" s="1"/>
  <c r="M132" i="12"/>
  <c r="N132" i="12" s="1"/>
  <c r="BM132" i="12"/>
  <c r="AA132" i="12"/>
  <c r="AB132" i="12" s="1"/>
  <c r="O132" i="12"/>
  <c r="P132" i="12" s="1"/>
  <c r="S132" i="12"/>
  <c r="T132" i="12" s="1"/>
  <c r="Q132" i="12"/>
  <c r="R132" i="12" s="1"/>
  <c r="F132" i="12"/>
  <c r="AH234" i="12"/>
  <c r="BO234" i="12"/>
  <c r="BH234" i="12"/>
  <c r="BI234" i="12" s="1"/>
  <c r="BI181" i="12"/>
  <c r="AD2" i="12"/>
  <c r="BF141" i="12"/>
  <c r="BF47" i="12"/>
  <c r="D64" i="12"/>
  <c r="D66" i="1"/>
  <c r="BF113" i="12"/>
  <c r="AN324" i="12"/>
  <c r="J29" i="1"/>
  <c r="G29" i="1"/>
  <c r="AZ233" i="12"/>
  <c r="AZ101" i="12"/>
  <c r="AZ248" i="12"/>
  <c r="H222" i="12"/>
  <c r="AA222" i="12"/>
  <c r="AB222" i="12" s="1"/>
  <c r="J222" i="12"/>
  <c r="BK222" i="12"/>
  <c r="H224" i="1" s="1"/>
  <c r="I222" i="12"/>
  <c r="Y222" i="12"/>
  <c r="Z222" i="12" s="1"/>
  <c r="G222" i="12"/>
  <c r="Q222" i="12"/>
  <c r="R222" i="12" s="1"/>
  <c r="S222" i="12"/>
  <c r="T222" i="12" s="1"/>
  <c r="AC222" i="12"/>
  <c r="AD222" i="12" s="1"/>
  <c r="W222" i="12"/>
  <c r="X222" i="12" s="1"/>
  <c r="K222" i="12"/>
  <c r="L222" i="12" s="1"/>
  <c r="U222" i="12"/>
  <c r="V222" i="12" s="1"/>
  <c r="M222" i="12"/>
  <c r="N222" i="12" s="1"/>
  <c r="BM222" i="12"/>
  <c r="O222" i="12"/>
  <c r="P222" i="12" s="1"/>
  <c r="AZ222" i="12"/>
  <c r="F222" i="12"/>
  <c r="H186" i="1"/>
  <c r="AG302" i="12"/>
  <c r="M323" i="12"/>
  <c r="N323" i="12" s="1"/>
  <c r="Q323" i="12"/>
  <c r="R323" i="12" s="1"/>
  <c r="BK323" i="12"/>
  <c r="H325" i="1" s="1"/>
  <c r="O323" i="12"/>
  <c r="P323" i="12" s="1"/>
  <c r="K323" i="12"/>
  <c r="L323" i="12" s="1"/>
  <c r="J323" i="12"/>
  <c r="I323" i="12"/>
  <c r="H323" i="12"/>
  <c r="U323" i="12"/>
  <c r="V323" i="12" s="1"/>
  <c r="S323" i="12"/>
  <c r="T323" i="12" s="1"/>
  <c r="BM323" i="12"/>
  <c r="G323" i="12"/>
  <c r="W323" i="12"/>
  <c r="X323" i="12" s="1"/>
  <c r="AC323" i="12"/>
  <c r="AD323" i="12" s="1"/>
  <c r="AA323" i="12"/>
  <c r="AB323" i="12" s="1"/>
  <c r="Y323" i="12"/>
  <c r="Z323" i="12" s="1"/>
  <c r="F323" i="12"/>
  <c r="BC323" i="12"/>
  <c r="AQ203" i="12"/>
  <c r="AG262" i="12"/>
  <c r="AZ210" i="12"/>
  <c r="AZ93" i="12"/>
  <c r="BI273" i="12"/>
  <c r="AK200" i="12"/>
  <c r="BX288" i="12"/>
  <c r="AG264" i="12"/>
  <c r="O333" i="12"/>
  <c r="P333" i="12" s="1"/>
  <c r="M333" i="12"/>
  <c r="N333" i="12" s="1"/>
  <c r="Q333" i="12"/>
  <c r="R333" i="12" s="1"/>
  <c r="K333" i="12"/>
  <c r="L333" i="12" s="1"/>
  <c r="J333" i="12"/>
  <c r="BM333" i="12"/>
  <c r="I333" i="12"/>
  <c r="H333" i="12"/>
  <c r="Y333" i="12"/>
  <c r="Z333" i="12" s="1"/>
  <c r="W333" i="12"/>
  <c r="X333" i="12" s="1"/>
  <c r="AC333" i="12"/>
  <c r="AD333" i="12" s="1"/>
  <c r="S333" i="12"/>
  <c r="T333" i="12" s="1"/>
  <c r="G333" i="12"/>
  <c r="U333" i="12"/>
  <c r="V333" i="12" s="1"/>
  <c r="AA333" i="12"/>
  <c r="AB333" i="12" s="1"/>
  <c r="BK333" i="12"/>
  <c r="H335" i="1" s="1"/>
  <c r="F333" i="12"/>
  <c r="AG79" i="12"/>
  <c r="Q121" i="12"/>
  <c r="R121" i="12" s="1"/>
  <c r="O121" i="12"/>
  <c r="P121" i="12" s="1"/>
  <c r="W121" i="12"/>
  <c r="X121" i="12" s="1"/>
  <c r="BK121" i="12"/>
  <c r="H123" i="1" s="1"/>
  <c r="U121" i="12"/>
  <c r="V121" i="12" s="1"/>
  <c r="K121" i="12"/>
  <c r="L121" i="12" s="1"/>
  <c r="J121" i="12"/>
  <c r="BM121" i="12"/>
  <c r="I121" i="12"/>
  <c r="Y121" i="12"/>
  <c r="Z121" i="12" s="1"/>
  <c r="AC121" i="12"/>
  <c r="AD121" i="12" s="1"/>
  <c r="AA121" i="12"/>
  <c r="AB121" i="12" s="1"/>
  <c r="M121" i="12"/>
  <c r="N121" i="12" s="1"/>
  <c r="G121" i="12"/>
  <c r="S121" i="12"/>
  <c r="T121" i="12" s="1"/>
  <c r="H121" i="12"/>
  <c r="F121" i="12"/>
  <c r="BI148" i="12"/>
  <c r="O369" i="12"/>
  <c r="P369" i="12" s="1"/>
  <c r="J369" i="12"/>
  <c r="U369" i="12"/>
  <c r="V369" i="12" s="1"/>
  <c r="BM369" i="12"/>
  <c r="S369" i="12"/>
  <c r="T369" i="12" s="1"/>
  <c r="BK369" i="12"/>
  <c r="H371" i="1" s="1"/>
  <c r="Q369" i="12"/>
  <c r="R369" i="12" s="1"/>
  <c r="AC369" i="12"/>
  <c r="AD369" i="12" s="1"/>
  <c r="AA369" i="12"/>
  <c r="AB369" i="12" s="1"/>
  <c r="M369" i="12"/>
  <c r="N369" i="12" s="1"/>
  <c r="K369" i="12"/>
  <c r="L369" i="12" s="1"/>
  <c r="I369" i="12"/>
  <c r="H369" i="12"/>
  <c r="G369" i="12"/>
  <c r="Y369" i="12"/>
  <c r="Z369" i="12" s="1"/>
  <c r="W369" i="12"/>
  <c r="X369" i="12" s="1"/>
  <c r="F369" i="12"/>
  <c r="G147" i="1"/>
  <c r="J147" i="1"/>
  <c r="AZ346" i="12"/>
  <c r="AG148" i="12"/>
  <c r="G113" i="1"/>
  <c r="J113" i="1"/>
  <c r="AZ185" i="12"/>
  <c r="BI200" i="12"/>
  <c r="AG176" i="12"/>
  <c r="J94" i="1"/>
  <c r="G94" i="1"/>
  <c r="BT266" i="12"/>
  <c r="AG68" i="12"/>
  <c r="J23" i="1"/>
  <c r="G23" i="1"/>
  <c r="BH201" i="12"/>
  <c r="BI201" i="12" s="1"/>
  <c r="BO201" i="12"/>
  <c r="AH201" i="12"/>
  <c r="BW98" i="12"/>
  <c r="BX98" i="12" s="1"/>
  <c r="BU98" i="12"/>
  <c r="BV98" i="12" s="1"/>
  <c r="AF98" i="12"/>
  <c r="AG98" i="12" s="1"/>
  <c r="AY98" i="12"/>
  <c r="AZ98" i="12" s="1"/>
  <c r="I243" i="8"/>
  <c r="C243" i="8" s="1"/>
  <c r="E81" i="8"/>
  <c r="C81" i="8" s="1"/>
  <c r="K253" i="8"/>
  <c r="C253" i="8" s="1"/>
  <c r="M262" i="8"/>
  <c r="C262" i="8" s="1"/>
  <c r="BS394" i="12"/>
  <c r="BT394" i="12" s="1"/>
  <c r="AE394" i="12"/>
  <c r="BL394" i="12"/>
  <c r="H396" i="1" s="1"/>
  <c r="BN394" i="12"/>
  <c r="BQ394" i="12"/>
  <c r="BR394" i="12" s="1"/>
  <c r="BI223" i="12"/>
  <c r="BH282" i="12"/>
  <c r="BI282" i="12" s="1"/>
  <c r="BO282" i="12"/>
  <c r="AH282" i="12"/>
  <c r="J182" i="1"/>
  <c r="G182" i="1"/>
  <c r="AG77" i="12"/>
  <c r="BR78" i="12"/>
  <c r="BO65" i="12"/>
  <c r="BH65" i="12"/>
  <c r="BI65" i="12" s="1"/>
  <c r="AH65" i="12"/>
  <c r="BC337" i="12"/>
  <c r="D60" i="1"/>
  <c r="D58" i="12"/>
  <c r="BC58" i="12" s="1"/>
  <c r="D88" i="12"/>
  <c r="BC88" i="12" s="1"/>
  <c r="D90" i="1"/>
  <c r="AG126" i="12"/>
  <c r="BC196" i="12"/>
  <c r="BI348" i="12"/>
  <c r="BU299" i="12"/>
  <c r="BV299" i="12" s="1"/>
  <c r="BW299" i="12"/>
  <c r="BX299" i="12" s="1"/>
  <c r="AY299" i="12"/>
  <c r="AZ299" i="12" s="1"/>
  <c r="AF299" i="12"/>
  <c r="AG299" i="12" s="1"/>
  <c r="BC328" i="12"/>
  <c r="M389" i="12"/>
  <c r="N389" i="12" s="1"/>
  <c r="S389" i="12"/>
  <c r="T389" i="12" s="1"/>
  <c r="BK389" i="12"/>
  <c r="H391" i="1" s="1"/>
  <c r="Q389" i="12"/>
  <c r="R389" i="12" s="1"/>
  <c r="O389" i="12"/>
  <c r="P389" i="12" s="1"/>
  <c r="K389" i="12"/>
  <c r="L389" i="12" s="1"/>
  <c r="J389" i="12"/>
  <c r="I389" i="12"/>
  <c r="H389" i="12"/>
  <c r="U389" i="12"/>
  <c r="V389" i="12" s="1"/>
  <c r="G389" i="12"/>
  <c r="AC389" i="12"/>
  <c r="AD389" i="12" s="1"/>
  <c r="BM389" i="12"/>
  <c r="AA389" i="12"/>
  <c r="AB389" i="12" s="1"/>
  <c r="Y389" i="12"/>
  <c r="Z389" i="12" s="1"/>
  <c r="W389" i="12"/>
  <c r="X389" i="12" s="1"/>
  <c r="F389" i="12"/>
  <c r="D315" i="12"/>
  <c r="D317" i="1"/>
  <c r="BM292" i="12"/>
  <c r="O292" i="12"/>
  <c r="P292" i="12" s="1"/>
  <c r="U292" i="12"/>
  <c r="V292" i="12" s="1"/>
  <c r="S292" i="12"/>
  <c r="T292" i="12" s="1"/>
  <c r="AA292" i="12"/>
  <c r="AB292" i="12" s="1"/>
  <c r="G292" i="12"/>
  <c r="Y292" i="12"/>
  <c r="Z292" i="12" s="1"/>
  <c r="Q292" i="12"/>
  <c r="R292" i="12" s="1"/>
  <c r="K292" i="12"/>
  <c r="L292" i="12" s="1"/>
  <c r="M292" i="12"/>
  <c r="N292" i="12" s="1"/>
  <c r="BK292" i="12"/>
  <c r="H294" i="1" s="1"/>
  <c r="AC292" i="12"/>
  <c r="AD292" i="12" s="1"/>
  <c r="W292" i="12"/>
  <c r="X292" i="12" s="1"/>
  <c r="I292" i="12"/>
  <c r="H292" i="12"/>
  <c r="J292" i="12"/>
  <c r="F292" i="12"/>
  <c r="J314" i="1"/>
  <c r="G314" i="1"/>
  <c r="BI34" i="12"/>
  <c r="BI171" i="12"/>
  <c r="AQ234" i="12"/>
  <c r="BN100" i="12"/>
  <c r="AQ47" i="12"/>
  <c r="AG64" i="12"/>
  <c r="AZ109" i="12"/>
  <c r="AG223" i="12"/>
  <c r="BF305" i="12"/>
  <c r="D95" i="12"/>
  <c r="BN95" i="12" s="1"/>
  <c r="D97" i="1"/>
  <c r="AG233" i="12"/>
  <c r="BI124" i="12"/>
  <c r="BI364" i="12"/>
  <c r="AA15" i="12"/>
  <c r="AB15" i="12" s="1"/>
  <c r="K15" i="12"/>
  <c r="L15" i="12" s="1"/>
  <c r="S15" i="12"/>
  <c r="T15" i="12" s="1"/>
  <c r="Q15" i="12"/>
  <c r="R15" i="12" s="1"/>
  <c r="BM15" i="12"/>
  <c r="U15" i="12"/>
  <c r="V15" i="12" s="1"/>
  <c r="M15" i="12"/>
  <c r="N15" i="12" s="1"/>
  <c r="W15" i="12"/>
  <c r="X15" i="12" s="1"/>
  <c r="O15" i="12"/>
  <c r="P15" i="12" s="1"/>
  <c r="AC15" i="12"/>
  <c r="AD15" i="12" s="1"/>
  <c r="J15" i="12"/>
  <c r="G15" i="12"/>
  <c r="Y15" i="12"/>
  <c r="Z15" i="12" s="1"/>
  <c r="BK15" i="12"/>
  <c r="H17" i="1" s="1"/>
  <c r="I15" i="12"/>
  <c r="H15" i="12"/>
  <c r="F15" i="12"/>
  <c r="AG101" i="12"/>
  <c r="J74" i="1"/>
  <c r="G74" i="1"/>
  <c r="H193" i="1"/>
  <c r="H378" i="1"/>
  <c r="AG210" i="12"/>
  <c r="BI97" i="12"/>
  <c r="BI353" i="12"/>
  <c r="AG89" i="12"/>
  <c r="AG288" i="12"/>
  <c r="BF200" i="12"/>
  <c r="BF157" i="12"/>
  <c r="BX290" i="12"/>
  <c r="AN203" i="12"/>
  <c r="BV386" i="12"/>
  <c r="AA145" i="12"/>
  <c r="AB145" i="12" s="1"/>
  <c r="K145" i="12"/>
  <c r="L145" i="12" s="1"/>
  <c r="I145" i="12"/>
  <c r="BK145" i="12"/>
  <c r="Y145" i="12"/>
  <c r="Z145" i="12" s="1"/>
  <c r="H145" i="12"/>
  <c r="G145" i="12"/>
  <c r="J145" i="12"/>
  <c r="AC145" i="12"/>
  <c r="AD145" i="12" s="1"/>
  <c r="W145" i="12"/>
  <c r="X145" i="12" s="1"/>
  <c r="S145" i="12"/>
  <c r="T145" i="12" s="1"/>
  <c r="O145" i="12"/>
  <c r="P145" i="12" s="1"/>
  <c r="U145" i="12"/>
  <c r="V145" i="12" s="1"/>
  <c r="BM145" i="12"/>
  <c r="M145" i="12"/>
  <c r="N145" i="12" s="1"/>
  <c r="Q145" i="12"/>
  <c r="R145" i="12" s="1"/>
  <c r="F145" i="12"/>
  <c r="BC74" i="12"/>
  <c r="AZ148" i="12"/>
  <c r="O111" i="12"/>
  <c r="P111" i="12" s="1"/>
  <c r="M111" i="12"/>
  <c r="N111" i="12" s="1"/>
  <c r="AC111" i="12"/>
  <c r="AD111" i="12" s="1"/>
  <c r="K111" i="12"/>
  <c r="L111" i="12" s="1"/>
  <c r="AA111" i="12"/>
  <c r="AB111" i="12" s="1"/>
  <c r="Q111" i="12"/>
  <c r="R111" i="12" s="1"/>
  <c r="BK111" i="12"/>
  <c r="H113" i="1" s="1"/>
  <c r="J111" i="12"/>
  <c r="BM111" i="12"/>
  <c r="W111" i="12"/>
  <c r="X111" i="12" s="1"/>
  <c r="G111" i="12"/>
  <c r="U111" i="12"/>
  <c r="V111" i="12" s="1"/>
  <c r="S111" i="12"/>
  <c r="T111" i="12" s="1"/>
  <c r="I111" i="12"/>
  <c r="H111" i="12"/>
  <c r="Y111" i="12"/>
  <c r="Z111" i="12" s="1"/>
  <c r="F111" i="12"/>
  <c r="G213" i="1"/>
  <c r="J213" i="1"/>
  <c r="J278" i="1"/>
  <c r="G278" i="1"/>
  <c r="J167" i="1"/>
  <c r="G167" i="1"/>
  <c r="BI229" i="12"/>
  <c r="AG116" i="12"/>
  <c r="AP409" i="12"/>
  <c r="C14" i="7" s="1"/>
  <c r="AQ2" i="12"/>
  <c r="BM312" i="12"/>
  <c r="Q312" i="12"/>
  <c r="R312" i="12" s="1"/>
  <c r="O312" i="12"/>
  <c r="P312" i="12" s="1"/>
  <c r="AC312" i="12"/>
  <c r="AD312" i="12" s="1"/>
  <c r="H312" i="12"/>
  <c r="G312" i="12"/>
  <c r="AA312" i="12"/>
  <c r="AB312" i="12" s="1"/>
  <c r="K312" i="12"/>
  <c r="L312" i="12" s="1"/>
  <c r="J312" i="12"/>
  <c r="I312" i="12"/>
  <c r="Y312" i="12"/>
  <c r="Z312" i="12" s="1"/>
  <c r="BK312" i="12"/>
  <c r="H314" i="1" s="1"/>
  <c r="M312" i="12"/>
  <c r="N312" i="12" s="1"/>
  <c r="S312" i="12"/>
  <c r="T312" i="12" s="1"/>
  <c r="U312" i="12"/>
  <c r="V312" i="12" s="1"/>
  <c r="W312" i="12"/>
  <c r="X312" i="12" s="1"/>
  <c r="F312" i="12"/>
  <c r="AZ306" i="12"/>
  <c r="J282" i="1"/>
  <c r="G282" i="1"/>
  <c r="BO227" i="12"/>
  <c r="BH227" i="12"/>
  <c r="BI227" i="12" s="1"/>
  <c r="AH227" i="12"/>
  <c r="BW234" i="12"/>
  <c r="BX234" i="12" s="1"/>
  <c r="BU234" i="12"/>
  <c r="BV234" i="12" s="1"/>
  <c r="AF234" i="12"/>
  <c r="AG234" i="12" s="1"/>
  <c r="AY234" i="12"/>
  <c r="AZ234" i="12" s="1"/>
  <c r="G369" i="1"/>
  <c r="J369" i="1"/>
  <c r="BQ47" i="12"/>
  <c r="BR47" i="12" s="1"/>
  <c r="BN47" i="12"/>
  <c r="AE47" i="12"/>
  <c r="BL47" i="12"/>
  <c r="BS47" i="12"/>
  <c r="BT47" i="12" s="1"/>
  <c r="BM332" i="12"/>
  <c r="S332" i="12"/>
  <c r="T332" i="12" s="1"/>
  <c r="Q332" i="12"/>
  <c r="R332" i="12" s="1"/>
  <c r="AA332" i="12"/>
  <c r="AB332" i="12" s="1"/>
  <c r="H332" i="12"/>
  <c r="Y332" i="12"/>
  <c r="Z332" i="12" s="1"/>
  <c r="K332" i="12"/>
  <c r="L332" i="12" s="1"/>
  <c r="J332" i="12"/>
  <c r="I332" i="12"/>
  <c r="AC332" i="12"/>
  <c r="AD332" i="12" s="1"/>
  <c r="BK332" i="12"/>
  <c r="H334" i="1" s="1"/>
  <c r="O332" i="12"/>
  <c r="P332" i="12" s="1"/>
  <c r="W332" i="12"/>
  <c r="X332" i="12" s="1"/>
  <c r="U332" i="12"/>
  <c r="V332" i="12" s="1"/>
  <c r="M332" i="12"/>
  <c r="N332" i="12" s="1"/>
  <c r="G332" i="12"/>
  <c r="F332" i="12"/>
  <c r="BC113" i="12"/>
  <c r="D147" i="12"/>
  <c r="BC147" i="12" s="1"/>
  <c r="D149" i="1"/>
  <c r="H408" i="1"/>
  <c r="D99" i="12"/>
  <c r="BC99" i="12" s="1"/>
  <c r="D101" i="1"/>
  <c r="AG364" i="12"/>
  <c r="J17" i="1"/>
  <c r="G17" i="1"/>
  <c r="AG78" i="12"/>
  <c r="H72" i="12"/>
  <c r="J72" i="12"/>
  <c r="AC72" i="12"/>
  <c r="AD72" i="12" s="1"/>
  <c r="I72" i="12"/>
  <c r="Q72" i="12"/>
  <c r="R72" i="12" s="1"/>
  <c r="BM72" i="12"/>
  <c r="O72" i="12"/>
  <c r="P72" i="12" s="1"/>
  <c r="U72" i="12"/>
  <c r="V72" i="12" s="1"/>
  <c r="S72" i="12"/>
  <c r="T72" i="12" s="1"/>
  <c r="M72" i="12"/>
  <c r="N72" i="12" s="1"/>
  <c r="K72" i="12"/>
  <c r="L72" i="12" s="1"/>
  <c r="G72" i="12"/>
  <c r="F72" i="12"/>
  <c r="Y72" i="12"/>
  <c r="Z72" i="12" s="1"/>
  <c r="W72" i="12"/>
  <c r="X72" i="12" s="1"/>
  <c r="BK72" i="12"/>
  <c r="H74" i="1" s="1"/>
  <c r="AA72" i="12"/>
  <c r="AB72" i="12" s="1"/>
  <c r="AZ262" i="12"/>
  <c r="AG93" i="12"/>
  <c r="AG343" i="12"/>
  <c r="BC140" i="12"/>
  <c r="BI328" i="12"/>
  <c r="J343" i="1"/>
  <c r="G343" i="1"/>
  <c r="G401" i="1"/>
  <c r="J401" i="1"/>
  <c r="AG290" i="12"/>
  <c r="G163" i="1"/>
  <c r="J163" i="1"/>
  <c r="BF292" i="12"/>
  <c r="BI87" i="12"/>
  <c r="AZ386" i="12"/>
  <c r="BF166" i="12"/>
  <c r="BF220" i="12"/>
  <c r="BK211" i="12"/>
  <c r="AA211" i="12"/>
  <c r="AB211" i="12" s="1"/>
  <c r="K211" i="12"/>
  <c r="L211" i="12" s="1"/>
  <c r="J211" i="12"/>
  <c r="BM211" i="12"/>
  <c r="U211" i="12"/>
  <c r="V211" i="12" s="1"/>
  <c r="M211" i="12"/>
  <c r="N211" i="12" s="1"/>
  <c r="G211" i="12"/>
  <c r="O211" i="12"/>
  <c r="P211" i="12" s="1"/>
  <c r="AC211" i="12"/>
  <c r="AD211" i="12" s="1"/>
  <c r="Y211" i="12"/>
  <c r="Z211" i="12" s="1"/>
  <c r="H211" i="12"/>
  <c r="I211" i="12"/>
  <c r="W211" i="12"/>
  <c r="X211" i="12" s="1"/>
  <c r="Q211" i="12"/>
  <c r="R211" i="12" s="1"/>
  <c r="S211" i="12"/>
  <c r="T211" i="12" s="1"/>
  <c r="F211" i="12"/>
  <c r="J362" i="1"/>
  <c r="G362" i="1"/>
  <c r="Q276" i="12"/>
  <c r="R276" i="12" s="1"/>
  <c r="O276" i="12"/>
  <c r="P276" i="12" s="1"/>
  <c r="AC276" i="12"/>
  <c r="AD276" i="12" s="1"/>
  <c r="H276" i="12"/>
  <c r="G276" i="12"/>
  <c r="AA276" i="12"/>
  <c r="AB276" i="12" s="1"/>
  <c r="Y276" i="12"/>
  <c r="Z276" i="12" s="1"/>
  <c r="BK276" i="12"/>
  <c r="H278" i="1" s="1"/>
  <c r="W276" i="12"/>
  <c r="X276" i="12" s="1"/>
  <c r="K276" i="12"/>
  <c r="L276" i="12" s="1"/>
  <c r="J276" i="12"/>
  <c r="I276" i="12"/>
  <c r="BM276" i="12"/>
  <c r="S276" i="12"/>
  <c r="T276" i="12" s="1"/>
  <c r="M276" i="12"/>
  <c r="N276" i="12" s="1"/>
  <c r="U276" i="12"/>
  <c r="V276" i="12" s="1"/>
  <c r="AQ276" i="12"/>
  <c r="F276" i="12"/>
  <c r="C17" i="7" l="1"/>
  <c r="BK189" i="12"/>
  <c r="H191" i="1" s="1"/>
  <c r="AA189" i="12"/>
  <c r="AB189" i="12" s="1"/>
  <c r="K189" i="12"/>
  <c r="L189" i="12" s="1"/>
  <c r="J189" i="12"/>
  <c r="W189" i="12"/>
  <c r="X189" i="12" s="1"/>
  <c r="O189" i="12"/>
  <c r="P189" i="12" s="1"/>
  <c r="AC189" i="12"/>
  <c r="AD189" i="12" s="1"/>
  <c r="H189" i="12"/>
  <c r="G189" i="12"/>
  <c r="S189" i="12"/>
  <c r="T189" i="12" s="1"/>
  <c r="Y189" i="12"/>
  <c r="Z189" i="12" s="1"/>
  <c r="U189" i="12"/>
  <c r="V189" i="12" s="1"/>
  <c r="Q189" i="12"/>
  <c r="R189" i="12" s="1"/>
  <c r="M189" i="12"/>
  <c r="N189" i="12" s="1"/>
  <c r="BM189" i="12"/>
  <c r="I189" i="12"/>
  <c r="F189" i="12"/>
  <c r="BC189" i="12"/>
  <c r="AK189" i="12"/>
  <c r="AQ189" i="12"/>
  <c r="BF189" i="12"/>
  <c r="AN189" i="12"/>
  <c r="AM409" i="12"/>
  <c r="C12" i="7" s="1"/>
  <c r="BM314" i="12"/>
  <c r="BK314" i="12"/>
  <c r="H316" i="1" s="1"/>
  <c r="I314" i="12"/>
  <c r="S314" i="12"/>
  <c r="T314" i="12" s="1"/>
  <c r="Q314" i="12"/>
  <c r="R314" i="12" s="1"/>
  <c r="U314" i="12"/>
  <c r="V314" i="12" s="1"/>
  <c r="H314" i="12"/>
  <c r="M314" i="12"/>
  <c r="N314" i="12" s="1"/>
  <c r="K314" i="12"/>
  <c r="L314" i="12" s="1"/>
  <c r="J314" i="12"/>
  <c r="W314" i="12"/>
  <c r="X314" i="12" s="1"/>
  <c r="O314" i="12"/>
  <c r="P314" i="12" s="1"/>
  <c r="AC314" i="12"/>
  <c r="AD314" i="12" s="1"/>
  <c r="AA314" i="12"/>
  <c r="AB314" i="12" s="1"/>
  <c r="Y314" i="12"/>
  <c r="Z314" i="12" s="1"/>
  <c r="G314" i="12"/>
  <c r="F314" i="12"/>
  <c r="BF314" i="12"/>
  <c r="AK314" i="12"/>
  <c r="BC314" i="12"/>
  <c r="J237" i="1"/>
  <c r="G237" i="1"/>
  <c r="O225" i="12"/>
  <c r="P225" i="12" s="1"/>
  <c r="M225" i="12"/>
  <c r="N225" i="12" s="1"/>
  <c r="W225" i="12"/>
  <c r="X225" i="12" s="1"/>
  <c r="AA225" i="12"/>
  <c r="AB225" i="12" s="1"/>
  <c r="Y225" i="12"/>
  <c r="Z225" i="12" s="1"/>
  <c r="BK225" i="12"/>
  <c r="H227" i="1" s="1"/>
  <c r="Q225" i="12"/>
  <c r="R225" i="12" s="1"/>
  <c r="K225" i="12"/>
  <c r="L225" i="12" s="1"/>
  <c r="AC225" i="12"/>
  <c r="AD225" i="12" s="1"/>
  <c r="J225" i="12"/>
  <c r="I225" i="12"/>
  <c r="S225" i="12"/>
  <c r="T225" i="12" s="1"/>
  <c r="BM225" i="12"/>
  <c r="U225" i="12"/>
  <c r="V225" i="12" s="1"/>
  <c r="G225" i="12"/>
  <c r="H225" i="12"/>
  <c r="F225" i="12"/>
  <c r="AY409" i="12"/>
  <c r="S146" i="12"/>
  <c r="T146" i="12" s="1"/>
  <c r="W146" i="12"/>
  <c r="X146" i="12" s="1"/>
  <c r="F146" i="12"/>
  <c r="U146" i="12"/>
  <c r="V146" i="12" s="1"/>
  <c r="BM146" i="12"/>
  <c r="Q146" i="12"/>
  <c r="R146" i="12" s="1"/>
  <c r="AC146" i="12"/>
  <c r="AD146" i="12" s="1"/>
  <c r="K146" i="12"/>
  <c r="L146" i="12" s="1"/>
  <c r="J146" i="12"/>
  <c r="I146" i="12"/>
  <c r="Y146" i="12"/>
  <c r="Z146" i="12" s="1"/>
  <c r="O146" i="12"/>
  <c r="P146" i="12" s="1"/>
  <c r="H146" i="12"/>
  <c r="AA146" i="12"/>
  <c r="AB146" i="12" s="1"/>
  <c r="M146" i="12"/>
  <c r="N146" i="12" s="1"/>
  <c r="G146" i="12"/>
  <c r="BK146" i="12"/>
  <c r="H148" i="1" s="1"/>
  <c r="BF146" i="12"/>
  <c r="BC146" i="12"/>
  <c r="AZ146" i="12"/>
  <c r="AG146" i="12"/>
  <c r="AK146" i="12"/>
  <c r="H238" i="12"/>
  <c r="W238" i="12"/>
  <c r="X238" i="12" s="1"/>
  <c r="G238" i="12"/>
  <c r="BM238" i="12"/>
  <c r="U238" i="12"/>
  <c r="V238" i="12" s="1"/>
  <c r="BK238" i="12"/>
  <c r="H240" i="1" s="1"/>
  <c r="S238" i="12"/>
  <c r="T238" i="12" s="1"/>
  <c r="AC238" i="12"/>
  <c r="AD238" i="12" s="1"/>
  <c r="AA238" i="12"/>
  <c r="AB238" i="12" s="1"/>
  <c r="M238" i="12"/>
  <c r="N238" i="12" s="1"/>
  <c r="K238" i="12"/>
  <c r="L238" i="12" s="1"/>
  <c r="J238" i="12"/>
  <c r="O238" i="12"/>
  <c r="P238" i="12" s="1"/>
  <c r="I238" i="12"/>
  <c r="Q238" i="12"/>
  <c r="R238" i="12" s="1"/>
  <c r="Y238" i="12"/>
  <c r="Z238" i="12" s="1"/>
  <c r="F238" i="12"/>
  <c r="BC238" i="12"/>
  <c r="BN238" i="12"/>
  <c r="BF238" i="12"/>
  <c r="AK238" i="12"/>
  <c r="D250" i="12"/>
  <c r="BI250" i="12" s="1"/>
  <c r="D252" i="1"/>
  <c r="G277" i="1"/>
  <c r="J277" i="1"/>
  <c r="AZ135" i="12"/>
  <c r="J359" i="1"/>
  <c r="G359" i="1"/>
  <c r="H70" i="12"/>
  <c r="U70" i="12"/>
  <c r="V70" i="12" s="1"/>
  <c r="AC70" i="12"/>
  <c r="AD70" i="12" s="1"/>
  <c r="I70" i="12"/>
  <c r="G70" i="12"/>
  <c r="Q70" i="12"/>
  <c r="R70" i="12" s="1"/>
  <c r="BM70" i="12"/>
  <c r="S70" i="12"/>
  <c r="T70" i="12" s="1"/>
  <c r="Y70" i="12"/>
  <c r="Z70" i="12" s="1"/>
  <c r="W70" i="12"/>
  <c r="X70" i="12" s="1"/>
  <c r="M70" i="12"/>
  <c r="N70" i="12" s="1"/>
  <c r="K70" i="12"/>
  <c r="L70" i="12" s="1"/>
  <c r="O70" i="12"/>
  <c r="P70" i="12" s="1"/>
  <c r="F70" i="12"/>
  <c r="AA70" i="12"/>
  <c r="AB70" i="12" s="1"/>
  <c r="BK70" i="12"/>
  <c r="H72" i="1" s="1"/>
  <c r="J70" i="12"/>
  <c r="BC70" i="12"/>
  <c r="BI70" i="12"/>
  <c r="BF70" i="12"/>
  <c r="BN70" i="12"/>
  <c r="H84" i="12"/>
  <c r="BM84" i="12"/>
  <c r="G84" i="12"/>
  <c r="Y84" i="12"/>
  <c r="Z84" i="12" s="1"/>
  <c r="F84" i="12"/>
  <c r="BK84" i="12"/>
  <c r="H86" i="1" s="1"/>
  <c r="W84" i="12"/>
  <c r="X84" i="12" s="1"/>
  <c r="AC84" i="12"/>
  <c r="AD84" i="12" s="1"/>
  <c r="AA84" i="12"/>
  <c r="AB84" i="12" s="1"/>
  <c r="Q84" i="12"/>
  <c r="R84" i="12" s="1"/>
  <c r="O84" i="12"/>
  <c r="P84" i="12" s="1"/>
  <c r="M84" i="12"/>
  <c r="N84" i="12" s="1"/>
  <c r="BN84" i="12"/>
  <c r="S84" i="12"/>
  <c r="T84" i="12" s="1"/>
  <c r="U84" i="12"/>
  <c r="V84" i="12" s="1"/>
  <c r="K84" i="12"/>
  <c r="L84" i="12" s="1"/>
  <c r="I84" i="12"/>
  <c r="J84" i="12"/>
  <c r="BR84" i="12"/>
  <c r="BC84" i="12"/>
  <c r="BI84" i="12"/>
  <c r="BF84" i="12"/>
  <c r="J198" i="1"/>
  <c r="G198" i="1"/>
  <c r="BC207" i="12"/>
  <c r="J100" i="1"/>
  <c r="G100" i="1"/>
  <c r="AZ255" i="12"/>
  <c r="BI347" i="12"/>
  <c r="G259" i="1"/>
  <c r="J259" i="1"/>
  <c r="J223" i="1"/>
  <c r="G223" i="1"/>
  <c r="AZ267" i="12"/>
  <c r="Y118" i="12"/>
  <c r="Z118" i="12" s="1"/>
  <c r="I118" i="12"/>
  <c r="H118" i="12"/>
  <c r="W118" i="12"/>
  <c r="X118" i="12" s="1"/>
  <c r="G118" i="12"/>
  <c r="BM118" i="12"/>
  <c r="U118" i="12"/>
  <c r="V118" i="12" s="1"/>
  <c r="BK118" i="12"/>
  <c r="H120" i="1" s="1"/>
  <c r="M118" i="12"/>
  <c r="N118" i="12" s="1"/>
  <c r="AA118" i="12"/>
  <c r="AB118" i="12" s="1"/>
  <c r="S118" i="12"/>
  <c r="T118" i="12" s="1"/>
  <c r="K118" i="12"/>
  <c r="L118" i="12" s="1"/>
  <c r="O118" i="12"/>
  <c r="P118" i="12" s="1"/>
  <c r="J118" i="12"/>
  <c r="F118" i="12"/>
  <c r="AC118" i="12"/>
  <c r="AD118" i="12" s="1"/>
  <c r="Q118" i="12"/>
  <c r="R118" i="12" s="1"/>
  <c r="J268" i="1"/>
  <c r="G268" i="1"/>
  <c r="M268" i="12"/>
  <c r="N268" i="12" s="1"/>
  <c r="AC268" i="12"/>
  <c r="AD268" i="12" s="1"/>
  <c r="Q268" i="12"/>
  <c r="R268" i="12" s="1"/>
  <c r="O268" i="12"/>
  <c r="P268" i="12" s="1"/>
  <c r="K268" i="12"/>
  <c r="L268" i="12" s="1"/>
  <c r="BK268" i="12"/>
  <c r="H270" i="1" s="1"/>
  <c r="AA268" i="12"/>
  <c r="AB268" i="12" s="1"/>
  <c r="S268" i="12"/>
  <c r="T268" i="12" s="1"/>
  <c r="Y268" i="12"/>
  <c r="Z268" i="12" s="1"/>
  <c r="H268" i="12"/>
  <c r="BM268" i="12"/>
  <c r="J268" i="12"/>
  <c r="W268" i="12"/>
  <c r="X268" i="12" s="1"/>
  <c r="U268" i="12"/>
  <c r="V268" i="12" s="1"/>
  <c r="G268" i="12"/>
  <c r="F268" i="12"/>
  <c r="I268" i="12"/>
  <c r="BC268" i="12"/>
  <c r="AK268" i="12"/>
  <c r="BF268" i="12"/>
  <c r="J68" i="1"/>
  <c r="G68" i="1"/>
  <c r="O235" i="12"/>
  <c r="P235" i="12" s="1"/>
  <c r="BM235" i="12"/>
  <c r="BK235" i="12"/>
  <c r="H237" i="1" s="1"/>
  <c r="U235" i="12"/>
  <c r="V235" i="12" s="1"/>
  <c r="AC235" i="12"/>
  <c r="AD235" i="12" s="1"/>
  <c r="J235" i="12"/>
  <c r="Q235" i="12"/>
  <c r="R235" i="12" s="1"/>
  <c r="M235" i="12"/>
  <c r="N235" i="12" s="1"/>
  <c r="AA235" i="12"/>
  <c r="AB235" i="12" s="1"/>
  <c r="K235" i="12"/>
  <c r="L235" i="12" s="1"/>
  <c r="I235" i="12"/>
  <c r="H235" i="12"/>
  <c r="G235" i="12"/>
  <c r="Y235" i="12"/>
  <c r="Z235" i="12" s="1"/>
  <c r="W235" i="12"/>
  <c r="X235" i="12" s="1"/>
  <c r="S235" i="12"/>
  <c r="T235" i="12" s="1"/>
  <c r="F235" i="12"/>
  <c r="BF235" i="12"/>
  <c r="BN235" i="12"/>
  <c r="AK235" i="12"/>
  <c r="BC235" i="12"/>
  <c r="G301" i="1"/>
  <c r="J301" i="1"/>
  <c r="D62" i="1"/>
  <c r="D60" i="12"/>
  <c r="BK275" i="12"/>
  <c r="H277" i="1" s="1"/>
  <c r="U275" i="12"/>
  <c r="V275" i="12" s="1"/>
  <c r="S275" i="12"/>
  <c r="T275" i="12" s="1"/>
  <c r="K275" i="12"/>
  <c r="L275" i="12" s="1"/>
  <c r="J275" i="12"/>
  <c r="I275" i="12"/>
  <c r="H275" i="12"/>
  <c r="M275" i="12"/>
  <c r="N275" i="12" s="1"/>
  <c r="G275" i="12"/>
  <c r="F275" i="12"/>
  <c r="BM275" i="12"/>
  <c r="AA275" i="12"/>
  <c r="AB275" i="12" s="1"/>
  <c r="Y275" i="12"/>
  <c r="Z275" i="12" s="1"/>
  <c r="AC275" i="12"/>
  <c r="AD275" i="12" s="1"/>
  <c r="W275" i="12"/>
  <c r="X275" i="12" s="1"/>
  <c r="Q275" i="12"/>
  <c r="R275" i="12" s="1"/>
  <c r="O275" i="12"/>
  <c r="P275" i="12" s="1"/>
  <c r="BI118" i="12"/>
  <c r="U357" i="12"/>
  <c r="V357" i="12" s="1"/>
  <c r="S357" i="12"/>
  <c r="T357" i="12" s="1"/>
  <c r="AC357" i="12"/>
  <c r="AD357" i="12" s="1"/>
  <c r="J357" i="12"/>
  <c r="I357" i="12"/>
  <c r="AA357" i="12"/>
  <c r="AB357" i="12" s="1"/>
  <c r="H357" i="12"/>
  <c r="G357" i="12"/>
  <c r="Q357" i="12"/>
  <c r="R357" i="12" s="1"/>
  <c r="O357" i="12"/>
  <c r="P357" i="12" s="1"/>
  <c r="M357" i="12"/>
  <c r="N357" i="12" s="1"/>
  <c r="K357" i="12"/>
  <c r="L357" i="12" s="1"/>
  <c r="Y357" i="12"/>
  <c r="Z357" i="12" s="1"/>
  <c r="BK357" i="12"/>
  <c r="H359" i="1" s="1"/>
  <c r="BM357" i="12"/>
  <c r="W357" i="12"/>
  <c r="X357" i="12" s="1"/>
  <c r="F357" i="12"/>
  <c r="AQ357" i="12"/>
  <c r="AN357" i="12"/>
  <c r="BF357" i="12"/>
  <c r="BC357" i="12"/>
  <c r="AK357" i="12"/>
  <c r="AG118" i="12"/>
  <c r="S196" i="12"/>
  <c r="T196" i="12" s="1"/>
  <c r="I196" i="12"/>
  <c r="AA196" i="12"/>
  <c r="AB196" i="12" s="1"/>
  <c r="H196" i="12"/>
  <c r="G196" i="12"/>
  <c r="M196" i="12"/>
  <c r="N196" i="12" s="1"/>
  <c r="BM196" i="12"/>
  <c r="K196" i="12"/>
  <c r="L196" i="12" s="1"/>
  <c r="BK196" i="12"/>
  <c r="H198" i="1" s="1"/>
  <c r="W196" i="12"/>
  <c r="X196" i="12" s="1"/>
  <c r="U196" i="12"/>
  <c r="V196" i="12" s="1"/>
  <c r="AC196" i="12"/>
  <c r="AD196" i="12" s="1"/>
  <c r="Y196" i="12"/>
  <c r="Z196" i="12" s="1"/>
  <c r="Q196" i="12"/>
  <c r="R196" i="12" s="1"/>
  <c r="J196" i="12"/>
  <c r="O196" i="12"/>
  <c r="P196" i="12" s="1"/>
  <c r="F196" i="12"/>
  <c r="AQ196" i="12"/>
  <c r="BF196" i="12"/>
  <c r="AZ196" i="12"/>
  <c r="AG196" i="12"/>
  <c r="AK196" i="12"/>
  <c r="AN196" i="12"/>
  <c r="AG65" i="12"/>
  <c r="BF5" i="12"/>
  <c r="BE409" i="12"/>
  <c r="C30" i="7" s="1"/>
  <c r="BI243" i="12"/>
  <c r="BM310" i="12"/>
  <c r="G310" i="12"/>
  <c r="M310" i="12"/>
  <c r="N310" i="12" s="1"/>
  <c r="S310" i="12"/>
  <c r="T310" i="12" s="1"/>
  <c r="BK310" i="12"/>
  <c r="H312" i="1" s="1"/>
  <c r="Q310" i="12"/>
  <c r="R310" i="12" s="1"/>
  <c r="AA310" i="12"/>
  <c r="AB310" i="12" s="1"/>
  <c r="H310" i="12"/>
  <c r="AC310" i="12"/>
  <c r="AD310" i="12" s="1"/>
  <c r="U310" i="12"/>
  <c r="V310" i="12" s="1"/>
  <c r="O310" i="12"/>
  <c r="P310" i="12" s="1"/>
  <c r="I310" i="12"/>
  <c r="Y310" i="12"/>
  <c r="Z310" i="12" s="1"/>
  <c r="W310" i="12"/>
  <c r="X310" i="12" s="1"/>
  <c r="K310" i="12"/>
  <c r="L310" i="12" s="1"/>
  <c r="J310" i="12"/>
  <c r="F310" i="12"/>
  <c r="AK310" i="12"/>
  <c r="BF310" i="12"/>
  <c r="BC310" i="12"/>
  <c r="M347" i="12"/>
  <c r="N347" i="12" s="1"/>
  <c r="BM347" i="12"/>
  <c r="K347" i="12"/>
  <c r="L347" i="12" s="1"/>
  <c r="AA347" i="12"/>
  <c r="AB347" i="12" s="1"/>
  <c r="J347" i="12"/>
  <c r="I347" i="12"/>
  <c r="H347" i="12"/>
  <c r="AC347" i="12"/>
  <c r="AD347" i="12" s="1"/>
  <c r="G347" i="12"/>
  <c r="S347" i="12"/>
  <c r="T347" i="12" s="1"/>
  <c r="Q347" i="12"/>
  <c r="R347" i="12" s="1"/>
  <c r="U347" i="12"/>
  <c r="V347" i="12" s="1"/>
  <c r="BK347" i="12"/>
  <c r="H349" i="1" s="1"/>
  <c r="Y347" i="12"/>
  <c r="Z347" i="12" s="1"/>
  <c r="O347" i="12"/>
  <c r="P347" i="12" s="1"/>
  <c r="W347" i="12"/>
  <c r="X347" i="12" s="1"/>
  <c r="F347" i="12"/>
  <c r="J270" i="1"/>
  <c r="G270" i="1"/>
  <c r="M221" i="12"/>
  <c r="N221" i="12" s="1"/>
  <c r="AC221" i="12"/>
  <c r="AD221" i="12" s="1"/>
  <c r="BM221" i="12"/>
  <c r="K221" i="12"/>
  <c r="L221" i="12" s="1"/>
  <c r="U221" i="12"/>
  <c r="V221" i="12" s="1"/>
  <c r="Y221" i="12"/>
  <c r="Z221" i="12" s="1"/>
  <c r="W221" i="12"/>
  <c r="X221" i="12" s="1"/>
  <c r="I221" i="12"/>
  <c r="H221" i="12"/>
  <c r="G221" i="12"/>
  <c r="AA221" i="12"/>
  <c r="AB221" i="12" s="1"/>
  <c r="BK221" i="12"/>
  <c r="H223" i="1" s="1"/>
  <c r="Q221" i="12"/>
  <c r="R221" i="12" s="1"/>
  <c r="O221" i="12"/>
  <c r="P221" i="12" s="1"/>
  <c r="S221" i="12"/>
  <c r="T221" i="12" s="1"/>
  <c r="J221" i="12"/>
  <c r="F221" i="12"/>
  <c r="AN221" i="12"/>
  <c r="AQ221" i="12"/>
  <c r="BC221" i="12"/>
  <c r="AK221" i="12"/>
  <c r="BF221" i="12"/>
  <c r="BC347" i="12"/>
  <c r="AQ347" i="12"/>
  <c r="U266" i="12"/>
  <c r="V266" i="12" s="1"/>
  <c r="S266" i="12"/>
  <c r="T266" i="12" s="1"/>
  <c r="M266" i="12"/>
  <c r="N266" i="12" s="1"/>
  <c r="K266" i="12"/>
  <c r="L266" i="12" s="1"/>
  <c r="J266" i="12"/>
  <c r="O266" i="12"/>
  <c r="P266" i="12" s="1"/>
  <c r="I266" i="12"/>
  <c r="AC266" i="12"/>
  <c r="AD266" i="12" s="1"/>
  <c r="Q266" i="12"/>
  <c r="R266" i="12" s="1"/>
  <c r="F266" i="12"/>
  <c r="Y266" i="12"/>
  <c r="Z266" i="12" s="1"/>
  <c r="BM266" i="12"/>
  <c r="BK266" i="12"/>
  <c r="H268" i="1" s="1"/>
  <c r="H266" i="12"/>
  <c r="G266" i="12"/>
  <c r="AA266" i="12"/>
  <c r="AB266" i="12" s="1"/>
  <c r="W266" i="12"/>
  <c r="X266" i="12" s="1"/>
  <c r="AK266" i="12"/>
  <c r="BN266" i="12"/>
  <c r="BF266" i="12"/>
  <c r="BC266" i="12"/>
  <c r="AN266" i="12"/>
  <c r="AQ266" i="12"/>
  <c r="G261" i="1"/>
  <c r="J261" i="1"/>
  <c r="BR99" i="12"/>
  <c r="H66" i="12"/>
  <c r="S66" i="12"/>
  <c r="T66" i="12" s="1"/>
  <c r="M66" i="12"/>
  <c r="N66" i="12" s="1"/>
  <c r="AC66" i="12"/>
  <c r="AD66" i="12" s="1"/>
  <c r="K66" i="12"/>
  <c r="L66" i="12" s="1"/>
  <c r="AA66" i="12"/>
  <c r="AB66" i="12" s="1"/>
  <c r="Y66" i="12"/>
  <c r="Z66" i="12" s="1"/>
  <c r="U66" i="12"/>
  <c r="V66" i="12" s="1"/>
  <c r="J66" i="12"/>
  <c r="I66" i="12"/>
  <c r="BM66" i="12"/>
  <c r="BK66" i="12"/>
  <c r="H68" i="1" s="1"/>
  <c r="W66" i="12"/>
  <c r="X66" i="12" s="1"/>
  <c r="Q66" i="12"/>
  <c r="R66" i="12" s="1"/>
  <c r="O66" i="12"/>
  <c r="P66" i="12" s="1"/>
  <c r="G66" i="12"/>
  <c r="F66" i="12"/>
  <c r="BC66" i="12"/>
  <c r="BI66" i="12"/>
  <c r="BN66" i="12"/>
  <c r="BF66" i="12"/>
  <c r="G129" i="1"/>
  <c r="J129" i="1"/>
  <c r="AG275" i="12"/>
  <c r="BK299" i="12"/>
  <c r="H301" i="1" s="1"/>
  <c r="W299" i="12"/>
  <c r="X299" i="12" s="1"/>
  <c r="U299" i="12"/>
  <c r="V299" i="12" s="1"/>
  <c r="AA299" i="12"/>
  <c r="AB299" i="12" s="1"/>
  <c r="Y299" i="12"/>
  <c r="Z299" i="12" s="1"/>
  <c r="S299" i="12"/>
  <c r="T299" i="12" s="1"/>
  <c r="AC299" i="12"/>
  <c r="AD299" i="12" s="1"/>
  <c r="I299" i="12"/>
  <c r="H299" i="12"/>
  <c r="G299" i="12"/>
  <c r="O299" i="12"/>
  <c r="P299" i="12" s="1"/>
  <c r="M299" i="12"/>
  <c r="N299" i="12" s="1"/>
  <c r="K299" i="12"/>
  <c r="L299" i="12" s="1"/>
  <c r="J299" i="12"/>
  <c r="Q299" i="12"/>
  <c r="R299" i="12" s="1"/>
  <c r="BM299" i="12"/>
  <c r="F299" i="12"/>
  <c r="AZ118" i="12"/>
  <c r="BI225" i="12"/>
  <c r="BC118" i="12"/>
  <c r="BR58" i="12"/>
  <c r="G195" i="1"/>
  <c r="J195" i="1"/>
  <c r="AG257" i="12"/>
  <c r="BC225" i="12"/>
  <c r="H380" i="1"/>
  <c r="I21" i="2"/>
  <c r="C21" i="2" s="1"/>
  <c r="J120" i="1"/>
  <c r="G120" i="1"/>
  <c r="G101" i="1"/>
  <c r="J101" i="1"/>
  <c r="BI314" i="12"/>
  <c r="J209" i="1"/>
  <c r="G209" i="1"/>
  <c r="AZ361" i="12"/>
  <c r="AG311" i="12"/>
  <c r="J259" i="12"/>
  <c r="Y259" i="12"/>
  <c r="Z259" i="12" s="1"/>
  <c r="I259" i="12"/>
  <c r="H259" i="12"/>
  <c r="M259" i="12"/>
  <c r="N259" i="12" s="1"/>
  <c r="U259" i="12"/>
  <c r="V259" i="12" s="1"/>
  <c r="G259" i="12"/>
  <c r="Q259" i="12"/>
  <c r="R259" i="12" s="1"/>
  <c r="BM259" i="12"/>
  <c r="S259" i="12"/>
  <c r="T259" i="12" s="1"/>
  <c r="W259" i="12"/>
  <c r="X259" i="12" s="1"/>
  <c r="O259" i="12"/>
  <c r="P259" i="12" s="1"/>
  <c r="AA259" i="12"/>
  <c r="AB259" i="12" s="1"/>
  <c r="K259" i="12"/>
  <c r="L259" i="12" s="1"/>
  <c r="AC259" i="12"/>
  <c r="AD259" i="12" s="1"/>
  <c r="F259" i="12"/>
  <c r="D247" i="12"/>
  <c r="D249" i="1"/>
  <c r="BR66" i="12"/>
  <c r="BX322" i="12"/>
  <c r="Q127" i="12"/>
  <c r="R127" i="12" s="1"/>
  <c r="O127" i="12"/>
  <c r="P127" i="12" s="1"/>
  <c r="U127" i="12"/>
  <c r="V127" i="12" s="1"/>
  <c r="S127" i="12"/>
  <c r="T127" i="12" s="1"/>
  <c r="AC127" i="12"/>
  <c r="AD127" i="12" s="1"/>
  <c r="G127" i="12"/>
  <c r="I127" i="12"/>
  <c r="BK127" i="12"/>
  <c r="H129" i="1" s="1"/>
  <c r="H127" i="12"/>
  <c r="BM127" i="12"/>
  <c r="Y127" i="12"/>
  <c r="Z127" i="12" s="1"/>
  <c r="J127" i="12"/>
  <c r="AA127" i="12"/>
  <c r="AB127" i="12" s="1"/>
  <c r="K127" i="12"/>
  <c r="L127" i="12" s="1"/>
  <c r="W127" i="12"/>
  <c r="X127" i="12" s="1"/>
  <c r="M127" i="12"/>
  <c r="N127" i="12" s="1"/>
  <c r="F127" i="12"/>
  <c r="G83" i="1"/>
  <c r="J83" i="1"/>
  <c r="H229" i="1"/>
  <c r="BX314" i="12"/>
  <c r="J220" i="1"/>
  <c r="G220" i="1"/>
  <c r="J258" i="1"/>
  <c r="G258" i="1"/>
  <c r="BT235" i="12"/>
  <c r="AZ239" i="12"/>
  <c r="AG310" i="12"/>
  <c r="BI310" i="12"/>
  <c r="BI88" i="12"/>
  <c r="J230" i="1"/>
  <c r="G230" i="1"/>
  <c r="AG86" i="12"/>
  <c r="BI218" i="12"/>
  <c r="BK193" i="12"/>
  <c r="H195" i="1" s="1"/>
  <c r="AA193" i="12"/>
  <c r="AB193" i="12" s="1"/>
  <c r="K193" i="12"/>
  <c r="L193" i="12" s="1"/>
  <c r="J193" i="12"/>
  <c r="I193" i="12"/>
  <c r="H193" i="12"/>
  <c r="AC193" i="12"/>
  <c r="AD193" i="12" s="1"/>
  <c r="G193" i="12"/>
  <c r="S193" i="12"/>
  <c r="T193" i="12" s="1"/>
  <c r="U193" i="12"/>
  <c r="V193" i="12" s="1"/>
  <c r="BM193" i="12"/>
  <c r="Q193" i="12"/>
  <c r="R193" i="12" s="1"/>
  <c r="M193" i="12"/>
  <c r="N193" i="12" s="1"/>
  <c r="Y193" i="12"/>
  <c r="Z193" i="12" s="1"/>
  <c r="W193" i="12"/>
  <c r="X193" i="12" s="1"/>
  <c r="O193" i="12"/>
  <c r="P193" i="12" s="1"/>
  <c r="F193" i="12"/>
  <c r="J136" i="1"/>
  <c r="G136" i="1"/>
  <c r="AG70" i="12"/>
  <c r="AZ189" i="12"/>
  <c r="J267" i="1"/>
  <c r="G267" i="1"/>
  <c r="BM315" i="12"/>
  <c r="H315" i="12"/>
  <c r="W315" i="12"/>
  <c r="X315" i="12" s="1"/>
  <c r="U315" i="12"/>
  <c r="V315" i="12" s="1"/>
  <c r="S315" i="12"/>
  <c r="T315" i="12" s="1"/>
  <c r="O315" i="12"/>
  <c r="P315" i="12" s="1"/>
  <c r="AC315" i="12"/>
  <c r="AD315" i="12" s="1"/>
  <c r="AA315" i="12"/>
  <c r="AB315" i="12" s="1"/>
  <c r="I315" i="12"/>
  <c r="G315" i="12"/>
  <c r="M315" i="12"/>
  <c r="N315" i="12" s="1"/>
  <c r="Q315" i="12"/>
  <c r="R315" i="12" s="1"/>
  <c r="Y315" i="12"/>
  <c r="Z315" i="12" s="1"/>
  <c r="K315" i="12"/>
  <c r="L315" i="12" s="1"/>
  <c r="J315" i="12"/>
  <c r="F315" i="12"/>
  <c r="BF315" i="12"/>
  <c r="AN315" i="12"/>
  <c r="AQ315" i="12"/>
  <c r="BC315" i="12"/>
  <c r="AK315" i="12"/>
  <c r="D252" i="12"/>
  <c r="D254" i="1"/>
  <c r="AZ315" i="12"/>
  <c r="BK207" i="12"/>
  <c r="H209" i="1" s="1"/>
  <c r="AA207" i="12"/>
  <c r="AB207" i="12" s="1"/>
  <c r="K207" i="12"/>
  <c r="L207" i="12" s="1"/>
  <c r="J207" i="12"/>
  <c r="Q207" i="12"/>
  <c r="R207" i="12" s="1"/>
  <c r="Y207" i="12"/>
  <c r="Z207" i="12" s="1"/>
  <c r="M207" i="12"/>
  <c r="N207" i="12" s="1"/>
  <c r="I207" i="12"/>
  <c r="U207" i="12"/>
  <c r="V207" i="12" s="1"/>
  <c r="S207" i="12"/>
  <c r="T207" i="12" s="1"/>
  <c r="G207" i="12"/>
  <c r="O207" i="12"/>
  <c r="P207" i="12" s="1"/>
  <c r="H207" i="12"/>
  <c r="BM207" i="12"/>
  <c r="W207" i="12"/>
  <c r="X207" i="12" s="1"/>
  <c r="AC207" i="12"/>
  <c r="AD207" i="12" s="1"/>
  <c r="F207" i="12"/>
  <c r="BX311" i="12"/>
  <c r="J88" i="1"/>
  <c r="G88" i="1"/>
  <c r="AN225" i="12"/>
  <c r="D57" i="12"/>
  <c r="D59" i="1"/>
  <c r="J296" i="1"/>
  <c r="G296" i="1"/>
  <c r="J231" i="1"/>
  <c r="G231" i="1"/>
  <c r="BX275" i="12"/>
  <c r="W81" i="12"/>
  <c r="X81" i="12" s="1"/>
  <c r="U81" i="12"/>
  <c r="V81" i="12" s="1"/>
  <c r="Y81" i="12"/>
  <c r="Z81" i="12" s="1"/>
  <c r="S81" i="12"/>
  <c r="T81" i="12" s="1"/>
  <c r="I81" i="12"/>
  <c r="H81" i="12"/>
  <c r="K81" i="12"/>
  <c r="L81" i="12" s="1"/>
  <c r="J81" i="12"/>
  <c r="G81" i="12"/>
  <c r="F81" i="12"/>
  <c r="O81" i="12"/>
  <c r="P81" i="12" s="1"/>
  <c r="M81" i="12"/>
  <c r="N81" i="12" s="1"/>
  <c r="BK81" i="12"/>
  <c r="H83" i="1" s="1"/>
  <c r="AC81" i="12"/>
  <c r="AD81" i="12" s="1"/>
  <c r="AA81" i="12"/>
  <c r="AB81" i="12" s="1"/>
  <c r="Q81" i="12"/>
  <c r="R81" i="12" s="1"/>
  <c r="BM81" i="12"/>
  <c r="AQ289" i="12"/>
  <c r="BS409" i="12"/>
  <c r="BR95" i="12"/>
  <c r="H218" i="12"/>
  <c r="Y218" i="12"/>
  <c r="Z218" i="12" s="1"/>
  <c r="G218" i="12"/>
  <c r="W218" i="12"/>
  <c r="X218" i="12" s="1"/>
  <c r="AA218" i="12"/>
  <c r="AB218" i="12" s="1"/>
  <c r="U218" i="12"/>
  <c r="V218" i="12" s="1"/>
  <c r="BK218" i="12"/>
  <c r="H220" i="1" s="1"/>
  <c r="BM218" i="12"/>
  <c r="S218" i="12"/>
  <c r="T218" i="12" s="1"/>
  <c r="AC218" i="12"/>
  <c r="AD218" i="12" s="1"/>
  <c r="I218" i="12"/>
  <c r="M218" i="12"/>
  <c r="N218" i="12" s="1"/>
  <c r="Q218" i="12"/>
  <c r="R218" i="12" s="1"/>
  <c r="J218" i="12"/>
  <c r="O218" i="12"/>
  <c r="P218" i="12" s="1"/>
  <c r="K218" i="12"/>
  <c r="L218" i="12" s="1"/>
  <c r="F218" i="12"/>
  <c r="Q256" i="12"/>
  <c r="R256" i="12" s="1"/>
  <c r="O256" i="12"/>
  <c r="P256" i="12" s="1"/>
  <c r="M256" i="12"/>
  <c r="N256" i="12" s="1"/>
  <c r="AA256" i="12"/>
  <c r="AB256" i="12" s="1"/>
  <c r="Y256" i="12"/>
  <c r="Z256" i="12" s="1"/>
  <c r="BM256" i="12"/>
  <c r="U256" i="12"/>
  <c r="V256" i="12" s="1"/>
  <c r="S256" i="12"/>
  <c r="T256" i="12" s="1"/>
  <c r="BK256" i="12"/>
  <c r="H258" i="1" s="1"/>
  <c r="K256" i="12"/>
  <c r="L256" i="12" s="1"/>
  <c r="J256" i="12"/>
  <c r="I256" i="12"/>
  <c r="H256" i="12"/>
  <c r="G256" i="12"/>
  <c r="AC256" i="12"/>
  <c r="AD256" i="12" s="1"/>
  <c r="W256" i="12"/>
  <c r="X256" i="12" s="1"/>
  <c r="F256" i="12"/>
  <c r="BN256" i="12"/>
  <c r="BF256" i="12"/>
  <c r="AK256" i="12"/>
  <c r="BC256" i="12"/>
  <c r="J76" i="1"/>
  <c r="G76" i="1"/>
  <c r="AN289" i="12"/>
  <c r="J310" i="1"/>
  <c r="G310" i="1"/>
  <c r="BI81" i="12"/>
  <c r="J96" i="1"/>
  <c r="G96" i="1"/>
  <c r="H228" i="12"/>
  <c r="W228" i="12"/>
  <c r="X228" i="12" s="1"/>
  <c r="G228" i="12"/>
  <c r="M228" i="12"/>
  <c r="N228" i="12" s="1"/>
  <c r="AC228" i="12"/>
  <c r="AD228" i="12" s="1"/>
  <c r="K228" i="12"/>
  <c r="L228" i="12" s="1"/>
  <c r="Q228" i="12"/>
  <c r="R228" i="12" s="1"/>
  <c r="BM228" i="12"/>
  <c r="O228" i="12"/>
  <c r="P228" i="12" s="1"/>
  <c r="AA228" i="12"/>
  <c r="AB228" i="12" s="1"/>
  <c r="F228" i="12"/>
  <c r="BK228" i="12"/>
  <c r="H230" i="1" s="1"/>
  <c r="Y228" i="12"/>
  <c r="Z228" i="12" s="1"/>
  <c r="I228" i="12"/>
  <c r="U228" i="12"/>
  <c r="V228" i="12" s="1"/>
  <c r="S228" i="12"/>
  <c r="T228" i="12" s="1"/>
  <c r="J228" i="12"/>
  <c r="AK228" i="12"/>
  <c r="BF228" i="12"/>
  <c r="AN228" i="12"/>
  <c r="BC228" i="12"/>
  <c r="AQ228" i="12"/>
  <c r="BI335" i="12"/>
  <c r="AQ193" i="12"/>
  <c r="AG263" i="12"/>
  <c r="S134" i="12"/>
  <c r="T134" i="12" s="1"/>
  <c r="O134" i="12"/>
  <c r="P134" i="12" s="1"/>
  <c r="J134" i="12"/>
  <c r="AC134" i="12"/>
  <c r="AD134" i="12" s="1"/>
  <c r="I134" i="12"/>
  <c r="H134" i="12"/>
  <c r="Q134" i="12"/>
  <c r="R134" i="12" s="1"/>
  <c r="M134" i="12"/>
  <c r="N134" i="12" s="1"/>
  <c r="AA134" i="12"/>
  <c r="AB134" i="12" s="1"/>
  <c r="BM134" i="12"/>
  <c r="Y134" i="12"/>
  <c r="Z134" i="12" s="1"/>
  <c r="U134" i="12"/>
  <c r="V134" i="12" s="1"/>
  <c r="K134" i="12"/>
  <c r="L134" i="12" s="1"/>
  <c r="BK134" i="12"/>
  <c r="H136" i="1" s="1"/>
  <c r="G134" i="12"/>
  <c r="W134" i="12"/>
  <c r="X134" i="12" s="1"/>
  <c r="F134" i="12"/>
  <c r="AK347" i="12"/>
  <c r="J143" i="1"/>
  <c r="G143" i="1"/>
  <c r="AG66" i="12"/>
  <c r="BK265" i="12"/>
  <c r="H267" i="1" s="1"/>
  <c r="Y265" i="12"/>
  <c r="Z265" i="12" s="1"/>
  <c r="H265" i="12"/>
  <c r="G265" i="12"/>
  <c r="W265" i="12"/>
  <c r="X265" i="12" s="1"/>
  <c r="U265" i="12"/>
  <c r="V265" i="12" s="1"/>
  <c r="BM265" i="12"/>
  <c r="J265" i="12"/>
  <c r="I265" i="12"/>
  <c r="Q265" i="12"/>
  <c r="R265" i="12" s="1"/>
  <c r="AC265" i="12"/>
  <c r="AD265" i="12" s="1"/>
  <c r="AA265" i="12"/>
  <c r="AB265" i="12" s="1"/>
  <c r="K265" i="12"/>
  <c r="L265" i="12" s="1"/>
  <c r="O265" i="12"/>
  <c r="P265" i="12" s="1"/>
  <c r="S265" i="12"/>
  <c r="T265" i="12" s="1"/>
  <c r="M265" i="12"/>
  <c r="N265" i="12" s="1"/>
  <c r="BC265" i="12"/>
  <c r="F265" i="12"/>
  <c r="BF265" i="12"/>
  <c r="AK265" i="12"/>
  <c r="BN265" i="12"/>
  <c r="D249" i="12"/>
  <c r="D251" i="1"/>
  <c r="O58" i="12"/>
  <c r="P58" i="12" s="1"/>
  <c r="Y58" i="12"/>
  <c r="Z58" i="12" s="1"/>
  <c r="H58" i="12"/>
  <c r="W58" i="12"/>
  <c r="X58" i="12" s="1"/>
  <c r="BM58" i="12"/>
  <c r="U58" i="12"/>
  <c r="V58" i="12" s="1"/>
  <c r="J58" i="12"/>
  <c r="I58" i="12"/>
  <c r="G58" i="12"/>
  <c r="AA58" i="12"/>
  <c r="AB58" i="12" s="1"/>
  <c r="Q58" i="12"/>
  <c r="R58" i="12" s="1"/>
  <c r="S58" i="12"/>
  <c r="T58" i="12" s="1"/>
  <c r="BK58" i="12"/>
  <c r="H60" i="1" s="1"/>
  <c r="AC58" i="12"/>
  <c r="AD58" i="12" s="1"/>
  <c r="M58" i="12"/>
  <c r="N58" i="12" s="1"/>
  <c r="K58" i="12"/>
  <c r="L58" i="12" s="1"/>
  <c r="F58" i="12"/>
  <c r="H51" i="1"/>
  <c r="AZ310" i="12"/>
  <c r="M95" i="12"/>
  <c r="N95" i="12" s="1"/>
  <c r="AC95" i="12"/>
  <c r="AD95" i="12" s="1"/>
  <c r="BM95" i="12"/>
  <c r="U95" i="12"/>
  <c r="V95" i="12" s="1"/>
  <c r="BK95" i="12"/>
  <c r="H97" i="1" s="1"/>
  <c r="I95" i="12"/>
  <c r="H95" i="12"/>
  <c r="G95" i="12"/>
  <c r="W95" i="12"/>
  <c r="X95" i="12" s="1"/>
  <c r="O95" i="12"/>
  <c r="P95" i="12" s="1"/>
  <c r="K95" i="12"/>
  <c r="L95" i="12" s="1"/>
  <c r="Q95" i="12"/>
  <c r="R95" i="12" s="1"/>
  <c r="J95" i="12"/>
  <c r="AA95" i="12"/>
  <c r="AB95" i="12" s="1"/>
  <c r="Y95" i="12"/>
  <c r="Z95" i="12" s="1"/>
  <c r="S95" i="12"/>
  <c r="T95" i="12" s="1"/>
  <c r="F95" i="12"/>
  <c r="G317" i="1"/>
  <c r="J317" i="1"/>
  <c r="D261" i="12"/>
  <c r="D263" i="1"/>
  <c r="Q99" i="12"/>
  <c r="R99" i="12" s="1"/>
  <c r="O99" i="12"/>
  <c r="P99" i="12" s="1"/>
  <c r="W99" i="12"/>
  <c r="X99" i="12" s="1"/>
  <c r="BM99" i="12"/>
  <c r="Y99" i="12"/>
  <c r="Z99" i="12" s="1"/>
  <c r="U99" i="12"/>
  <c r="V99" i="12" s="1"/>
  <c r="J99" i="12"/>
  <c r="I99" i="12"/>
  <c r="BK99" i="12"/>
  <c r="H101" i="1" s="1"/>
  <c r="AA99" i="12"/>
  <c r="AB99" i="12" s="1"/>
  <c r="AC99" i="12"/>
  <c r="AD99" i="12" s="1"/>
  <c r="S99" i="12"/>
  <c r="T99" i="12" s="1"/>
  <c r="M99" i="12"/>
  <c r="N99" i="12" s="1"/>
  <c r="K99" i="12"/>
  <c r="L99" i="12" s="1"/>
  <c r="H99" i="12"/>
  <c r="G99" i="12"/>
  <c r="F99" i="12"/>
  <c r="H213" i="1"/>
  <c r="D80" i="12"/>
  <c r="D82" i="1"/>
  <c r="AZ225" i="12"/>
  <c r="AQ225" i="12"/>
  <c r="AG268" i="12"/>
  <c r="H86" i="12"/>
  <c r="M86" i="12"/>
  <c r="N86" i="12" s="1"/>
  <c r="AA86" i="12"/>
  <c r="AB86" i="12" s="1"/>
  <c r="I86" i="12"/>
  <c r="BM86" i="12"/>
  <c r="G86" i="12"/>
  <c r="Y86" i="12"/>
  <c r="Z86" i="12" s="1"/>
  <c r="BK86" i="12"/>
  <c r="H88" i="1" s="1"/>
  <c r="Q86" i="12"/>
  <c r="R86" i="12" s="1"/>
  <c r="J86" i="12"/>
  <c r="AC86" i="12"/>
  <c r="AD86" i="12" s="1"/>
  <c r="K86" i="12"/>
  <c r="L86" i="12" s="1"/>
  <c r="W86" i="12"/>
  <c r="X86" i="12" s="1"/>
  <c r="U86" i="12"/>
  <c r="V86" i="12" s="1"/>
  <c r="O86" i="12"/>
  <c r="P86" i="12" s="1"/>
  <c r="S86" i="12"/>
  <c r="T86" i="12" s="1"/>
  <c r="BF86" i="12"/>
  <c r="BC86" i="12"/>
  <c r="F86" i="12"/>
  <c r="BN86" i="12"/>
  <c r="BI86" i="12"/>
  <c r="W65" i="12"/>
  <c r="X65" i="12" s="1"/>
  <c r="M65" i="12"/>
  <c r="N65" i="12" s="1"/>
  <c r="AC65" i="12"/>
  <c r="AD65" i="12" s="1"/>
  <c r="K65" i="12"/>
  <c r="L65" i="12" s="1"/>
  <c r="Q65" i="12"/>
  <c r="R65" i="12" s="1"/>
  <c r="Y65" i="12"/>
  <c r="Z65" i="12" s="1"/>
  <c r="I65" i="12"/>
  <c r="G65" i="12"/>
  <c r="H65" i="12"/>
  <c r="BK65" i="12"/>
  <c r="H67" i="1" s="1"/>
  <c r="U65" i="12"/>
  <c r="V65" i="12" s="1"/>
  <c r="J65" i="12"/>
  <c r="BM65" i="12"/>
  <c r="S65" i="12"/>
  <c r="T65" i="12" s="1"/>
  <c r="AA65" i="12"/>
  <c r="AB65" i="12" s="1"/>
  <c r="O65" i="12"/>
  <c r="P65" i="12" s="1"/>
  <c r="F65" i="12"/>
  <c r="BM294" i="12"/>
  <c r="S294" i="12"/>
  <c r="T294" i="12" s="1"/>
  <c r="Q294" i="12"/>
  <c r="R294" i="12" s="1"/>
  <c r="K294" i="12"/>
  <c r="L294" i="12" s="1"/>
  <c r="J294" i="12"/>
  <c r="I294" i="12"/>
  <c r="U294" i="12"/>
  <c r="V294" i="12" s="1"/>
  <c r="O294" i="12"/>
  <c r="P294" i="12" s="1"/>
  <c r="AC294" i="12"/>
  <c r="AD294" i="12" s="1"/>
  <c r="BK294" i="12"/>
  <c r="H296" i="1" s="1"/>
  <c r="M294" i="12"/>
  <c r="N294" i="12" s="1"/>
  <c r="W294" i="12"/>
  <c r="X294" i="12" s="1"/>
  <c r="H294" i="12"/>
  <c r="G294" i="12"/>
  <c r="AA294" i="12"/>
  <c r="AB294" i="12" s="1"/>
  <c r="Y294" i="12"/>
  <c r="Z294" i="12" s="1"/>
  <c r="F294" i="12"/>
  <c r="AK294" i="12"/>
  <c r="BC294" i="12"/>
  <c r="BF294" i="12"/>
  <c r="BX294" i="12"/>
  <c r="BI67" i="12"/>
  <c r="O229" i="12"/>
  <c r="P229" i="12" s="1"/>
  <c r="M229" i="12"/>
  <c r="N229" i="12" s="1"/>
  <c r="AC229" i="12"/>
  <c r="AD229" i="12" s="1"/>
  <c r="K229" i="12"/>
  <c r="L229" i="12" s="1"/>
  <c r="BM229" i="12"/>
  <c r="Q229" i="12"/>
  <c r="R229" i="12" s="1"/>
  <c r="BK229" i="12"/>
  <c r="H231" i="1" s="1"/>
  <c r="AA229" i="12"/>
  <c r="AB229" i="12" s="1"/>
  <c r="J229" i="12"/>
  <c r="S229" i="12"/>
  <c r="T229" i="12" s="1"/>
  <c r="I229" i="12"/>
  <c r="H229" i="12"/>
  <c r="W229" i="12"/>
  <c r="X229" i="12" s="1"/>
  <c r="Y229" i="12"/>
  <c r="Z229" i="12" s="1"/>
  <c r="U229" i="12"/>
  <c r="V229" i="12" s="1"/>
  <c r="G229" i="12"/>
  <c r="F229" i="12"/>
  <c r="AN229" i="12"/>
  <c r="AK229" i="12"/>
  <c r="AQ229" i="12"/>
  <c r="BC229" i="12"/>
  <c r="BF229" i="12"/>
  <c r="BF347" i="12"/>
  <c r="AK225" i="12"/>
  <c r="H74" i="12"/>
  <c r="W74" i="12"/>
  <c r="X74" i="12" s="1"/>
  <c r="K74" i="12"/>
  <c r="L74" i="12" s="1"/>
  <c r="J74" i="12"/>
  <c r="Q74" i="12"/>
  <c r="R74" i="12" s="1"/>
  <c r="BM74" i="12"/>
  <c r="M74" i="12"/>
  <c r="N74" i="12" s="1"/>
  <c r="S74" i="12"/>
  <c r="T74" i="12" s="1"/>
  <c r="O74" i="12"/>
  <c r="P74" i="12" s="1"/>
  <c r="G74" i="12"/>
  <c r="I74" i="12"/>
  <c r="Y74" i="12"/>
  <c r="Z74" i="12" s="1"/>
  <c r="BK74" i="12"/>
  <c r="H76" i="1" s="1"/>
  <c r="U74" i="12"/>
  <c r="V74" i="12" s="1"/>
  <c r="AC74" i="12"/>
  <c r="AD74" i="12" s="1"/>
  <c r="AA74" i="12"/>
  <c r="AB74" i="12" s="1"/>
  <c r="F74" i="12"/>
  <c r="BF74" i="12"/>
  <c r="BN74" i="12"/>
  <c r="BI74" i="12"/>
  <c r="AZ74" i="12"/>
  <c r="BM308" i="12"/>
  <c r="U308" i="12"/>
  <c r="V308" i="12" s="1"/>
  <c r="S308" i="12"/>
  <c r="T308" i="12" s="1"/>
  <c r="W308" i="12"/>
  <c r="X308" i="12" s="1"/>
  <c r="Q308" i="12"/>
  <c r="R308" i="12" s="1"/>
  <c r="O308" i="12"/>
  <c r="P308" i="12" s="1"/>
  <c r="AA308" i="12"/>
  <c r="AB308" i="12" s="1"/>
  <c r="Y308" i="12"/>
  <c r="Z308" i="12" s="1"/>
  <c r="J308" i="12"/>
  <c r="I308" i="12"/>
  <c r="H308" i="12"/>
  <c r="AC308" i="12"/>
  <c r="AD308" i="12" s="1"/>
  <c r="M308" i="12"/>
  <c r="N308" i="12" s="1"/>
  <c r="K308" i="12"/>
  <c r="L308" i="12" s="1"/>
  <c r="G308" i="12"/>
  <c r="F308" i="12"/>
  <c r="AK308" i="12"/>
  <c r="BF308" i="12"/>
  <c r="AZ308" i="12"/>
  <c r="BC308" i="12"/>
  <c r="J264" i="1"/>
  <c r="G264" i="1"/>
  <c r="H94" i="12"/>
  <c r="Q94" i="12"/>
  <c r="R94" i="12" s="1"/>
  <c r="J94" i="12"/>
  <c r="AC94" i="12"/>
  <c r="AD94" i="12" s="1"/>
  <c r="I94" i="12"/>
  <c r="G94" i="12"/>
  <c r="AA94" i="12"/>
  <c r="AB94" i="12" s="1"/>
  <c r="F94" i="12"/>
  <c r="M94" i="12"/>
  <c r="N94" i="12" s="1"/>
  <c r="W94" i="12"/>
  <c r="X94" i="12" s="1"/>
  <c r="Y94" i="12"/>
  <c r="Z94" i="12" s="1"/>
  <c r="BM94" i="12"/>
  <c r="BK94" i="12"/>
  <c r="H96" i="1" s="1"/>
  <c r="S94" i="12"/>
  <c r="T94" i="12" s="1"/>
  <c r="O94" i="12"/>
  <c r="P94" i="12" s="1"/>
  <c r="K94" i="12"/>
  <c r="L94" i="12" s="1"/>
  <c r="U94" i="12"/>
  <c r="V94" i="12" s="1"/>
  <c r="BN94" i="12"/>
  <c r="BF94" i="12"/>
  <c r="BC94" i="12"/>
  <c r="AZ314" i="12"/>
  <c r="AZ347" i="12"/>
  <c r="AG357" i="12"/>
  <c r="H140" i="1"/>
  <c r="AG256" i="12"/>
  <c r="D241" i="12"/>
  <c r="D243" i="1"/>
  <c r="BX289" i="12"/>
  <c r="AA141" i="12"/>
  <c r="AB141" i="12" s="1"/>
  <c r="K141" i="12"/>
  <c r="L141" i="12" s="1"/>
  <c r="G141" i="12"/>
  <c r="W141" i="12"/>
  <c r="X141" i="12" s="1"/>
  <c r="Y141" i="12"/>
  <c r="Z141" i="12" s="1"/>
  <c r="H141" i="12"/>
  <c r="Q141" i="12"/>
  <c r="R141" i="12" s="1"/>
  <c r="O141" i="12"/>
  <c r="P141" i="12" s="1"/>
  <c r="J141" i="12"/>
  <c r="I141" i="12"/>
  <c r="S141" i="12"/>
  <c r="T141" i="12" s="1"/>
  <c r="M141" i="12"/>
  <c r="N141" i="12" s="1"/>
  <c r="U141" i="12"/>
  <c r="V141" i="12" s="1"/>
  <c r="BM141" i="12"/>
  <c r="AC141" i="12"/>
  <c r="AD141" i="12" s="1"/>
  <c r="F141" i="12"/>
  <c r="AA147" i="12"/>
  <c r="AB147" i="12" s="1"/>
  <c r="K147" i="12"/>
  <c r="L147" i="12" s="1"/>
  <c r="S147" i="12"/>
  <c r="T147" i="12" s="1"/>
  <c r="Q147" i="12"/>
  <c r="R147" i="12" s="1"/>
  <c r="J147" i="12"/>
  <c r="I147" i="12"/>
  <c r="AC147" i="12"/>
  <c r="AD147" i="12" s="1"/>
  <c r="H147" i="12"/>
  <c r="BK147" i="12"/>
  <c r="H149" i="1" s="1"/>
  <c r="U147" i="12"/>
  <c r="V147" i="12" s="1"/>
  <c r="G147" i="12"/>
  <c r="O147" i="12"/>
  <c r="P147" i="12" s="1"/>
  <c r="W147" i="12"/>
  <c r="X147" i="12" s="1"/>
  <c r="M147" i="12"/>
  <c r="N147" i="12" s="1"/>
  <c r="BM147" i="12"/>
  <c r="Y147" i="12"/>
  <c r="Z147" i="12" s="1"/>
  <c r="F147" i="12"/>
  <c r="M301" i="12"/>
  <c r="N301" i="12" s="1"/>
  <c r="BM301" i="12"/>
  <c r="Y301" i="12"/>
  <c r="Z301" i="12" s="1"/>
  <c r="G301" i="12"/>
  <c r="W301" i="12"/>
  <c r="X301" i="12" s="1"/>
  <c r="O301" i="12"/>
  <c r="P301" i="12" s="1"/>
  <c r="Q301" i="12"/>
  <c r="R301" i="12" s="1"/>
  <c r="K301" i="12"/>
  <c r="L301" i="12" s="1"/>
  <c r="J301" i="12"/>
  <c r="AA301" i="12"/>
  <c r="AB301" i="12" s="1"/>
  <c r="U301" i="12"/>
  <c r="V301" i="12" s="1"/>
  <c r="AC301" i="12"/>
  <c r="AD301" i="12" s="1"/>
  <c r="S301" i="12"/>
  <c r="T301" i="12" s="1"/>
  <c r="BK301" i="12"/>
  <c r="H303" i="1" s="1"/>
  <c r="I301" i="12"/>
  <c r="H301" i="12"/>
  <c r="F301" i="12"/>
  <c r="BF301" i="12"/>
  <c r="AN301" i="12"/>
  <c r="AK301" i="12"/>
  <c r="BC301" i="12"/>
  <c r="AQ301" i="12"/>
  <c r="J97" i="1"/>
  <c r="G97" i="1"/>
  <c r="J60" i="1"/>
  <c r="G60" i="1"/>
  <c r="G149" i="1"/>
  <c r="J149" i="1"/>
  <c r="D242" i="12"/>
  <c r="D244" i="1"/>
  <c r="J160" i="1"/>
  <c r="G160" i="1"/>
  <c r="J241" i="1"/>
  <c r="G241" i="1"/>
  <c r="H68" i="12"/>
  <c r="AC68" i="12"/>
  <c r="AD68" i="12" s="1"/>
  <c r="O68" i="12"/>
  <c r="P68" i="12" s="1"/>
  <c r="M68" i="12"/>
  <c r="N68" i="12" s="1"/>
  <c r="AA68" i="12"/>
  <c r="AB68" i="12" s="1"/>
  <c r="U68" i="12"/>
  <c r="V68" i="12" s="1"/>
  <c r="S68" i="12"/>
  <c r="T68" i="12" s="1"/>
  <c r="BM68" i="12"/>
  <c r="G68" i="12"/>
  <c r="BK68" i="12"/>
  <c r="H70" i="1" s="1"/>
  <c r="W68" i="12"/>
  <c r="X68" i="12" s="1"/>
  <c r="Q68" i="12"/>
  <c r="R68" i="12" s="1"/>
  <c r="Y68" i="12"/>
  <c r="Z68" i="12" s="1"/>
  <c r="J68" i="12"/>
  <c r="I68" i="12"/>
  <c r="K68" i="12"/>
  <c r="L68" i="12" s="1"/>
  <c r="F68" i="12"/>
  <c r="BN68" i="12"/>
  <c r="BC68" i="12"/>
  <c r="BF68" i="12"/>
  <c r="G67" i="1"/>
  <c r="J67" i="1"/>
  <c r="D59" i="12"/>
  <c r="D61" i="1"/>
  <c r="E429" i="3"/>
  <c r="I429" i="3" s="1"/>
  <c r="I432" i="3" s="1"/>
  <c r="C432" i="3" s="1"/>
  <c r="K432" i="3"/>
  <c r="F416" i="3"/>
  <c r="J312" i="1"/>
  <c r="G312" i="1"/>
  <c r="BX268" i="12"/>
  <c r="AG88" i="12"/>
  <c r="AG221" i="12"/>
  <c r="J303" i="1"/>
  <c r="G303" i="1"/>
  <c r="AZ221" i="12"/>
  <c r="S262" i="12"/>
  <c r="T262" i="12" s="1"/>
  <c r="Q262" i="12"/>
  <c r="R262" i="12" s="1"/>
  <c r="K262" i="12"/>
  <c r="L262" i="12" s="1"/>
  <c r="J262" i="12"/>
  <c r="AC262" i="12"/>
  <c r="AD262" i="12" s="1"/>
  <c r="I262" i="12"/>
  <c r="W262" i="12"/>
  <c r="X262" i="12" s="1"/>
  <c r="U262" i="12"/>
  <c r="V262" i="12" s="1"/>
  <c r="BK262" i="12"/>
  <c r="H264" i="1" s="1"/>
  <c r="G262" i="12"/>
  <c r="Y262" i="12"/>
  <c r="Z262" i="12" s="1"/>
  <c r="H262" i="12"/>
  <c r="M262" i="12"/>
  <c r="N262" i="12" s="1"/>
  <c r="AA262" i="12"/>
  <c r="AB262" i="12" s="1"/>
  <c r="O262" i="12"/>
  <c r="P262" i="12" s="1"/>
  <c r="F262" i="12"/>
  <c r="BM262" i="12"/>
  <c r="BF262" i="12"/>
  <c r="BN262" i="12"/>
  <c r="BC262" i="12"/>
  <c r="AK262" i="12"/>
  <c r="BQ409" i="12"/>
  <c r="BI68" i="12"/>
  <c r="BT257" i="12"/>
  <c r="AZ130" i="12"/>
  <c r="J137" i="1"/>
  <c r="G137" i="1"/>
  <c r="BN58" i="12"/>
  <c r="D73" i="12"/>
  <c r="D75" i="1"/>
  <c r="AG289" i="12"/>
  <c r="G269" i="1"/>
  <c r="J269" i="1"/>
  <c r="D64" i="1"/>
  <c r="D62" i="12"/>
  <c r="BI62" i="12" s="1"/>
  <c r="J364" i="1"/>
  <c r="G364" i="1"/>
  <c r="J246" i="1"/>
  <c r="G246" i="1"/>
  <c r="J238" i="1"/>
  <c r="G238" i="1"/>
  <c r="AZ250" i="12"/>
  <c r="J265" i="1"/>
  <c r="G265" i="1"/>
  <c r="AG362" i="12"/>
  <c r="J425" i="3"/>
  <c r="K422" i="3"/>
  <c r="K425" i="3" s="1"/>
  <c r="BR62" i="12"/>
  <c r="W331" i="12"/>
  <c r="X331" i="12" s="1"/>
  <c r="BM331" i="12"/>
  <c r="BK331" i="12"/>
  <c r="H333" i="1" s="1"/>
  <c r="S331" i="12"/>
  <c r="T331" i="12" s="1"/>
  <c r="M331" i="12"/>
  <c r="N331" i="12" s="1"/>
  <c r="K331" i="12"/>
  <c r="L331" i="12" s="1"/>
  <c r="I331" i="12"/>
  <c r="H331" i="12"/>
  <c r="G331" i="12"/>
  <c r="Q331" i="12"/>
  <c r="R331" i="12" s="1"/>
  <c r="O331" i="12"/>
  <c r="P331" i="12" s="1"/>
  <c r="J331" i="12"/>
  <c r="AC331" i="12"/>
  <c r="AD331" i="12" s="1"/>
  <c r="U331" i="12"/>
  <c r="V331" i="12" s="1"/>
  <c r="AA331" i="12"/>
  <c r="AB331" i="12" s="1"/>
  <c r="Y331" i="12"/>
  <c r="Z331" i="12" s="1"/>
  <c r="F331" i="12"/>
  <c r="BF331" i="12"/>
  <c r="AK331" i="12"/>
  <c r="AN331" i="12"/>
  <c r="AQ331" i="12"/>
  <c r="BC331" i="12"/>
  <c r="BI235" i="12"/>
  <c r="J71" i="1"/>
  <c r="G71" i="1"/>
  <c r="Q85" i="12"/>
  <c r="R85" i="12" s="1"/>
  <c r="BM85" i="12"/>
  <c r="H85" i="12"/>
  <c r="Y85" i="12"/>
  <c r="Z85" i="12" s="1"/>
  <c r="G85" i="12"/>
  <c r="BK85" i="12"/>
  <c r="H87" i="1" s="1"/>
  <c r="U85" i="12"/>
  <c r="V85" i="12" s="1"/>
  <c r="AA85" i="12"/>
  <c r="AB85" i="12" s="1"/>
  <c r="K85" i="12"/>
  <c r="L85" i="12" s="1"/>
  <c r="J85" i="12"/>
  <c r="W85" i="12"/>
  <c r="X85" i="12" s="1"/>
  <c r="AC85" i="12"/>
  <c r="AD85" i="12" s="1"/>
  <c r="S85" i="12"/>
  <c r="T85" i="12" s="1"/>
  <c r="M85" i="12"/>
  <c r="N85" i="12" s="1"/>
  <c r="I85" i="12"/>
  <c r="O85" i="12"/>
  <c r="P85" i="12" s="1"/>
  <c r="F85" i="12"/>
  <c r="BN85" i="12"/>
  <c r="BF85" i="12"/>
  <c r="BI85" i="12"/>
  <c r="BC85" i="12"/>
  <c r="BR85" i="12"/>
  <c r="G245" i="1"/>
  <c r="J245" i="1"/>
  <c r="AA135" i="12"/>
  <c r="AB135" i="12" s="1"/>
  <c r="K135" i="12"/>
  <c r="L135" i="12" s="1"/>
  <c r="M135" i="12"/>
  <c r="N135" i="12" s="1"/>
  <c r="AC135" i="12"/>
  <c r="AD135" i="12" s="1"/>
  <c r="BM135" i="12"/>
  <c r="J135" i="12"/>
  <c r="U135" i="12"/>
  <c r="V135" i="12" s="1"/>
  <c r="BK135" i="12"/>
  <c r="H137" i="1" s="1"/>
  <c r="S135" i="12"/>
  <c r="T135" i="12" s="1"/>
  <c r="I135" i="12"/>
  <c r="Y135" i="12"/>
  <c r="Z135" i="12" s="1"/>
  <c r="W135" i="12"/>
  <c r="X135" i="12" s="1"/>
  <c r="H135" i="12"/>
  <c r="Q135" i="12"/>
  <c r="R135" i="12" s="1"/>
  <c r="F135" i="12"/>
  <c r="O135" i="12"/>
  <c r="P135" i="12" s="1"/>
  <c r="G135" i="12"/>
  <c r="BC135" i="12"/>
  <c r="BF135" i="12"/>
  <c r="AK135" i="12"/>
  <c r="AG250" i="12"/>
  <c r="G333" i="1"/>
  <c r="J333" i="1"/>
  <c r="Y69" i="12"/>
  <c r="Z69" i="12" s="1"/>
  <c r="H69" i="12"/>
  <c r="O69" i="12"/>
  <c r="P69" i="12" s="1"/>
  <c r="M69" i="12"/>
  <c r="N69" i="12" s="1"/>
  <c r="BK69" i="12"/>
  <c r="H71" i="1" s="1"/>
  <c r="S69" i="12"/>
  <c r="T69" i="12" s="1"/>
  <c r="Q69" i="12"/>
  <c r="R69" i="12" s="1"/>
  <c r="W69" i="12"/>
  <c r="X69" i="12" s="1"/>
  <c r="U69" i="12"/>
  <c r="V69" i="12" s="1"/>
  <c r="BM69" i="12"/>
  <c r="AA69" i="12"/>
  <c r="AB69" i="12" s="1"/>
  <c r="K69" i="12"/>
  <c r="L69" i="12" s="1"/>
  <c r="AC69" i="12"/>
  <c r="AD69" i="12" s="1"/>
  <c r="J69" i="12"/>
  <c r="I69" i="12"/>
  <c r="G69" i="12"/>
  <c r="F69" i="12"/>
  <c r="BC69" i="12"/>
  <c r="BF69" i="12"/>
  <c r="BN69" i="12"/>
  <c r="H147" i="1"/>
  <c r="D58" i="1"/>
  <c r="D56" i="12"/>
  <c r="C6" i="7"/>
  <c r="D414" i="12" s="1"/>
  <c r="O311" i="12"/>
  <c r="P311" i="12" s="1"/>
  <c r="K311" i="12"/>
  <c r="L311" i="12" s="1"/>
  <c r="J311" i="12"/>
  <c r="Y311" i="12"/>
  <c r="Z311" i="12" s="1"/>
  <c r="W311" i="12"/>
  <c r="X311" i="12" s="1"/>
  <c r="U311" i="12"/>
  <c r="V311" i="12" s="1"/>
  <c r="S311" i="12"/>
  <c r="T311" i="12" s="1"/>
  <c r="AA311" i="12"/>
  <c r="AB311" i="12" s="1"/>
  <c r="BM311" i="12"/>
  <c r="G311" i="12"/>
  <c r="Q311" i="12"/>
  <c r="R311" i="12" s="1"/>
  <c r="M311" i="12"/>
  <c r="N311" i="12" s="1"/>
  <c r="I311" i="12"/>
  <c r="AC311" i="12"/>
  <c r="AD311" i="12" s="1"/>
  <c r="BK311" i="12"/>
  <c r="H313" i="1" s="1"/>
  <c r="H311" i="12"/>
  <c r="F311" i="12"/>
  <c r="AQ311" i="12"/>
  <c r="BF311" i="12"/>
  <c r="AN311" i="12"/>
  <c r="BC311" i="12"/>
  <c r="AK311" i="12"/>
  <c r="J253" i="12"/>
  <c r="Y253" i="12"/>
  <c r="Z253" i="12" s="1"/>
  <c r="I253" i="12"/>
  <c r="H253" i="12"/>
  <c r="BK253" i="12"/>
  <c r="H255" i="1" s="1"/>
  <c r="S253" i="12"/>
  <c r="T253" i="12" s="1"/>
  <c r="Q253" i="12"/>
  <c r="R253" i="12" s="1"/>
  <c r="F253" i="12"/>
  <c r="AC253" i="12"/>
  <c r="AD253" i="12" s="1"/>
  <c r="U253" i="12"/>
  <c r="V253" i="12" s="1"/>
  <c r="K253" i="12"/>
  <c r="L253" i="12" s="1"/>
  <c r="AA253" i="12"/>
  <c r="AB253" i="12" s="1"/>
  <c r="G253" i="12"/>
  <c r="O253" i="12"/>
  <c r="P253" i="12" s="1"/>
  <c r="M253" i="12"/>
  <c r="N253" i="12" s="1"/>
  <c r="BM253" i="12"/>
  <c r="W253" i="12"/>
  <c r="X253" i="12" s="1"/>
  <c r="AK253" i="12"/>
  <c r="BF253" i="12"/>
  <c r="BN253" i="12"/>
  <c r="BC253" i="12"/>
  <c r="AZ147" i="12"/>
  <c r="H362" i="12"/>
  <c r="W362" i="12"/>
  <c r="X362" i="12" s="1"/>
  <c r="G362" i="12"/>
  <c r="BK362" i="12"/>
  <c r="H364" i="1" s="1"/>
  <c r="O362" i="12"/>
  <c r="P362" i="12" s="1"/>
  <c r="M362" i="12"/>
  <c r="N362" i="12" s="1"/>
  <c r="BM362" i="12"/>
  <c r="Q362" i="12"/>
  <c r="R362" i="12" s="1"/>
  <c r="K362" i="12"/>
  <c r="L362" i="12" s="1"/>
  <c r="AC362" i="12"/>
  <c r="AD362" i="12" s="1"/>
  <c r="AA362" i="12"/>
  <c r="AB362" i="12" s="1"/>
  <c r="U362" i="12"/>
  <c r="V362" i="12" s="1"/>
  <c r="S362" i="12"/>
  <c r="T362" i="12" s="1"/>
  <c r="J362" i="12"/>
  <c r="Y362" i="12"/>
  <c r="Z362" i="12" s="1"/>
  <c r="I362" i="12"/>
  <c r="F362" i="12"/>
  <c r="Q244" i="12"/>
  <c r="R244" i="12" s="1"/>
  <c r="I244" i="12"/>
  <c r="AA244" i="12"/>
  <c r="AB244" i="12" s="1"/>
  <c r="H244" i="12"/>
  <c r="G244" i="12"/>
  <c r="U244" i="12"/>
  <c r="V244" i="12" s="1"/>
  <c r="J244" i="12"/>
  <c r="BM244" i="12"/>
  <c r="O244" i="12"/>
  <c r="P244" i="12" s="1"/>
  <c r="K244" i="12"/>
  <c r="L244" i="12" s="1"/>
  <c r="Y244" i="12"/>
  <c r="Z244" i="12" s="1"/>
  <c r="W244" i="12"/>
  <c r="X244" i="12" s="1"/>
  <c r="AC244" i="12"/>
  <c r="AD244" i="12" s="1"/>
  <c r="S244" i="12"/>
  <c r="T244" i="12" s="1"/>
  <c r="BK244" i="12"/>
  <c r="H246" i="1" s="1"/>
  <c r="M244" i="12"/>
  <c r="N244" i="12" s="1"/>
  <c r="AN244" i="12"/>
  <c r="F244" i="12"/>
  <c r="AQ244" i="12"/>
  <c r="AK244" i="12"/>
  <c r="BC244" i="12"/>
  <c r="BF244" i="12"/>
  <c r="BN244" i="12"/>
  <c r="BK263" i="12"/>
  <c r="H265" i="1" s="1"/>
  <c r="O263" i="12"/>
  <c r="P263" i="12" s="1"/>
  <c r="W263" i="12"/>
  <c r="X263" i="12" s="1"/>
  <c r="BM263" i="12"/>
  <c r="U263" i="12"/>
  <c r="V263" i="12" s="1"/>
  <c r="Y263" i="12"/>
  <c r="Z263" i="12" s="1"/>
  <c r="J263" i="12"/>
  <c r="Q263" i="12"/>
  <c r="R263" i="12" s="1"/>
  <c r="M263" i="12"/>
  <c r="N263" i="12" s="1"/>
  <c r="K263" i="12"/>
  <c r="L263" i="12" s="1"/>
  <c r="S263" i="12"/>
  <c r="T263" i="12" s="1"/>
  <c r="AA263" i="12"/>
  <c r="AB263" i="12" s="1"/>
  <c r="I263" i="12"/>
  <c r="H263" i="12"/>
  <c r="G263" i="12"/>
  <c r="AC263" i="12"/>
  <c r="AD263" i="12" s="1"/>
  <c r="F263" i="12"/>
  <c r="BN263" i="12"/>
  <c r="BF263" i="12"/>
  <c r="BC263" i="12"/>
  <c r="AK263" i="12"/>
  <c r="J145" i="1"/>
  <c r="G145" i="1"/>
  <c r="J368" i="1"/>
  <c r="G368" i="1"/>
  <c r="J87" i="1"/>
  <c r="G87" i="1"/>
  <c r="J243" i="12"/>
  <c r="Y243" i="12"/>
  <c r="Z243" i="12" s="1"/>
  <c r="I243" i="12"/>
  <c r="BM243" i="12"/>
  <c r="U243" i="12"/>
  <c r="V243" i="12" s="1"/>
  <c r="W243" i="12"/>
  <c r="X243" i="12" s="1"/>
  <c r="S243" i="12"/>
  <c r="T243" i="12" s="1"/>
  <c r="K243" i="12"/>
  <c r="L243" i="12" s="1"/>
  <c r="M243" i="12"/>
  <c r="N243" i="12" s="1"/>
  <c r="H243" i="12"/>
  <c r="AC243" i="12"/>
  <c r="AD243" i="12" s="1"/>
  <c r="BK243" i="12"/>
  <c r="H245" i="1" s="1"/>
  <c r="G243" i="12"/>
  <c r="Q243" i="12"/>
  <c r="R243" i="12" s="1"/>
  <c r="O243" i="12"/>
  <c r="P243" i="12" s="1"/>
  <c r="AA243" i="12"/>
  <c r="AB243" i="12" s="1"/>
  <c r="F243" i="12"/>
  <c r="BF243" i="12"/>
  <c r="BC243" i="12"/>
  <c r="BN243" i="12"/>
  <c r="AK243" i="12"/>
  <c r="AZ207" i="12"/>
  <c r="J300" i="1"/>
  <c r="G300" i="1"/>
  <c r="H353" i="1"/>
  <c r="Q258" i="12"/>
  <c r="R258" i="12" s="1"/>
  <c r="AA258" i="12"/>
  <c r="AB258" i="12" s="1"/>
  <c r="H258" i="12"/>
  <c r="G258" i="12"/>
  <c r="Y258" i="12"/>
  <c r="Z258" i="12" s="1"/>
  <c r="W258" i="12"/>
  <c r="X258" i="12" s="1"/>
  <c r="BK258" i="12"/>
  <c r="H260" i="1" s="1"/>
  <c r="AC258" i="12"/>
  <c r="AD258" i="12" s="1"/>
  <c r="K258" i="12"/>
  <c r="L258" i="12" s="1"/>
  <c r="J258" i="12"/>
  <c r="BM258" i="12"/>
  <c r="I258" i="12"/>
  <c r="U258" i="12"/>
  <c r="V258" i="12" s="1"/>
  <c r="O258" i="12"/>
  <c r="P258" i="12" s="1"/>
  <c r="M258" i="12"/>
  <c r="N258" i="12" s="1"/>
  <c r="S258" i="12"/>
  <c r="T258" i="12" s="1"/>
  <c r="F258" i="12"/>
  <c r="BC258" i="12"/>
  <c r="AK258" i="12"/>
  <c r="BF258" i="12"/>
  <c r="BN258" i="12"/>
  <c r="S158" i="12"/>
  <c r="T158" i="12" s="1"/>
  <c r="AC158" i="12"/>
  <c r="AD158" i="12" s="1"/>
  <c r="BM158" i="12"/>
  <c r="K158" i="12"/>
  <c r="L158" i="12" s="1"/>
  <c r="AA158" i="12"/>
  <c r="AB158" i="12" s="1"/>
  <c r="J158" i="12"/>
  <c r="H158" i="12"/>
  <c r="G158" i="12"/>
  <c r="M158" i="12"/>
  <c r="N158" i="12" s="1"/>
  <c r="I158" i="12"/>
  <c r="Y158" i="12"/>
  <c r="Z158" i="12" s="1"/>
  <c r="W158" i="12"/>
  <c r="X158" i="12" s="1"/>
  <c r="Q158" i="12"/>
  <c r="R158" i="12" s="1"/>
  <c r="BK158" i="12"/>
  <c r="H160" i="1" s="1"/>
  <c r="U158" i="12"/>
  <c r="V158" i="12" s="1"/>
  <c r="O158" i="12"/>
  <c r="P158" i="12" s="1"/>
  <c r="F158" i="12"/>
  <c r="BF158" i="12"/>
  <c r="BC158" i="12"/>
  <c r="AN158" i="12"/>
  <c r="AK158" i="12"/>
  <c r="AQ158" i="12"/>
  <c r="J313" i="1"/>
  <c r="G313" i="1"/>
  <c r="J208" i="1"/>
  <c r="G208" i="1"/>
  <c r="AG267" i="12"/>
  <c r="J271" i="1"/>
  <c r="G271" i="1"/>
  <c r="BI147" i="12"/>
  <c r="H236" i="12"/>
  <c r="W236" i="12"/>
  <c r="X236" i="12" s="1"/>
  <c r="G236" i="12"/>
  <c r="AC236" i="12"/>
  <c r="AD236" i="12" s="1"/>
  <c r="J236" i="12"/>
  <c r="I236" i="12"/>
  <c r="AA236" i="12"/>
  <c r="AB236" i="12" s="1"/>
  <c r="Q236" i="12"/>
  <c r="R236" i="12" s="1"/>
  <c r="S236" i="12"/>
  <c r="T236" i="12" s="1"/>
  <c r="BK236" i="12"/>
  <c r="H238" i="1" s="1"/>
  <c r="BM236" i="12"/>
  <c r="Y236" i="12"/>
  <c r="Z236" i="12" s="1"/>
  <c r="K236" i="12"/>
  <c r="L236" i="12" s="1"/>
  <c r="O236" i="12"/>
  <c r="P236" i="12" s="1"/>
  <c r="M236" i="12"/>
  <c r="N236" i="12" s="1"/>
  <c r="U236" i="12"/>
  <c r="V236" i="12" s="1"/>
  <c r="F236" i="12"/>
  <c r="BC236" i="12"/>
  <c r="BF236" i="12"/>
  <c r="BN236" i="12"/>
  <c r="AK236" i="12"/>
  <c r="BI95" i="12"/>
  <c r="AG189" i="12"/>
  <c r="AG95" i="12"/>
  <c r="M273" i="12"/>
  <c r="N273" i="12" s="1"/>
  <c r="AC273" i="12"/>
  <c r="AD273" i="12" s="1"/>
  <c r="K273" i="12"/>
  <c r="L273" i="12" s="1"/>
  <c r="BM273" i="12"/>
  <c r="AA273" i="12"/>
  <c r="AB273" i="12" s="1"/>
  <c r="J273" i="12"/>
  <c r="I273" i="12"/>
  <c r="U273" i="12"/>
  <c r="V273" i="12" s="1"/>
  <c r="S273" i="12"/>
  <c r="T273" i="12" s="1"/>
  <c r="F273" i="12"/>
  <c r="W273" i="12"/>
  <c r="X273" i="12" s="1"/>
  <c r="Q273" i="12"/>
  <c r="R273" i="12" s="1"/>
  <c r="O273" i="12"/>
  <c r="P273" i="12" s="1"/>
  <c r="Y273" i="12"/>
  <c r="Z273" i="12" s="1"/>
  <c r="G273" i="12"/>
  <c r="H273" i="12"/>
  <c r="BC273" i="12"/>
  <c r="AK273" i="12"/>
  <c r="BF273" i="12"/>
  <c r="D246" i="12"/>
  <c r="D248" i="1"/>
  <c r="S144" i="12"/>
  <c r="T144" i="12" s="1"/>
  <c r="M144" i="12"/>
  <c r="N144" i="12" s="1"/>
  <c r="AC144" i="12"/>
  <c r="AD144" i="12" s="1"/>
  <c r="BM144" i="12"/>
  <c r="K144" i="12"/>
  <c r="L144" i="12" s="1"/>
  <c r="BK144" i="12"/>
  <c r="H146" i="1" s="1"/>
  <c r="Q144" i="12"/>
  <c r="R144" i="12" s="1"/>
  <c r="U144" i="12"/>
  <c r="V144" i="12" s="1"/>
  <c r="O144" i="12"/>
  <c r="P144" i="12" s="1"/>
  <c r="F144" i="12"/>
  <c r="I144" i="12"/>
  <c r="H144" i="12"/>
  <c r="J144" i="12"/>
  <c r="G144" i="12"/>
  <c r="AA144" i="12"/>
  <c r="AB144" i="12" s="1"/>
  <c r="Y144" i="12"/>
  <c r="Z144" i="12" s="1"/>
  <c r="W144" i="12"/>
  <c r="X144" i="12" s="1"/>
  <c r="BF144" i="12"/>
  <c r="AK144" i="12"/>
  <c r="BC144" i="12"/>
  <c r="BI266" i="12"/>
  <c r="G69" i="1"/>
  <c r="J69" i="1"/>
  <c r="J132" i="1"/>
  <c r="G132" i="1"/>
  <c r="AK299" i="12"/>
  <c r="BK269" i="12"/>
  <c r="H271" i="1" s="1"/>
  <c r="BM269" i="12"/>
  <c r="AA269" i="12"/>
  <c r="AB269" i="12" s="1"/>
  <c r="J269" i="12"/>
  <c r="I269" i="12"/>
  <c r="Y269" i="12"/>
  <c r="Z269" i="12" s="1"/>
  <c r="H269" i="12"/>
  <c r="AC269" i="12"/>
  <c r="AD269" i="12" s="1"/>
  <c r="W269" i="12"/>
  <c r="X269" i="12" s="1"/>
  <c r="M269" i="12"/>
  <c r="N269" i="12" s="1"/>
  <c r="K269" i="12"/>
  <c r="L269" i="12" s="1"/>
  <c r="U269" i="12"/>
  <c r="V269" i="12" s="1"/>
  <c r="F269" i="12"/>
  <c r="O269" i="12"/>
  <c r="P269" i="12" s="1"/>
  <c r="G269" i="12"/>
  <c r="S269" i="12"/>
  <c r="T269" i="12" s="1"/>
  <c r="Q269" i="12"/>
  <c r="R269" i="12" s="1"/>
  <c r="BC269" i="12"/>
  <c r="AK269" i="12"/>
  <c r="BF269" i="12"/>
  <c r="AZ236" i="12"/>
  <c r="BT250" i="12"/>
  <c r="BT244" i="12"/>
  <c r="BF147" i="12"/>
  <c r="BI196" i="12"/>
  <c r="J81" i="1"/>
  <c r="G81" i="1"/>
  <c r="AZ294" i="12"/>
  <c r="BR70" i="12"/>
  <c r="BN259" i="12"/>
  <c r="BI58" i="12"/>
  <c r="AA143" i="12"/>
  <c r="AB143" i="12" s="1"/>
  <c r="K143" i="12"/>
  <c r="L143" i="12" s="1"/>
  <c r="Q143" i="12"/>
  <c r="R143" i="12" s="1"/>
  <c r="O143" i="12"/>
  <c r="P143" i="12" s="1"/>
  <c r="G143" i="12"/>
  <c r="Y143" i="12"/>
  <c r="Z143" i="12" s="1"/>
  <c r="M143" i="12"/>
  <c r="N143" i="12" s="1"/>
  <c r="BM143" i="12"/>
  <c r="I143" i="12"/>
  <c r="H143" i="12"/>
  <c r="BK143" i="12"/>
  <c r="H145" i="1" s="1"/>
  <c r="U143" i="12"/>
  <c r="V143" i="12" s="1"/>
  <c r="AC143" i="12"/>
  <c r="AD143" i="12" s="1"/>
  <c r="J143" i="12"/>
  <c r="W143" i="12"/>
  <c r="X143" i="12" s="1"/>
  <c r="S143" i="12"/>
  <c r="T143" i="12" s="1"/>
  <c r="F143" i="12"/>
  <c r="BC143" i="12"/>
  <c r="BF143" i="12"/>
  <c r="AK143" i="12"/>
  <c r="BR98" i="12"/>
  <c r="AZ69" i="12"/>
  <c r="BI135" i="12"/>
  <c r="AQ218" i="12"/>
  <c r="H366" i="12"/>
  <c r="W366" i="12"/>
  <c r="X366" i="12" s="1"/>
  <c r="G366" i="12"/>
  <c r="J366" i="12"/>
  <c r="BM366" i="12"/>
  <c r="S366" i="12"/>
  <c r="T366" i="12" s="1"/>
  <c r="BK366" i="12"/>
  <c r="H368" i="1" s="1"/>
  <c r="Q366" i="12"/>
  <c r="R366" i="12" s="1"/>
  <c r="U366" i="12"/>
  <c r="V366" i="12" s="1"/>
  <c r="AC366" i="12"/>
  <c r="AD366" i="12" s="1"/>
  <c r="AA366" i="12"/>
  <c r="AB366" i="12" s="1"/>
  <c r="Y366" i="12"/>
  <c r="Z366" i="12" s="1"/>
  <c r="O366" i="12"/>
  <c r="P366" i="12" s="1"/>
  <c r="K366" i="12"/>
  <c r="L366" i="12" s="1"/>
  <c r="I366" i="12"/>
  <c r="M366" i="12"/>
  <c r="N366" i="12" s="1"/>
  <c r="AK366" i="12"/>
  <c r="F366" i="12"/>
  <c r="AN366" i="12"/>
  <c r="AQ366" i="12"/>
  <c r="BF366" i="12"/>
  <c r="BC366" i="12"/>
  <c r="BM298" i="12"/>
  <c r="G298" i="12"/>
  <c r="U298" i="12"/>
  <c r="V298" i="12" s="1"/>
  <c r="K298" i="12"/>
  <c r="L298" i="12" s="1"/>
  <c r="J298" i="12"/>
  <c r="I298" i="12"/>
  <c r="AC298" i="12"/>
  <c r="AD298" i="12" s="1"/>
  <c r="H298" i="12"/>
  <c r="Q298" i="12"/>
  <c r="R298" i="12" s="1"/>
  <c r="O298" i="12"/>
  <c r="P298" i="12" s="1"/>
  <c r="BK298" i="12"/>
  <c r="H300" i="1" s="1"/>
  <c r="Y298" i="12"/>
  <c r="Z298" i="12" s="1"/>
  <c r="S298" i="12"/>
  <c r="T298" i="12" s="1"/>
  <c r="M298" i="12"/>
  <c r="N298" i="12" s="1"/>
  <c r="F298" i="12"/>
  <c r="AA298" i="12"/>
  <c r="AB298" i="12" s="1"/>
  <c r="W298" i="12"/>
  <c r="X298" i="12" s="1"/>
  <c r="J266" i="1"/>
  <c r="G266" i="1"/>
  <c r="AZ229" i="12"/>
  <c r="AZ253" i="12"/>
  <c r="AZ134" i="12"/>
  <c r="J260" i="1"/>
  <c r="G260" i="1"/>
  <c r="AG61" i="12"/>
  <c r="BM334" i="12"/>
  <c r="K334" i="12"/>
  <c r="L334" i="12" s="1"/>
  <c r="AA334" i="12"/>
  <c r="AB334" i="12" s="1"/>
  <c r="J334" i="12"/>
  <c r="BK334" i="12"/>
  <c r="H336" i="1" s="1"/>
  <c r="I334" i="12"/>
  <c r="Y334" i="12"/>
  <c r="Z334" i="12" s="1"/>
  <c r="W334" i="12"/>
  <c r="X334" i="12" s="1"/>
  <c r="O334" i="12"/>
  <c r="P334" i="12" s="1"/>
  <c r="M334" i="12"/>
  <c r="N334" i="12" s="1"/>
  <c r="Q334" i="12"/>
  <c r="R334" i="12" s="1"/>
  <c r="H334" i="12"/>
  <c r="F334" i="12"/>
  <c r="AC334" i="12"/>
  <c r="AD334" i="12" s="1"/>
  <c r="G334" i="12"/>
  <c r="U334" i="12"/>
  <c r="V334" i="12" s="1"/>
  <c r="S334" i="12"/>
  <c r="T334" i="12" s="1"/>
  <c r="BC334" i="12"/>
  <c r="BF334" i="12"/>
  <c r="AK334" i="12"/>
  <c r="O361" i="12"/>
  <c r="P361" i="12" s="1"/>
  <c r="AA361" i="12"/>
  <c r="AB361" i="12" s="1"/>
  <c r="G361" i="12"/>
  <c r="F361" i="12"/>
  <c r="Y361" i="12"/>
  <c r="Z361" i="12" s="1"/>
  <c r="W361" i="12"/>
  <c r="X361" i="12" s="1"/>
  <c r="U361" i="12"/>
  <c r="V361" i="12" s="1"/>
  <c r="S361" i="12"/>
  <c r="T361" i="12" s="1"/>
  <c r="Q361" i="12"/>
  <c r="R361" i="12" s="1"/>
  <c r="AC361" i="12"/>
  <c r="AD361" i="12" s="1"/>
  <c r="M361" i="12"/>
  <c r="N361" i="12" s="1"/>
  <c r="BM361" i="12"/>
  <c r="K361" i="12"/>
  <c r="L361" i="12" s="1"/>
  <c r="BK361" i="12"/>
  <c r="H363" i="1" s="1"/>
  <c r="J361" i="12"/>
  <c r="I361" i="12"/>
  <c r="H361" i="12"/>
  <c r="BF361" i="12"/>
  <c r="AK361" i="12"/>
  <c r="BC361" i="12"/>
  <c r="BI5" i="12"/>
  <c r="BH409" i="12"/>
  <c r="C35" i="7" s="1"/>
  <c r="J324" i="1"/>
  <c r="G324" i="1"/>
  <c r="G255" i="1"/>
  <c r="J255" i="1"/>
  <c r="BM322" i="12"/>
  <c r="BK322" i="12"/>
  <c r="H324" i="1" s="1"/>
  <c r="M322" i="12"/>
  <c r="N322" i="12" s="1"/>
  <c r="U322" i="12"/>
  <c r="V322" i="12" s="1"/>
  <c r="S322" i="12"/>
  <c r="T322" i="12" s="1"/>
  <c r="AC322" i="12"/>
  <c r="AD322" i="12" s="1"/>
  <c r="AA322" i="12"/>
  <c r="AB322" i="12" s="1"/>
  <c r="O322" i="12"/>
  <c r="P322" i="12" s="1"/>
  <c r="G322" i="12"/>
  <c r="F322" i="12"/>
  <c r="Q322" i="12"/>
  <c r="R322" i="12" s="1"/>
  <c r="Y322" i="12"/>
  <c r="Z322" i="12" s="1"/>
  <c r="I322" i="12"/>
  <c r="W322" i="12"/>
  <c r="X322" i="12" s="1"/>
  <c r="J322" i="12"/>
  <c r="K322" i="12"/>
  <c r="L322" i="12" s="1"/>
  <c r="H322" i="12"/>
  <c r="BC322" i="12"/>
  <c r="AK322" i="12"/>
  <c r="BF322" i="12"/>
  <c r="AN322" i="12"/>
  <c r="AQ322" i="12"/>
  <c r="G257" i="1"/>
  <c r="J257" i="1"/>
  <c r="AG315" i="12"/>
  <c r="BI69" i="12"/>
  <c r="BX301" i="12"/>
  <c r="BI99" i="12"/>
  <c r="AG84" i="12"/>
  <c r="BF207" i="12"/>
  <c r="G291" i="1"/>
  <c r="J291" i="1"/>
  <c r="Y130" i="12"/>
  <c r="Z130" i="12" s="1"/>
  <c r="I130" i="12"/>
  <c r="H130" i="12"/>
  <c r="W130" i="12"/>
  <c r="X130" i="12" s="1"/>
  <c r="G130" i="12"/>
  <c r="Q130" i="12"/>
  <c r="R130" i="12" s="1"/>
  <c r="S130" i="12"/>
  <c r="T130" i="12" s="1"/>
  <c r="O130" i="12"/>
  <c r="P130" i="12" s="1"/>
  <c r="J130" i="12"/>
  <c r="BK130" i="12"/>
  <c r="H132" i="1" s="1"/>
  <c r="M130" i="12"/>
  <c r="N130" i="12" s="1"/>
  <c r="BM130" i="12"/>
  <c r="U130" i="12"/>
  <c r="V130" i="12" s="1"/>
  <c r="K130" i="12"/>
  <c r="L130" i="12" s="1"/>
  <c r="AC130" i="12"/>
  <c r="AD130" i="12" s="1"/>
  <c r="AA130" i="12"/>
  <c r="AB130" i="12" s="1"/>
  <c r="F130" i="12"/>
  <c r="BC130" i="12"/>
  <c r="AK130" i="12"/>
  <c r="BF130" i="12"/>
  <c r="BI334" i="12"/>
  <c r="BT238" i="12"/>
  <c r="AZ158" i="12"/>
  <c r="BI315" i="12"/>
  <c r="BI253" i="12"/>
  <c r="AG67" i="12"/>
  <c r="J84" i="1"/>
  <c r="G84" i="1"/>
  <c r="BX315" i="12"/>
  <c r="AZ144" i="12"/>
  <c r="AF409" i="12"/>
  <c r="F12" i="7" s="1"/>
  <c r="BW409" i="12"/>
  <c r="U79" i="12"/>
  <c r="V79" i="12" s="1"/>
  <c r="S79" i="12"/>
  <c r="T79" i="12" s="1"/>
  <c r="BK79" i="12"/>
  <c r="H81" i="1" s="1"/>
  <c r="M79" i="12"/>
  <c r="N79" i="12" s="1"/>
  <c r="O79" i="12"/>
  <c r="P79" i="12" s="1"/>
  <c r="BM79" i="12"/>
  <c r="AC79" i="12"/>
  <c r="AD79" i="12" s="1"/>
  <c r="J79" i="12"/>
  <c r="H79" i="12"/>
  <c r="G79" i="12"/>
  <c r="F79" i="12"/>
  <c r="W79" i="12"/>
  <c r="X79" i="12" s="1"/>
  <c r="Q79" i="12"/>
  <c r="R79" i="12" s="1"/>
  <c r="K79" i="12"/>
  <c r="L79" i="12" s="1"/>
  <c r="I79" i="12"/>
  <c r="AA79" i="12"/>
  <c r="AB79" i="12" s="1"/>
  <c r="Y79" i="12"/>
  <c r="Z79" i="12" s="1"/>
  <c r="BC79" i="12"/>
  <c r="BF79" i="12"/>
  <c r="BN79" i="12"/>
  <c r="AG69" i="12"/>
  <c r="J236" i="1"/>
  <c r="G236" i="1"/>
  <c r="AZ238" i="12"/>
  <c r="J273" i="1"/>
  <c r="G273" i="1"/>
  <c r="BF118" i="12"/>
  <c r="BF193" i="12"/>
  <c r="BI301" i="12"/>
  <c r="BF218" i="12"/>
  <c r="AC264" i="12"/>
  <c r="AD264" i="12" s="1"/>
  <c r="BM264" i="12"/>
  <c r="K264" i="12"/>
  <c r="L264" i="12" s="1"/>
  <c r="AA264" i="12"/>
  <c r="AB264" i="12" s="1"/>
  <c r="J264" i="12"/>
  <c r="M264" i="12"/>
  <c r="N264" i="12" s="1"/>
  <c r="I264" i="12"/>
  <c r="Y264" i="12"/>
  <c r="Z264" i="12" s="1"/>
  <c r="Q264" i="12"/>
  <c r="R264" i="12" s="1"/>
  <c r="H264" i="12"/>
  <c r="G264" i="12"/>
  <c r="BK264" i="12"/>
  <c r="H266" i="1" s="1"/>
  <c r="W264" i="12"/>
  <c r="X264" i="12" s="1"/>
  <c r="S264" i="12"/>
  <c r="T264" i="12" s="1"/>
  <c r="O264" i="12"/>
  <c r="P264" i="12" s="1"/>
  <c r="U264" i="12"/>
  <c r="V264" i="12" s="1"/>
  <c r="F264" i="12"/>
  <c r="BN264" i="12"/>
  <c r="AK264" i="12"/>
  <c r="BC264" i="12"/>
  <c r="BF264" i="12"/>
  <c r="BF65" i="12"/>
  <c r="J256" i="1"/>
  <c r="G256" i="1"/>
  <c r="J70" i="1"/>
  <c r="G70" i="1"/>
  <c r="J336" i="1"/>
  <c r="G336" i="1"/>
  <c r="BV409" i="12"/>
  <c r="D245" i="12"/>
  <c r="D247" i="1"/>
  <c r="AG147" i="12"/>
  <c r="J146" i="1"/>
  <c r="G146" i="1"/>
  <c r="AG253" i="12"/>
  <c r="J66" i="1"/>
  <c r="G66" i="1"/>
  <c r="J255" i="12"/>
  <c r="Y255" i="12"/>
  <c r="Z255" i="12" s="1"/>
  <c r="I255" i="12"/>
  <c r="H255" i="12"/>
  <c r="K255" i="12"/>
  <c r="L255" i="12" s="1"/>
  <c r="AC255" i="12"/>
  <c r="AD255" i="12" s="1"/>
  <c r="G255" i="12"/>
  <c r="AA255" i="12"/>
  <c r="AB255" i="12" s="1"/>
  <c r="W255" i="12"/>
  <c r="X255" i="12" s="1"/>
  <c r="BM255" i="12"/>
  <c r="BK255" i="12"/>
  <c r="H257" i="1" s="1"/>
  <c r="M255" i="12"/>
  <c r="N255" i="12" s="1"/>
  <c r="S255" i="12"/>
  <c r="T255" i="12" s="1"/>
  <c r="O255" i="12"/>
  <c r="P255" i="12" s="1"/>
  <c r="Q255" i="12"/>
  <c r="R255" i="12" s="1"/>
  <c r="U255" i="12"/>
  <c r="V255" i="12" s="1"/>
  <c r="F255" i="12"/>
  <c r="BX331" i="12"/>
  <c r="BX409" i="12" s="1"/>
  <c r="AZ68" i="12"/>
  <c r="BI259" i="12"/>
  <c r="W289" i="12"/>
  <c r="X289" i="12" s="1"/>
  <c r="G289" i="12"/>
  <c r="O289" i="12"/>
  <c r="P289" i="12" s="1"/>
  <c r="M289" i="12"/>
  <c r="N289" i="12" s="1"/>
  <c r="Q289" i="12"/>
  <c r="R289" i="12" s="1"/>
  <c r="K289" i="12"/>
  <c r="L289" i="12" s="1"/>
  <c r="U289" i="12"/>
  <c r="V289" i="12" s="1"/>
  <c r="Y289" i="12"/>
  <c r="Z289" i="12" s="1"/>
  <c r="BM289" i="12"/>
  <c r="I289" i="12"/>
  <c r="BK289" i="12"/>
  <c r="H291" i="1" s="1"/>
  <c r="H289" i="12"/>
  <c r="F289" i="12"/>
  <c r="AC289" i="12"/>
  <c r="AD289" i="12" s="1"/>
  <c r="AA289" i="12"/>
  <c r="AB289" i="12" s="1"/>
  <c r="J289" i="12"/>
  <c r="S289" i="12"/>
  <c r="T289" i="12" s="1"/>
  <c r="J204" i="1"/>
  <c r="G204" i="1"/>
  <c r="BF255" i="12"/>
  <c r="BF58" i="12"/>
  <c r="D260" i="12"/>
  <c r="D262" i="1"/>
  <c r="H82" i="12"/>
  <c r="BM82" i="12"/>
  <c r="K82" i="12"/>
  <c r="L82" i="12" s="1"/>
  <c r="BK82" i="12"/>
  <c r="H84" i="1" s="1"/>
  <c r="W82" i="12"/>
  <c r="X82" i="12" s="1"/>
  <c r="U82" i="12"/>
  <c r="V82" i="12" s="1"/>
  <c r="Q82" i="12"/>
  <c r="R82" i="12" s="1"/>
  <c r="O82" i="12"/>
  <c r="P82" i="12" s="1"/>
  <c r="AC82" i="12"/>
  <c r="AD82" i="12" s="1"/>
  <c r="AA82" i="12"/>
  <c r="AB82" i="12" s="1"/>
  <c r="F82" i="12"/>
  <c r="M82" i="12"/>
  <c r="N82" i="12" s="1"/>
  <c r="J82" i="12"/>
  <c r="I82" i="12"/>
  <c r="G82" i="12"/>
  <c r="Y82" i="12"/>
  <c r="Z82" i="12" s="1"/>
  <c r="S82" i="12"/>
  <c r="T82" i="12" s="1"/>
  <c r="AZ82" i="12"/>
  <c r="BF82" i="12"/>
  <c r="BN82" i="12"/>
  <c r="AG82" i="12"/>
  <c r="BC218" i="12"/>
  <c r="AG244" i="12"/>
  <c r="BI357" i="12"/>
  <c r="J242" i="1"/>
  <c r="G242" i="1"/>
  <c r="H234" i="12"/>
  <c r="W234" i="12"/>
  <c r="X234" i="12" s="1"/>
  <c r="G234" i="12"/>
  <c r="O234" i="12"/>
  <c r="P234" i="12" s="1"/>
  <c r="M234" i="12"/>
  <c r="N234" i="12" s="1"/>
  <c r="Y234" i="12"/>
  <c r="Z234" i="12" s="1"/>
  <c r="K234" i="12"/>
  <c r="L234" i="12" s="1"/>
  <c r="BM234" i="12"/>
  <c r="J234" i="12"/>
  <c r="I234" i="12"/>
  <c r="U234" i="12"/>
  <c r="V234" i="12" s="1"/>
  <c r="S234" i="12"/>
  <c r="T234" i="12" s="1"/>
  <c r="AC234" i="12"/>
  <c r="AD234" i="12" s="1"/>
  <c r="AA234" i="12"/>
  <c r="AB234" i="12" s="1"/>
  <c r="BK234" i="12"/>
  <c r="H236" i="1" s="1"/>
  <c r="Q234" i="12"/>
  <c r="R234" i="12" s="1"/>
  <c r="F234" i="12"/>
  <c r="BI255" i="12"/>
  <c r="J250" i="1"/>
  <c r="G250" i="1"/>
  <c r="Q71" i="12"/>
  <c r="R71" i="12" s="1"/>
  <c r="U71" i="12"/>
  <c r="V71" i="12" s="1"/>
  <c r="BK71" i="12"/>
  <c r="H73" i="1" s="1"/>
  <c r="O71" i="12"/>
  <c r="P71" i="12" s="1"/>
  <c r="M71" i="12"/>
  <c r="N71" i="12" s="1"/>
  <c r="W71" i="12"/>
  <c r="X71" i="12" s="1"/>
  <c r="BM71" i="12"/>
  <c r="Y71" i="12"/>
  <c r="Z71" i="12" s="1"/>
  <c r="S71" i="12"/>
  <c r="T71" i="12" s="1"/>
  <c r="J71" i="12"/>
  <c r="K71" i="12"/>
  <c r="L71" i="12" s="1"/>
  <c r="I71" i="12"/>
  <c r="AA71" i="12"/>
  <c r="AB71" i="12" s="1"/>
  <c r="AC71" i="12"/>
  <c r="AD71" i="12" s="1"/>
  <c r="G71" i="12"/>
  <c r="H71" i="12"/>
  <c r="F71" i="12"/>
  <c r="BF71" i="12"/>
  <c r="BC71" i="12"/>
  <c r="BN71" i="12"/>
  <c r="AN207" i="12"/>
  <c r="BR81" i="12"/>
  <c r="BK271" i="12"/>
  <c r="H273" i="1" s="1"/>
  <c r="S271" i="12"/>
  <c r="T271" i="12" s="1"/>
  <c r="Q271" i="12"/>
  <c r="R271" i="12" s="1"/>
  <c r="H271" i="12"/>
  <c r="AC271" i="12"/>
  <c r="AD271" i="12" s="1"/>
  <c r="G271" i="12"/>
  <c r="AA271" i="12"/>
  <c r="AB271" i="12" s="1"/>
  <c r="BM271" i="12"/>
  <c r="W271" i="12"/>
  <c r="X271" i="12" s="1"/>
  <c r="U271" i="12"/>
  <c r="V271" i="12" s="1"/>
  <c r="O271" i="12"/>
  <c r="P271" i="12" s="1"/>
  <c r="I271" i="12"/>
  <c r="M271" i="12"/>
  <c r="N271" i="12" s="1"/>
  <c r="K271" i="12"/>
  <c r="L271" i="12" s="1"/>
  <c r="J271" i="12"/>
  <c r="Y271" i="12"/>
  <c r="Z271" i="12" s="1"/>
  <c r="F271" i="12"/>
  <c r="J228" i="1"/>
  <c r="G228" i="1"/>
  <c r="BI263" i="12"/>
  <c r="BI207" i="12"/>
  <c r="AZ66" i="12"/>
  <c r="H387" i="1"/>
  <c r="O113" i="12"/>
  <c r="P113" i="12" s="1"/>
  <c r="Q113" i="12"/>
  <c r="R113" i="12" s="1"/>
  <c r="M113" i="12"/>
  <c r="N113" i="12" s="1"/>
  <c r="U113" i="12"/>
  <c r="V113" i="12" s="1"/>
  <c r="BK113" i="12"/>
  <c r="H115" i="1" s="1"/>
  <c r="K113" i="12"/>
  <c r="L113" i="12" s="1"/>
  <c r="J113" i="12"/>
  <c r="I113" i="12"/>
  <c r="G113" i="12"/>
  <c r="BM113" i="12"/>
  <c r="Y113" i="12"/>
  <c r="Z113" i="12" s="1"/>
  <c r="H113" i="12"/>
  <c r="AA113" i="12"/>
  <c r="AB113" i="12" s="1"/>
  <c r="AC113" i="12"/>
  <c r="AD113" i="12" s="1"/>
  <c r="W113" i="12"/>
  <c r="X113" i="12" s="1"/>
  <c r="S113" i="12"/>
  <c r="T113" i="12" s="1"/>
  <c r="F113" i="12"/>
  <c r="Q254" i="12"/>
  <c r="R254" i="12" s="1"/>
  <c r="Y254" i="12"/>
  <c r="Z254" i="12" s="1"/>
  <c r="BM254" i="12"/>
  <c r="W254" i="12"/>
  <c r="X254" i="12" s="1"/>
  <c r="AC254" i="12"/>
  <c r="AD254" i="12" s="1"/>
  <c r="G254" i="12"/>
  <c r="AA254" i="12"/>
  <c r="AB254" i="12" s="1"/>
  <c r="K254" i="12"/>
  <c r="L254" i="12" s="1"/>
  <c r="J254" i="12"/>
  <c r="I254" i="12"/>
  <c r="BK254" i="12"/>
  <c r="H256" i="1" s="1"/>
  <c r="U254" i="12"/>
  <c r="V254" i="12" s="1"/>
  <c r="S254" i="12"/>
  <c r="T254" i="12" s="1"/>
  <c r="O254" i="12"/>
  <c r="P254" i="12" s="1"/>
  <c r="M254" i="12"/>
  <c r="N254" i="12" s="1"/>
  <c r="H254" i="12"/>
  <c r="F254" i="12"/>
  <c r="O239" i="12"/>
  <c r="P239" i="12" s="1"/>
  <c r="BM239" i="12"/>
  <c r="I239" i="12"/>
  <c r="AA239" i="12"/>
  <c r="AB239" i="12" s="1"/>
  <c r="H239" i="12"/>
  <c r="G239" i="12"/>
  <c r="S239" i="12"/>
  <c r="T239" i="12" s="1"/>
  <c r="BK239" i="12"/>
  <c r="H241" i="1" s="1"/>
  <c r="J239" i="12"/>
  <c r="U239" i="12"/>
  <c r="V239" i="12" s="1"/>
  <c r="K239" i="12"/>
  <c r="L239" i="12" s="1"/>
  <c r="W239" i="12"/>
  <c r="X239" i="12" s="1"/>
  <c r="M239" i="12"/>
  <c r="N239" i="12" s="1"/>
  <c r="Q239" i="12"/>
  <c r="R239" i="12" s="1"/>
  <c r="AC239" i="12"/>
  <c r="AD239" i="12" s="1"/>
  <c r="Y239" i="12"/>
  <c r="Z239" i="12" s="1"/>
  <c r="F239" i="12"/>
  <c r="BN239" i="12"/>
  <c r="BC239" i="12"/>
  <c r="AK239" i="12"/>
  <c r="BF239" i="12"/>
  <c r="J363" i="1"/>
  <c r="G363" i="1"/>
  <c r="H181" i="1"/>
  <c r="BI239" i="12"/>
  <c r="AK147" i="12"/>
  <c r="BU409" i="12"/>
  <c r="G275" i="1"/>
  <c r="J275" i="1"/>
  <c r="S206" i="12"/>
  <c r="T206" i="12" s="1"/>
  <c r="K206" i="12"/>
  <c r="L206" i="12" s="1"/>
  <c r="AC206" i="12"/>
  <c r="AD206" i="12" s="1"/>
  <c r="J206" i="12"/>
  <c r="I206" i="12"/>
  <c r="U206" i="12"/>
  <c r="V206" i="12" s="1"/>
  <c r="BK206" i="12"/>
  <c r="H208" i="1" s="1"/>
  <c r="G206" i="12"/>
  <c r="Q206" i="12"/>
  <c r="R206" i="12" s="1"/>
  <c r="H206" i="12"/>
  <c r="O206" i="12"/>
  <c r="P206" i="12" s="1"/>
  <c r="M206" i="12"/>
  <c r="N206" i="12" s="1"/>
  <c r="AA206" i="12"/>
  <c r="AB206" i="12" s="1"/>
  <c r="W206" i="12"/>
  <c r="X206" i="12" s="1"/>
  <c r="BM206" i="12"/>
  <c r="Y206" i="12"/>
  <c r="Z206" i="12" s="1"/>
  <c r="AN206" i="12"/>
  <c r="AQ206" i="12"/>
  <c r="F206" i="12"/>
  <c r="BC206" i="12"/>
  <c r="AK206" i="12"/>
  <c r="BF206" i="12"/>
  <c r="O67" i="12"/>
  <c r="P67" i="12" s="1"/>
  <c r="M67" i="12"/>
  <c r="N67" i="12" s="1"/>
  <c r="AC67" i="12"/>
  <c r="AD67" i="12" s="1"/>
  <c r="K67" i="12"/>
  <c r="L67" i="12" s="1"/>
  <c r="Q67" i="12"/>
  <c r="R67" i="12" s="1"/>
  <c r="U67" i="12"/>
  <c r="V67" i="12" s="1"/>
  <c r="W67" i="12"/>
  <c r="X67" i="12" s="1"/>
  <c r="BM67" i="12"/>
  <c r="BK67" i="12"/>
  <c r="H69" i="1" s="1"/>
  <c r="AA67" i="12"/>
  <c r="AB67" i="12" s="1"/>
  <c r="Y67" i="12"/>
  <c r="Z67" i="12" s="1"/>
  <c r="S67" i="12"/>
  <c r="T67" i="12" s="1"/>
  <c r="I67" i="12"/>
  <c r="J67" i="12"/>
  <c r="G67" i="12"/>
  <c r="H67" i="12"/>
  <c r="F67" i="12"/>
  <c r="BF67" i="12"/>
  <c r="BC67" i="12"/>
  <c r="BN67" i="12"/>
  <c r="AZ67" i="12"/>
  <c r="J90" i="1"/>
  <c r="G90" i="1"/>
  <c r="H64" i="12"/>
  <c r="AA64" i="12"/>
  <c r="AB64" i="12" s="1"/>
  <c r="J64" i="12"/>
  <c r="M64" i="12"/>
  <c r="N64" i="12" s="1"/>
  <c r="AC64" i="12"/>
  <c r="AD64" i="12" s="1"/>
  <c r="K64" i="12"/>
  <c r="L64" i="12" s="1"/>
  <c r="G64" i="12"/>
  <c r="Y64" i="12"/>
  <c r="Z64" i="12" s="1"/>
  <c r="O64" i="12"/>
  <c r="P64" i="12" s="1"/>
  <c r="W64" i="12"/>
  <c r="X64" i="12" s="1"/>
  <c r="I64" i="12"/>
  <c r="U64" i="12"/>
  <c r="V64" i="12" s="1"/>
  <c r="Q64" i="12"/>
  <c r="R64" i="12" s="1"/>
  <c r="S64" i="12"/>
  <c r="T64" i="12" s="1"/>
  <c r="BM64" i="12"/>
  <c r="BK64" i="12"/>
  <c r="H66" i="1" s="1"/>
  <c r="F64" i="12"/>
  <c r="BF64" i="12"/>
  <c r="BC64" i="12"/>
  <c r="BN64" i="12"/>
  <c r="BC95" i="12"/>
  <c r="J233" i="1"/>
  <c r="G233" i="1"/>
  <c r="BI311" i="12"/>
  <c r="AZ84" i="12"/>
  <c r="AZ206" i="12"/>
  <c r="BR61" i="12"/>
  <c r="J290" i="1"/>
  <c r="G290" i="1"/>
  <c r="AZ99" i="12"/>
  <c r="AG62" i="12"/>
  <c r="S202" i="12"/>
  <c r="T202" i="12" s="1"/>
  <c r="G202" i="12"/>
  <c r="Y202" i="12"/>
  <c r="Z202" i="12" s="1"/>
  <c r="BM202" i="12"/>
  <c r="O202" i="12"/>
  <c r="P202" i="12" s="1"/>
  <c r="M202" i="12"/>
  <c r="N202" i="12" s="1"/>
  <c r="U202" i="12"/>
  <c r="V202" i="12" s="1"/>
  <c r="J202" i="12"/>
  <c r="I202" i="12"/>
  <c r="H202" i="12"/>
  <c r="K202" i="12"/>
  <c r="L202" i="12" s="1"/>
  <c r="BK202" i="12"/>
  <c r="H204" i="1" s="1"/>
  <c r="AC202" i="12"/>
  <c r="AD202" i="12" s="1"/>
  <c r="AA202" i="12"/>
  <c r="AB202" i="12" s="1"/>
  <c r="W202" i="12"/>
  <c r="X202" i="12" s="1"/>
  <c r="Q202" i="12"/>
  <c r="R202" i="12" s="1"/>
  <c r="F202" i="12"/>
  <c r="AQ202" i="12"/>
  <c r="BF202" i="12"/>
  <c r="AZ202" i="12"/>
  <c r="AN202" i="12"/>
  <c r="BI146" i="12"/>
  <c r="AK118" i="12"/>
  <c r="BT239" i="12"/>
  <c r="AG127" i="12"/>
  <c r="H104" i="1"/>
  <c r="D251" i="12"/>
  <c r="D253" i="1"/>
  <c r="AZ81" i="12"/>
  <c r="AG238" i="12"/>
  <c r="H395" i="1"/>
  <c r="AZ58" i="12"/>
  <c r="BI275" i="12"/>
  <c r="BR82" i="12"/>
  <c r="AZ94" i="12"/>
  <c r="BC259" i="12"/>
  <c r="BF99" i="12"/>
  <c r="H240" i="12"/>
  <c r="W240" i="12"/>
  <c r="X240" i="12" s="1"/>
  <c r="G240" i="12"/>
  <c r="O240" i="12"/>
  <c r="P240" i="12" s="1"/>
  <c r="Q240" i="12"/>
  <c r="R240" i="12" s="1"/>
  <c r="M240" i="12"/>
  <c r="N240" i="12" s="1"/>
  <c r="U240" i="12"/>
  <c r="V240" i="12" s="1"/>
  <c r="AA240" i="12"/>
  <c r="AB240" i="12" s="1"/>
  <c r="Y240" i="12"/>
  <c r="Z240" i="12" s="1"/>
  <c r="BM240" i="12"/>
  <c r="S240" i="12"/>
  <c r="T240" i="12" s="1"/>
  <c r="BK240" i="12"/>
  <c r="H242" i="1" s="1"/>
  <c r="AC240" i="12"/>
  <c r="AD240" i="12" s="1"/>
  <c r="K240" i="12"/>
  <c r="L240" i="12" s="1"/>
  <c r="J240" i="12"/>
  <c r="I240" i="12"/>
  <c r="F240" i="12"/>
  <c r="BC240" i="12"/>
  <c r="BF240" i="12"/>
  <c r="AK240" i="12"/>
  <c r="AN240" i="12"/>
  <c r="BN240" i="12"/>
  <c r="AQ240" i="12"/>
  <c r="BI269" i="12"/>
  <c r="BT259" i="12"/>
  <c r="Q248" i="12"/>
  <c r="R248" i="12" s="1"/>
  <c r="K248" i="12"/>
  <c r="L248" i="12" s="1"/>
  <c r="AC248" i="12"/>
  <c r="AD248" i="12" s="1"/>
  <c r="J248" i="12"/>
  <c r="I248" i="12"/>
  <c r="BK248" i="12"/>
  <c r="H250" i="1" s="1"/>
  <c r="M248" i="12"/>
  <c r="N248" i="12" s="1"/>
  <c r="O248" i="12"/>
  <c r="P248" i="12" s="1"/>
  <c r="H248" i="12"/>
  <c r="G248" i="12"/>
  <c r="S248" i="12"/>
  <c r="T248" i="12" s="1"/>
  <c r="AA248" i="12"/>
  <c r="AB248" i="12" s="1"/>
  <c r="Y248" i="12"/>
  <c r="Z248" i="12" s="1"/>
  <c r="BM248" i="12"/>
  <c r="W248" i="12"/>
  <c r="X248" i="12" s="1"/>
  <c r="U248" i="12"/>
  <c r="V248" i="12" s="1"/>
  <c r="F248" i="12"/>
  <c r="BC248" i="12"/>
  <c r="BI248" i="12"/>
  <c r="AN248" i="12"/>
  <c r="AK248" i="12"/>
  <c r="BF248" i="12"/>
  <c r="BN248" i="12"/>
  <c r="AQ248" i="12"/>
  <c r="AZ263" i="12"/>
  <c r="J73" i="1"/>
  <c r="G73" i="1"/>
  <c r="BI271" i="12"/>
  <c r="AG314" i="12"/>
  <c r="AK259" i="12"/>
  <c r="J337" i="1"/>
  <c r="G337" i="1"/>
  <c r="H226" i="12"/>
  <c r="AC226" i="12"/>
  <c r="AD226" i="12" s="1"/>
  <c r="K226" i="12"/>
  <c r="L226" i="12" s="1"/>
  <c r="AA226" i="12"/>
  <c r="AB226" i="12" s="1"/>
  <c r="J226" i="12"/>
  <c r="S226" i="12"/>
  <c r="T226" i="12" s="1"/>
  <c r="U226" i="12"/>
  <c r="V226" i="12" s="1"/>
  <c r="G226" i="12"/>
  <c r="BM226" i="12"/>
  <c r="BK226" i="12"/>
  <c r="H228" i="1" s="1"/>
  <c r="O226" i="12"/>
  <c r="P226" i="12" s="1"/>
  <c r="Q226" i="12"/>
  <c r="R226" i="12" s="1"/>
  <c r="M226" i="12"/>
  <c r="N226" i="12" s="1"/>
  <c r="I226" i="12"/>
  <c r="W226" i="12"/>
  <c r="X226" i="12" s="1"/>
  <c r="Y226" i="12"/>
  <c r="Z226" i="12" s="1"/>
  <c r="F226" i="12"/>
  <c r="AN226" i="12"/>
  <c r="AK226" i="12"/>
  <c r="BF226" i="12"/>
  <c r="BC226" i="12"/>
  <c r="AQ226" i="12"/>
  <c r="AZ259" i="12"/>
  <c r="H321" i="1"/>
  <c r="G115" i="1"/>
  <c r="J115" i="1"/>
  <c r="BT258" i="12"/>
  <c r="G239" i="1"/>
  <c r="J239" i="1"/>
  <c r="BK267" i="12"/>
  <c r="H269" i="1" s="1"/>
  <c r="Q267" i="12"/>
  <c r="R267" i="12" s="1"/>
  <c r="Y267" i="12"/>
  <c r="Z267" i="12" s="1"/>
  <c r="W267" i="12"/>
  <c r="X267" i="12" s="1"/>
  <c r="U267" i="12"/>
  <c r="V267" i="12" s="1"/>
  <c r="S267" i="12"/>
  <c r="T267" i="12" s="1"/>
  <c r="H267" i="12"/>
  <c r="K267" i="12"/>
  <c r="L267" i="12" s="1"/>
  <c r="O267" i="12"/>
  <c r="P267" i="12" s="1"/>
  <c r="BM267" i="12"/>
  <c r="G267" i="12"/>
  <c r="J267" i="12"/>
  <c r="AC267" i="12"/>
  <c r="AD267" i="12" s="1"/>
  <c r="AA267" i="12"/>
  <c r="AB267" i="12" s="1"/>
  <c r="M267" i="12"/>
  <c r="N267" i="12" s="1"/>
  <c r="F267" i="12"/>
  <c r="I267" i="12"/>
  <c r="BN267" i="12"/>
  <c r="BC267" i="12"/>
  <c r="AK267" i="12"/>
  <c r="BF267" i="12"/>
  <c r="AN267" i="12"/>
  <c r="AQ267" i="12"/>
  <c r="J257" i="12"/>
  <c r="Y257" i="12"/>
  <c r="Z257" i="12" s="1"/>
  <c r="I257" i="12"/>
  <c r="H257" i="12"/>
  <c r="BM257" i="12"/>
  <c r="U257" i="12"/>
  <c r="V257" i="12" s="1"/>
  <c r="BK257" i="12"/>
  <c r="H259" i="1" s="1"/>
  <c r="S257" i="12"/>
  <c r="T257" i="12" s="1"/>
  <c r="AA257" i="12"/>
  <c r="AB257" i="12" s="1"/>
  <c r="W257" i="12"/>
  <c r="X257" i="12" s="1"/>
  <c r="M257" i="12"/>
  <c r="N257" i="12" s="1"/>
  <c r="G257" i="12"/>
  <c r="Q257" i="12"/>
  <c r="R257" i="12" s="1"/>
  <c r="K257" i="12"/>
  <c r="L257" i="12" s="1"/>
  <c r="AC257" i="12"/>
  <c r="AD257" i="12" s="1"/>
  <c r="O257" i="12"/>
  <c r="P257" i="12" s="1"/>
  <c r="BC257" i="12"/>
  <c r="F257" i="12"/>
  <c r="AK257" i="12"/>
  <c r="BN257" i="12"/>
  <c r="BF257" i="12"/>
  <c r="H88" i="12"/>
  <c r="J88" i="12"/>
  <c r="AA88" i="12"/>
  <c r="AB88" i="12" s="1"/>
  <c r="I88" i="12"/>
  <c r="BM88" i="12"/>
  <c r="G88" i="12"/>
  <c r="AC88" i="12"/>
  <c r="AD88" i="12" s="1"/>
  <c r="Y88" i="12"/>
  <c r="Z88" i="12" s="1"/>
  <c r="U88" i="12"/>
  <c r="V88" i="12" s="1"/>
  <c r="Q88" i="12"/>
  <c r="R88" i="12" s="1"/>
  <c r="M88" i="12"/>
  <c r="N88" i="12" s="1"/>
  <c r="K88" i="12"/>
  <c r="L88" i="12" s="1"/>
  <c r="F88" i="12"/>
  <c r="O88" i="12"/>
  <c r="P88" i="12" s="1"/>
  <c r="S88" i="12"/>
  <c r="T88" i="12" s="1"/>
  <c r="BK88" i="12"/>
  <c r="H90" i="1" s="1"/>
  <c r="BR88" i="12"/>
  <c r="W88" i="12"/>
  <c r="X88" i="12" s="1"/>
  <c r="BF88" i="12"/>
  <c r="BN88" i="12"/>
  <c r="AZ88" i="12"/>
  <c r="H307" i="1"/>
  <c r="BI189" i="12"/>
  <c r="O231" i="12"/>
  <c r="P231" i="12" s="1"/>
  <c r="BM231" i="12"/>
  <c r="Q231" i="12"/>
  <c r="R231" i="12" s="1"/>
  <c r="M231" i="12"/>
  <c r="N231" i="12" s="1"/>
  <c r="S231" i="12"/>
  <c r="T231" i="12" s="1"/>
  <c r="J231" i="12"/>
  <c r="I231" i="12"/>
  <c r="H231" i="12"/>
  <c r="BK231" i="12"/>
  <c r="H233" i="1" s="1"/>
  <c r="U231" i="12"/>
  <c r="V231" i="12" s="1"/>
  <c r="AA231" i="12"/>
  <c r="AB231" i="12" s="1"/>
  <c r="AC231" i="12"/>
  <c r="AD231" i="12" s="1"/>
  <c r="K231" i="12"/>
  <c r="L231" i="12" s="1"/>
  <c r="Y231" i="12"/>
  <c r="Z231" i="12" s="1"/>
  <c r="W231" i="12"/>
  <c r="X231" i="12" s="1"/>
  <c r="G231" i="12"/>
  <c r="F231" i="12"/>
  <c r="BC231" i="12"/>
  <c r="BF231" i="12"/>
  <c r="AQ231" i="12"/>
  <c r="AN231" i="12"/>
  <c r="AK231" i="12"/>
  <c r="J349" i="1"/>
  <c r="G349" i="1"/>
  <c r="G191" i="1"/>
  <c r="J191" i="1"/>
  <c r="O288" i="12"/>
  <c r="P288" i="12" s="1"/>
  <c r="S288" i="12"/>
  <c r="T288" i="12" s="1"/>
  <c r="Q288" i="12"/>
  <c r="R288" i="12" s="1"/>
  <c r="Y288" i="12"/>
  <c r="Z288" i="12" s="1"/>
  <c r="W288" i="12"/>
  <c r="X288" i="12" s="1"/>
  <c r="BM288" i="12"/>
  <c r="K288" i="12"/>
  <c r="L288" i="12" s="1"/>
  <c r="J288" i="12"/>
  <c r="I288" i="12"/>
  <c r="G288" i="12"/>
  <c r="F288" i="12"/>
  <c r="H288" i="12"/>
  <c r="BK288" i="12"/>
  <c r="H290" i="1" s="1"/>
  <c r="AC288" i="12"/>
  <c r="AD288" i="12" s="1"/>
  <c r="U288" i="12"/>
  <c r="V288" i="12" s="1"/>
  <c r="M288" i="12"/>
  <c r="N288" i="12" s="1"/>
  <c r="AA288" i="12"/>
  <c r="AB288" i="12" s="1"/>
  <c r="AN288" i="12"/>
  <c r="AK288" i="12"/>
  <c r="AQ288" i="12"/>
  <c r="BC288" i="12"/>
  <c r="BF288" i="12"/>
  <c r="AG99" i="12"/>
  <c r="AK362" i="12"/>
  <c r="BF225" i="12"/>
  <c r="J316" i="1"/>
  <c r="G316" i="1"/>
  <c r="G227" i="1"/>
  <c r="J227" i="1"/>
  <c r="D61" i="12"/>
  <c r="BI61" i="12" s="1"/>
  <c r="D63" i="1"/>
  <c r="J148" i="1"/>
  <c r="G148" i="1"/>
  <c r="J240" i="1"/>
  <c r="G240" i="1"/>
  <c r="H85" i="1"/>
  <c r="BN255" i="12"/>
  <c r="BI322" i="12"/>
  <c r="AG158" i="12"/>
  <c r="AG58" i="12"/>
  <c r="AK255" i="12"/>
  <c r="H25" i="1"/>
  <c r="BI244" i="12"/>
  <c r="J72" i="1"/>
  <c r="G72" i="1"/>
  <c r="J86" i="1"/>
  <c r="G86" i="1"/>
  <c r="BF81" i="12"/>
  <c r="BI268" i="12"/>
  <c r="BF259" i="12"/>
  <c r="AZ65" i="12"/>
  <c r="AZ334" i="12"/>
  <c r="AQ207" i="12"/>
  <c r="Y335" i="12"/>
  <c r="Z335" i="12" s="1"/>
  <c r="H335" i="12"/>
  <c r="G335" i="12"/>
  <c r="W335" i="12"/>
  <c r="X335" i="12" s="1"/>
  <c r="BK335" i="12"/>
  <c r="H337" i="1" s="1"/>
  <c r="M335" i="12"/>
  <c r="N335" i="12" s="1"/>
  <c r="S335" i="12"/>
  <c r="T335" i="12" s="1"/>
  <c r="Q335" i="12"/>
  <c r="R335" i="12" s="1"/>
  <c r="O335" i="12"/>
  <c r="P335" i="12" s="1"/>
  <c r="I335" i="12"/>
  <c r="AA335" i="12"/>
  <c r="AB335" i="12" s="1"/>
  <c r="U335" i="12"/>
  <c r="V335" i="12" s="1"/>
  <c r="BM335" i="12"/>
  <c r="K335" i="12"/>
  <c r="L335" i="12" s="1"/>
  <c r="AC335" i="12"/>
  <c r="AD335" i="12" s="1"/>
  <c r="J335" i="12"/>
  <c r="F335" i="12"/>
  <c r="H98" i="12"/>
  <c r="S98" i="12"/>
  <c r="T98" i="12" s="1"/>
  <c r="K98" i="12"/>
  <c r="L98" i="12" s="1"/>
  <c r="J98" i="12"/>
  <c r="U98" i="12"/>
  <c r="V98" i="12" s="1"/>
  <c r="Q98" i="12"/>
  <c r="R98" i="12" s="1"/>
  <c r="W98" i="12"/>
  <c r="X98" i="12" s="1"/>
  <c r="O98" i="12"/>
  <c r="P98" i="12" s="1"/>
  <c r="BK98" i="12"/>
  <c r="H100" i="1" s="1"/>
  <c r="AA98" i="12"/>
  <c r="AB98" i="12" s="1"/>
  <c r="Y98" i="12"/>
  <c r="Z98" i="12" s="1"/>
  <c r="BM98" i="12"/>
  <c r="M98" i="12"/>
  <c r="N98" i="12" s="1"/>
  <c r="I98" i="12"/>
  <c r="G98" i="12"/>
  <c r="AC98" i="12"/>
  <c r="AD98" i="12" s="1"/>
  <c r="F98" i="12"/>
  <c r="AG259" i="12"/>
  <c r="AG255" i="12"/>
  <c r="BX334" i="12"/>
  <c r="BI221" i="12"/>
  <c r="AG258" i="12"/>
  <c r="O237" i="12"/>
  <c r="P237" i="12" s="1"/>
  <c r="BM237" i="12"/>
  <c r="Q237" i="12"/>
  <c r="R237" i="12" s="1"/>
  <c r="M237" i="12"/>
  <c r="N237" i="12" s="1"/>
  <c r="Y237" i="12"/>
  <c r="Z237" i="12" s="1"/>
  <c r="W237" i="12"/>
  <c r="X237" i="12" s="1"/>
  <c r="I237" i="12"/>
  <c r="S237" i="12"/>
  <c r="T237" i="12" s="1"/>
  <c r="AA237" i="12"/>
  <c r="AB237" i="12" s="1"/>
  <c r="H237" i="12"/>
  <c r="BK237" i="12"/>
  <c r="H239" i="1" s="1"/>
  <c r="G237" i="12"/>
  <c r="F237" i="12"/>
  <c r="J237" i="12"/>
  <c r="AC237" i="12"/>
  <c r="AD237" i="12" s="1"/>
  <c r="U237" i="12"/>
  <c r="V237" i="12" s="1"/>
  <c r="K237" i="12"/>
  <c r="L237" i="12" s="1"/>
  <c r="J75" i="1" l="1"/>
  <c r="G75" i="1"/>
  <c r="J244" i="1"/>
  <c r="G244" i="1"/>
  <c r="W57" i="12"/>
  <c r="X57" i="12" s="1"/>
  <c r="G57" i="12"/>
  <c r="AC57" i="12"/>
  <c r="AD57" i="12" s="1"/>
  <c r="AA57" i="12"/>
  <c r="AB57" i="12" s="1"/>
  <c r="J57" i="12"/>
  <c r="Q57" i="12"/>
  <c r="R57" i="12" s="1"/>
  <c r="S57" i="12"/>
  <c r="T57" i="12" s="1"/>
  <c r="BK57" i="12"/>
  <c r="H59" i="1" s="1"/>
  <c r="O57" i="12"/>
  <c r="P57" i="12" s="1"/>
  <c r="Y57" i="12"/>
  <c r="Z57" i="12" s="1"/>
  <c r="H57" i="12"/>
  <c r="F57" i="12"/>
  <c r="BM57" i="12"/>
  <c r="U57" i="12"/>
  <c r="V57" i="12" s="1"/>
  <c r="M57" i="12"/>
  <c r="N57" i="12" s="1"/>
  <c r="K57" i="12"/>
  <c r="L57" i="12" s="1"/>
  <c r="I57" i="12"/>
  <c r="BF57" i="12"/>
  <c r="BN57" i="12"/>
  <c r="BC57" i="12"/>
  <c r="AG57" i="12"/>
  <c r="BI57" i="12"/>
  <c r="BR57" i="12"/>
  <c r="AZ57" i="12"/>
  <c r="C31" i="2"/>
  <c r="N12" i="1"/>
  <c r="K9" i="2"/>
  <c r="AA73" i="12"/>
  <c r="AB73" i="12" s="1"/>
  <c r="J73" i="12"/>
  <c r="O73" i="12"/>
  <c r="P73" i="12" s="1"/>
  <c r="BM73" i="12"/>
  <c r="U73" i="12"/>
  <c r="V73" i="12" s="1"/>
  <c r="BK73" i="12"/>
  <c r="H75" i="1" s="1"/>
  <c r="Q73" i="12"/>
  <c r="R73" i="12" s="1"/>
  <c r="M73" i="12"/>
  <c r="N73" i="12" s="1"/>
  <c r="S73" i="12"/>
  <c r="T73" i="12" s="1"/>
  <c r="K73" i="12"/>
  <c r="L73" i="12" s="1"/>
  <c r="I73" i="12"/>
  <c r="H73" i="12"/>
  <c r="G73" i="12"/>
  <c r="AC73" i="12"/>
  <c r="AD73" i="12" s="1"/>
  <c r="W73" i="12"/>
  <c r="X73" i="12" s="1"/>
  <c r="Y73" i="12"/>
  <c r="Z73" i="12" s="1"/>
  <c r="F73" i="12"/>
  <c r="BF73" i="12"/>
  <c r="BN73" i="12"/>
  <c r="BC73" i="12"/>
  <c r="AZ73" i="12"/>
  <c r="AG73" i="12"/>
  <c r="BI73" i="12"/>
  <c r="BR73" i="12"/>
  <c r="BF409" i="12"/>
  <c r="J253" i="1"/>
  <c r="G253" i="1"/>
  <c r="J61" i="1"/>
  <c r="G61" i="1"/>
  <c r="C442" i="3"/>
  <c r="C443" i="3" s="1"/>
  <c r="K420" i="3"/>
  <c r="Y242" i="12"/>
  <c r="Z242" i="12" s="1"/>
  <c r="H242" i="12"/>
  <c r="G242" i="12"/>
  <c r="W242" i="12"/>
  <c r="X242" i="12" s="1"/>
  <c r="K242" i="12"/>
  <c r="L242" i="12" s="1"/>
  <c r="J242" i="12"/>
  <c r="AC242" i="12"/>
  <c r="AD242" i="12" s="1"/>
  <c r="I242" i="12"/>
  <c r="BM242" i="12"/>
  <c r="S242" i="12"/>
  <c r="T242" i="12" s="1"/>
  <c r="AA242" i="12"/>
  <c r="AB242" i="12" s="1"/>
  <c r="O242" i="12"/>
  <c r="P242" i="12" s="1"/>
  <c r="M242" i="12"/>
  <c r="N242" i="12" s="1"/>
  <c r="U242" i="12"/>
  <c r="V242" i="12" s="1"/>
  <c r="BK242" i="12"/>
  <c r="H244" i="1" s="1"/>
  <c r="Q242" i="12"/>
  <c r="R242" i="12" s="1"/>
  <c r="F242" i="12"/>
  <c r="BF242" i="12"/>
  <c r="BN242" i="12"/>
  <c r="BC242" i="12"/>
  <c r="AK242" i="12"/>
  <c r="BT242" i="12"/>
  <c r="AZ242" i="12"/>
  <c r="AG242" i="12"/>
  <c r="BI242" i="12"/>
  <c r="J251" i="12"/>
  <c r="Y251" i="12"/>
  <c r="Z251" i="12" s="1"/>
  <c r="I251" i="12"/>
  <c r="H251" i="12"/>
  <c r="AC251" i="12"/>
  <c r="AD251" i="12" s="1"/>
  <c r="G251" i="12"/>
  <c r="AA251" i="12"/>
  <c r="AB251" i="12" s="1"/>
  <c r="K251" i="12"/>
  <c r="L251" i="12" s="1"/>
  <c r="S251" i="12"/>
  <c r="T251" i="12" s="1"/>
  <c r="O251" i="12"/>
  <c r="P251" i="12" s="1"/>
  <c r="BM251" i="12"/>
  <c r="U251" i="12"/>
  <c r="V251" i="12" s="1"/>
  <c r="BK251" i="12"/>
  <c r="H253" i="1" s="1"/>
  <c r="W251" i="12"/>
  <c r="X251" i="12" s="1"/>
  <c r="M251" i="12"/>
  <c r="N251" i="12" s="1"/>
  <c r="Q251" i="12"/>
  <c r="R251" i="12" s="1"/>
  <c r="F251" i="12"/>
  <c r="BC251" i="12"/>
  <c r="BN251" i="12"/>
  <c r="AK251" i="12"/>
  <c r="AN251" i="12"/>
  <c r="BF251" i="12"/>
  <c r="AQ251" i="12"/>
  <c r="AZ251" i="12"/>
  <c r="AG251" i="12"/>
  <c r="BT251" i="12"/>
  <c r="BI251" i="12"/>
  <c r="W59" i="12"/>
  <c r="X59" i="12" s="1"/>
  <c r="G59" i="12"/>
  <c r="U59" i="12"/>
  <c r="V59" i="12" s="1"/>
  <c r="S59" i="12"/>
  <c r="T59" i="12" s="1"/>
  <c r="I59" i="12"/>
  <c r="AA59" i="12"/>
  <c r="AB59" i="12" s="1"/>
  <c r="H59" i="12"/>
  <c r="AC59" i="12"/>
  <c r="AD59" i="12" s="1"/>
  <c r="Y59" i="12"/>
  <c r="Z59" i="12" s="1"/>
  <c r="M59" i="12"/>
  <c r="N59" i="12" s="1"/>
  <c r="K59" i="12"/>
  <c r="L59" i="12" s="1"/>
  <c r="J59" i="12"/>
  <c r="BM59" i="12"/>
  <c r="F59" i="12"/>
  <c r="Q59" i="12"/>
  <c r="R59" i="12" s="1"/>
  <c r="BK59" i="12"/>
  <c r="H61" i="1" s="1"/>
  <c r="O59" i="12"/>
  <c r="P59" i="12" s="1"/>
  <c r="BC59" i="12"/>
  <c r="BF59" i="12"/>
  <c r="BI59" i="12"/>
  <c r="BN59" i="12"/>
  <c r="AG59" i="12"/>
  <c r="AZ59" i="12"/>
  <c r="BR59" i="12"/>
  <c r="G243" i="1"/>
  <c r="J243" i="1"/>
  <c r="C24" i="7"/>
  <c r="C21" i="7"/>
  <c r="O241" i="12"/>
  <c r="P241" i="12" s="1"/>
  <c r="BM241" i="12"/>
  <c r="W241" i="12"/>
  <c r="X241" i="12" s="1"/>
  <c r="BK241" i="12"/>
  <c r="H243" i="1" s="1"/>
  <c r="U241" i="12"/>
  <c r="V241" i="12" s="1"/>
  <c r="K241" i="12"/>
  <c r="L241" i="12" s="1"/>
  <c r="S241" i="12"/>
  <c r="T241" i="12" s="1"/>
  <c r="G241" i="12"/>
  <c r="AC241" i="12"/>
  <c r="AD241" i="12" s="1"/>
  <c r="M241" i="12"/>
  <c r="N241" i="12" s="1"/>
  <c r="Q241" i="12"/>
  <c r="R241" i="12" s="1"/>
  <c r="J241" i="12"/>
  <c r="F241" i="12"/>
  <c r="AA241" i="12"/>
  <c r="AB241" i="12" s="1"/>
  <c r="Y241" i="12"/>
  <c r="Z241" i="12" s="1"/>
  <c r="H241" i="12"/>
  <c r="I241" i="12"/>
  <c r="AN241" i="12"/>
  <c r="AN409" i="12" s="1"/>
  <c r="C13" i="7" s="1"/>
  <c r="BC241" i="12"/>
  <c r="BF241" i="12"/>
  <c r="AK241" i="12"/>
  <c r="AK409" i="12" s="1"/>
  <c r="C41" i="7" s="1"/>
  <c r="BN241" i="12"/>
  <c r="AQ241" i="12"/>
  <c r="AQ409" i="12" s="1"/>
  <c r="C15" i="7" s="1"/>
  <c r="G41" i="7"/>
  <c r="O60" i="12"/>
  <c r="P60" i="12" s="1"/>
  <c r="M60" i="12"/>
  <c r="N60" i="12" s="1"/>
  <c r="BM60" i="12"/>
  <c r="S60" i="12"/>
  <c r="T60" i="12" s="1"/>
  <c r="W60" i="12"/>
  <c r="X60" i="12" s="1"/>
  <c r="BK60" i="12"/>
  <c r="H62" i="1" s="1"/>
  <c r="AC60" i="12"/>
  <c r="AD60" i="12" s="1"/>
  <c r="AA60" i="12"/>
  <c r="AB60" i="12" s="1"/>
  <c r="Q60" i="12"/>
  <c r="R60" i="12" s="1"/>
  <c r="Y60" i="12"/>
  <c r="Z60" i="12" s="1"/>
  <c r="U60" i="12"/>
  <c r="V60" i="12" s="1"/>
  <c r="K60" i="12"/>
  <c r="L60" i="12" s="1"/>
  <c r="J60" i="12"/>
  <c r="I60" i="12"/>
  <c r="H60" i="12"/>
  <c r="G60" i="12"/>
  <c r="F60" i="12"/>
  <c r="BN60" i="12"/>
  <c r="BI60" i="12"/>
  <c r="BF60" i="12"/>
  <c r="BC60" i="12"/>
  <c r="AG60" i="12"/>
  <c r="AZ60" i="12"/>
  <c r="BR60" i="12"/>
  <c r="BT241" i="12"/>
  <c r="BT409" i="12" s="1"/>
  <c r="G63" i="1"/>
  <c r="J63" i="1"/>
  <c r="J262" i="1"/>
  <c r="G262" i="1"/>
  <c r="W61" i="12"/>
  <c r="X61" i="12" s="1"/>
  <c r="G61" i="12"/>
  <c r="AC61" i="12"/>
  <c r="AD61" i="12" s="1"/>
  <c r="S61" i="12"/>
  <c r="T61" i="12" s="1"/>
  <c r="M61" i="12"/>
  <c r="N61" i="12" s="1"/>
  <c r="K61" i="12"/>
  <c r="L61" i="12" s="1"/>
  <c r="BK61" i="12"/>
  <c r="H63" i="1" s="1"/>
  <c r="U61" i="12"/>
  <c r="V61" i="12" s="1"/>
  <c r="H61" i="12"/>
  <c r="Q61" i="12"/>
  <c r="R61" i="12" s="1"/>
  <c r="O61" i="12"/>
  <c r="P61" i="12" s="1"/>
  <c r="J61" i="12"/>
  <c r="I61" i="12"/>
  <c r="Y61" i="12"/>
  <c r="Z61" i="12" s="1"/>
  <c r="AA61" i="12"/>
  <c r="AB61" i="12" s="1"/>
  <c r="BM61" i="12"/>
  <c r="F61" i="12"/>
  <c r="BC61" i="12"/>
  <c r="BN61" i="12"/>
  <c r="BF61" i="12"/>
  <c r="Q260" i="12"/>
  <c r="R260" i="12" s="1"/>
  <c r="S260" i="12"/>
  <c r="T260" i="12" s="1"/>
  <c r="O260" i="12"/>
  <c r="P260" i="12" s="1"/>
  <c r="W260" i="12"/>
  <c r="X260" i="12" s="1"/>
  <c r="I260" i="12"/>
  <c r="H260" i="12"/>
  <c r="G260" i="12"/>
  <c r="Y260" i="12"/>
  <c r="Z260" i="12" s="1"/>
  <c r="K260" i="12"/>
  <c r="L260" i="12" s="1"/>
  <c r="J260" i="12"/>
  <c r="BK260" i="12"/>
  <c r="H262" i="1" s="1"/>
  <c r="U260" i="12"/>
  <c r="V260" i="12" s="1"/>
  <c r="M260" i="12"/>
  <c r="N260" i="12" s="1"/>
  <c r="AC260" i="12"/>
  <c r="AD260" i="12" s="1"/>
  <c r="AA260" i="12"/>
  <c r="AB260" i="12" s="1"/>
  <c r="BM260" i="12"/>
  <c r="AK260" i="12"/>
  <c r="F260" i="12"/>
  <c r="AQ260" i="12"/>
  <c r="BC260" i="12"/>
  <c r="BF260" i="12"/>
  <c r="AN260" i="12"/>
  <c r="BN260" i="12"/>
  <c r="BI260" i="12"/>
  <c r="AG260" i="12"/>
  <c r="AZ260" i="12"/>
  <c r="BT260" i="12"/>
  <c r="J248" i="1"/>
  <c r="G248" i="1"/>
  <c r="J62" i="1"/>
  <c r="G62" i="1"/>
  <c r="J252" i="1"/>
  <c r="G252" i="1"/>
  <c r="Q246" i="12"/>
  <c r="R246" i="12" s="1"/>
  <c r="U246" i="12"/>
  <c r="V246" i="12" s="1"/>
  <c r="S246" i="12"/>
  <c r="T246" i="12" s="1"/>
  <c r="O246" i="12"/>
  <c r="P246" i="12" s="1"/>
  <c r="M246" i="12"/>
  <c r="N246" i="12" s="1"/>
  <c r="I246" i="12"/>
  <c r="H246" i="12"/>
  <c r="G246" i="12"/>
  <c r="Y246" i="12"/>
  <c r="Z246" i="12" s="1"/>
  <c r="BM246" i="12"/>
  <c r="W246" i="12"/>
  <c r="X246" i="12" s="1"/>
  <c r="BK246" i="12"/>
  <c r="H248" i="1" s="1"/>
  <c r="K246" i="12"/>
  <c r="L246" i="12" s="1"/>
  <c r="AC246" i="12"/>
  <c r="AD246" i="12" s="1"/>
  <c r="AA246" i="12"/>
  <c r="AB246" i="12" s="1"/>
  <c r="J246" i="12"/>
  <c r="F246" i="12"/>
  <c r="AK246" i="12"/>
  <c r="BC246" i="12"/>
  <c r="BF246" i="12"/>
  <c r="AN246" i="12"/>
  <c r="AQ246" i="12"/>
  <c r="BN246" i="12"/>
  <c r="BI246" i="12"/>
  <c r="AZ246" i="12"/>
  <c r="BT246" i="12"/>
  <c r="AG246" i="12"/>
  <c r="Q250" i="12"/>
  <c r="R250" i="12" s="1"/>
  <c r="W250" i="12"/>
  <c r="X250" i="12" s="1"/>
  <c r="BK250" i="12"/>
  <c r="H252" i="1" s="1"/>
  <c r="U250" i="12"/>
  <c r="V250" i="12" s="1"/>
  <c r="K250" i="12"/>
  <c r="L250" i="12" s="1"/>
  <c r="J250" i="12"/>
  <c r="I250" i="12"/>
  <c r="BM250" i="12"/>
  <c r="AA250" i="12"/>
  <c r="AB250" i="12" s="1"/>
  <c r="Y250" i="12"/>
  <c r="Z250" i="12" s="1"/>
  <c r="H250" i="12"/>
  <c r="M250" i="12"/>
  <c r="N250" i="12" s="1"/>
  <c r="G250" i="12"/>
  <c r="F250" i="12"/>
  <c r="AC250" i="12"/>
  <c r="AD250" i="12" s="1"/>
  <c r="S250" i="12"/>
  <c r="T250" i="12" s="1"/>
  <c r="O250" i="12"/>
  <c r="P250" i="12" s="1"/>
  <c r="BF250" i="12"/>
  <c r="BN250" i="12"/>
  <c r="BC250" i="12"/>
  <c r="AK250" i="12"/>
  <c r="H62" i="12"/>
  <c r="Q62" i="12"/>
  <c r="R62" i="12" s="1"/>
  <c r="J62" i="12"/>
  <c r="AC62" i="12"/>
  <c r="AD62" i="12" s="1"/>
  <c r="G62" i="12"/>
  <c r="AA62" i="12"/>
  <c r="AB62" i="12" s="1"/>
  <c r="BK62" i="12"/>
  <c r="H64" i="1" s="1"/>
  <c r="K62" i="12"/>
  <c r="L62" i="12" s="1"/>
  <c r="I62" i="12"/>
  <c r="S62" i="12"/>
  <c r="T62" i="12" s="1"/>
  <c r="O62" i="12"/>
  <c r="P62" i="12" s="1"/>
  <c r="M62" i="12"/>
  <c r="N62" i="12" s="1"/>
  <c r="BM62" i="12"/>
  <c r="U62" i="12"/>
  <c r="V62" i="12" s="1"/>
  <c r="Y62" i="12"/>
  <c r="Z62" i="12" s="1"/>
  <c r="W62" i="12"/>
  <c r="X62" i="12" s="1"/>
  <c r="F62" i="12"/>
  <c r="BN62" i="12"/>
  <c r="BF62" i="12"/>
  <c r="BC62" i="12"/>
  <c r="J82" i="1"/>
  <c r="G82" i="1"/>
  <c r="J247" i="12"/>
  <c r="Y247" i="12"/>
  <c r="Z247" i="12" s="1"/>
  <c r="I247" i="12"/>
  <c r="H247" i="12"/>
  <c r="AA247" i="12"/>
  <c r="AB247" i="12" s="1"/>
  <c r="W247" i="12"/>
  <c r="X247" i="12" s="1"/>
  <c r="BM247" i="12"/>
  <c r="O247" i="12"/>
  <c r="P247" i="12" s="1"/>
  <c r="AC247" i="12"/>
  <c r="AD247" i="12" s="1"/>
  <c r="U247" i="12"/>
  <c r="V247" i="12" s="1"/>
  <c r="K247" i="12"/>
  <c r="L247" i="12" s="1"/>
  <c r="F247" i="12"/>
  <c r="M247" i="12"/>
  <c r="N247" i="12" s="1"/>
  <c r="G247" i="12"/>
  <c r="Q247" i="12"/>
  <c r="R247" i="12" s="1"/>
  <c r="BK247" i="12"/>
  <c r="H249" i="1" s="1"/>
  <c r="S247" i="12"/>
  <c r="T247" i="12" s="1"/>
  <c r="AK247" i="12"/>
  <c r="BC247" i="12"/>
  <c r="BN247" i="12"/>
  <c r="AN247" i="12"/>
  <c r="BF247" i="12"/>
  <c r="AQ247" i="12"/>
  <c r="BI247" i="12"/>
  <c r="BT247" i="12"/>
  <c r="AG247" i="12"/>
  <c r="AZ247" i="12"/>
  <c r="E421" i="12"/>
  <c r="D421" i="12"/>
  <c r="J64" i="1"/>
  <c r="G64" i="1"/>
  <c r="H80" i="12"/>
  <c r="U80" i="12"/>
  <c r="V80" i="12" s="1"/>
  <c r="I80" i="12"/>
  <c r="AC80" i="12"/>
  <c r="AD80" i="12" s="1"/>
  <c r="G80" i="12"/>
  <c r="W80" i="12"/>
  <c r="X80" i="12" s="1"/>
  <c r="Q80" i="12"/>
  <c r="R80" i="12" s="1"/>
  <c r="S80" i="12"/>
  <c r="T80" i="12" s="1"/>
  <c r="O80" i="12"/>
  <c r="P80" i="12" s="1"/>
  <c r="K80" i="12"/>
  <c r="L80" i="12" s="1"/>
  <c r="J80" i="12"/>
  <c r="BM80" i="12"/>
  <c r="BK80" i="12"/>
  <c r="H82" i="1" s="1"/>
  <c r="AA80" i="12"/>
  <c r="AB80" i="12" s="1"/>
  <c r="M80" i="12"/>
  <c r="N80" i="12" s="1"/>
  <c r="Y80" i="12"/>
  <c r="Z80" i="12" s="1"/>
  <c r="BF80" i="12"/>
  <c r="F80" i="12"/>
  <c r="AZ80" i="12"/>
  <c r="BN80" i="12"/>
  <c r="BC80" i="12"/>
  <c r="BI80" i="12"/>
  <c r="AG80" i="12"/>
  <c r="BR80" i="12"/>
  <c r="J251" i="1"/>
  <c r="G251" i="1"/>
  <c r="J249" i="1"/>
  <c r="G249" i="1"/>
  <c r="O56" i="12"/>
  <c r="M56" i="12"/>
  <c r="K56" i="12"/>
  <c r="AC56" i="12"/>
  <c r="J56" i="12"/>
  <c r="U56" i="12"/>
  <c r="S56" i="12"/>
  <c r="W56" i="12"/>
  <c r="Q56" i="12"/>
  <c r="I56" i="12"/>
  <c r="H56" i="12"/>
  <c r="Y56" i="12"/>
  <c r="AA56" i="12"/>
  <c r="G56" i="12"/>
  <c r="BK56" i="12"/>
  <c r="H58" i="1" s="1"/>
  <c r="BM56" i="12"/>
  <c r="F56" i="12"/>
  <c r="BI56" i="12"/>
  <c r="BN56" i="12"/>
  <c r="BF56" i="12"/>
  <c r="BC56" i="12"/>
  <c r="AZ56" i="12"/>
  <c r="AG56" i="12"/>
  <c r="BR56" i="12"/>
  <c r="BR409" i="12" s="1"/>
  <c r="AZ61" i="12"/>
  <c r="J249" i="12"/>
  <c r="Y249" i="12"/>
  <c r="Z249" i="12" s="1"/>
  <c r="I249" i="12"/>
  <c r="H249" i="12"/>
  <c r="Q249" i="12"/>
  <c r="R249" i="12" s="1"/>
  <c r="O249" i="12"/>
  <c r="P249" i="12" s="1"/>
  <c r="M249" i="12"/>
  <c r="N249" i="12" s="1"/>
  <c r="BM249" i="12"/>
  <c r="K249" i="12"/>
  <c r="L249" i="12" s="1"/>
  <c r="W249" i="12"/>
  <c r="X249" i="12" s="1"/>
  <c r="AA249" i="12"/>
  <c r="AB249" i="12" s="1"/>
  <c r="U249" i="12"/>
  <c r="V249" i="12" s="1"/>
  <c r="S249" i="12"/>
  <c r="T249" i="12" s="1"/>
  <c r="BK249" i="12"/>
  <c r="H251" i="1" s="1"/>
  <c r="G249" i="12"/>
  <c r="F249" i="12"/>
  <c r="AC249" i="12"/>
  <c r="AD249" i="12" s="1"/>
  <c r="BC249" i="12"/>
  <c r="AK249" i="12"/>
  <c r="BN249" i="12"/>
  <c r="BF249" i="12"/>
  <c r="BT249" i="12"/>
  <c r="AZ249" i="12"/>
  <c r="BI249" i="12"/>
  <c r="AG249" i="12"/>
  <c r="BI241" i="12"/>
  <c r="BI409" i="12" s="1"/>
  <c r="AG241" i="12"/>
  <c r="G40" i="7"/>
  <c r="J254" i="1"/>
  <c r="G254" i="1"/>
  <c r="J58" i="1"/>
  <c r="G58" i="1"/>
  <c r="AZ62" i="12"/>
  <c r="J247" i="1"/>
  <c r="G247" i="1"/>
  <c r="AZ241" i="12"/>
  <c r="J263" i="1"/>
  <c r="G263" i="1"/>
  <c r="Q252" i="12"/>
  <c r="R252" i="12" s="1"/>
  <c r="M252" i="12"/>
  <c r="N252" i="12" s="1"/>
  <c r="K252" i="12"/>
  <c r="L252" i="12" s="1"/>
  <c r="AC252" i="12"/>
  <c r="AD252" i="12" s="1"/>
  <c r="G252" i="12"/>
  <c r="AA252" i="12"/>
  <c r="AB252" i="12" s="1"/>
  <c r="BM252" i="12"/>
  <c r="S252" i="12"/>
  <c r="T252" i="12" s="1"/>
  <c r="Y252" i="12"/>
  <c r="Z252" i="12" s="1"/>
  <c r="I252" i="12"/>
  <c r="J252" i="12"/>
  <c r="O252" i="12"/>
  <c r="P252" i="12" s="1"/>
  <c r="H252" i="12"/>
  <c r="W252" i="12"/>
  <c r="X252" i="12" s="1"/>
  <c r="BK252" i="12"/>
  <c r="H254" i="1" s="1"/>
  <c r="U252" i="12"/>
  <c r="V252" i="12" s="1"/>
  <c r="AQ252" i="12"/>
  <c r="F252" i="12"/>
  <c r="AK252" i="12"/>
  <c r="BC252" i="12"/>
  <c r="BN252" i="12"/>
  <c r="BF252" i="12"/>
  <c r="AN252" i="12"/>
  <c r="BT252" i="12"/>
  <c r="AZ252" i="12"/>
  <c r="AG252" i="12"/>
  <c r="BI252" i="12"/>
  <c r="J245" i="12"/>
  <c r="Y245" i="12"/>
  <c r="Z245" i="12" s="1"/>
  <c r="I245" i="12"/>
  <c r="H245" i="12"/>
  <c r="O245" i="12"/>
  <c r="P245" i="12" s="1"/>
  <c r="M245" i="12"/>
  <c r="N245" i="12" s="1"/>
  <c r="S245" i="12"/>
  <c r="T245" i="12" s="1"/>
  <c r="U245" i="12"/>
  <c r="V245" i="12" s="1"/>
  <c r="Q245" i="12"/>
  <c r="R245" i="12" s="1"/>
  <c r="BK245" i="12"/>
  <c r="H247" i="1" s="1"/>
  <c r="K245" i="12"/>
  <c r="L245" i="12" s="1"/>
  <c r="G245" i="12"/>
  <c r="BM245" i="12"/>
  <c r="F245" i="12"/>
  <c r="AC245" i="12"/>
  <c r="AD245" i="12" s="1"/>
  <c r="W245" i="12"/>
  <c r="X245" i="12" s="1"/>
  <c r="AA245" i="12"/>
  <c r="AB245" i="12" s="1"/>
  <c r="AK245" i="12"/>
  <c r="BC245" i="12"/>
  <c r="BN245" i="12"/>
  <c r="AN245" i="12"/>
  <c r="AQ245" i="12"/>
  <c r="BF245" i="12"/>
  <c r="AG245" i="12"/>
  <c r="BI245" i="12"/>
  <c r="BT245" i="12"/>
  <c r="AZ245" i="12"/>
  <c r="J261" i="12"/>
  <c r="Y261" i="12"/>
  <c r="Z261" i="12" s="1"/>
  <c r="I261" i="12"/>
  <c r="H261" i="12"/>
  <c r="W261" i="12"/>
  <c r="X261" i="12" s="1"/>
  <c r="BM261" i="12"/>
  <c r="U261" i="12"/>
  <c r="V261" i="12" s="1"/>
  <c r="S261" i="12"/>
  <c r="T261" i="12" s="1"/>
  <c r="Q261" i="12"/>
  <c r="R261" i="12" s="1"/>
  <c r="G261" i="12"/>
  <c r="BK261" i="12"/>
  <c r="H263" i="1" s="1"/>
  <c r="AC261" i="12"/>
  <c r="AD261" i="12" s="1"/>
  <c r="M261" i="12"/>
  <c r="N261" i="12" s="1"/>
  <c r="O261" i="12"/>
  <c r="P261" i="12" s="1"/>
  <c r="F261" i="12"/>
  <c r="K261" i="12"/>
  <c r="L261" i="12" s="1"/>
  <c r="AA261" i="12"/>
  <c r="AB261" i="12" s="1"/>
  <c r="AQ261" i="12"/>
  <c r="BC261" i="12"/>
  <c r="BF261" i="12"/>
  <c r="BN261" i="12"/>
  <c r="AK261" i="12"/>
  <c r="AN261" i="12"/>
  <c r="AG261" i="12"/>
  <c r="BI261" i="12"/>
  <c r="AZ261" i="12"/>
  <c r="BT261" i="12"/>
  <c r="J59" i="1"/>
  <c r="G59" i="1"/>
  <c r="C37" i="7" l="1"/>
  <c r="C36" i="7"/>
  <c r="G42" i="7"/>
  <c r="H41" i="7" s="1"/>
  <c r="AG409" i="12"/>
  <c r="T56" i="12"/>
  <c r="T409" i="12" s="1"/>
  <c r="F50" i="7" s="1"/>
  <c r="S409" i="12"/>
  <c r="C50" i="7" s="1"/>
  <c r="V56" i="12"/>
  <c r="V409" i="12" s="1"/>
  <c r="F51" i="7" s="1"/>
  <c r="U409" i="12"/>
  <c r="C51" i="7" s="1"/>
  <c r="AD56" i="12"/>
  <c r="AD409" i="12" s="1"/>
  <c r="F55" i="7" s="1"/>
  <c r="AC409" i="12"/>
  <c r="C55" i="7" s="1"/>
  <c r="R56" i="12"/>
  <c r="R409" i="12" s="1"/>
  <c r="F49" i="7" s="1"/>
  <c r="Q409" i="12"/>
  <c r="C49" i="7" s="1"/>
  <c r="K59" i="1"/>
  <c r="L56" i="12"/>
  <c r="L409" i="12" s="1"/>
  <c r="F46" i="7" s="1"/>
  <c r="K409" i="12"/>
  <c r="C46" i="7" s="1"/>
  <c r="AZ409" i="12"/>
  <c r="C32" i="7"/>
  <c r="C31" i="7"/>
  <c r="J409" i="12"/>
  <c r="G416" i="12" s="1"/>
  <c r="G411" i="1"/>
  <c r="N11" i="1" s="1"/>
  <c r="N9" i="1"/>
  <c r="K82" i="1" s="1"/>
  <c r="BC409" i="12"/>
  <c r="C23" i="7" s="1"/>
  <c r="N56" i="12"/>
  <c r="N409" i="12" s="1"/>
  <c r="F47" i="7" s="1"/>
  <c r="M409" i="12"/>
  <c r="C47" i="7" s="1"/>
  <c r="BM409" i="12"/>
  <c r="C10" i="7" s="1"/>
  <c r="K249" i="1"/>
  <c r="G409" i="12"/>
  <c r="G413" i="12" s="1"/>
  <c r="K61" i="1"/>
  <c r="K75" i="1"/>
  <c r="AB56" i="12"/>
  <c r="AB409" i="12" s="1"/>
  <c r="F54" i="7" s="1"/>
  <c r="AA409" i="12"/>
  <c r="C54" i="7" s="1"/>
  <c r="BN409" i="12"/>
  <c r="F409" i="12"/>
  <c r="P56" i="12"/>
  <c r="P409" i="12" s="1"/>
  <c r="F48" i="7" s="1"/>
  <c r="O409" i="12"/>
  <c r="C48" i="7" s="1"/>
  <c r="Z56" i="12"/>
  <c r="Z409" i="12" s="1"/>
  <c r="F53" i="7" s="1"/>
  <c r="Y409" i="12"/>
  <c r="C53" i="7" s="1"/>
  <c r="K64" i="1"/>
  <c r="X56" i="12"/>
  <c r="X409" i="12" s="1"/>
  <c r="F52" i="7" s="1"/>
  <c r="W409" i="12"/>
  <c r="C52" i="7" s="1"/>
  <c r="K254" i="1"/>
  <c r="H409" i="12"/>
  <c r="G414" i="12" s="1"/>
  <c r="K253" i="1"/>
  <c r="I409" i="12"/>
  <c r="G415" i="12" s="1"/>
  <c r="BK407" i="12"/>
  <c r="H409" i="1" s="1"/>
  <c r="BK387" i="12"/>
  <c r="H389" i="1" s="1"/>
  <c r="BK25" i="12"/>
  <c r="H27" i="1" s="1"/>
  <c r="BK350" i="12"/>
  <c r="H352" i="1" s="1"/>
  <c r="BK26" i="12"/>
  <c r="H28" i="1" s="1"/>
  <c r="BK408" i="12"/>
  <c r="H410" i="1" s="1"/>
  <c r="BK32" i="12"/>
  <c r="H34" i="1" s="1"/>
  <c r="BK132" i="12"/>
  <c r="H134" i="1" s="1"/>
  <c r="BK399" i="12"/>
  <c r="H401" i="1" s="1"/>
  <c r="BK280" i="12"/>
  <c r="H282" i="1" s="1"/>
  <c r="BK398" i="12"/>
  <c r="H400" i="1" s="1"/>
  <c r="BK343" i="12"/>
  <c r="H345" i="1" s="1"/>
  <c r="BK19" i="12"/>
  <c r="BK31" i="12"/>
  <c r="H33" i="1" s="1"/>
  <c r="BK224" i="12"/>
  <c r="H226" i="1" s="1"/>
  <c r="BK215" i="12"/>
  <c r="H217" i="1" s="1"/>
  <c r="BK33" i="12"/>
  <c r="H35" i="1" s="1"/>
  <c r="BK388" i="12"/>
  <c r="H390" i="1" s="1"/>
  <c r="BK273" i="12"/>
  <c r="H275" i="1" s="1"/>
  <c r="BK141" i="12"/>
  <c r="H143" i="1" s="1"/>
  <c r="BK308" i="12"/>
  <c r="H310" i="1" s="1"/>
  <c r="BK259" i="12"/>
  <c r="H261" i="1" s="1"/>
  <c r="BK315" i="12"/>
  <c r="H317" i="1" s="1"/>
  <c r="K243" i="1"/>
  <c r="G50" i="7" l="1"/>
  <c r="D50" i="7"/>
  <c r="E50" i="7" s="1"/>
  <c r="G46" i="7"/>
  <c r="D46" i="7"/>
  <c r="E46" i="7" s="1"/>
  <c r="C56" i="7"/>
  <c r="D45" i="7" s="1"/>
  <c r="K244" i="1"/>
  <c r="G55" i="7"/>
  <c r="D55" i="7"/>
  <c r="E55" i="7" s="1"/>
  <c r="K58" i="1"/>
  <c r="H40" i="7"/>
  <c r="D48" i="7"/>
  <c r="E48" i="7" s="1"/>
  <c r="G48" i="7"/>
  <c r="C29" i="2"/>
  <c r="C32" i="2" s="1"/>
  <c r="N13" i="1"/>
  <c r="D51" i="7"/>
  <c r="E51" i="7" s="1"/>
  <c r="G51" i="7"/>
  <c r="H21" i="1"/>
  <c r="BK409" i="12"/>
  <c r="D49" i="7"/>
  <c r="E49" i="7" s="1"/>
  <c r="G49" i="7"/>
  <c r="N22" i="1"/>
  <c r="K27" i="1"/>
  <c r="K12" i="1"/>
  <c r="K186" i="1"/>
  <c r="K141" i="1"/>
  <c r="K210" i="1"/>
  <c r="K385" i="1"/>
  <c r="K399" i="1"/>
  <c r="K358" i="1"/>
  <c r="K106" i="1"/>
  <c r="K14" i="1"/>
  <c r="K41" i="1"/>
  <c r="K6" i="1"/>
  <c r="K193" i="1"/>
  <c r="K379" i="1"/>
  <c r="K44" i="1"/>
  <c r="K406" i="1"/>
  <c r="K165" i="1"/>
  <c r="K43" i="1"/>
  <c r="K46" i="1"/>
  <c r="K361" i="1"/>
  <c r="K57" i="1"/>
  <c r="K378" i="1"/>
  <c r="K45" i="1"/>
  <c r="K341" i="1"/>
  <c r="K386" i="1"/>
  <c r="K114" i="1"/>
  <c r="K54" i="1"/>
  <c r="K107" i="1"/>
  <c r="K19" i="1"/>
  <c r="K392" i="1"/>
  <c r="K194" i="1"/>
  <c r="K154" i="1"/>
  <c r="K375" i="1"/>
  <c r="K11" i="1"/>
  <c r="K157" i="1"/>
  <c r="K161" i="1"/>
  <c r="K396" i="1"/>
  <c r="K180" i="1"/>
  <c r="K105" i="1"/>
  <c r="K117" i="1"/>
  <c r="K169" i="1"/>
  <c r="K22" i="1"/>
  <c r="K389" i="1"/>
  <c r="K218" i="1"/>
  <c r="K110" i="1"/>
  <c r="K65" i="1"/>
  <c r="K344" i="1"/>
  <c r="K404" i="1"/>
  <c r="K26" i="1"/>
  <c r="K376" i="1"/>
  <c r="K214" i="1"/>
  <c r="K318" i="1"/>
  <c r="K109" i="1"/>
  <c r="K410" i="1"/>
  <c r="K121" i="1"/>
  <c r="K130" i="1"/>
  <c r="K38" i="1"/>
  <c r="K13" i="1"/>
  <c r="K8" i="1"/>
  <c r="K286" i="1"/>
  <c r="K408" i="1"/>
  <c r="K15" i="1"/>
  <c r="K40" i="1"/>
  <c r="K37" i="1"/>
  <c r="K42" i="1"/>
  <c r="K365" i="1"/>
  <c r="K305" i="1"/>
  <c r="K293" i="1"/>
  <c r="K34" i="1"/>
  <c r="K201" i="1"/>
  <c r="K133" i="1"/>
  <c r="K174" i="1"/>
  <c r="K407" i="1"/>
  <c r="K119" i="1"/>
  <c r="K377" i="1"/>
  <c r="K52" i="1"/>
  <c r="K409" i="1"/>
  <c r="K393" i="1"/>
  <c r="K56" i="1"/>
  <c r="K374" i="1"/>
  <c r="K28" i="1"/>
  <c r="K381" i="1"/>
  <c r="K397" i="1"/>
  <c r="K352" i="1"/>
  <c r="K50" i="1"/>
  <c r="K403" i="1"/>
  <c r="K135" i="1"/>
  <c r="K206" i="1"/>
  <c r="K372" i="1"/>
  <c r="K400" i="1"/>
  <c r="K304" i="1"/>
  <c r="K10" i="1"/>
  <c r="K319" i="1"/>
  <c r="K346" i="1"/>
  <c r="K85" i="1"/>
  <c r="K398" i="1"/>
  <c r="K122" i="1"/>
  <c r="K32" i="1"/>
  <c r="K181" i="1"/>
  <c r="K360" i="1"/>
  <c r="K306" i="1"/>
  <c r="K168" i="1"/>
  <c r="K332" i="1"/>
  <c r="K125" i="1"/>
  <c r="K272" i="1"/>
  <c r="K371" i="1"/>
  <c r="K329" i="1"/>
  <c r="K116" i="1"/>
  <c r="K159" i="1"/>
  <c r="K320" i="1"/>
  <c r="K123" i="1"/>
  <c r="K118" i="1"/>
  <c r="K77" i="1"/>
  <c r="K356" i="1"/>
  <c r="K166" i="1"/>
  <c r="K47" i="1"/>
  <c r="K89" i="1"/>
  <c r="K348" i="1"/>
  <c r="K298" i="1"/>
  <c r="K222" i="1"/>
  <c r="K226" i="1"/>
  <c r="K74" i="1"/>
  <c r="K53" i="1"/>
  <c r="K104" i="1"/>
  <c r="K103" i="1"/>
  <c r="K102" i="1"/>
  <c r="K343" i="1"/>
  <c r="K188" i="1"/>
  <c r="K224" i="1"/>
  <c r="K31" i="1"/>
  <c r="K215" i="1"/>
  <c r="K353" i="1"/>
  <c r="K36" i="1"/>
  <c r="K354" i="1"/>
  <c r="K212" i="1"/>
  <c r="K287" i="1"/>
  <c r="K30" i="1"/>
  <c r="K179" i="1"/>
  <c r="K35" i="1"/>
  <c r="K138" i="1"/>
  <c r="K282" i="1"/>
  <c r="K309" i="1"/>
  <c r="K355" i="1"/>
  <c r="K292" i="1"/>
  <c r="K342" i="1"/>
  <c r="K163" i="1"/>
  <c r="K221" i="1"/>
  <c r="K16" i="1"/>
  <c r="K405" i="1"/>
  <c r="K164" i="1"/>
  <c r="K207" i="1"/>
  <c r="K94" i="1"/>
  <c r="K25" i="1"/>
  <c r="K95" i="1"/>
  <c r="K178" i="1"/>
  <c r="K177" i="1"/>
  <c r="K387" i="1"/>
  <c r="K345" i="1"/>
  <c r="K217" i="1"/>
  <c r="K340" i="1"/>
  <c r="K199" i="1"/>
  <c r="K142" i="1"/>
  <c r="K93" i="1"/>
  <c r="K216" i="1"/>
  <c r="K147" i="1"/>
  <c r="K175" i="1"/>
  <c r="K79" i="1"/>
  <c r="K124" i="1"/>
  <c r="K327" i="1"/>
  <c r="K369" i="1"/>
  <c r="K202" i="1"/>
  <c r="K131" i="1"/>
  <c r="K278" i="1"/>
  <c r="K185" i="1"/>
  <c r="K140" i="1"/>
  <c r="K5" i="1"/>
  <c r="K187" i="1"/>
  <c r="K330" i="1"/>
  <c r="K366" i="1"/>
  <c r="K335" i="1"/>
  <c r="K314" i="1"/>
  <c r="K189" i="1"/>
  <c r="K158" i="1"/>
  <c r="K281" i="1"/>
  <c r="K126" i="1"/>
  <c r="K197" i="1"/>
  <c r="K283" i="1"/>
  <c r="K151" i="1"/>
  <c r="K362" i="1"/>
  <c r="K351" i="1"/>
  <c r="K134" i="1"/>
  <c r="K229" i="1"/>
  <c r="K280" i="1"/>
  <c r="K289" i="1"/>
  <c r="K112" i="1"/>
  <c r="K373" i="1"/>
  <c r="K307" i="1"/>
  <c r="K285" i="1"/>
  <c r="K17" i="1"/>
  <c r="K108" i="1"/>
  <c r="K196" i="1"/>
  <c r="K98" i="1"/>
  <c r="K294" i="1"/>
  <c r="K7" i="1"/>
  <c r="K276" i="1"/>
  <c r="K350" i="1"/>
  <c r="K23" i="1"/>
  <c r="K388" i="1"/>
  <c r="K401" i="1"/>
  <c r="K284" i="1"/>
  <c r="K302" i="1"/>
  <c r="K9" i="1"/>
  <c r="K167" i="1"/>
  <c r="K152" i="1"/>
  <c r="K232" i="1"/>
  <c r="K153" i="1"/>
  <c r="K162" i="1"/>
  <c r="K297" i="1"/>
  <c r="K219" i="1"/>
  <c r="K55" i="1"/>
  <c r="K182" i="1"/>
  <c r="K384" i="1"/>
  <c r="K311" i="1"/>
  <c r="K211" i="1"/>
  <c r="K78" i="1"/>
  <c r="K323" i="1"/>
  <c r="K21" i="1"/>
  <c r="K155" i="1"/>
  <c r="K382" i="1"/>
  <c r="K51" i="1"/>
  <c r="K288" i="1"/>
  <c r="K370" i="1"/>
  <c r="K24" i="1"/>
  <c r="K99" i="1"/>
  <c r="K139" i="1"/>
  <c r="K213" i="1"/>
  <c r="K391" i="1"/>
  <c r="K144" i="1"/>
  <c r="K321" i="1"/>
  <c r="K205" i="1"/>
  <c r="K339" i="1"/>
  <c r="K200" i="1"/>
  <c r="K383" i="1"/>
  <c r="K308" i="1"/>
  <c r="K183" i="1"/>
  <c r="K326" i="1"/>
  <c r="K91" i="1"/>
  <c r="K347" i="1"/>
  <c r="K338" i="1"/>
  <c r="K127" i="1"/>
  <c r="K402" i="1"/>
  <c r="K295" i="1"/>
  <c r="K325" i="1"/>
  <c r="K150" i="1"/>
  <c r="K33" i="1"/>
  <c r="K92" i="1"/>
  <c r="K128" i="1"/>
  <c r="K390" i="1"/>
  <c r="K29" i="1"/>
  <c r="K80" i="1"/>
  <c r="K18" i="1"/>
  <c r="K225" i="1"/>
  <c r="K367" i="1"/>
  <c r="K334" i="1"/>
  <c r="K395" i="1"/>
  <c r="K176" i="1"/>
  <c r="K380" i="1"/>
  <c r="K190" i="1"/>
  <c r="K172" i="1"/>
  <c r="K111" i="1"/>
  <c r="K170" i="1"/>
  <c r="K173" i="1"/>
  <c r="K48" i="1"/>
  <c r="K184" i="1"/>
  <c r="K394" i="1"/>
  <c r="K234" i="1"/>
  <c r="K315" i="1"/>
  <c r="K357" i="1"/>
  <c r="K39" i="1"/>
  <c r="K328" i="1"/>
  <c r="K192" i="1"/>
  <c r="K322" i="1"/>
  <c r="K235" i="1"/>
  <c r="K299" i="1"/>
  <c r="K113" i="1"/>
  <c r="K331" i="1"/>
  <c r="K274" i="1"/>
  <c r="K156" i="1"/>
  <c r="K203" i="1"/>
  <c r="K20" i="1"/>
  <c r="K279" i="1"/>
  <c r="K49" i="1"/>
  <c r="K171" i="1"/>
  <c r="K259" i="1"/>
  <c r="K241" i="1"/>
  <c r="K136" i="1"/>
  <c r="K296" i="1"/>
  <c r="K290" i="1"/>
  <c r="K336" i="1"/>
  <c r="K240" i="1"/>
  <c r="K220" i="1"/>
  <c r="K230" i="1"/>
  <c r="K271" i="1"/>
  <c r="K301" i="1"/>
  <c r="K246" i="1"/>
  <c r="K255" i="1"/>
  <c r="K363" i="1"/>
  <c r="K129" i="1"/>
  <c r="K257" i="1"/>
  <c r="K268" i="1"/>
  <c r="K137" i="1"/>
  <c r="K333" i="1"/>
  <c r="K67" i="1"/>
  <c r="K256" i="1"/>
  <c r="K250" i="1"/>
  <c r="K303" i="1"/>
  <c r="K238" i="1"/>
  <c r="K87" i="1"/>
  <c r="K368" i="1"/>
  <c r="K209" i="1"/>
  <c r="K312" i="1"/>
  <c r="K208" i="1"/>
  <c r="K228" i="1"/>
  <c r="K237" i="1"/>
  <c r="K310" i="1"/>
  <c r="K90" i="1"/>
  <c r="K100" i="1"/>
  <c r="K86" i="1"/>
  <c r="K324" i="1"/>
  <c r="K66" i="1"/>
  <c r="K71" i="1"/>
  <c r="K233" i="1"/>
  <c r="K191" i="1"/>
  <c r="K239" i="1"/>
  <c r="K115" i="1"/>
  <c r="K264" i="1"/>
  <c r="K143" i="1"/>
  <c r="K81" i="1"/>
  <c r="K260" i="1"/>
  <c r="K242" i="1"/>
  <c r="K364" i="1"/>
  <c r="K84" i="1"/>
  <c r="K337" i="1"/>
  <c r="K313" i="1"/>
  <c r="K73" i="1"/>
  <c r="K96" i="1"/>
  <c r="K146" i="1"/>
  <c r="K275" i="1"/>
  <c r="K88" i="1"/>
  <c r="K270" i="1"/>
  <c r="K204" i="1"/>
  <c r="K60" i="1"/>
  <c r="K273" i="1"/>
  <c r="K236" i="1"/>
  <c r="K120" i="1"/>
  <c r="K300" i="1"/>
  <c r="K261" i="1"/>
  <c r="K245" i="1"/>
  <c r="K70" i="1"/>
  <c r="K160" i="1"/>
  <c r="K227" i="1"/>
  <c r="K269" i="1"/>
  <c r="K267" i="1"/>
  <c r="K359" i="1"/>
  <c r="K258" i="1"/>
  <c r="K83" i="1"/>
  <c r="K101" i="1"/>
  <c r="K132" i="1"/>
  <c r="K145" i="1"/>
  <c r="K277" i="1"/>
  <c r="K223" i="1"/>
  <c r="K97" i="1"/>
  <c r="K76" i="1"/>
  <c r="K317" i="1"/>
  <c r="K69" i="1"/>
  <c r="K68" i="1"/>
  <c r="K72" i="1"/>
  <c r="K195" i="1"/>
  <c r="K291" i="1"/>
  <c r="K198" i="1"/>
  <c r="K266" i="1"/>
  <c r="K231" i="1"/>
  <c r="K316" i="1"/>
  <c r="K265" i="1"/>
  <c r="K148" i="1"/>
  <c r="K349" i="1"/>
  <c r="K149" i="1"/>
  <c r="F13" i="7"/>
  <c r="C19" i="7"/>
  <c r="C18" i="7"/>
  <c r="K251" i="1"/>
  <c r="C22" i="7"/>
  <c r="K248" i="1"/>
  <c r="K252" i="1"/>
  <c r="C29" i="7"/>
  <c r="C28" i="7"/>
  <c r="K247" i="1"/>
  <c r="G54" i="7"/>
  <c r="D54" i="7"/>
  <c r="E54" i="7" s="1"/>
  <c r="K63" i="1"/>
  <c r="C25" i="7"/>
  <c r="C26" i="7"/>
  <c r="D52" i="7"/>
  <c r="E52" i="7" s="1"/>
  <c r="G52" i="7"/>
  <c r="F56" i="7"/>
  <c r="K263" i="1"/>
  <c r="G53" i="7"/>
  <c r="D53" i="7"/>
  <c r="E53" i="7" s="1"/>
  <c r="G47" i="7"/>
  <c r="D47" i="7"/>
  <c r="E47" i="7" s="1"/>
  <c r="K262" i="1"/>
  <c r="K62" i="1"/>
  <c r="K411" i="1" l="1"/>
  <c r="D56" i="7"/>
  <c r="E56" i="7" s="1"/>
  <c r="E45" i="7"/>
  <c r="G56" i="7"/>
</calcChain>
</file>

<file path=xl/sharedStrings.xml><?xml version="1.0" encoding="utf-8"?>
<sst xmlns="http://schemas.openxmlformats.org/spreadsheetml/2006/main" count="2584" uniqueCount="924">
  <si>
    <t>Tier</t>
  </si>
  <si>
    <t>Win Methods</t>
  </si>
  <si>
    <t>Prize</t>
  </si>
  <si>
    <t>Symbol</t>
  </si>
  <si>
    <t>Quantity of Symbols</t>
  </si>
  <si>
    <t>main-0</t>
  </si>
  <si>
    <t>0,1,2,3</t>
  </si>
  <si>
    <t>A/B/C/D</t>
  </si>
  <si>
    <t>main-1</t>
  </si>
  <si>
    <t>main-2</t>
  </si>
  <si>
    <t>main-3</t>
  </si>
  <si>
    <t>main-4</t>
  </si>
  <si>
    <t>main-5</t>
  </si>
  <si>
    <t>A</t>
  </si>
  <si>
    <t>B</t>
  </si>
  <si>
    <t>C</t>
  </si>
  <si>
    <t>D</t>
  </si>
  <si>
    <t>E</t>
  </si>
  <si>
    <t>F</t>
  </si>
  <si>
    <t>G</t>
  </si>
  <si>
    <t>main-6</t>
  </si>
  <si>
    <t>main-7</t>
  </si>
  <si>
    <t>main-8</t>
  </si>
  <si>
    <t>main-9</t>
  </si>
  <si>
    <t>main-10</t>
  </si>
  <si>
    <t>main-11</t>
  </si>
  <si>
    <t>main-12</t>
  </si>
  <si>
    <t>main-13</t>
  </si>
  <si>
    <t>main-14</t>
  </si>
  <si>
    <t>main-15</t>
  </si>
  <si>
    <t>main-16</t>
  </si>
  <si>
    <t>main-17</t>
  </si>
  <si>
    <t>main-18</t>
  </si>
  <si>
    <t>main-19</t>
  </si>
  <si>
    <t>main-20</t>
  </si>
  <si>
    <t>main-21</t>
  </si>
  <si>
    <t>main-22</t>
  </si>
  <si>
    <t>main-23</t>
  </si>
  <si>
    <t>main-24</t>
  </si>
  <si>
    <t>main-25</t>
  </si>
  <si>
    <t>main-26</t>
  </si>
  <si>
    <t>main-27</t>
  </si>
  <si>
    <t>main-28</t>
  </si>
  <si>
    <t>main-29</t>
  </si>
  <si>
    <t>main-30</t>
  </si>
  <si>
    <t>wild-0</t>
  </si>
  <si>
    <t>wild-1</t>
  </si>
  <si>
    <t>wild-2</t>
  </si>
  <si>
    <t>wild-3</t>
  </si>
  <si>
    <t>wild-4</t>
  </si>
  <si>
    <t>wild-5</t>
  </si>
  <si>
    <t>wild-6</t>
  </si>
  <si>
    <t>wild-7</t>
  </si>
  <si>
    <t>wild-8</t>
  </si>
  <si>
    <t>wild-9</t>
  </si>
  <si>
    <t>wild-10</t>
  </si>
  <si>
    <t>wild-11</t>
  </si>
  <si>
    <t>wild-12</t>
  </si>
  <si>
    <t>wild-13</t>
  </si>
  <si>
    <t>wild-14</t>
  </si>
  <si>
    <t>wild-15</t>
  </si>
  <si>
    <t>wild-16</t>
  </si>
  <si>
    <t>wild-17</t>
  </si>
  <si>
    <t>wild-18</t>
  </si>
  <si>
    <t>wild-19</t>
  </si>
  <si>
    <t>wild-20</t>
  </si>
  <si>
    <t>wild-21</t>
  </si>
  <si>
    <t>freeplayA-0</t>
  </si>
  <si>
    <t>Free Plays</t>
  </si>
  <si>
    <t>freeplayA-1</t>
  </si>
  <si>
    <t>freeplayA-2</t>
  </si>
  <si>
    <t>freeplayA-3</t>
  </si>
  <si>
    <t>freeplayA-4</t>
  </si>
  <si>
    <t>freeplayA-5</t>
  </si>
  <si>
    <t>freeplayA-6</t>
  </si>
  <si>
    <t>freeplayA-7</t>
  </si>
  <si>
    <t>freeplayA-8</t>
  </si>
  <si>
    <t>freeplayA-9</t>
  </si>
  <si>
    <t>freeplayA-10</t>
  </si>
  <si>
    <t>freeplayA-11</t>
  </si>
  <si>
    <t>freeplayA-12</t>
  </si>
  <si>
    <t>freeplayA-13</t>
  </si>
  <si>
    <t>freeplayA-14</t>
  </si>
  <si>
    <t>freeplayA-15</t>
  </si>
  <si>
    <t>freeplayA-16</t>
  </si>
  <si>
    <t>freeplayA-17</t>
  </si>
  <si>
    <t>freeplayA-18</t>
  </si>
  <si>
    <t>freeplayA-19</t>
  </si>
  <si>
    <t>freeplayA-20</t>
  </si>
  <si>
    <t>freeplayA-21</t>
  </si>
  <si>
    <t>freeplayA-22</t>
  </si>
  <si>
    <t>freeplayA-23</t>
  </si>
  <si>
    <t>freeplayA-24</t>
  </si>
  <si>
    <t>freeplayA-25</t>
  </si>
  <si>
    <t>freeplayA-26</t>
  </si>
  <si>
    <t>freeplayA-27</t>
  </si>
  <si>
    <t>freeplayA-28</t>
  </si>
  <si>
    <t>freeplayA-29</t>
  </si>
  <si>
    <t>freeplayA-30</t>
  </si>
  <si>
    <t>freeplayA-31</t>
  </si>
  <si>
    <t>freeplayA-32</t>
  </si>
  <si>
    <t>freeplayA-33</t>
  </si>
  <si>
    <t>freeplayA-34</t>
  </si>
  <si>
    <t>retrigger freeplay</t>
  </si>
  <si>
    <t>freeplayA-35</t>
  </si>
  <si>
    <t>freeplayA-36</t>
  </si>
  <si>
    <t>freeplayA-37</t>
  </si>
  <si>
    <t>trigger bonusA</t>
  </si>
  <si>
    <t>freeplayA-38</t>
  </si>
  <si>
    <t>freeplayA-39</t>
  </si>
  <si>
    <t>freeplayA-40</t>
  </si>
  <si>
    <t>freeplayA-41</t>
  </si>
  <si>
    <t>trigger bonusB</t>
  </si>
  <si>
    <t>freeplayA-42</t>
  </si>
  <si>
    <t>freeplayA-43</t>
  </si>
  <si>
    <t>freeplayA-44</t>
  </si>
  <si>
    <t>instantA-0</t>
  </si>
  <si>
    <t>Instant Win</t>
  </si>
  <si>
    <t>instantA-1</t>
  </si>
  <si>
    <t>instantA-2</t>
  </si>
  <si>
    <t>instantA-3</t>
  </si>
  <si>
    <t>instantA-4</t>
  </si>
  <si>
    <t>bonusA-0</t>
  </si>
  <si>
    <t>Power Bonus</t>
  </si>
  <si>
    <t>bonusA-1</t>
  </si>
  <si>
    <t>bonusA-2</t>
  </si>
  <si>
    <t>bonusA-3</t>
  </si>
  <si>
    <t>bonusA-4</t>
  </si>
  <si>
    <t>bonusA-5</t>
  </si>
  <si>
    <t>bonusA-6</t>
  </si>
  <si>
    <t>Right col</t>
  </si>
  <si>
    <t>bonusA-7</t>
  </si>
  <si>
    <t>bonusA-8</t>
  </si>
  <si>
    <t>bonusA-9</t>
  </si>
  <si>
    <t>bonusA-10</t>
  </si>
  <si>
    <t>bonusB-0</t>
  </si>
  <si>
    <t>Boost Bonus</t>
  </si>
  <si>
    <t>bonusB-1</t>
  </si>
  <si>
    <t>bonusB-2</t>
  </si>
  <si>
    <t>bonusB-3</t>
  </si>
  <si>
    <t>bonusB-4</t>
  </si>
  <si>
    <t>bonusB-5</t>
  </si>
  <si>
    <t>bonusB-6</t>
  </si>
  <si>
    <t>bonusB-7</t>
  </si>
  <si>
    <t>bonusB-8</t>
  </si>
  <si>
    <t>bonusB-9</t>
  </si>
  <si>
    <t>bonusB-10</t>
  </si>
  <si>
    <t>bonusC-0</t>
  </si>
  <si>
    <t>Barrel Stack</t>
  </si>
  <si>
    <t>bonusC-1</t>
  </si>
  <si>
    <t>bonusC-2</t>
  </si>
  <si>
    <t>bonusC-3</t>
  </si>
  <si>
    <t>bonusC-4</t>
  </si>
  <si>
    <t>bonusC-5</t>
  </si>
  <si>
    <t>bonusC-6</t>
  </si>
  <si>
    <t>bonusC-7</t>
  </si>
  <si>
    <t>bonusC-8</t>
  </si>
  <si>
    <t>TIER</t>
  </si>
  <si>
    <t>ODDS</t>
  </si>
  <si>
    <t>PRIZE</t>
  </si>
  <si>
    <t xml:space="preserve">% OF </t>
  </si>
  <si>
    <t>Prize Structure</t>
  </si>
  <si>
    <t>NUMBER</t>
  </si>
  <si>
    <t>WIN METHOD</t>
  </si>
  <si>
    <t>UP</t>
  </si>
  <si>
    <t>DOWN</t>
  </si>
  <si>
    <t>COST</t>
  </si>
  <si>
    <t>HUMAN NAME</t>
  </si>
  <si>
    <t>1 in X Odds</t>
  </si>
  <si>
    <t>COUNT</t>
  </si>
  <si>
    <t>PRIZE FUND</t>
  </si>
  <si>
    <t>Kentucky Lottery</t>
  </si>
  <si>
    <t>Non-Win</t>
  </si>
  <si>
    <t>King Kong Jackpots(MMJ3) Standard</t>
  </si>
  <si>
    <t>Odds Down (ticket quantity if pool based):</t>
  </si>
  <si>
    <t>Base:</t>
  </si>
  <si>
    <t>Revenus (if pool based):</t>
  </si>
  <si>
    <t>Prize Fund (if pool based):</t>
  </si>
  <si>
    <t xml:space="preserve">RTP Setting </t>
  </si>
  <si>
    <t>Base RTP:</t>
  </si>
  <si>
    <t>JP RTP:</t>
  </si>
  <si>
    <t>Total RTP</t>
  </si>
  <si>
    <t>Winning Tiers Freq:</t>
  </si>
  <si>
    <t>Hit Rate:</t>
  </si>
  <si>
    <t>Approx Count:</t>
  </si>
  <si>
    <t>Winning Tiers</t>
  </si>
  <si>
    <t>Min per tier</t>
  </si>
  <si>
    <t>PPS Source(if any)</t>
  </si>
  <si>
    <t>Same as the Vanilla Version</t>
  </si>
  <si>
    <t>Difference:</t>
  </si>
  <si>
    <t>Base JP Odds Down</t>
  </si>
  <si>
    <t>json setup form</t>
  </si>
  <si>
    <t>JP Stake</t>
  </si>
  <si>
    <t>JP</t>
  </si>
  <si>
    <t>large1</t>
  </si>
  <si>
    <t>large2</t>
  </si>
  <si>
    <t>Revenue</t>
  </si>
  <si>
    <t>initialAmount</t>
  </si>
  <si>
    <t>Contribution</t>
  </si>
  <si>
    <t>increment</t>
  </si>
  <si>
    <t>Contribution %</t>
  </si>
  <si>
    <t>Estimated plays per day</t>
  </si>
  <si>
    <t>Seed</t>
  </si>
  <si>
    <t>BASE</t>
  </si>
  <si>
    <t>Number</t>
  </si>
  <si>
    <t>Name</t>
  </si>
  <si>
    <t>Bonus</t>
  </si>
  <si>
    <t>Base Odds Up</t>
  </si>
  <si>
    <t>Odds Down</t>
  </si>
  <si>
    <t>Base 1 in x Odds</t>
  </si>
  <si>
    <t>Prize Cost</t>
  </si>
  <si>
    <t>Contribution split</t>
  </si>
  <si>
    <t>Odds Up</t>
  </si>
  <si>
    <t>Target trigger</t>
  </si>
  <si>
    <t>Count</t>
  </si>
  <si>
    <t>1 in x Odds</t>
  </si>
  <si>
    <t>Trigger minus Seed</t>
  </si>
  <si>
    <t>JP Contrib Cost</t>
  </si>
  <si>
    <t>Split (use on JP split above)</t>
  </si>
  <si>
    <t>Total JP Prize cost</t>
  </si>
  <si>
    <t>bonusA</t>
  </si>
  <si>
    <t>bonusB</t>
  </si>
  <si>
    <t>RTP</t>
  </si>
  <si>
    <t>Jackpot Contributions (excluding seed)</t>
  </si>
  <si>
    <t>Average Prize</t>
  </si>
  <si>
    <t>Overal Game Summary</t>
  </si>
  <si>
    <t>JP Event Prob</t>
  </si>
  <si>
    <t>Total win Odds (JP+main)</t>
  </si>
  <si>
    <t>Total non-win Prob Up</t>
  </si>
  <si>
    <t>Total non-win Pob Down</t>
  </si>
  <si>
    <t>main Game RTP</t>
  </si>
  <si>
    <t>Seed contribution RTP</t>
  </si>
  <si>
    <t>JP Contribution RTP</t>
  </si>
  <si>
    <t>TOTAL</t>
  </si>
  <si>
    <t>DIVISION</t>
  </si>
  <si>
    <t>METHOD</t>
  </si>
  <si>
    <t>PRIZE FACTOR</t>
  </si>
  <si>
    <t>PRICE POINT</t>
  </si>
  <si>
    <t>EXPECTED WINNERS PER CARD</t>
  </si>
  <si>
    <t>ODDS PER GRID</t>
  </si>
  <si>
    <t>TOTAL PRIZE</t>
  </si>
  <si>
    <t xml:space="preserve">PRIZE % </t>
  </si>
  <si>
    <t>PAYOUT %</t>
  </si>
  <si>
    <t>main-30|||||||||</t>
  </si>
  <si>
    <t>bonusC-8|||||||||</t>
  </si>
  <si>
    <t>main-23|||||||||</t>
  </si>
  <si>
    <t>main-29|||||||||</t>
  </si>
  <si>
    <t>main-4|main-28|main-3|freeplayA-14||||||</t>
  </si>
  <si>
    <t>main-28|bonusA-5||||||||</t>
  </si>
  <si>
    <t>main-28|bonusB-5||||||||</t>
  </si>
  <si>
    <t>RTP Setting</t>
  </si>
  <si>
    <t>main-28|bonusC-5||||||||</t>
  </si>
  <si>
    <t>Actual RTP:</t>
  </si>
  <si>
    <t>main-4|main-18|main-28|main-0|wild-15|||||</t>
  </si>
  <si>
    <t>main-4|main-28|main-3|wild-5||||||</t>
  </si>
  <si>
    <t>Total RTP:</t>
  </si>
  <si>
    <t>main-4|main-18|main-28|main-0||||||</t>
  </si>
  <si>
    <t>Winning Tiers Freq</t>
  </si>
  <si>
    <t>main-4|main-28|main-3|||||||</t>
  </si>
  <si>
    <t>main-16|||||||||</t>
  </si>
  <si>
    <t>main-22|||||||||</t>
  </si>
  <si>
    <t>The information contained in this document and all attached documents is strictly confidential and contains proprietary information.
It is provided solely for use by the designated recipients and is subject to the terms of any confidentiality obligations or non-disclosure agreements between the parties.
All other use is strictly prohibited.</t>
  </si>
  <si>
    <t>main-28|||||||||</t>
  </si>
  <si>
    <t>bonusA-10|||||||||</t>
  </si>
  <si>
    <t>bonusB-10|||||||||</t>
  </si>
  <si>
    <t>bonusC-7|||||||||</t>
  </si>
  <si>
    <t>main-4|main-14|main-15|wild-4|freeplayA-26|||||</t>
  </si>
  <si>
    <t>main-4|wild-9|bonusA-5|||||||</t>
  </si>
  <si>
    <t>main-4|wild-9|bonusB-5|||||||</t>
  </si>
  <si>
    <t>main-4|wild-9|bonusC-5|||||||</t>
  </si>
  <si>
    <t>freeplayA-31|||||||||</t>
  </si>
  <si>
    <t>main-5|main-26|wild-14|freeplayA-24||||||</t>
  </si>
  <si>
    <t>main-4|main-14|main-15|freeplayA-13||||||</t>
  </si>
  <si>
    <t>bonusA-9|||||||||</t>
  </si>
  <si>
    <t>bonusB-9|||||||||</t>
  </si>
  <si>
    <t>freeplayA-39|||||||||</t>
  </si>
  <si>
    <t>freeplayA-43|||||||||</t>
  </si>
  <si>
    <t>main-0|main-13|main-26|main-18|wild-8|||||</t>
  </si>
  <si>
    <t>freeplayA-30|||||||||</t>
  </si>
  <si>
    <t>main-26|main-4|main-4|main-0|main-26|wild-21||||</t>
  </si>
  <si>
    <t>main-3|main-1|main-4|main-26|main-26|wild-21||||</t>
  </si>
  <si>
    <t>main-2|main-19|main-3|wild-3|freeplayA-24|||||</t>
  </si>
  <si>
    <t>main-4|wild-9||||||||</t>
  </si>
  <si>
    <t>main-0|main-27|main-2|wild-3|freeplayA-25|||||</t>
  </si>
  <si>
    <t>main-9|||||||||</t>
  </si>
  <si>
    <t>wild-9|||||||||</t>
  </si>
  <si>
    <t>main-27|main-5|main-5|main-19|main-3|wild-18||||</t>
  </si>
  <si>
    <t>freeplayA-34|||||||||</t>
  </si>
  <si>
    <t>main-5|main-26|main-1|freeplayA-9||||||</t>
  </si>
  <si>
    <t>freeplayA-29|||||||||</t>
  </si>
  <si>
    <t>main-5|main-25|main-19|wild-11|bonusA-6|||||</t>
  </si>
  <si>
    <t>main-5|main-25|main-19|wild-11|bonusB-6|||||</t>
  </si>
  <si>
    <t>main-5|main-25|main-19|wild-11|bonusC-6|||||</t>
  </si>
  <si>
    <t>freeplayA-22|||||||||</t>
  </si>
  <si>
    <t>main-27|main-5|main-5|main-19|main-3|||||</t>
  </si>
  <si>
    <t>main-21|main-5|main-2|main-19|main-19|wild-0||||</t>
  </si>
  <si>
    <t>main-21|main-5|main-2|main-19|main-19|||||</t>
  </si>
  <si>
    <t>freeplayA-40|||||||||</t>
  </si>
  <si>
    <t>freeplayA-44|||||||||</t>
  </si>
  <si>
    <t>main-0|main-13|main-26|main-18|freeplayA-10|||||</t>
  </si>
  <si>
    <t>main-5|main-13|main-25|main-0|freeplayA-11|||||</t>
  </si>
  <si>
    <t>freeplayA-23|||||||||</t>
  </si>
  <si>
    <t>main-0|main-0|freeplayA-24|||||||</t>
  </si>
  <si>
    <t>freeplayA-24|||||||||</t>
  </si>
  <si>
    <t>main-4|main-14|main-15|wild-4||||||</t>
  </si>
  <si>
    <t>freeplayA-37|||||||||</t>
  </si>
  <si>
    <t>freeplayA-41|||||||||</t>
  </si>
  <si>
    <t>freeplayA-36|||||||||</t>
  </si>
  <si>
    <t>freeplayA-33|||||||||</t>
  </si>
  <si>
    <t>main-5|main-3|main-5|main-15|wild-14|||||</t>
  </si>
  <si>
    <t>main-0|main-27|main-2|freeplayA-12||||||</t>
  </si>
  <si>
    <t>freeplayA-38|||||||||</t>
  </si>
  <si>
    <t>freeplayA-42|||||||||</t>
  </si>
  <si>
    <t>main-19|main-4|main-1|main-15|wild-13|||||</t>
  </si>
  <si>
    <t>main-5|main-25|main-19|freeplayA-10||||||</t>
  </si>
  <si>
    <t>main-4|main-19|main-5|freeplayA-11||||||</t>
  </si>
  <si>
    <t>main-4|main-14|main-15|||||||</t>
  </si>
  <si>
    <t>main-27|bonusA-4||||||||</t>
  </si>
  <si>
    <t>main-27|bonusB-4||||||||</t>
  </si>
  <si>
    <t>main-27|bonusC-4||||||||</t>
  </si>
  <si>
    <t>main-4|wild-15|freeplayA-26|||||||</t>
  </si>
  <si>
    <t>main-5|main-3|main-5|main-15||||||</t>
  </si>
  <si>
    <t>main-3|wild-8||||||||</t>
  </si>
  <si>
    <t>main-5|main-25|wild-13|freeplayA-5||||||</t>
  </si>
  <si>
    <t>freeplayA-35|||||||||</t>
  </si>
  <si>
    <t>main-14|freeplayA-14||||||||</t>
  </si>
  <si>
    <t>main-1|main-5|wild-16|bonusA-6||||||</t>
  </si>
  <si>
    <t>main-1|main-5|wild-16|bonusB-6||||||</t>
  </si>
  <si>
    <t>main-1|main-5|wild-16|bonusC-6||||||</t>
  </si>
  <si>
    <t>main-0|main-13|main-26|main-18|bonusA-4|||||</t>
  </si>
  <si>
    <t>main-5|main-13|main-25|main-0|bonusA-5|||||</t>
  </si>
  <si>
    <t>main-0|main-13|main-26|main-18|bonusB-4|||||</t>
  </si>
  <si>
    <t>main-5|main-13|main-25|main-0|bonusB-5|||||</t>
  </si>
  <si>
    <t>main-0|main-13|main-26|main-18|bonusC-4|||||</t>
  </si>
  <si>
    <t>main-5|main-13|main-25|main-0|bonusC-5|||||</t>
  </si>
  <si>
    <t>main-8|||||||||</t>
  </si>
  <si>
    <t>wild-8|||||||||</t>
  </si>
  <si>
    <t>freeplayA-16|||||||||</t>
  </si>
  <si>
    <t>bonusA-8|||||||||</t>
  </si>
  <si>
    <t>bonusB-8|||||||||</t>
  </si>
  <si>
    <t>freeplayA-28|||||||||</t>
  </si>
  <si>
    <t>main-0|main-4|main-0|main-19|freeplayA-9|||||</t>
  </si>
  <si>
    <t>main-5|main-3|main-18|main-0|main-26|wild-20||||</t>
  </si>
  <si>
    <t>main-4|main-19|wild-17|bonusA-4||||||</t>
  </si>
  <si>
    <t>main-5|main-26|wild-14|bonusA-4||||||</t>
  </si>
  <si>
    <t>main-4|main-19|wild-17|bonusB-4||||||</t>
  </si>
  <si>
    <t>main-5|main-26|wild-14|bonusB-4||||||</t>
  </si>
  <si>
    <t>main-4|main-19|wild-17|bonusC-4||||||</t>
  </si>
  <si>
    <t>main-5|main-26|wild-14|bonusC-4||||||</t>
  </si>
  <si>
    <t>main-3|main-20|wild-11|bonusA-5||||||</t>
  </si>
  <si>
    <t>main-18|main-19|main-5|wild-13|bonusA-3|||||</t>
  </si>
  <si>
    <t>main-3|main-20|main-4|wild-15|bonusA-4|||||</t>
  </si>
  <si>
    <t>main-3|main-20|wild-11|bonusB-5||||||</t>
  </si>
  <si>
    <t>main-18|main-19|main-5|wild-13|bonusB-3|||||</t>
  </si>
  <si>
    <t>main-3|main-20|main-4|wild-15|bonusB-4|||||</t>
  </si>
  <si>
    <t>main-3|main-20|wild-11|bonusC-5||||||</t>
  </si>
  <si>
    <t>main-18|main-19|main-5|wild-13|bonusC-3|||||</t>
  </si>
  <si>
    <t>main-3|main-20|main-4|wild-15|bonusC-4|||||</t>
  </si>
  <si>
    <t>main-5|wild-16|freeplayA-6|||||||</t>
  </si>
  <si>
    <t>freeplayA-32|||||||||</t>
  </si>
  <si>
    <t>main-20|main-4|main-1|main-26|main-5|wild-0||||</t>
  </si>
  <si>
    <t>main-19|main-4|main-1|main-15||||||</t>
  </si>
  <si>
    <t>main-20|main-4|main-1|main-26|main-5|||||</t>
  </si>
  <si>
    <t>main-0|main-4|main-0|main-19|wild-7|||||</t>
  </si>
  <si>
    <t>main-4|main-0|main-20|bonusA-5||||||</t>
  </si>
  <si>
    <t>main-4|main-0|main-20|bonusB-5||||||</t>
  </si>
  <si>
    <t>main-4|main-0|main-20|bonusC-5||||||</t>
  </si>
  <si>
    <t>main-4|main-21|wild-16|||||||</t>
  </si>
  <si>
    <t>main-4|wild-13|bonusA-6|||||||</t>
  </si>
  <si>
    <t>main-4|wild-13|bonusB-6|||||||</t>
  </si>
  <si>
    <t>main-4|wild-13|bonusC-6|||||||</t>
  </si>
  <si>
    <t>main-3|main-20|main-4|freeplayA-4||||||</t>
  </si>
  <si>
    <t>freeplayA-26|||||||||</t>
  </si>
  <si>
    <t>freeplayA-21|||||||||</t>
  </si>
  <si>
    <t>main-5|wild-2|bonusA-6|||||||</t>
  </si>
  <si>
    <t>main-5|wild-2|bonusB-6|||||||</t>
  </si>
  <si>
    <t>main-5|wild-2|bonusC-6|||||||</t>
  </si>
  <si>
    <t>main-18|main-19|main-5|freeplayA-3||||||</t>
  </si>
  <si>
    <t>main-5|main-26|main-1|wild-17||||||</t>
  </si>
  <si>
    <t>main-0|main-18|main-4|wild-21||||||</t>
  </si>
  <si>
    <t>main-25|bonusA-6||||||||</t>
  </si>
  <si>
    <t>main-3|main-20|main-4|bonusA-4||||||</t>
  </si>
  <si>
    <t>main-4|main-5|wild-12|bonusA-5||||||</t>
  </si>
  <si>
    <t>main-5|main-25|wild-13|bonusA-3||||||</t>
  </si>
  <si>
    <t>main-25|bonusB-6||||||||</t>
  </si>
  <si>
    <t>main-3|main-20|main-4|bonusB-4||||||</t>
  </si>
  <si>
    <t>main-4|main-5|wild-12|bonusB-5||||||</t>
  </si>
  <si>
    <t>main-5|main-25|wild-13|bonusB-3||||||</t>
  </si>
  <si>
    <t>main-25|bonusC-6||||||||</t>
  </si>
  <si>
    <t>main-3|main-20|main-4|bonusC-4||||||</t>
  </si>
  <si>
    <t>main-4|main-5|wild-12|bonusC-5||||||</t>
  </si>
  <si>
    <t>main-5|main-25|wild-13|bonusC-3||||||</t>
  </si>
  <si>
    <t>bonusA-7|||||||||</t>
  </si>
  <si>
    <t>bonusB-7|||||||||</t>
  </si>
  <si>
    <t>main-1|main-25|main-18|wild-2|freeplayA-5|||||</t>
  </si>
  <si>
    <t>main-26|main-4|main-4|main-0|main-26|||||</t>
  </si>
  <si>
    <t>main-3|main-19|main-13|main-26|wild-12|||||</t>
  </si>
  <si>
    <t>main-11|main-25|main-5|bonusA-4||||||</t>
  </si>
  <si>
    <t>main-11|main-25|main-5|bonusB-4||||||</t>
  </si>
  <si>
    <t>main-11|main-25|main-5|bonusC-4||||||</t>
  </si>
  <si>
    <t>main-18|freeplayA-15||||||||</t>
  </si>
  <si>
    <t>main-5|freeplayA-13||||||||</t>
  </si>
  <si>
    <t>main-3|main-1|main-4|main-26|main-26|||||</t>
  </si>
  <si>
    <t>main-0|main-27|wild-15|||||||</t>
  </si>
  <si>
    <t>main-18|wild-7||||||||</t>
  </si>
  <si>
    <t>main-3|main-20|bonusA-4|||||||</t>
  </si>
  <si>
    <t>main-18|main-19|main-5|bonusA-3||||||</t>
  </si>
  <si>
    <t>main-3|main-20|bonusB-4|||||||</t>
  </si>
  <si>
    <t>main-18|main-19|main-5|bonusB-3||||||</t>
  </si>
  <si>
    <t>main-3|main-20|bonusC-4|||||||</t>
  </si>
  <si>
    <t>main-18|main-19|main-5|bonusC-3||||||</t>
  </si>
  <si>
    <t>main-0|wild-11|freeplayA-14|||||||</t>
  </si>
  <si>
    <t>freeplayA-20|||||||||</t>
  </si>
  <si>
    <t>main-4|main-19|main-5|wild-2|bonusA-3|||||</t>
  </si>
  <si>
    <t>main-4|main-19|main-5|wild-2|bonusB-3|||||</t>
  </si>
  <si>
    <t>main-4|main-19|main-5|wild-2|bonusC-3|||||</t>
  </si>
  <si>
    <t>main-3|main-5|main-19|freeplayA-8||||||</t>
  </si>
  <si>
    <t>freeplayA-9|||||||||</t>
  </si>
  <si>
    <t>main-26|main-0|main-3|main-18|main-18|wild-16||||</t>
  </si>
  <si>
    <t>main-4|main-21||||||||</t>
  </si>
  <si>
    <t>main-4|wild-21||||||||</t>
  </si>
  <si>
    <t>main-14|bonusA-4||||||||</t>
  </si>
  <si>
    <t>main-14|bonusB-4||||||||</t>
  </si>
  <si>
    <t>main-14|bonusC-4||||||||</t>
  </si>
  <si>
    <t>main-0|main-27|main-2|wild-3||||||</t>
  </si>
  <si>
    <t>main-1|wild-12|freeplayA-17|||||||</t>
  </si>
  <si>
    <t>main-3|main-19|main-13|main-26||||||</t>
  </si>
  <si>
    <t>freeplayA-14|||||||||</t>
  </si>
  <si>
    <t>freeplayA-15|||||||||</t>
  </si>
  <si>
    <t>main-0|main-27|main-2|||||||</t>
  </si>
  <si>
    <t>main-4|main-0|main-1|main-18|bonusA-5|||||</t>
  </si>
  <si>
    <t>main-4|main-0|main-1|main-18|bonusB-5|||||</t>
  </si>
  <si>
    <t>main-4|main-0|main-1|main-18|bonusC-5|||||</t>
  </si>
  <si>
    <t>freeplayA-7|||||||||</t>
  </si>
  <si>
    <t>main-0|freeplayA-11||||||||</t>
  </si>
  <si>
    <t>freeplayA-11|||||||||</t>
  </si>
  <si>
    <t>main-0|main-27||||||||</t>
  </si>
  <si>
    <t>main-5|main-25|main-0|wild-17||||||</t>
  </si>
  <si>
    <t>main-7|||||||||</t>
  </si>
  <si>
    <t>main-15|||||||||</t>
  </si>
  <si>
    <t>main-21|||||||||</t>
  </si>
  <si>
    <t>main-27|||||||||</t>
  </si>
  <si>
    <t>wild-7|||||||||</t>
  </si>
  <si>
    <t>wild-21|||||||||</t>
  </si>
  <si>
    <t>main-26|bonusA-3||||||||</t>
  </si>
  <si>
    <t>main-19|bonusA-5||||||||</t>
  </si>
  <si>
    <t>main-26|bonusB-3||||||||</t>
  </si>
  <si>
    <t>main-19|bonusB-5||||||||</t>
  </si>
  <si>
    <t>main-26|bonusC-3||||||||</t>
  </si>
  <si>
    <t>main-19|bonusC-5||||||||</t>
  </si>
  <si>
    <t>instantA-4|||||||||</t>
  </si>
  <si>
    <t>bonusA-6|||||||||</t>
  </si>
  <si>
    <t>bonusB-6|||||||||</t>
  </si>
  <si>
    <t>bonusC-6|||||||||</t>
  </si>
  <si>
    <t>freeplayA-27|||||||||</t>
  </si>
  <si>
    <t>main-4|main-2|main-5|main-3|main-3|wild-17||||</t>
  </si>
  <si>
    <t>main-0|main-1|freeplayA-25|||||||</t>
  </si>
  <si>
    <t>freeplayA-18|||||||||</t>
  </si>
  <si>
    <t>freeplayA-19|||||||||</t>
  </si>
  <si>
    <t>freeplayA-25|||||||||</t>
  </si>
  <si>
    <t>main-3|main-1|wild-15|bonusA-5||||||</t>
  </si>
  <si>
    <t>main-0|main-4|main-0|main-19|bonusA-4|||||</t>
  </si>
  <si>
    <t>main-3|main-1|wild-15|bonusB-5||||||</t>
  </si>
  <si>
    <t>main-0|main-4|main-0|main-19|bonusB-4|||||</t>
  </si>
  <si>
    <t>main-3|main-1|wild-15|bonusC-5||||||</t>
  </si>
  <si>
    <t>main-0|main-4|main-0|main-19|bonusC-4|||||</t>
  </si>
  <si>
    <t>main-5|main-3|main-18|main-0|main-26|||||</t>
  </si>
  <si>
    <t>main-4|main-5|bonusA-4|||||||</t>
  </si>
  <si>
    <t>main-4|main-5|bonusB-4|||||||</t>
  </si>
  <si>
    <t>main-4|main-5|bonusC-4|||||||</t>
  </si>
  <si>
    <t>freeplayA-13|||||||||</t>
  </si>
  <si>
    <t>main-2|main-19|main-3|bonusA-4||||||</t>
  </si>
  <si>
    <t>main-2|main-19|main-3|bonusB-4||||||</t>
  </si>
  <si>
    <t>main-2|main-19|main-3|bonusC-4||||||</t>
  </si>
  <si>
    <t>main-1|main-18|main-26|wild-16||||||</t>
  </si>
  <si>
    <t>main-0|main-13|main-26|main-18||||||</t>
  </si>
  <si>
    <t>main-5|main-13|main-25|main-0|wild-18|||||</t>
  </si>
  <si>
    <t>main-0|wild-12|bonusA-5|||||||</t>
  </si>
  <si>
    <t>main-0|wild-12|bonusB-5|||||||</t>
  </si>
  <si>
    <t>main-0|wild-12|bonusC-5|||||||</t>
  </si>
  <si>
    <t>freeplayA-17|||||||||</t>
  </si>
  <si>
    <t>main-18|main-19|main-5|wild-13||||||</t>
  </si>
  <si>
    <t>freeplayA-6|||||||||</t>
  </si>
  <si>
    <t>freeplayA-10|||||||||</t>
  </si>
  <si>
    <t>main-26|main-0|main-3|main-18|main-18|||||</t>
  </si>
  <si>
    <t>main-5|main-0|main-4|main-4|main-18|wild-19||||</t>
  </si>
  <si>
    <t>main-3|main-0|wild-13|freeplayA-2||||||</t>
  </si>
  <si>
    <t>main-4|main-19|wild-17|||||||</t>
  </si>
  <si>
    <t>main-5|main-26|wild-14|||||||</t>
  </si>
  <si>
    <t>main-5|main-25|main-19|wild-11||||||</t>
  </si>
  <si>
    <t>main-25|bonusA-4||||||||</t>
  </si>
  <si>
    <t>main-25|bonusB-4||||||||</t>
  </si>
  <si>
    <t>main-25|bonusC-4||||||||</t>
  </si>
  <si>
    <t>main-4|main-0|main-1|main-18|freeplayA-8|||||</t>
  </si>
  <si>
    <t>freeplayA-5|||||||||</t>
  </si>
  <si>
    <t>main-3|main-20|main-4|wild-15||||||</t>
  </si>
  <si>
    <t>main-3|main-5|main-19|wild-16||||||</t>
  </si>
  <si>
    <t>main-18|main-5|main-13|main-3|wild-11|||||</t>
  </si>
  <si>
    <t>main-4|main-0|main-1|main-18|wild-6|||||</t>
  </si>
  <si>
    <t>main-5|main-26|main-1|||||||</t>
  </si>
  <si>
    <t>main-5|main-13|main-25|main-0||||||</t>
  </si>
  <si>
    <t>main-4|main-0|main-20|wild-18||||||</t>
  </si>
  <si>
    <t>main-5|main-26||||||||</t>
  </si>
  <si>
    <t>main-5|main-25|main-19|||||||</t>
  </si>
  <si>
    <t>main-5|wild-17||||||||</t>
  </si>
  <si>
    <t>main-5|main-25|wild-13|||||||</t>
  </si>
  <si>
    <t>main-11|main-25|main-5|wild-12||||||</t>
  </si>
  <si>
    <t>main-13|bonusA-3||||||||</t>
  </si>
  <si>
    <t>main-13|bonusB-3||||||||</t>
  </si>
  <si>
    <t>main-13|bonusC-3||||||||</t>
  </si>
  <si>
    <t>bonusA-5|||||||||</t>
  </si>
  <si>
    <t>bonusB-5|||||||||</t>
  </si>
  <si>
    <t>bonusC-5|||||||||</t>
  </si>
  <si>
    <t>main-1|main-2|wild-12|freeplayA-1||||||</t>
  </si>
  <si>
    <t>main-19|main-3|main-1|main-18|main-4|wild-15||||</t>
  </si>
  <si>
    <t>main-3|main-0|wild-13|bonusA-2||||||</t>
  </si>
  <si>
    <t>main-3|main-0|wild-13|bonusB-2||||||</t>
  </si>
  <si>
    <t>main-3|main-0|wild-13|bonusC-2||||||</t>
  </si>
  <si>
    <t>main-18|main-5|main-13|main-3||||||</t>
  </si>
  <si>
    <t>main-4|freeplayA-12||||||||</t>
  </si>
  <si>
    <t>freeplayA-4|||||||||</t>
  </si>
  <si>
    <t>main-1|main-18|main-26|||||||</t>
  </si>
  <si>
    <t>main-18|main-19|main-5|||||||</t>
  </si>
  <si>
    <t>main-3|main-20|main-4|||||||</t>
  </si>
  <si>
    <t>main-3|main-20|wild-11|||||||</t>
  </si>
  <si>
    <t>main-4|main-19|main-5|wild-2||||||</t>
  </si>
  <si>
    <t>freeplayA-3|||||||||</t>
  </si>
  <si>
    <t>main-4|main-0|main-20|||||||</t>
  </si>
  <si>
    <t>main-5|main-0|main-4|main-4|main-18|||||</t>
  </si>
  <si>
    <t>main-11|main-25|main-5|||||||</t>
  </si>
  <si>
    <t>main-4|main-19|main-5|||||||</t>
  </si>
  <si>
    <t>main-17|wild-6||||||||</t>
  </si>
  <si>
    <t>bonusA-4|||||||||</t>
  </si>
  <si>
    <t>bonusB-4|||||||||</t>
  </si>
  <si>
    <t>bonusC-4|||||||||</t>
  </si>
  <si>
    <t>freeplayA-12|||||||||</t>
  </si>
  <si>
    <t>freeplayA-8|||||||||</t>
  </si>
  <si>
    <t>main-19|main-3|main-1|main-18|main-4|||||</t>
  </si>
  <si>
    <t>freeplayA-2|||||||||</t>
  </si>
  <si>
    <t>main-3|main-20||||||||</t>
  </si>
  <si>
    <t>main-3|main-5|main-19|||||||</t>
  </si>
  <si>
    <t>main-3|wild-20||||||||</t>
  </si>
  <si>
    <t>freeplayA-1|||||||||</t>
  </si>
  <si>
    <t>main-1|main-5|wild-16|||||||</t>
  </si>
  <si>
    <t>main-5|main-25|main-0|||||||</t>
  </si>
  <si>
    <t>main-0|wild-17||||||||</t>
  </si>
  <si>
    <t>main-6|||||||||</t>
  </si>
  <si>
    <t>main-14|||||||||</t>
  </si>
  <si>
    <t>main-20|||||||||</t>
  </si>
  <si>
    <t>main-26|||||||||</t>
  </si>
  <si>
    <t>wild-6|||||||||</t>
  </si>
  <si>
    <t>wild-17|||||||||</t>
  </si>
  <si>
    <t>wild-20|||||||||</t>
  </si>
  <si>
    <t>main-5|main-25||||||||</t>
  </si>
  <si>
    <t>main-5|wild-16||||||||</t>
  </si>
  <si>
    <t>main-5|wild-5||||||||</t>
  </si>
  <si>
    <t>main-4|main-5|wild-12|||||||</t>
  </si>
  <si>
    <t>instantA-3|||||||||</t>
  </si>
  <si>
    <t>bonusA-3|||||||||</t>
  </si>
  <si>
    <t>bonusB-3|||||||||</t>
  </si>
  <si>
    <t>bonusC-3|||||||||</t>
  </si>
  <si>
    <t>main-4|main-2|main-5|main-3|main-3|||||</t>
  </si>
  <si>
    <t>main-4|main-13|main-0|wild-4||||||</t>
  </si>
  <si>
    <t>main-1|main-25|main-18|wild-2||||||</t>
  </si>
  <si>
    <t>main-1|main-25|main-18|||||||</t>
  </si>
  <si>
    <t>main-5|wild-18||||||||</t>
  </si>
  <si>
    <t>instantA-2|||||||||</t>
  </si>
  <si>
    <t>bonusA-2|||||||||</t>
  </si>
  <si>
    <t>bonusB-2|||||||||</t>
  </si>
  <si>
    <t>bonusC-2|||||||||</t>
  </si>
  <si>
    <t>main-2|main-19|main-3|wild-3||||||</t>
  </si>
  <si>
    <t>main-0|main-4|main-0|main-19||||||</t>
  </si>
  <si>
    <t>main-4|main-13|main-0|||||||</t>
  </si>
  <si>
    <t>main-4|main-19||||||||</t>
  </si>
  <si>
    <t>main-4|main-5||||||||</t>
  </si>
  <si>
    <t>main-5|wild-4||||||||</t>
  </si>
  <si>
    <t>main-5|wild-11||||||||</t>
  </si>
  <si>
    <t>main-4|wild-13||||||||</t>
  </si>
  <si>
    <t>main-4|wild-19||||||||</t>
  </si>
  <si>
    <t>main-2|main-19|main-3|||||||</t>
  </si>
  <si>
    <t>main-3|main-0|wild-13|||||||</t>
  </si>
  <si>
    <t>main-3|wild-5||||||||</t>
  </si>
  <si>
    <t>main-0|main-2|wild-11|freeplayA-0||||||</t>
  </si>
  <si>
    <t>main-5|wild-2||||||||</t>
  </si>
  <si>
    <t>main-2|wild-13||||||||</t>
  </si>
  <si>
    <t>main-4|main-0|main-1|main-18||||||</t>
  </si>
  <si>
    <t>main-1|main-5||||||||</t>
  </si>
  <si>
    <t>main-0|main-18|main-4|||||||</t>
  </si>
  <si>
    <t>main-5|||||||||</t>
  </si>
  <si>
    <t>main-13|||||||||</t>
  </si>
  <si>
    <t>main-19|||||||||</t>
  </si>
  <si>
    <t>main-25|||||||||</t>
  </si>
  <si>
    <t>wild-5|||||||||</t>
  </si>
  <si>
    <t>wild-13|||||||||</t>
  </si>
  <si>
    <t>wild-16|||||||||</t>
  </si>
  <si>
    <t>wild-19|||||||||</t>
  </si>
  <si>
    <t>main-4|wild-15||||||||</t>
  </si>
  <si>
    <t>instantA-1|||||||||</t>
  </si>
  <si>
    <t>bonusA-1|||||||||</t>
  </si>
  <si>
    <t>bonusB-1|||||||||</t>
  </si>
  <si>
    <t>bonusC-1|||||||||</t>
  </si>
  <si>
    <t>main-3|main-1|wild-15|||||||</t>
  </si>
  <si>
    <t>main-4|wild-14||||||||</t>
  </si>
  <si>
    <t>main-1|main-2|wild-12|||||||</t>
  </si>
  <si>
    <t>freeplayA-0|||||||||</t>
  </si>
  <si>
    <t>main-1|wild-18||||||||</t>
  </si>
  <si>
    <t>main-1|wild-12||||||||</t>
  </si>
  <si>
    <t>main-0|wild-12||||||||</t>
  </si>
  <si>
    <t>main-0|wild-18||||||||</t>
  </si>
  <si>
    <t>main-12|||||||||</t>
  </si>
  <si>
    <t>main-18|||||||||</t>
  </si>
  <si>
    <t>main-24|||||||||</t>
  </si>
  <si>
    <t>wild-12|||||||||</t>
  </si>
  <si>
    <t>wild-15|||||||||</t>
  </si>
  <si>
    <t>wild-18|||||||||</t>
  </si>
  <si>
    <t>main-4|wild-3||||||||</t>
  </si>
  <si>
    <t>main-3|wild-14||||||||</t>
  </si>
  <si>
    <t>instantA-0|||||||||</t>
  </si>
  <si>
    <t>bonusA-0|||||||||</t>
  </si>
  <si>
    <t>bonusB-0|||||||||</t>
  </si>
  <si>
    <t>bonusC-0|||||||||</t>
  </si>
  <si>
    <t>main-0|main-2|wild-11|||||||</t>
  </si>
  <si>
    <t>main-2|wild-4||||||||</t>
  </si>
  <si>
    <t>main-1|main-1|wild-4|||||||</t>
  </si>
  <si>
    <t>main-0|wild-11||||||||</t>
  </si>
  <si>
    <t>main-4|||||||||</t>
  </si>
  <si>
    <t>main-11|||||||||</t>
  </si>
  <si>
    <t>main-17|||||||||</t>
  </si>
  <si>
    <t>wild-4|||||||||</t>
  </si>
  <si>
    <t>wild-11|||||||||</t>
  </si>
  <si>
    <t>wild-14|||||||||</t>
  </si>
  <si>
    <t>main-3|wild-2||||||||</t>
  </si>
  <si>
    <t>main-0|main-1|wild-3|||||||</t>
  </si>
  <si>
    <t>main-3|main-1||||||||</t>
  </si>
  <si>
    <t>main-1|wild-3||||||||</t>
  </si>
  <si>
    <t>main-3|main-0||||||||</t>
  </si>
  <si>
    <t>main-3|||||||||</t>
  </si>
  <si>
    <t>main-10|||||||||</t>
  </si>
  <si>
    <t>wild-3|||||||||</t>
  </si>
  <si>
    <t>wild-10|||||||||</t>
  </si>
  <si>
    <t>main-1|main-2||||||||</t>
  </si>
  <si>
    <t>main-2|wild-1||||||||</t>
  </si>
  <si>
    <t>main-0|main-0|wild-2|||||||</t>
  </si>
  <si>
    <t>main-0|main-2||||||||</t>
  </si>
  <si>
    <t>main-0|wild-2||||||||</t>
  </si>
  <si>
    <t>main-2|||||||||</t>
  </si>
  <si>
    <t>wild-2|||||||||</t>
  </si>
  <si>
    <t>main-1|main-1||||||||</t>
  </si>
  <si>
    <t>main-0|main-1||||||||</t>
  </si>
  <si>
    <t>main-1|||||||||</t>
  </si>
  <si>
    <t>wild-1|||||||||</t>
  </si>
  <si>
    <t>main-0|main-0||||||||</t>
  </si>
  <si>
    <t>main-0|||||||||</t>
  </si>
  <si>
    <t>wild-0|||||||||</t>
  </si>
  <si>
    <t>Non Winning tickets</t>
  </si>
  <si>
    <t>Ticket Price</t>
  </si>
  <si>
    <t xml:space="preserve">1 in X Odds </t>
  </si>
  <si>
    <t>JP1</t>
  </si>
  <si>
    <t>$225,000.00*</t>
  </si>
  <si>
    <t>JP2</t>
  </si>
  <si>
    <t>NON WINNING</t>
  </si>
  <si>
    <t>Size of Grid</t>
  </si>
  <si>
    <t>Top Prize</t>
  </si>
  <si>
    <t>Version</t>
  </si>
  <si>
    <t>v1</t>
  </si>
  <si>
    <t>Payout</t>
  </si>
  <si>
    <t>Breakeven</t>
  </si>
  <si>
    <t>Odds</t>
  </si>
  <si>
    <t>Low Tier Winning Range</t>
  </si>
  <si>
    <t>x0 - x5</t>
  </si>
  <si>
    <t>Percentage in Low Tier</t>
  </si>
  <si>
    <t>Medium Tier Winning Range</t>
  </si>
  <si>
    <t>x5 - x20</t>
  </si>
  <si>
    <t>Percentage in Medium Tier</t>
  </si>
  <si>
    <t>High Tier Winning Range</t>
  </si>
  <si>
    <t>x20 - top</t>
  </si>
  <si>
    <t>Percentage in High Tier</t>
  </si>
  <si>
    <t>Total Pool Amount</t>
  </si>
  <si>
    <t>Progressive Jackpot Info</t>
  </si>
  <si>
    <t>JP1 Wins/Grid</t>
  </si>
  <si>
    <t>JP2 Wins/Grid</t>
  </si>
  <si>
    <t>JP1 Wins/Price Ratio</t>
  </si>
  <si>
    <t>JP2 Wins/Price Ratio</t>
  </si>
  <si>
    <t>Odds of JP1 Win</t>
  </si>
  <si>
    <t>Odds of JP2 Win</t>
  </si>
  <si>
    <t>Revenue/JP win</t>
  </si>
  <si>
    <t>Jackpot Reset %</t>
  </si>
  <si>
    <t>JP1 Reset Value</t>
  </si>
  <si>
    <t>JP2 Reset Value</t>
  </si>
  <si>
    <t>Jackpot Increment %</t>
  </si>
  <si>
    <t>Jackpot Increment Amount</t>
  </si>
  <si>
    <t>ODDS DOWN (ticket quantity if pool based):</t>
  </si>
  <si>
    <t>BASE(ticket price):</t>
  </si>
  <si>
    <t>REVENUE (if pool based):</t>
  </si>
  <si>
    <t>Max prize</t>
  </si>
  <si>
    <t>Base RTP setting(JP exclude)</t>
  </si>
  <si>
    <t>PRIZE FUND (if pool based):</t>
  </si>
  <si>
    <t>Hit Rate</t>
  </si>
  <si>
    <t>Std. Dev.</t>
  </si>
  <si>
    <t>wild Freq</t>
  </si>
  <si>
    <t>Overall Feature Freq</t>
  </si>
  <si>
    <t>wild Multi</t>
  </si>
  <si>
    <t>Overall Feature Avg. Multi</t>
  </si>
  <si>
    <t>Standard wild Freq</t>
  </si>
  <si>
    <t>Standard wild Avg. Multi</t>
  </si>
  <si>
    <t>Freeplay Freq</t>
  </si>
  <si>
    <t>Freeplay Avg. Multi</t>
  </si>
  <si>
    <t>Freeplay Value Share</t>
  </si>
  <si>
    <t>bonus Freq</t>
  </si>
  <si>
    <t>bonus Multi</t>
  </si>
  <si>
    <t>bonus Value Share</t>
  </si>
  <si>
    <t>bonusA Freq</t>
  </si>
  <si>
    <t>bonusA Multi</t>
  </si>
  <si>
    <t>bonusA Value Share</t>
  </si>
  <si>
    <t>bonusB Freq</t>
  </si>
  <si>
    <t>bonusB Multi</t>
  </si>
  <si>
    <t>bonusB Value Share</t>
  </si>
  <si>
    <t>bonusC Freq</t>
  </si>
  <si>
    <t>bonusC Multi</t>
  </si>
  <si>
    <t>bonusC Value Share</t>
  </si>
  <si>
    <t>instantA Freq</t>
  </si>
  <si>
    <t>instantA Multi</t>
  </si>
  <si>
    <t>instantA Value Share</t>
  </si>
  <si>
    <t>%</t>
  </si>
  <si>
    <t>Combo Win Freq</t>
  </si>
  <si>
    <t>Single Feature</t>
  </si>
  <si>
    <t>Combo Win Multi</t>
  </si>
  <si>
    <t>Base game &amp; Feature</t>
  </si>
  <si>
    <t>Category</t>
  </si>
  <si>
    <t>Freq</t>
  </si>
  <si>
    <t>Prob.</t>
  </si>
  <si>
    <t>Odds Dist.</t>
  </si>
  <si>
    <t>Value Dist.</t>
  </si>
  <si>
    <t>Hit Dist.</t>
  </si>
  <si>
    <t>NIL</t>
  </si>
  <si>
    <t>-</t>
  </si>
  <si>
    <t>&gt;0 to &lt;1</t>
  </si>
  <si>
    <t>&gt;1 to 2</t>
  </si>
  <si>
    <t>&gt;2 to 5</t>
  </si>
  <si>
    <t>&gt;5 to 10</t>
  </si>
  <si>
    <t>&gt;10 to 20</t>
  </si>
  <si>
    <t>&gt;20 to 30</t>
  </si>
  <si>
    <t>&gt;30 to 50</t>
  </si>
  <si>
    <t>&gt;50 to 100</t>
  </si>
  <si>
    <t>&gt;100</t>
  </si>
  <si>
    <t>Total Prize</t>
  </si>
  <si>
    <t>Method 1</t>
  </si>
  <si>
    <t>Prize 1</t>
  </si>
  <si>
    <t>Method 2</t>
  </si>
  <si>
    <t>Prize 2</t>
  </si>
  <si>
    <t>Method 3</t>
  </si>
  <si>
    <t>Prize 3</t>
  </si>
  <si>
    <t>Method 4</t>
  </si>
  <si>
    <t>Prize 4</t>
  </si>
  <si>
    <t>Method 5</t>
  </si>
  <si>
    <t>Prize 5</t>
  </si>
  <si>
    <t>Method 6</t>
  </si>
  <si>
    <t>Prize 6</t>
  </si>
  <si>
    <t>Method 7</t>
  </si>
  <si>
    <t>Prize 7</t>
  </si>
  <si>
    <t>Method 8</t>
  </si>
  <si>
    <t>Prize 8</t>
  </si>
  <si>
    <t>Method 9</t>
  </si>
  <si>
    <t>Prize 9</t>
  </si>
  <si>
    <t>Method 10</t>
  </si>
  <si>
    <t>Prize 10</t>
  </si>
  <si>
    <t>Method</t>
  </si>
  <si>
    <t>Win methods</t>
  </si>
  <si>
    <t>Methods</t>
  </si>
  <si>
    <t>Quantity</t>
  </si>
  <si>
    <t>Multiplier</t>
  </si>
  <si>
    <t>Note</t>
  </si>
  <si>
    <t>x</t>
  </si>
  <si>
    <t>Paytable</t>
  </si>
  <si>
    <t>Symbols</t>
  </si>
  <si>
    <t>Code</t>
  </si>
  <si>
    <t>Rocket Point</t>
  </si>
  <si>
    <t>ROUNDS</t>
  </si>
  <si>
    <t>ROUND 1</t>
  </si>
  <si>
    <t>ROUND 2</t>
  </si>
  <si>
    <t>ROUND 3</t>
  </si>
  <si>
    <t>ROUND 4</t>
  </si>
  <si>
    <t>ROUND 5</t>
  </si>
  <si>
    <t>ROUND 6</t>
  </si>
  <si>
    <t>ROUND 7</t>
  </si>
  <si>
    <t>ROUND 8</t>
  </si>
  <si>
    <t>ROUND 9</t>
  </si>
  <si>
    <t>ROUND 10</t>
  </si>
  <si>
    <t>ROUND 11</t>
  </si>
  <si>
    <t>ROUND 12</t>
  </si>
  <si>
    <t>ROUND 13</t>
  </si>
  <si>
    <t>ROUND 14</t>
  </si>
  <si>
    <t>ROUND 15</t>
  </si>
  <si>
    <t>ROUND 16</t>
  </si>
  <si>
    <t>ROUND 17</t>
  </si>
  <si>
    <t>ROUND 18</t>
  </si>
  <si>
    <t>ROUND 19</t>
  </si>
  <si>
    <t>ROUND 20</t>
  </si>
  <si>
    <t>ROUND 21</t>
  </si>
  <si>
    <t>ROUND 22</t>
  </si>
  <si>
    <t>ROUND 23</t>
  </si>
  <si>
    <t>ROUND 24</t>
  </si>
  <si>
    <t>ROUND 25</t>
  </si>
  <si>
    <t>ROUND 26</t>
  </si>
  <si>
    <t>ROUND 27</t>
  </si>
  <si>
    <t>ROUND 28</t>
  </si>
  <si>
    <t>ROUND 29</t>
  </si>
  <si>
    <t>ROUND 30</t>
  </si>
  <si>
    <t xml:space="preserve">TIER </t>
  </si>
  <si>
    <t>ODDS UP</t>
  </si>
  <si>
    <t>Value</t>
  </si>
  <si>
    <t>&gt;0 to &lt;5 value</t>
  </si>
  <si>
    <t>&gt;=5 to &lt;10 value</t>
  </si>
  <si>
    <t>&gt;=10 to &lt;25 value</t>
  </si>
  <si>
    <t>&gt;= 25 value</t>
  </si>
  <si>
    <t>&gt;0 to &lt;1 value</t>
  </si>
  <si>
    <t>1 value</t>
  </si>
  <si>
    <t>&gt;1 to 2 value</t>
  </si>
  <si>
    <t>&gt;2 to 5 value</t>
  </si>
  <si>
    <t>&gt;5 to 10 value</t>
  </si>
  <si>
    <t>&gt;10 to 20 value</t>
  </si>
  <si>
    <t>&gt;20 to 30 value</t>
  </si>
  <si>
    <t>&gt;30 to 50 value</t>
  </si>
  <si>
    <t>&gt;50 to 100 value</t>
  </si>
  <si>
    <t>&gt;100 value</t>
  </si>
  <si>
    <t>Bonus Freq</t>
  </si>
  <si>
    <t>Bonus Value</t>
  </si>
  <si>
    <t>Instant Freq</t>
  </si>
  <si>
    <t>is Combo Win</t>
  </si>
  <si>
    <t>Combo Win Value</t>
  </si>
  <si>
    <t>is wild</t>
  </si>
  <si>
    <t>wild Value</t>
  </si>
  <si>
    <t>is Normal wild</t>
  </si>
  <si>
    <t>Normal wild Freq</t>
  </si>
  <si>
    <t>Normal wild Value</t>
  </si>
  <si>
    <t>is Multi wild</t>
  </si>
  <si>
    <t>Multi wild Freq</t>
  </si>
  <si>
    <t>Multi wild Value</t>
  </si>
  <si>
    <t>freeplayA</t>
  </si>
  <si>
    <t>FreeplayB</t>
  </si>
  <si>
    <t>FreeplayC</t>
  </si>
  <si>
    <t>bonusA Value</t>
  </si>
  <si>
    <t>BonusB</t>
  </si>
  <si>
    <t>bonusB Value</t>
  </si>
  <si>
    <t>BonusC</t>
  </si>
  <si>
    <t>bonusC Value</t>
  </si>
  <si>
    <t>Instant</t>
  </si>
  <si>
    <t>Instant Value</t>
  </si>
  <si>
    <t>Freeplay rounds</t>
  </si>
  <si>
    <t>Human read part1</t>
  </si>
  <si>
    <t>Human read part2</t>
  </si>
  <si>
    <t>MSE</t>
  </si>
  <si>
    <t>Freeplay Multi</t>
  </si>
  <si>
    <t>Instant Multi</t>
  </si>
  <si>
    <t xml:space="preserve">sum of Free game rounds </t>
  </si>
  <si>
    <t>Single Freeplay Freq</t>
  </si>
  <si>
    <t>Single Freeplay Value</t>
  </si>
  <si>
    <t>Base + Freeplay Freq</t>
  </si>
  <si>
    <t>Base + Freeplay Value</t>
  </si>
  <si>
    <t>Single Bonus Freq</t>
  </si>
  <si>
    <t>Single Bonus Value</t>
  </si>
  <si>
    <t>Base + Bonus Freq</t>
  </si>
  <si>
    <t>Base + Bonus Value</t>
  </si>
  <si>
    <t>Humad Read part 1</t>
  </si>
  <si>
    <t>Actual Prize</t>
  </si>
  <si>
    <t>Less than Stake</t>
  </si>
  <si>
    <t>Stake Back</t>
  </si>
  <si>
    <t>Standard Win</t>
  </si>
  <si>
    <t>Big Win</t>
  </si>
  <si>
    <t>Huge Win</t>
  </si>
  <si>
    <t>Humad Read part 2</t>
  </si>
  <si>
    <t>Free Plays A</t>
  </si>
  <si>
    <t>Free Plays B</t>
  </si>
  <si>
    <t>Free Plays C</t>
  </si>
  <si>
    <t>Bonus Game A</t>
  </si>
  <si>
    <t>Bonus Game B</t>
  </si>
  <si>
    <t>Bonus Game C</t>
  </si>
  <si>
    <t>Instant Prize A</t>
  </si>
  <si>
    <t>Single Win</t>
  </si>
  <si>
    <t>Combo Win</t>
  </si>
  <si>
    <t>No.</t>
  </si>
  <si>
    <t>PPS Check item</t>
  </si>
  <si>
    <t>Check</t>
  </si>
  <si>
    <t>*Tier order</t>
  </si>
  <si>
    <t>Title</t>
  </si>
  <si>
    <t>single win</t>
  </si>
  <si>
    <t>Client</t>
  </si>
  <si>
    <t>combo win</t>
  </si>
  <si>
    <t>Max Prize</t>
  </si>
  <si>
    <t>instant</t>
  </si>
  <si>
    <t>PPS source</t>
  </si>
  <si>
    <t>base+instant</t>
  </si>
  <si>
    <t>Sum of winning tiers</t>
  </si>
  <si>
    <t>freeplay</t>
  </si>
  <si>
    <t>Sum of non-win tiers</t>
  </si>
  <si>
    <t>base+freeplay</t>
  </si>
  <si>
    <t>File name</t>
  </si>
  <si>
    <t>bonus</t>
  </si>
  <si>
    <t>Date</t>
  </si>
  <si>
    <t>base+bonus</t>
  </si>
  <si>
    <t>Scenario counts</t>
  </si>
  <si>
    <t>Actual RTP</t>
  </si>
  <si>
    <t>Actual Rit rate</t>
  </si>
  <si>
    <t>Num of tiers are matched</t>
  </si>
  <si>
    <t>category are in *order(new game)</t>
  </si>
  <si>
    <t>base tiers are exist in mixed tiers(new game)</t>
  </si>
  <si>
    <t>Add 1 in odds col exist</t>
  </si>
  <si>
    <t>Paytable check</t>
  </si>
  <si>
    <t>Prize double digits</t>
  </si>
  <si>
    <t>ticket price related</t>
  </si>
  <si>
    <t>JP check</t>
  </si>
  <si>
    <t>check</t>
  </si>
  <si>
    <t>Seed number</t>
  </si>
  <si>
    <t>Trigger target number</t>
  </si>
  <si>
    <t>Odds up number</t>
  </si>
  <si>
    <t>Odds down</t>
  </si>
  <si>
    <t>Seed RTP</t>
  </si>
  <si>
    <t>Contribution RTP</t>
  </si>
  <si>
    <t>Different price point</t>
  </si>
  <si>
    <t xml:space="preserve">lowerest price 5 decimal </t>
  </si>
  <si>
    <t>Delivery</t>
  </si>
  <si>
    <t>update the delivery(check Boundary)</t>
  </si>
  <si>
    <t>lock the delivery tab</t>
  </si>
  <si>
    <t>ticket info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</si>
</sst>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6" formatCode="&quot;$&quot;#,##0_);[Red]\(&quot;$&quot;#,##0\)"/>
    <numFmt numFmtId="44" formatCode="_(&quot;$&quot;* #,##0.00_);_(&quot;$&quot;* \(#,##0.00\);_(&quot;$&quot;* &quot;-&quot;??_);_(@_)"/>
    <numFmt numFmtId="164" formatCode="00"/>
    <numFmt numFmtId="165" formatCode="#,##0.0_ ;[Red]\-#,##0.0\ "/>
    <numFmt numFmtId="166" formatCode="#,##0_ ;[Red]\-#,##0\ "/>
    <numFmt numFmtId="167" formatCode="#,##0.00_ ;[Red]\-#,##0.00\ "/>
    <numFmt numFmtId="168" formatCode="0.0%"/>
    <numFmt numFmtId="169" formatCode="0.0"/>
    <numFmt numFmtId="170" formatCode="#,##0.0000_ ;[Red]\-#,##0.0000\ "/>
    <numFmt numFmtId="171" formatCode="0.000000"/>
    <numFmt numFmtId="172" formatCode="0.0000000"/>
    <numFmt numFmtId="173" formatCode="0.00000"/>
    <numFmt numFmtId="174" formatCode="#,##0.000000"/>
    <numFmt numFmtId="175" formatCode="0.0000%"/>
    <numFmt numFmtId="176" formatCode="#,##0.00000_ ;[Red]\-#,##0.00000\ "/>
    <numFmt numFmtId="177" formatCode="&quot;$&quot;#,##0.00"/>
    <numFmt numFmtId="178" formatCode="#,##0.0_);[Red]\(#,##0.0\)"/>
    <numFmt numFmtId="179" formatCode="_-[$$-409]* #,##0.00_ ;_-[$$-409]* \-#,##0.00\ ;_-[$$-409]* &quot;-&quot;??_ ;_-@_ "/>
    <numFmt numFmtId="180" formatCode="_(&quot;$&quot;* #,##0_);_(&quot;$&quot;* \(#,##0\);_(&quot;$&quot;* &quot;-&quot;??_);_(@_)"/>
    <numFmt numFmtId="181" formatCode="_(&quot;$&quot;* #,##0.0000_);_(&quot;$&quot;* \(#,##0.0000\);_(&quot;$&quot;* &quot;-&quot;??_);_(@_)"/>
    <numFmt numFmtId="182" formatCode="_(&quot;$&quot;* #,##0.000_);_(&quot;$&quot;* \(#,##0.000\);_(&quot;$&quot;* &quot;-&quot;??_);_(@_)"/>
  </numFmts>
  <fonts count="11">
    <font>
      <sz val="10"/>
      <name val="Geneva"/>
    </font>
    <font>
      <sz val="10"/>
      <name val="Geneva"/>
    </font>
    <font>
      <sz val="8"/>
      <name val="Helv"/>
    </font>
    <font>
      <b/>
      <sz val="8"/>
      <name val="Helv"/>
    </font>
    <font>
      <b/>
      <sz val="10"/>
      <name val="Arial Black"/>
      <family val="2"/>
    </font>
    <font>
      <sz val="10"/>
      <name val="Helv"/>
    </font>
    <font>
      <sz val="10"/>
      <name val="Arial"/>
      <family val="2"/>
    </font>
    <font>
      <sz val="8"/>
      <name val="Geneva"/>
    </font>
    <font>
      <b/>
      <sz val="10"/>
      <name val="Geneva"/>
    </font>
    <font>
      <b/>
      <sz val="11"/>
      <color theme="1"/>
      <name val="Calibri"/>
      <family val="2"/>
      <scheme val="minor"/>
    </font>
    <font>
      <b/>
      <sz val="10"/>
      <name val="Helv"/>
    </font>
  </fonts>
  <fills count="14">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3" tint="0.749992370372631"/>
        <bgColor indexed="64"/>
      </patternFill>
    </fill>
    <fill>
      <patternFill patternType="solid">
        <fgColor theme="7" tint="0.39997558519241921"/>
        <bgColor indexed="64"/>
      </patternFill>
    </fill>
  </fills>
  <borders count="43">
    <border>
      <left/>
      <right/>
      <top/>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diagonal/>
    </border>
  </borders>
  <cellStyleXfs count="4">
    <xf numFmtId="0" fontId="0" fillId="0" borderId="0"/>
    <xf numFmtId="40" fontId="1" fillId="0" borderId="0"/>
    <xf numFmtId="0" fontId="6" fillId="0" borderId="0"/>
    <xf numFmtId="9" fontId="1" fillId="0" borderId="0"/>
  </cellStyleXfs>
  <cellXfs count="305">
    <xf numFmtId="0" fontId="0" fillId="0" borderId="0" xfId="0"/>
    <xf numFmtId="0" fontId="2" fillId="0" borderId="0" xfId="0" applyFont="1"/>
    <xf numFmtId="0" fontId="3" fillId="0" borderId="0" xfId="0" applyFont="1" applyAlignment="1">
      <alignment horizontal="left"/>
    </xf>
    <xf numFmtId="3" fontId="2" fillId="0" borderId="0" xfId="0" applyNumberFormat="1" applyFont="1" applyAlignment="1">
      <alignment horizontal="right"/>
    </xf>
    <xf numFmtId="40" fontId="2" fillId="0" borderId="0" xfId="1" applyFont="1"/>
    <xf numFmtId="10" fontId="2" fillId="0" borderId="0" xfId="0" applyNumberFormat="1" applyFont="1"/>
    <xf numFmtId="2" fontId="2" fillId="0" borderId="0" xfId="0" applyNumberFormat="1" applyFont="1"/>
    <xf numFmtId="0" fontId="2" fillId="0" borderId="9" xfId="0" applyFont="1" applyBorder="1"/>
    <xf numFmtId="0" fontId="2" fillId="2" borderId="9" xfId="0" applyFont="1" applyFill="1" applyBorder="1"/>
    <xf numFmtId="0" fontId="0" fillId="0" borderId="6" xfId="0" applyBorder="1"/>
    <xf numFmtId="0" fontId="0" fillId="0" borderId="10" xfId="0" applyBorder="1"/>
    <xf numFmtId="0" fontId="0" fillId="0" borderId="4" xfId="0" applyBorder="1"/>
    <xf numFmtId="0" fontId="0" fillId="0" borderId="11" xfId="0" applyBorder="1"/>
    <xf numFmtId="0" fontId="0" fillId="0" borderId="0" xfId="0" applyAlignment="1">
      <alignment horizontal="center"/>
    </xf>
    <xf numFmtId="2" fontId="0" fillId="0" borderId="0" xfId="0" applyNumberFormat="1"/>
    <xf numFmtId="0" fontId="0" fillId="0" borderId="1" xfId="0" applyBorder="1" applyAlignment="1">
      <alignment horizontal="center"/>
    </xf>
    <xf numFmtId="0" fontId="0" fillId="0" borderId="3" xfId="0" applyBorder="1" applyAlignment="1">
      <alignment horizontal="center"/>
    </xf>
    <xf numFmtId="1" fontId="2" fillId="0" borderId="0" xfId="0" applyNumberFormat="1" applyFont="1"/>
    <xf numFmtId="0" fontId="5" fillId="0" borderId="0" xfId="0" applyFont="1"/>
    <xf numFmtId="164" fontId="3" fillId="0" borderId="0" xfId="0" applyNumberFormat="1" applyFont="1" applyAlignment="1">
      <alignment horizontal="center"/>
    </xf>
    <xf numFmtId="4" fontId="5" fillId="0" borderId="0" xfId="0" applyNumberFormat="1" applyFont="1" applyAlignment="1">
      <alignment horizontal="center"/>
    </xf>
    <xf numFmtId="165" fontId="2" fillId="0" borderId="0" xfId="1" applyNumberFormat="1" applyFont="1"/>
    <xf numFmtId="2" fontId="2" fillId="0" borderId="0" xfId="0" applyNumberFormat="1" applyFont="1" applyAlignment="1">
      <alignment horizontal="right"/>
    </xf>
    <xf numFmtId="4" fontId="2" fillId="0" borderId="0" xfId="0" applyNumberFormat="1" applyFont="1" applyAlignment="1">
      <alignment horizontal="center"/>
    </xf>
    <xf numFmtId="1" fontId="2" fillId="0" borderId="0" xfId="0" applyNumberFormat="1" applyFont="1" applyAlignment="1">
      <alignment horizontal="center"/>
    </xf>
    <xf numFmtId="0" fontId="0" fillId="0" borderId="2" xfId="0" applyBorder="1"/>
    <xf numFmtId="0" fontId="0" fillId="0" borderId="1" xfId="0" applyBorder="1"/>
    <xf numFmtId="0" fontId="0" fillId="0" borderId="3" xfId="0" applyBorder="1"/>
    <xf numFmtId="0" fontId="3" fillId="0" borderId="10" xfId="0" applyFont="1" applyBorder="1" applyAlignment="1">
      <alignment horizontal="center"/>
    </xf>
    <xf numFmtId="0" fontId="3" fillId="0" borderId="10" xfId="0" applyFont="1" applyBorder="1" applyAlignment="1">
      <alignment horizontal="center" vertical="center"/>
    </xf>
    <xf numFmtId="2" fontId="0" fillId="0" borderId="5" xfId="0" applyNumberFormat="1" applyBorder="1"/>
    <xf numFmtId="2" fontId="0" fillId="0" borderId="6" xfId="0" applyNumberFormat="1" applyBorder="1"/>
    <xf numFmtId="10" fontId="0" fillId="0" borderId="5" xfId="3" applyNumberFormat="1" applyFont="1" applyBorder="1"/>
    <xf numFmtId="9" fontId="0" fillId="0" borderId="6" xfId="0" applyNumberFormat="1" applyBorder="1"/>
    <xf numFmtId="2" fontId="0" fillId="0" borderId="6" xfId="3" applyNumberFormat="1" applyFont="1" applyBorder="1"/>
    <xf numFmtId="1" fontId="2" fillId="0" borderId="0" xfId="0" applyNumberFormat="1" applyFont="1" applyAlignment="1">
      <alignment horizontal="right"/>
    </xf>
    <xf numFmtId="1" fontId="0" fillId="0" borderId="0" xfId="0" applyNumberFormat="1"/>
    <xf numFmtId="0" fontId="0" fillId="0" borderId="11" xfId="0" applyBorder="1" applyAlignment="1">
      <alignment horizontal="center"/>
    </xf>
    <xf numFmtId="0" fontId="0" fillId="3" borderId="2" xfId="0" applyFill="1" applyBorder="1"/>
    <xf numFmtId="0" fontId="0" fillId="3" borderId="1" xfId="0" applyFill="1" applyBorder="1"/>
    <xf numFmtId="0" fontId="0" fillId="0" borderId="0" xfId="0" applyAlignment="1">
      <alignment wrapText="1"/>
    </xf>
    <xf numFmtId="0" fontId="3" fillId="0" borderId="11" xfId="0" applyFont="1" applyBorder="1" applyAlignment="1">
      <alignment horizontal="center"/>
    </xf>
    <xf numFmtId="2" fontId="0" fillId="0" borderId="7" xfId="0" applyNumberFormat="1" applyBorder="1"/>
    <xf numFmtId="164" fontId="3" fillId="0" borderId="10" xfId="0" applyNumberFormat="1" applyFont="1" applyBorder="1" applyAlignment="1">
      <alignment horizontal="center"/>
    </xf>
    <xf numFmtId="2" fontId="2" fillId="0" borderId="10" xfId="0" applyNumberFormat="1" applyFont="1" applyBorder="1" applyAlignment="1">
      <alignment horizontal="right"/>
    </xf>
    <xf numFmtId="1" fontId="2" fillId="0" borderId="10" xfId="0" applyNumberFormat="1" applyFont="1" applyBorder="1" applyAlignment="1">
      <alignment horizontal="right"/>
    </xf>
    <xf numFmtId="0" fontId="0" fillId="0" borderId="10" xfId="0" applyBorder="1" applyAlignment="1">
      <alignment wrapText="1"/>
    </xf>
    <xf numFmtId="38" fontId="2" fillId="0" borderId="0" xfId="1" applyNumberFormat="1" applyFont="1"/>
    <xf numFmtId="0" fontId="0" fillId="0" borderId="11" xfId="0" applyBorder="1" applyAlignment="1">
      <alignment horizontal="center" vertical="center"/>
    </xf>
    <xf numFmtId="166" fontId="2" fillId="0" borderId="0" xfId="1" applyNumberFormat="1" applyFont="1"/>
    <xf numFmtId="0" fontId="0" fillId="6" borderId="2" xfId="0" applyFill="1" applyBorder="1"/>
    <xf numFmtId="0" fontId="0" fillId="6" borderId="3" xfId="0" applyFill="1" applyBorder="1"/>
    <xf numFmtId="1" fontId="0" fillId="0" borderId="0" xfId="0" applyNumberFormat="1" applyAlignment="1">
      <alignment horizontal="center"/>
    </xf>
    <xf numFmtId="2" fontId="0" fillId="0" borderId="0" xfId="0" applyNumberFormat="1" applyAlignment="1">
      <alignment horizontal="center"/>
    </xf>
    <xf numFmtId="10" fontId="0" fillId="0" borderId="0" xfId="0" applyNumberFormat="1" applyAlignment="1">
      <alignment horizontal="center"/>
    </xf>
    <xf numFmtId="0" fontId="0" fillId="0" borderId="6" xfId="0" applyBorder="1" applyAlignment="1">
      <alignment horizontal="center"/>
    </xf>
    <xf numFmtId="10" fontId="0" fillId="0" borderId="0" xfId="3" applyNumberFormat="1" applyFont="1" applyAlignment="1">
      <alignment horizontal="center"/>
    </xf>
    <xf numFmtId="10" fontId="0" fillId="0" borderId="6" xfId="3" applyNumberFormat="1" applyFont="1" applyBorder="1" applyAlignment="1">
      <alignment horizontal="center"/>
    </xf>
    <xf numFmtId="1" fontId="0" fillId="0" borderId="10" xfId="0" applyNumberFormat="1" applyBorder="1" applyAlignment="1">
      <alignment horizontal="center"/>
    </xf>
    <xf numFmtId="2" fontId="0" fillId="0" borderId="10" xfId="0" applyNumberFormat="1" applyBorder="1" applyAlignment="1">
      <alignment horizontal="center"/>
    </xf>
    <xf numFmtId="10" fontId="0" fillId="0" borderId="10" xfId="3" applyNumberFormat="1" applyFont="1" applyBorder="1" applyAlignment="1">
      <alignment horizontal="center"/>
    </xf>
    <xf numFmtId="10" fontId="0" fillId="0" borderId="7" xfId="3" applyNumberFormat="1" applyFont="1" applyBorder="1" applyAlignment="1">
      <alignment horizontal="center"/>
    </xf>
    <xf numFmtId="0" fontId="8" fillId="0" borderId="4" xfId="0" applyFont="1" applyBorder="1" applyAlignment="1">
      <alignment horizontal="center"/>
    </xf>
    <xf numFmtId="0" fontId="8" fillId="0" borderId="11" xfId="0" applyFont="1" applyBorder="1" applyAlignment="1">
      <alignment horizontal="center"/>
    </xf>
    <xf numFmtId="0" fontId="8" fillId="0" borderId="8" xfId="0" applyFont="1" applyBorder="1" applyAlignment="1">
      <alignment horizontal="center"/>
    </xf>
    <xf numFmtId="10" fontId="0" fillId="0" borderId="7" xfId="3" applyNumberFormat="1" applyFont="1" applyBorder="1"/>
    <xf numFmtId="0" fontId="0" fillId="3" borderId="0" xfId="0" applyFill="1"/>
    <xf numFmtId="0" fontId="0" fillId="5" borderId="0" xfId="0" applyFill="1" applyAlignment="1">
      <alignment horizontal="center"/>
    </xf>
    <xf numFmtId="0" fontId="0" fillId="5" borderId="0" xfId="0" applyFill="1"/>
    <xf numFmtId="10" fontId="0" fillId="0" borderId="0" xfId="3" applyNumberFormat="1" applyFont="1"/>
    <xf numFmtId="2" fontId="0" fillId="0" borderId="5" xfId="3" applyNumberFormat="1" applyFont="1" applyBorder="1"/>
    <xf numFmtId="2" fontId="0" fillId="0" borderId="7" xfId="3" applyNumberFormat="1" applyFont="1" applyBorder="1"/>
    <xf numFmtId="2" fontId="0" fillId="0" borderId="0" xfId="3" applyNumberFormat="1" applyFont="1"/>
    <xf numFmtId="165" fontId="2" fillId="0" borderId="10" xfId="1" applyNumberFormat="1" applyFont="1" applyBorder="1"/>
    <xf numFmtId="166" fontId="2" fillId="0" borderId="10" xfId="1" applyNumberFormat="1" applyFont="1" applyBorder="1"/>
    <xf numFmtId="10" fontId="2" fillId="0" borderId="0" xfId="1" applyNumberFormat="1" applyFont="1"/>
    <xf numFmtId="10" fontId="2" fillId="0" borderId="10" xfId="1" applyNumberFormat="1" applyFont="1" applyBorder="1"/>
    <xf numFmtId="0" fontId="0" fillId="0" borderId="12" xfId="0" applyBorder="1"/>
    <xf numFmtId="1" fontId="0" fillId="0" borderId="12" xfId="0" applyNumberFormat="1" applyBorder="1"/>
    <xf numFmtId="1" fontId="0" fillId="0" borderId="10" xfId="0" applyNumberFormat="1" applyBorder="1"/>
    <xf numFmtId="3" fontId="0" fillId="0" borderId="5" xfId="0" applyNumberFormat="1" applyBorder="1"/>
    <xf numFmtId="3" fontId="0" fillId="0" borderId="6" xfId="0" applyNumberFormat="1" applyBorder="1"/>
    <xf numFmtId="0" fontId="8" fillId="0" borderId="0" xfId="0" applyFont="1" applyAlignment="1">
      <alignment horizontal="center"/>
    </xf>
    <xf numFmtId="167" fontId="2" fillId="0" borderId="0" xfId="1" applyNumberFormat="1" applyFont="1"/>
    <xf numFmtId="4" fontId="2" fillId="0" borderId="12" xfId="0" applyNumberFormat="1" applyFont="1" applyBorder="1" applyAlignment="1">
      <alignment horizontal="center"/>
    </xf>
    <xf numFmtId="4" fontId="2" fillId="0" borderId="10" xfId="0" applyNumberFormat="1" applyFont="1" applyBorder="1" applyAlignment="1">
      <alignment horizontal="center"/>
    </xf>
    <xf numFmtId="0" fontId="0" fillId="0" borderId="13" xfId="0" applyBorder="1"/>
    <xf numFmtId="0" fontId="0" fillId="0" borderId="14" xfId="0" applyBorder="1"/>
    <xf numFmtId="0" fontId="0" fillId="0" borderId="15" xfId="0" applyBorder="1"/>
    <xf numFmtId="0" fontId="0" fillId="0" borderId="9"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4" fillId="0" borderId="0" xfId="0" applyFont="1"/>
    <xf numFmtId="40" fontId="0" fillId="0" borderId="6" xfId="0" applyNumberFormat="1" applyBorder="1"/>
    <xf numFmtId="167" fontId="2" fillId="0" borderId="10" xfId="1" applyNumberFormat="1" applyFont="1" applyBorder="1"/>
    <xf numFmtId="164" fontId="3" fillId="0" borderId="12" xfId="0" applyNumberFormat="1" applyFont="1" applyBorder="1" applyAlignment="1">
      <alignment horizontal="center"/>
    </xf>
    <xf numFmtId="168" fontId="0" fillId="0" borderId="0" xfId="0" applyNumberFormat="1" applyAlignment="1">
      <alignment horizontal="center"/>
    </xf>
    <xf numFmtId="0" fontId="0" fillId="3" borderId="0" xfId="0" applyFill="1" applyAlignment="1">
      <alignment horizontal="center"/>
    </xf>
    <xf numFmtId="0" fontId="0" fillId="0" borderId="10" xfId="0" applyBorder="1" applyAlignment="1">
      <alignment horizontal="center"/>
    </xf>
    <xf numFmtId="0" fontId="2" fillId="5" borderId="9" xfId="0" applyFont="1" applyFill="1" applyBorder="1"/>
    <xf numFmtId="0" fontId="2" fillId="3" borderId="9" xfId="0" applyFont="1" applyFill="1" applyBorder="1"/>
    <xf numFmtId="10" fontId="2" fillId="0" borderId="0" xfId="3" applyNumberFormat="1" applyFont="1" applyAlignment="1">
      <alignment horizontal="right"/>
    </xf>
    <xf numFmtId="0" fontId="8" fillId="0" borderId="0" xfId="0" applyFont="1"/>
    <xf numFmtId="169" fontId="8" fillId="0" borderId="0" xfId="0" applyNumberFormat="1" applyFont="1"/>
    <xf numFmtId="0" fontId="3" fillId="0" borderId="26" xfId="0" applyFont="1" applyBorder="1"/>
    <xf numFmtId="0" fontId="3" fillId="4" borderId="27" xfId="0" applyFont="1" applyFill="1" applyBorder="1"/>
    <xf numFmtId="0" fontId="3" fillId="0" borderId="27" xfId="0" applyFont="1" applyBorder="1"/>
    <xf numFmtId="0" fontId="3" fillId="0" borderId="28" xfId="0" applyFont="1" applyBorder="1"/>
    <xf numFmtId="0" fontId="2" fillId="0" borderId="29" xfId="0" applyFont="1" applyBorder="1"/>
    <xf numFmtId="0" fontId="2" fillId="0" borderId="30" xfId="0" applyFont="1" applyBorder="1"/>
    <xf numFmtId="4" fontId="5" fillId="5" borderId="0" xfId="0" applyNumberFormat="1" applyFont="1" applyFill="1" applyAlignment="1">
      <alignment horizontal="center"/>
    </xf>
    <xf numFmtId="4" fontId="5" fillId="3" borderId="0" xfId="0" applyNumberFormat="1" applyFont="1" applyFill="1" applyAlignment="1">
      <alignment horizontal="center"/>
    </xf>
    <xf numFmtId="0" fontId="8" fillId="0" borderId="0" xfId="0" applyFont="1" applyAlignment="1">
      <alignment horizontal="left"/>
    </xf>
    <xf numFmtId="38" fontId="2" fillId="0" borderId="0" xfId="1" applyNumberFormat="1" applyFont="1" applyAlignment="1">
      <alignment horizontal="right"/>
    </xf>
    <xf numFmtId="38" fontId="2" fillId="0" borderId="10" xfId="1" applyNumberFormat="1" applyFont="1" applyBorder="1" applyAlignment="1">
      <alignment horizontal="right"/>
    </xf>
    <xf numFmtId="38" fontId="2" fillId="0" borderId="10" xfId="1" applyNumberFormat="1" applyFont="1" applyBorder="1"/>
    <xf numFmtId="0" fontId="0" fillId="5" borderId="2" xfId="0" applyFill="1" applyBorder="1"/>
    <xf numFmtId="0" fontId="0" fillId="5" borderId="1" xfId="0" applyFill="1" applyBorder="1"/>
    <xf numFmtId="0" fontId="0" fillId="5" borderId="3" xfId="0" applyFill="1" applyBorder="1"/>
    <xf numFmtId="40" fontId="2" fillId="0" borderId="0" xfId="1" applyFont="1" applyAlignment="1">
      <alignment horizontal="right"/>
    </xf>
    <xf numFmtId="40" fontId="0" fillId="0" borderId="0" xfId="1" applyFont="1"/>
    <xf numFmtId="2" fontId="2" fillId="0" borderId="10" xfId="0" applyNumberFormat="1" applyFont="1" applyBorder="1"/>
    <xf numFmtId="0" fontId="3" fillId="0" borderId="9" xfId="0" applyFont="1" applyBorder="1"/>
    <xf numFmtId="40" fontId="2" fillId="5" borderId="9" xfId="1" applyFont="1" applyFill="1" applyBorder="1"/>
    <xf numFmtId="3" fontId="3" fillId="0" borderId="0" xfId="0" applyNumberFormat="1" applyFont="1"/>
    <xf numFmtId="4" fontId="3" fillId="0" borderId="0" xfId="0" applyNumberFormat="1" applyFont="1"/>
    <xf numFmtId="10" fontId="3" fillId="0" borderId="0" xfId="0" applyNumberFormat="1" applyFont="1"/>
    <xf numFmtId="2" fontId="3" fillId="0" borderId="9" xfId="0" applyNumberFormat="1" applyFont="1" applyBorder="1" applyAlignment="1">
      <alignment horizontal="right"/>
    </xf>
    <xf numFmtId="2" fontId="3" fillId="0" borderId="0" xfId="0" applyNumberFormat="1" applyFont="1" applyAlignment="1">
      <alignment horizontal="right"/>
    </xf>
    <xf numFmtId="4" fontId="3" fillId="0" borderId="0" xfId="0" applyNumberFormat="1" applyFont="1" applyAlignment="1">
      <alignment horizontal="center"/>
    </xf>
    <xf numFmtId="38" fontId="3" fillId="0" borderId="0" xfId="0" applyNumberFormat="1" applyFont="1"/>
    <xf numFmtId="40" fontId="2" fillId="0" borderId="9" xfId="1" applyFont="1" applyBorder="1"/>
    <xf numFmtId="170" fontId="2" fillId="0" borderId="9" xfId="1" applyNumberFormat="1" applyFont="1" applyBorder="1"/>
    <xf numFmtId="170" fontId="2" fillId="0" borderId="0" xfId="1" applyNumberFormat="1" applyFont="1"/>
    <xf numFmtId="10" fontId="2" fillId="0" borderId="9" xfId="3" applyNumberFormat="1" applyFont="1" applyBorder="1"/>
    <xf numFmtId="10" fontId="2" fillId="0" borderId="0" xfId="3" applyNumberFormat="1" applyFont="1"/>
    <xf numFmtId="20" fontId="3" fillId="0" borderId="0" xfId="0" applyNumberFormat="1" applyFont="1" applyAlignment="1">
      <alignment horizontal="right"/>
    </xf>
    <xf numFmtId="0" fontId="3" fillId="0" borderId="0" xfId="0" applyFont="1"/>
    <xf numFmtId="0" fontId="3" fillId="4" borderId="9" xfId="0" applyFont="1" applyFill="1" applyBorder="1"/>
    <xf numFmtId="171" fontId="3" fillId="0" borderId="9" xfId="0" applyNumberFormat="1" applyFont="1" applyBorder="1" applyAlignment="1">
      <alignment horizontal="center"/>
    </xf>
    <xf numFmtId="164" fontId="3" fillId="0" borderId="9" xfId="0" applyNumberFormat="1" applyFont="1" applyBorder="1" applyAlignment="1">
      <alignment horizontal="center"/>
    </xf>
    <xf numFmtId="4" fontId="3" fillId="0" borderId="9" xfId="0" applyNumberFormat="1" applyFont="1" applyBorder="1" applyAlignment="1">
      <alignment horizontal="center"/>
    </xf>
    <xf numFmtId="38" fontId="3" fillId="0" borderId="9" xfId="0" applyNumberFormat="1" applyFont="1" applyBorder="1"/>
    <xf numFmtId="4" fontId="3" fillId="0" borderId="9" xfId="0" applyNumberFormat="1" applyFont="1" applyBorder="1"/>
    <xf numFmtId="4" fontId="2" fillId="7" borderId="2" xfId="0" applyNumberFormat="1" applyFont="1" applyFill="1" applyBorder="1" applyAlignment="1">
      <alignment horizontal="center"/>
    </xf>
    <xf numFmtId="0" fontId="2" fillId="7" borderId="12" xfId="0" applyFont="1" applyFill="1" applyBorder="1"/>
    <xf numFmtId="38" fontId="2" fillId="7" borderId="12" xfId="0" applyNumberFormat="1" applyFont="1" applyFill="1" applyBorder="1"/>
    <xf numFmtId="4" fontId="2" fillId="7" borderId="12" xfId="0" applyNumberFormat="1" applyFont="1" applyFill="1" applyBorder="1"/>
    <xf numFmtId="0" fontId="2" fillId="7" borderId="5" xfId="0" applyFont="1" applyFill="1" applyBorder="1"/>
    <xf numFmtId="164" fontId="2" fillId="0" borderId="9" xfId="0" applyNumberFormat="1" applyFont="1" applyBorder="1" applyAlignment="1">
      <alignment horizontal="center"/>
    </xf>
    <xf numFmtId="40" fontId="2" fillId="0" borderId="9" xfId="1" applyFont="1" applyBorder="1" applyAlignment="1">
      <alignment horizontal="right"/>
    </xf>
    <xf numFmtId="2" fontId="2" fillId="0" borderId="9" xfId="0" applyNumberFormat="1" applyFont="1" applyBorder="1" applyAlignment="1">
      <alignment horizontal="right"/>
    </xf>
    <xf numFmtId="170" fontId="2" fillId="3" borderId="9" xfId="1" applyNumberFormat="1" applyFont="1" applyFill="1" applyBorder="1" applyAlignment="1">
      <alignment horizontal="right"/>
    </xf>
    <xf numFmtId="172" fontId="2" fillId="0" borderId="9" xfId="0" applyNumberFormat="1" applyFont="1" applyBorder="1" applyAlignment="1">
      <alignment horizontal="right"/>
    </xf>
    <xf numFmtId="2" fontId="2" fillId="5" borderId="2" xfId="0" applyNumberFormat="1" applyFont="1" applyFill="1" applyBorder="1" applyAlignment="1">
      <alignment horizontal="right"/>
    </xf>
    <xf numFmtId="40" fontId="2" fillId="5" borderId="12" xfId="1" applyFont="1" applyFill="1" applyBorder="1" applyAlignment="1">
      <alignment horizontal="right"/>
    </xf>
    <xf numFmtId="0" fontId="2" fillId="5" borderId="12" xfId="0" applyFont="1" applyFill="1" applyBorder="1"/>
    <xf numFmtId="40" fontId="2" fillId="0" borderId="12" xfId="1" applyFont="1" applyBorder="1" applyAlignment="1">
      <alignment horizontal="right"/>
    </xf>
    <xf numFmtId="173" fontId="2" fillId="3" borderId="12" xfId="0" applyNumberFormat="1" applyFont="1" applyFill="1" applyBorder="1"/>
    <xf numFmtId="40" fontId="2" fillId="0" borderId="5" xfId="1" applyFont="1" applyBorder="1" applyAlignment="1">
      <alignment horizontal="right"/>
    </xf>
    <xf numFmtId="2" fontId="2" fillId="5" borderId="1" xfId="0" applyNumberFormat="1" applyFont="1" applyFill="1" applyBorder="1" applyAlignment="1">
      <alignment horizontal="right"/>
    </xf>
    <xf numFmtId="40" fontId="2" fillId="5" borderId="0" xfId="1" applyFont="1" applyFill="1" applyAlignment="1">
      <alignment horizontal="right"/>
    </xf>
    <xf numFmtId="0" fontId="2" fillId="5" borderId="0" xfId="0" applyFont="1" applyFill="1"/>
    <xf numFmtId="173" fontId="2" fillId="3" borderId="0" xfId="0" applyNumberFormat="1" applyFont="1" applyFill="1"/>
    <xf numFmtId="40" fontId="2" fillId="0" borderId="6" xfId="1" applyFont="1" applyBorder="1" applyAlignment="1">
      <alignment horizontal="right"/>
    </xf>
    <xf numFmtId="2" fontId="2" fillId="5" borderId="3" xfId="0" applyNumberFormat="1" applyFont="1" applyFill="1" applyBorder="1" applyAlignment="1">
      <alignment horizontal="right"/>
    </xf>
    <xf numFmtId="40" fontId="2" fillId="5" borderId="10" xfId="1" applyFont="1" applyFill="1" applyBorder="1" applyAlignment="1">
      <alignment horizontal="right"/>
    </xf>
    <xf numFmtId="0" fontId="2" fillId="5" borderId="10" xfId="0" applyFont="1" applyFill="1" applyBorder="1"/>
    <xf numFmtId="40" fontId="2" fillId="0" borderId="10" xfId="1" applyFont="1" applyBorder="1" applyAlignment="1">
      <alignment horizontal="right"/>
    </xf>
    <xf numFmtId="173" fontId="2" fillId="3" borderId="10" xfId="0" applyNumberFormat="1" applyFont="1" applyFill="1" applyBorder="1"/>
    <xf numFmtId="40" fontId="2" fillId="0" borderId="7" xfId="1" applyFont="1" applyBorder="1" applyAlignment="1">
      <alignment horizontal="right"/>
    </xf>
    <xf numFmtId="20" fontId="3" fillId="0" borderId="9" xfId="0" applyNumberFormat="1" applyFont="1" applyBorder="1" applyAlignment="1">
      <alignment horizontal="right"/>
    </xf>
    <xf numFmtId="4" fontId="3" fillId="0" borderId="9" xfId="0" applyNumberFormat="1" applyFont="1" applyBorder="1" applyAlignment="1">
      <alignment horizontal="right"/>
    </xf>
    <xf numFmtId="3" fontId="3" fillId="0" borderId="9" xfId="0" applyNumberFormat="1" applyFont="1" applyBorder="1" applyAlignment="1">
      <alignment horizontal="right"/>
    </xf>
    <xf numFmtId="174" fontId="3" fillId="0" borderId="9" xfId="0" applyNumberFormat="1" applyFont="1" applyBorder="1"/>
    <xf numFmtId="4" fontId="2" fillId="0" borderId="0" xfId="0" applyNumberFormat="1" applyFont="1" applyAlignment="1">
      <alignment horizontal="right"/>
    </xf>
    <xf numFmtId="0" fontId="7" fillId="0" borderId="0" xfId="0" applyFont="1"/>
    <xf numFmtId="10" fontId="2" fillId="0" borderId="0" xfId="0" applyNumberFormat="1" applyFont="1" applyAlignment="1">
      <alignment horizontal="right"/>
    </xf>
    <xf numFmtId="40" fontId="2" fillId="0" borderId="0" xfId="0" applyNumberFormat="1" applyFont="1" applyAlignment="1">
      <alignment horizontal="right"/>
    </xf>
    <xf numFmtId="4" fontId="2" fillId="0" borderId="0" xfId="0" applyNumberFormat="1" applyFont="1"/>
    <xf numFmtId="175" fontId="2" fillId="0" borderId="0" xfId="0" applyNumberFormat="1" applyFont="1"/>
    <xf numFmtId="175" fontId="7" fillId="0" borderId="0" xfId="3" applyNumberFormat="1" applyFont="1"/>
    <xf numFmtId="176" fontId="2" fillId="0" borderId="0" xfId="1" applyNumberFormat="1" applyFont="1"/>
    <xf numFmtId="3" fontId="3" fillId="0" borderId="9" xfId="0" applyNumberFormat="1" applyFont="1" applyBorder="1"/>
    <xf numFmtId="0" fontId="3" fillId="2" borderId="9" xfId="0" applyFont="1" applyFill="1" applyBorder="1"/>
    <xf numFmtId="4" fontId="3" fillId="2" borderId="9" xfId="0" applyNumberFormat="1" applyFont="1" applyFill="1" applyBorder="1" applyAlignment="1">
      <alignment horizontal="center"/>
    </xf>
    <xf numFmtId="175" fontId="3" fillId="2" borderId="9" xfId="0" applyNumberFormat="1" applyFont="1" applyFill="1" applyBorder="1" applyAlignment="1">
      <alignment horizontal="center"/>
    </xf>
    <xf numFmtId="175" fontId="3" fillId="0" borderId="0" xfId="0" applyNumberFormat="1" applyFont="1" applyAlignment="1">
      <alignment horizontal="center"/>
    </xf>
    <xf numFmtId="0" fontId="2" fillId="8" borderId="9" xfId="0" applyFont="1" applyFill="1" applyBorder="1"/>
    <xf numFmtId="0" fontId="2" fillId="4" borderId="9" xfId="0" applyFont="1" applyFill="1" applyBorder="1"/>
    <xf numFmtId="0" fontId="2" fillId="9" borderId="9" xfId="0" applyFont="1" applyFill="1" applyBorder="1"/>
    <xf numFmtId="0" fontId="0" fillId="9" borderId="0" xfId="0" applyFill="1"/>
    <xf numFmtId="40" fontId="8" fillId="0" borderId="0" xfId="0" applyNumberFormat="1" applyFont="1"/>
    <xf numFmtId="0" fontId="0" fillId="3" borderId="10" xfId="0" applyFill="1" applyBorder="1"/>
    <xf numFmtId="4" fontId="5" fillId="8" borderId="0" xfId="0" applyNumberFormat="1" applyFont="1" applyFill="1" applyAlignment="1">
      <alignment horizontal="center"/>
    </xf>
    <xf numFmtId="169" fontId="8" fillId="0" borderId="10" xfId="0" applyNumberFormat="1" applyFont="1" applyBorder="1"/>
    <xf numFmtId="0" fontId="0" fillId="9" borderId="2" xfId="0" applyFill="1" applyBorder="1"/>
    <xf numFmtId="0" fontId="0" fillId="9" borderId="1" xfId="0" applyFill="1" applyBorder="1"/>
    <xf numFmtId="0" fontId="0" fillId="9" borderId="3" xfId="0" applyFill="1" applyBorder="1"/>
    <xf numFmtId="0" fontId="0" fillId="3" borderId="3" xfId="0" applyFill="1" applyBorder="1"/>
    <xf numFmtId="0" fontId="0" fillId="10" borderId="0" xfId="0" applyFill="1"/>
    <xf numFmtId="0" fontId="0" fillId="10" borderId="10" xfId="0" applyFill="1" applyBorder="1"/>
    <xf numFmtId="0" fontId="0" fillId="10" borderId="0" xfId="0" applyFill="1" applyAlignment="1">
      <alignment horizontal="center"/>
    </xf>
    <xf numFmtId="0" fontId="2" fillId="10" borderId="9" xfId="0" applyFont="1" applyFill="1" applyBorder="1"/>
    <xf numFmtId="4" fontId="5" fillId="10" borderId="0" xfId="0" applyNumberFormat="1" applyFont="1" applyFill="1" applyAlignment="1">
      <alignment horizontal="center"/>
    </xf>
    <xf numFmtId="4" fontId="5" fillId="0" borderId="10" xfId="0" applyNumberFormat="1" applyFont="1" applyBorder="1" applyAlignment="1">
      <alignment horizontal="center"/>
    </xf>
    <xf numFmtId="0" fontId="0" fillId="10" borderId="2" xfId="0" applyFill="1" applyBorder="1"/>
    <xf numFmtId="0" fontId="0" fillId="10" borderId="1" xfId="0" applyFill="1" applyBorder="1"/>
    <xf numFmtId="0" fontId="0" fillId="10" borderId="3" xfId="0" applyFill="1" applyBorder="1"/>
    <xf numFmtId="4" fontId="5" fillId="9" borderId="0" xfId="0" applyNumberFormat="1" applyFont="1" applyFill="1" applyAlignment="1">
      <alignment horizontal="center"/>
    </xf>
    <xf numFmtId="40" fontId="3" fillId="0" borderId="0" xfId="0" applyNumberFormat="1" applyFont="1" applyAlignment="1">
      <alignment horizontal="center"/>
    </xf>
    <xf numFmtId="0" fontId="0" fillId="11" borderId="0" xfId="0" applyFill="1"/>
    <xf numFmtId="0" fontId="0" fillId="11" borderId="2" xfId="0" applyFill="1" applyBorder="1"/>
    <xf numFmtId="0" fontId="0" fillId="11" borderId="1" xfId="0" applyFill="1" applyBorder="1"/>
    <xf numFmtId="0" fontId="0" fillId="11" borderId="3" xfId="0" applyFill="1" applyBorder="1"/>
    <xf numFmtId="0" fontId="2" fillId="11" borderId="9" xfId="0" applyFont="1" applyFill="1" applyBorder="1"/>
    <xf numFmtId="4" fontId="5" fillId="11" borderId="0" xfId="0" applyNumberFormat="1" applyFont="1" applyFill="1" applyAlignment="1">
      <alignment horizontal="center"/>
    </xf>
    <xf numFmtId="4" fontId="5" fillId="11" borderId="10" xfId="0" applyNumberFormat="1" applyFont="1" applyFill="1" applyBorder="1" applyAlignment="1">
      <alignment horizontal="center"/>
    </xf>
    <xf numFmtId="1" fontId="2" fillId="0" borderId="10" xfId="0" applyNumberFormat="1" applyFont="1" applyBorder="1" applyAlignment="1">
      <alignment horizontal="center"/>
    </xf>
    <xf numFmtId="0" fontId="0" fillId="0" borderId="0" xfId="0" applyAlignment="1">
      <alignment horizontal="left"/>
    </xf>
    <xf numFmtId="0" fontId="1" fillId="0" borderId="0" xfId="0" applyFont="1"/>
    <xf numFmtId="177" fontId="2" fillId="0" borderId="0" xfId="1" applyNumberFormat="1" applyFont="1"/>
    <xf numFmtId="38" fontId="2" fillId="0" borderId="0" xfId="1" applyNumberFormat="1" applyFont="1" applyAlignment="1">
      <alignment horizontal="center"/>
    </xf>
    <xf numFmtId="177" fontId="2" fillId="0" borderId="0" xfId="0" applyNumberFormat="1" applyFont="1"/>
    <xf numFmtId="0" fontId="1" fillId="0" borderId="0" xfId="1" applyNumberFormat="1"/>
    <xf numFmtId="177" fontId="2" fillId="0" borderId="10" xfId="1" applyNumberFormat="1" applyFont="1" applyBorder="1"/>
    <xf numFmtId="38" fontId="2" fillId="0" borderId="10" xfId="1" applyNumberFormat="1" applyFont="1" applyBorder="1" applyAlignment="1">
      <alignment horizontal="center"/>
    </xf>
    <xf numFmtId="40" fontId="2" fillId="0" borderId="10" xfId="1" applyFont="1" applyBorder="1"/>
    <xf numFmtId="177" fontId="2" fillId="0" borderId="10" xfId="0" applyNumberFormat="1" applyFont="1" applyBorder="1"/>
    <xf numFmtId="10" fontId="2" fillId="0" borderId="10" xfId="3" applyNumberFormat="1" applyFont="1" applyBorder="1"/>
    <xf numFmtId="9" fontId="2" fillId="0" borderId="0" xfId="3" applyFont="1"/>
    <xf numFmtId="178" fontId="3" fillId="0" borderId="0" xfId="0" applyNumberFormat="1" applyFont="1" applyAlignment="1">
      <alignment horizontal="center"/>
    </xf>
    <xf numFmtId="0" fontId="10" fillId="0" borderId="9" xfId="0" applyFont="1" applyBorder="1"/>
    <xf numFmtId="4" fontId="2" fillId="7" borderId="4" xfId="0" applyNumberFormat="1" applyFont="1" applyFill="1" applyBorder="1" applyAlignment="1">
      <alignment horizontal="center"/>
    </xf>
    <xf numFmtId="0" fontId="2" fillId="7" borderId="11" xfId="0" applyFont="1" applyFill="1" applyBorder="1"/>
    <xf numFmtId="38" fontId="2" fillId="7" borderId="11" xfId="0" applyNumberFormat="1" applyFont="1" applyFill="1" applyBorder="1"/>
    <xf numFmtId="4" fontId="2" fillId="7" borderId="11" xfId="0" applyNumberFormat="1" applyFont="1" applyFill="1" applyBorder="1"/>
    <xf numFmtId="0" fontId="2" fillId="7" borderId="8" xfId="0" applyFont="1" applyFill="1" applyBorder="1"/>
    <xf numFmtId="0" fontId="1" fillId="0" borderId="9" xfId="0" applyFont="1" applyBorder="1"/>
    <xf numFmtId="38" fontId="3" fillId="0" borderId="9" xfId="0" applyNumberFormat="1" applyFont="1" applyBorder="1" applyAlignment="1">
      <alignment horizontal="right"/>
    </xf>
    <xf numFmtId="179" fontId="1" fillId="0" borderId="0" xfId="0" applyNumberFormat="1" applyFont="1"/>
    <xf numFmtId="179" fontId="8" fillId="0" borderId="10" xfId="0" applyNumberFormat="1" applyFont="1" applyBorder="1"/>
    <xf numFmtId="0" fontId="8" fillId="0" borderId="31" xfId="0" applyFont="1" applyBorder="1"/>
    <xf numFmtId="0" fontId="8" fillId="0" borderId="10" xfId="0" applyFont="1" applyBorder="1"/>
    <xf numFmtId="6" fontId="8" fillId="0" borderId="0" xfId="0" applyNumberFormat="1" applyFont="1" applyAlignment="1">
      <alignment horizontal="center"/>
    </xf>
    <xf numFmtId="40" fontId="8" fillId="0" borderId="18" xfId="1" applyFont="1" applyBorder="1"/>
    <xf numFmtId="44" fontId="8" fillId="0" borderId="0" xfId="0" applyNumberFormat="1" applyFont="1" applyAlignment="1">
      <alignment horizontal="center"/>
    </xf>
    <xf numFmtId="40" fontId="1" fillId="0" borderId="18" xfId="1" applyBorder="1"/>
    <xf numFmtId="0" fontId="1" fillId="0" borderId="11" xfId="0" applyFont="1" applyBorder="1" applyAlignment="1">
      <alignment horizontal="center"/>
    </xf>
    <xf numFmtId="40" fontId="1" fillId="0" borderId="32" xfId="1" applyBorder="1"/>
    <xf numFmtId="0" fontId="9" fillId="12" borderId="33" xfId="0" applyFont="1" applyFill="1" applyBorder="1"/>
    <xf numFmtId="179" fontId="9" fillId="12" borderId="34" xfId="0" applyNumberFormat="1" applyFont="1" applyFill="1" applyBorder="1" applyAlignment="1">
      <alignment horizontal="center"/>
    </xf>
    <xf numFmtId="0" fontId="9" fillId="0" borderId="26" xfId="0" applyFont="1" applyBorder="1"/>
    <xf numFmtId="180" fontId="9" fillId="0" borderId="28" xfId="0" applyNumberFormat="1" applyFont="1" applyBorder="1" applyAlignment="1">
      <alignment horizontal="center"/>
    </xf>
    <xf numFmtId="0" fontId="9" fillId="0" borderId="35" xfId="0" applyFont="1" applyBorder="1"/>
    <xf numFmtId="0" fontId="1" fillId="0" borderId="36" xfId="0" applyFont="1" applyBorder="1" applyAlignment="1">
      <alignment horizontal="center"/>
    </xf>
    <xf numFmtId="10" fontId="1" fillId="0" borderId="28" xfId="3" applyNumberFormat="1" applyBorder="1" applyAlignment="1">
      <alignment horizontal="center"/>
    </xf>
    <xf numFmtId="0" fontId="9" fillId="0" borderId="37" xfId="0" applyFont="1" applyBorder="1"/>
    <xf numFmtId="10" fontId="1" fillId="0" borderId="38" xfId="3" applyNumberFormat="1" applyBorder="1" applyAlignment="1">
      <alignment horizontal="center"/>
    </xf>
    <xf numFmtId="0" fontId="9" fillId="0" borderId="29" xfId="0" applyFont="1" applyBorder="1"/>
    <xf numFmtId="2" fontId="1" fillId="0" borderId="30" xfId="0" applyNumberFormat="1" applyFont="1" applyBorder="1" applyAlignment="1">
      <alignment horizontal="center"/>
    </xf>
    <xf numFmtId="0" fontId="9" fillId="0" borderId="39" xfId="0" applyFont="1" applyBorder="1"/>
    <xf numFmtId="38" fontId="1" fillId="0" borderId="40" xfId="1" applyNumberFormat="1" applyBorder="1" applyAlignment="1">
      <alignment horizontal="center"/>
    </xf>
    <xf numFmtId="0" fontId="8" fillId="0" borderId="28" xfId="0" applyFont="1" applyBorder="1" applyAlignment="1">
      <alignment horizontal="center"/>
    </xf>
    <xf numFmtId="10" fontId="1" fillId="0" borderId="40" xfId="3" applyNumberFormat="1" applyBorder="1" applyAlignment="1">
      <alignment horizontal="center"/>
    </xf>
    <xf numFmtId="0" fontId="9" fillId="0" borderId="33" xfId="0" applyFont="1" applyBorder="1"/>
    <xf numFmtId="44" fontId="1" fillId="0" borderId="34" xfId="0" applyNumberFormat="1" applyFont="1" applyBorder="1" applyAlignment="1">
      <alignment horizontal="center"/>
    </xf>
    <xf numFmtId="0" fontId="9" fillId="12" borderId="41" xfId="0" applyFont="1" applyFill="1" applyBorder="1"/>
    <xf numFmtId="38" fontId="1" fillId="0" borderId="28" xfId="1" applyNumberFormat="1" applyBorder="1"/>
    <xf numFmtId="169" fontId="1" fillId="0" borderId="30" xfId="0" applyNumberFormat="1" applyFont="1" applyBorder="1"/>
    <xf numFmtId="0" fontId="1" fillId="0" borderId="30" xfId="0" applyFont="1" applyBorder="1"/>
    <xf numFmtId="40" fontId="1" fillId="0" borderId="30" xfId="1" applyBorder="1"/>
    <xf numFmtId="44" fontId="1" fillId="0" borderId="30" xfId="0" applyNumberFormat="1" applyFont="1" applyBorder="1"/>
    <xf numFmtId="10" fontId="1" fillId="0" borderId="30" xfId="0" applyNumberFormat="1" applyFont="1" applyBorder="1"/>
    <xf numFmtId="44" fontId="1" fillId="0" borderId="30" xfId="0" applyNumberFormat="1" applyFont="1" applyBorder="1" applyAlignment="1">
      <alignment horizontal="center"/>
    </xf>
    <xf numFmtId="181" fontId="1" fillId="0" borderId="40" xfId="0" applyNumberFormat="1" applyFont="1" applyBorder="1"/>
    <xf numFmtId="182" fontId="1" fillId="0" borderId="40" xfId="0" applyNumberFormat="1" applyFont="1" applyBorder="1"/>
    <xf numFmtId="0" fontId="8" fillId="4" borderId="9" xfId="0" applyFont="1" applyFill="1" applyBorder="1" applyAlignment="1">
      <alignment horizontal="center" vertical="center"/>
    </xf>
    <xf numFmtId="0" fontId="8" fillId="4" borderId="23" xfId="0" applyFont="1" applyFill="1" applyBorder="1" applyAlignment="1">
      <alignment horizontal="center" vertical="center"/>
    </xf>
    <xf numFmtId="0" fontId="1" fillId="0" borderId="9" xfId="0" applyFont="1" applyBorder="1" applyAlignment="1">
      <alignment horizontal="center"/>
    </xf>
    <xf numFmtId="0" fontId="3" fillId="0" borderId="9" xfId="0" applyFont="1" applyBorder="1" applyAlignment="1">
      <alignment horizontal="center" vertical="center"/>
    </xf>
    <xf numFmtId="0" fontId="10" fillId="0" borderId="42" xfId="0" applyFont="1" applyBorder="1"/>
    <xf numFmtId="0" fontId="1" fillId="3" borderId="9" xfId="0" applyFont="1" applyFill="1" applyBorder="1"/>
    <xf numFmtId="0" fontId="1" fillId="5" borderId="9" xfId="0" applyFont="1" applyFill="1" applyBorder="1"/>
    <xf numFmtId="0" fontId="3" fillId="0" borderId="9" xfId="0" applyFont="1" applyBorder="1" applyAlignment="1">
      <alignment horizontal="center" vertical="center" wrapText="1"/>
    </xf>
    <xf numFmtId="0" fontId="1" fillId="11" borderId="9" xfId="0" applyFont="1" applyFill="1" applyBorder="1"/>
    <xf numFmtId="0" fontId="1" fillId="13" borderId="9" xfId="0" applyFont="1" applyFill="1" applyBorder="1"/>
    <xf numFmtId="0" fontId="1" fillId="10" borderId="9" xfId="0" applyFont="1" applyFill="1" applyBorder="1"/>
    <xf numFmtId="0" fontId="9" fillId="0" borderId="10" xfId="0" applyFont="1" applyBorder="1" applyAlignment="1">
      <alignment horizontal="center" vertical="center"/>
    </xf>
    <xf numFmtId="0" fontId="0" fillId="0" borderId="10" xfId="0" applyBorder="1"/>
    <xf numFmtId="0" fontId="3" fillId="0" borderId="10" xfId="0" applyFont="1" applyBorder="1" applyAlignment="1">
      <alignment horizontal="center" vertical="center"/>
    </xf>
    <xf numFmtId="0" fontId="1" fillId="0" borderId="10" xfId="0" applyFont="1" applyBorder="1" applyAlignment="1">
      <alignment horizontal="center" vertical="center"/>
    </xf>
    <xf numFmtId="0" fontId="4" fillId="0" borderId="0" xfId="0" applyFont="1"/>
    <xf numFmtId="0" fontId="0" fillId="0" borderId="0" xfId="0"/>
    <xf numFmtId="38" fontId="9" fillId="0" borderId="10" xfId="1" applyNumberFormat="1" applyFont="1" applyBorder="1" applyAlignment="1">
      <alignment horizontal="center" vertical="center" wrapText="1"/>
    </xf>
    <xf numFmtId="0" fontId="8" fillId="0" borderId="10" xfId="0" applyFont="1" applyBorder="1" applyAlignment="1">
      <alignment horizontal="center" vertical="center"/>
    </xf>
    <xf numFmtId="38" fontId="9" fillId="0" borderId="10" xfId="1" applyNumberFormat="1" applyFont="1" applyBorder="1" applyAlignment="1">
      <alignment horizontal="center" vertical="center"/>
    </xf>
  </cellXfs>
  <cellStyles count="4">
    <cellStyle name="Comma" xfId="1" builtinId="3"/>
    <cellStyle name="Excel Built-in Normal" xfId="2" xr:uid="{00000000-0005-0000-0000-000002000000}"/>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P429"/>
  <sheetViews>
    <sheetView zoomScaleNormal="100" workbookViewId="0">
      <selection activeCell="C16" sqref="C16"/>
    </sheetView>
  </sheetViews>
  <sheetFormatPr defaultRowHeight="13.2"/>
  <cols>
    <col min="2" max="2" width="18.77734375" customWidth="1"/>
    <col min="3" max="3" width="48.5546875" customWidth="1"/>
    <col min="4" max="4" width="15.33203125" customWidth="1"/>
    <col min="5" max="5" width="15.88671875" customWidth="1"/>
    <col min="6" max="7" width="12.6640625" customWidth="1"/>
    <col min="8" max="8" width="32.44140625" style="13" customWidth="1"/>
    <col min="9" max="9" width="26.33203125" style="13" customWidth="1"/>
    <col min="10" max="11" width="13.33203125" customWidth="1"/>
    <col min="13" max="13" width="41.5546875" customWidth="1"/>
    <col min="14" max="14" width="13" customWidth="1"/>
    <col min="15" max="15" width="9.33203125" bestFit="1" customWidth="1"/>
    <col min="16" max="16" width="14.88671875" customWidth="1"/>
    <col min="17" max="17" width="10.88671875" customWidth="1"/>
    <col min="18" max="18" width="12.88671875" customWidth="1"/>
    <col min="20" max="20" width="10.88671875" customWidth="1"/>
    <col min="21" max="21" width="10.33203125" customWidth="1"/>
    <col min="22" max="22" width="10.6640625" customWidth="1"/>
    <col min="24" max="24" width="10.33203125" customWidth="1"/>
  </cols>
  <sheetData>
    <row r="2" spans="2:16" ht="16.2" customHeight="1">
      <c r="B2" s="13" t="s">
        <v>157</v>
      </c>
      <c r="C2" s="13"/>
      <c r="D2" s="13"/>
      <c r="E2" s="13" t="s">
        <v>158</v>
      </c>
      <c r="F2" s="13" t="s">
        <v>158</v>
      </c>
      <c r="G2" s="13" t="s">
        <v>159</v>
      </c>
      <c r="J2" s="13"/>
      <c r="K2" s="82" t="s">
        <v>160</v>
      </c>
      <c r="M2" s="100" t="s">
        <v>161</v>
      </c>
      <c r="N2" s="100"/>
      <c r="O2" s="100"/>
      <c r="P2" s="100"/>
    </row>
    <row r="3" spans="2:16" ht="16.8" customHeight="1" thickBot="1">
      <c r="B3" s="28" t="s">
        <v>162</v>
      </c>
      <c r="C3" s="28" t="s">
        <v>163</v>
      </c>
      <c r="D3" s="28" t="s">
        <v>159</v>
      </c>
      <c r="E3" s="29" t="s">
        <v>164</v>
      </c>
      <c r="F3" s="29" t="s">
        <v>165</v>
      </c>
      <c r="G3" s="28" t="s">
        <v>166</v>
      </c>
      <c r="H3" s="28" t="s">
        <v>167</v>
      </c>
      <c r="I3" s="28" t="s">
        <v>168</v>
      </c>
      <c r="J3" s="28" t="s">
        <v>169</v>
      </c>
      <c r="K3" s="28" t="s">
        <v>170</v>
      </c>
      <c r="M3" s="100" t="s">
        <v>171</v>
      </c>
      <c r="N3" s="100"/>
      <c r="O3" s="100"/>
      <c r="P3" s="100"/>
    </row>
    <row r="4" spans="2:16" ht="16.2" customHeight="1">
      <c r="B4" s="103">
        <f>Tiers!B3</f>
        <v>0</v>
      </c>
      <c r="C4" s="20" t="str">
        <f>Tiers!X3</f>
        <v>0|||||||||</v>
      </c>
      <c r="D4" s="83">
        <f>Tiers!C3</f>
        <v>0</v>
      </c>
      <c r="E4" s="121">
        <f>F4-SUM(E5:E410)</f>
        <v>1486523</v>
      </c>
      <c r="F4" s="47">
        <v>2000000</v>
      </c>
      <c r="G4" s="17">
        <f t="shared" ref="G4:G67" si="0">E4*D4</f>
        <v>0</v>
      </c>
      <c r="H4" s="23" t="s">
        <v>172</v>
      </c>
      <c r="I4" s="84">
        <f t="shared" ref="I4:I67" si="1">F4/E4</f>
        <v>1.345421497010137</v>
      </c>
      <c r="J4" s="49">
        <f t="shared" ref="J4:J67" si="2">ROUND(IF(D4=0,($N$17*0.3),((((N$17*0.7)-(N$19*N$18)))*(E4/$N$14)+$N$19)),0)</f>
        <v>1800</v>
      </c>
      <c r="K4" s="49"/>
      <c r="M4" s="100" t="s">
        <v>173</v>
      </c>
      <c r="N4" s="100"/>
      <c r="O4" s="100"/>
      <c r="P4" s="100"/>
    </row>
    <row r="5" spans="2:16">
      <c r="B5" s="19">
        <f>Tiers!B4</f>
        <v>1</v>
      </c>
      <c r="C5" s="20" t="str">
        <f>Tiers!X4</f>
        <v>main-0|||||||||</v>
      </c>
      <c r="D5" s="83">
        <f>Tiers!C4</f>
        <v>0.1</v>
      </c>
      <c r="E5" s="121">
        <v>48698</v>
      </c>
      <c r="F5" s="47">
        <v>2000000</v>
      </c>
      <c r="G5" s="6">
        <f t="shared" si="0"/>
        <v>4869.8</v>
      </c>
      <c r="H5" s="24" t="str">
        <f>'Data Analysis'!BK3 &amp; " | " &amp; 'Data Analysis'!BL3</f>
        <v>Less than Stake | Single Win</v>
      </c>
      <c r="I5" s="23">
        <f t="shared" si="1"/>
        <v>41.069448437307486</v>
      </c>
      <c r="J5" s="49">
        <f t="shared" si="2"/>
        <v>173</v>
      </c>
      <c r="K5" s="75">
        <f t="shared" ref="K5:K68" si="3">G5/N$9</f>
        <v>3.0685057873954848E-3</v>
      </c>
      <c r="M5" s="1"/>
      <c r="N5" s="6"/>
      <c r="O5" s="1"/>
      <c r="P5" s="1"/>
    </row>
    <row r="6" spans="2:16">
      <c r="B6" s="19">
        <f>Tiers!B5</f>
        <v>2</v>
      </c>
      <c r="C6" s="20" t="str">
        <f>Tiers!X5</f>
        <v>main-1|||||||||</v>
      </c>
      <c r="D6" s="83">
        <f>Tiers!C5</f>
        <v>0.2</v>
      </c>
      <c r="E6" s="121">
        <v>35002</v>
      </c>
      <c r="F6" s="47">
        <v>2000000</v>
      </c>
      <c r="G6" s="6">
        <f t="shared" si="0"/>
        <v>7000.4000000000005</v>
      </c>
      <c r="H6" s="24" t="str">
        <f>'Data Analysis'!BK4 &amp; " | " &amp; 'Data Analysis'!BL4</f>
        <v>Less than Stake | Single Win</v>
      </c>
      <c r="I6" s="23">
        <f t="shared" si="1"/>
        <v>57.13959202331295</v>
      </c>
      <c r="J6" s="49">
        <f t="shared" si="2"/>
        <v>126</v>
      </c>
      <c r="K6" s="75">
        <f t="shared" si="3"/>
        <v>4.4110164512060762E-3</v>
      </c>
      <c r="M6" s="2" t="s">
        <v>174</v>
      </c>
      <c r="N6" s="3">
        <v>2000000</v>
      </c>
    </row>
    <row r="7" spans="2:16">
      <c r="B7" s="19">
        <f>Tiers!B6</f>
        <v>3</v>
      </c>
      <c r="C7" s="20" t="str">
        <f>Tiers!X6</f>
        <v>main-2|||||||||</v>
      </c>
      <c r="D7" s="83">
        <f>Tiers!C6</f>
        <v>0.5</v>
      </c>
      <c r="E7" s="121">
        <v>20000</v>
      </c>
      <c r="F7" s="47">
        <v>2000000</v>
      </c>
      <c r="G7" s="6">
        <f t="shared" si="0"/>
        <v>10000</v>
      </c>
      <c r="H7" s="24" t="str">
        <f>'Data Analysis'!BK5 &amp; " | " &amp; 'Data Analysis'!BL5</f>
        <v>Less than Stake | Single Win</v>
      </c>
      <c r="I7" s="23">
        <f t="shared" si="1"/>
        <v>100</v>
      </c>
      <c r="J7" s="49">
        <f t="shared" si="2"/>
        <v>75</v>
      </c>
      <c r="K7" s="75">
        <f t="shared" si="3"/>
        <v>6.301092010750923E-3</v>
      </c>
      <c r="M7" s="2" t="s">
        <v>175</v>
      </c>
      <c r="N7" s="4">
        <v>1</v>
      </c>
    </row>
    <row r="8" spans="2:16">
      <c r="B8" s="19">
        <f>Tiers!B7</f>
        <v>4</v>
      </c>
      <c r="C8" s="20" t="str">
        <f>Tiers!X7</f>
        <v>main-3|||||||||</v>
      </c>
      <c r="D8" s="83">
        <f>Tiers!C7</f>
        <v>1</v>
      </c>
      <c r="E8" s="121">
        <v>27000</v>
      </c>
      <c r="F8" s="47">
        <v>2000000</v>
      </c>
      <c r="G8" s="6">
        <f t="shared" si="0"/>
        <v>27000</v>
      </c>
      <c r="H8" s="24" t="str">
        <f>'Data Analysis'!BK6 &amp; " | " &amp; 'Data Analysis'!BL6</f>
        <v>Stake Back | Single Win</v>
      </c>
      <c r="I8" s="23">
        <f t="shared" si="1"/>
        <v>74.074074074074076</v>
      </c>
      <c r="J8" s="49">
        <f t="shared" si="2"/>
        <v>99</v>
      </c>
      <c r="K8" s="75">
        <f t="shared" si="3"/>
        <v>1.7012948429027494E-2</v>
      </c>
      <c r="M8" s="2" t="s">
        <v>176</v>
      </c>
      <c r="N8" s="4">
        <f>N6*N7</f>
        <v>2000000</v>
      </c>
    </row>
    <row r="9" spans="2:16">
      <c r="B9" s="19">
        <f>Tiers!B8</f>
        <v>5</v>
      </c>
      <c r="C9" s="20" t="str">
        <f>Tiers!X8</f>
        <v>main-4|||||||||</v>
      </c>
      <c r="D9" s="83">
        <f>Tiers!C8</f>
        <v>2</v>
      </c>
      <c r="E9" s="121">
        <v>5000</v>
      </c>
      <c r="F9" s="47">
        <v>2000000</v>
      </c>
      <c r="G9" s="6">
        <f t="shared" si="0"/>
        <v>10000</v>
      </c>
      <c r="H9" s="24" t="str">
        <f>'Data Analysis'!BK7 &amp; " | " &amp; 'Data Analysis'!BL7</f>
        <v>Standard Win | Single Win</v>
      </c>
      <c r="I9" s="23">
        <f t="shared" si="1"/>
        <v>400</v>
      </c>
      <c r="J9" s="49">
        <f t="shared" si="2"/>
        <v>23</v>
      </c>
      <c r="K9" s="75">
        <f t="shared" si="3"/>
        <v>6.301092010750923E-3</v>
      </c>
      <c r="M9" s="2" t="s">
        <v>177</v>
      </c>
      <c r="N9" s="4">
        <f>SUM(G4:G410)</f>
        <v>1587026.5</v>
      </c>
    </row>
    <row r="10" spans="2:16">
      <c r="B10" s="19">
        <f>Tiers!B9</f>
        <v>6</v>
      </c>
      <c r="C10" s="20" t="str">
        <f>Tiers!X9</f>
        <v>main-5|||||||||</v>
      </c>
      <c r="D10" s="83">
        <f>Tiers!C9</f>
        <v>5</v>
      </c>
      <c r="E10" s="121">
        <v>1000</v>
      </c>
      <c r="F10" s="47">
        <v>2000000</v>
      </c>
      <c r="G10" s="6">
        <f t="shared" si="0"/>
        <v>5000</v>
      </c>
      <c r="H10" s="24" t="str">
        <f>'Data Analysis'!BK8 &amp; " | " &amp; 'Data Analysis'!BL8</f>
        <v>Standard Win | Single Win</v>
      </c>
      <c r="I10" s="23">
        <f t="shared" si="1"/>
        <v>2000</v>
      </c>
      <c r="J10" s="49">
        <f t="shared" si="2"/>
        <v>9</v>
      </c>
      <c r="K10" s="75">
        <f t="shared" si="3"/>
        <v>3.1505460053754615E-3</v>
      </c>
      <c r="M10" s="2" t="s">
        <v>178</v>
      </c>
      <c r="N10" s="5">
        <v>0.84</v>
      </c>
    </row>
    <row r="11" spans="2:16">
      <c r="B11" s="19">
        <f>Tiers!B10</f>
        <v>7</v>
      </c>
      <c r="C11" s="20" t="str">
        <f>Tiers!X10</f>
        <v>main-6|||||||||</v>
      </c>
      <c r="D11" s="83">
        <f>Tiers!C10</f>
        <v>10</v>
      </c>
      <c r="E11" s="121">
        <v>188</v>
      </c>
      <c r="F11" s="47">
        <v>2000000</v>
      </c>
      <c r="G11" s="6">
        <f t="shared" si="0"/>
        <v>1880</v>
      </c>
      <c r="H11" s="24" t="str">
        <f>'Data Analysis'!BK9 &amp; " | " &amp; 'Data Analysis'!BL9</f>
        <v>Big Win | Single Win</v>
      </c>
      <c r="I11" s="23">
        <f t="shared" si="1"/>
        <v>10638.297872340425</v>
      </c>
      <c r="J11" s="49">
        <f t="shared" si="2"/>
        <v>7</v>
      </c>
      <c r="K11" s="75">
        <f t="shared" si="3"/>
        <v>1.1846052980211735E-3</v>
      </c>
      <c r="M11" s="2" t="s">
        <v>179</v>
      </c>
      <c r="N11" s="5">
        <f>G411/N8</f>
        <v>0.79351324999999995</v>
      </c>
    </row>
    <row r="12" spans="2:16">
      <c r="B12" s="19">
        <f>Tiers!B11</f>
        <v>8</v>
      </c>
      <c r="C12" s="20" t="str">
        <f>Tiers!X11</f>
        <v>main-7|||||||||</v>
      </c>
      <c r="D12" s="83">
        <f>Tiers!C11</f>
        <v>20</v>
      </c>
      <c r="E12" s="121">
        <v>50</v>
      </c>
      <c r="F12" s="47">
        <v>2000000</v>
      </c>
      <c r="G12" s="6">
        <f t="shared" si="0"/>
        <v>1000</v>
      </c>
      <c r="H12" s="24" t="str">
        <f>'Data Analysis'!BK10 &amp; " | " &amp; 'Data Analysis'!BL10</f>
        <v>Big Win | Single Win</v>
      </c>
      <c r="I12" s="23">
        <f t="shared" si="1"/>
        <v>40000</v>
      </c>
      <c r="J12" s="49">
        <f t="shared" si="2"/>
        <v>6</v>
      </c>
      <c r="K12" s="75">
        <f t="shared" si="3"/>
        <v>6.3010920107509235E-4</v>
      </c>
      <c r="M12" s="2" t="s">
        <v>180</v>
      </c>
      <c r="N12" s="5">
        <f>'Progressive Jackpots'!C14+'Progressive Jackpots'!C21</f>
        <v>0.03</v>
      </c>
    </row>
    <row r="13" spans="2:16">
      <c r="B13" s="19">
        <f>Tiers!B12</f>
        <v>9</v>
      </c>
      <c r="C13" s="20" t="str">
        <f>Tiers!X12</f>
        <v>main-8|||||||||</v>
      </c>
      <c r="D13" s="83">
        <f>Tiers!C12</f>
        <v>30</v>
      </c>
      <c r="E13" s="121">
        <v>10</v>
      </c>
      <c r="F13" s="47">
        <v>2000000</v>
      </c>
      <c r="G13" s="6">
        <f t="shared" si="0"/>
        <v>300</v>
      </c>
      <c r="H13" s="24" t="str">
        <f>'Data Analysis'!BK11 &amp; " | " &amp; 'Data Analysis'!BL11</f>
        <v>Big Win | Single Win</v>
      </c>
      <c r="I13" s="23">
        <f t="shared" si="1"/>
        <v>200000</v>
      </c>
      <c r="J13" s="49">
        <f t="shared" si="2"/>
        <v>6</v>
      </c>
      <c r="K13" s="75">
        <f t="shared" si="3"/>
        <v>1.890327603225277E-4</v>
      </c>
      <c r="M13" s="2" t="s">
        <v>181</v>
      </c>
      <c r="N13" s="5">
        <f>N11+N12</f>
        <v>0.82351324999999997</v>
      </c>
    </row>
    <row r="14" spans="2:16">
      <c r="B14" s="19">
        <f>Tiers!B13</f>
        <v>10</v>
      </c>
      <c r="C14" s="20" t="str">
        <f>Tiers!X13</f>
        <v>main-9|||||||||</v>
      </c>
      <c r="D14" s="83">
        <f>Tiers!C13</f>
        <v>40</v>
      </c>
      <c r="E14" s="121">
        <v>5</v>
      </c>
      <c r="F14" s="47">
        <v>2000000</v>
      </c>
      <c r="G14" s="6">
        <f t="shared" si="0"/>
        <v>200</v>
      </c>
      <c r="H14" s="24" t="str">
        <f>'Data Analysis'!BK12 &amp; " | " &amp; 'Data Analysis'!BL12</f>
        <v>Big Win | Single Win</v>
      </c>
      <c r="I14" s="23">
        <f t="shared" si="1"/>
        <v>400000</v>
      </c>
      <c r="J14" s="49">
        <f t="shared" si="2"/>
        <v>6</v>
      </c>
      <c r="K14" s="75">
        <f t="shared" si="3"/>
        <v>1.2602184021501847E-4</v>
      </c>
      <c r="M14" s="2" t="s">
        <v>182</v>
      </c>
      <c r="N14" s="121">
        <f>SUM(E5:E410)</f>
        <v>513477</v>
      </c>
    </row>
    <row r="15" spans="2:16">
      <c r="B15" s="19">
        <f>Tiers!B14</f>
        <v>11</v>
      </c>
      <c r="C15" s="20" t="str">
        <f>Tiers!X14</f>
        <v>main-10|||||||||</v>
      </c>
      <c r="D15" s="83">
        <f>Tiers!C14</f>
        <v>1</v>
      </c>
      <c r="E15" s="121">
        <v>30152</v>
      </c>
      <c r="F15" s="47">
        <v>2000000</v>
      </c>
      <c r="G15" s="6">
        <f t="shared" si="0"/>
        <v>30152</v>
      </c>
      <c r="H15" s="24" t="str">
        <f>'Data Analysis'!BK13 &amp; " | " &amp; 'Data Analysis'!BL13</f>
        <v>Stake Back | Single Win</v>
      </c>
      <c r="I15" s="23">
        <f t="shared" si="1"/>
        <v>66.330591668877688</v>
      </c>
      <c r="J15" s="49">
        <f t="shared" si="2"/>
        <v>110</v>
      </c>
      <c r="K15" s="75">
        <f t="shared" si="3"/>
        <v>1.8999052630816183E-2</v>
      </c>
      <c r="M15" s="2" t="s">
        <v>183</v>
      </c>
      <c r="N15" s="4">
        <f>N6/N14</f>
        <v>3.8950137980863797</v>
      </c>
    </row>
    <row r="16" spans="2:16">
      <c r="B16" s="19">
        <f>Tiers!B15</f>
        <v>12</v>
      </c>
      <c r="C16" s="20" t="str">
        <f>Tiers!X15</f>
        <v>main-11|||||||||</v>
      </c>
      <c r="D16" s="83">
        <f>Tiers!C15</f>
        <v>2</v>
      </c>
      <c r="E16" s="121">
        <v>8400</v>
      </c>
      <c r="F16" s="47">
        <v>2000000</v>
      </c>
      <c r="G16" s="6">
        <f t="shared" si="0"/>
        <v>16800</v>
      </c>
      <c r="H16" s="24" t="str">
        <f>'Data Analysis'!BK14 &amp; " | " &amp; 'Data Analysis'!BL14</f>
        <v>Standard Win | Single Win</v>
      </c>
      <c r="I16" s="23">
        <f t="shared" si="1"/>
        <v>238.0952380952381</v>
      </c>
      <c r="J16" s="49">
        <f t="shared" si="2"/>
        <v>35</v>
      </c>
      <c r="K16" s="75">
        <f t="shared" si="3"/>
        <v>1.0585834578061551E-2</v>
      </c>
    </row>
    <row r="17" spans="2:14">
      <c r="B17" s="19">
        <f>Tiers!B16</f>
        <v>13</v>
      </c>
      <c r="C17" s="20" t="str">
        <f>Tiers!X16</f>
        <v>main-12|||||||||</v>
      </c>
      <c r="D17" s="83">
        <f>Tiers!C16</f>
        <v>3</v>
      </c>
      <c r="E17" s="121">
        <v>1000</v>
      </c>
      <c r="F17" s="47">
        <v>2000000</v>
      </c>
      <c r="G17" s="6">
        <f t="shared" si="0"/>
        <v>3000</v>
      </c>
      <c r="H17" s="24" t="str">
        <f>'Data Analysis'!BK15 &amp; " | " &amp; 'Data Analysis'!BL15</f>
        <v>Standard Win | Single Win</v>
      </c>
      <c r="I17" s="23">
        <f t="shared" si="1"/>
        <v>2000</v>
      </c>
      <c r="J17" s="49">
        <f t="shared" si="2"/>
        <v>9</v>
      </c>
      <c r="K17" s="75">
        <f t="shared" si="3"/>
        <v>1.890327603225277E-3</v>
      </c>
      <c r="M17" s="2" t="s">
        <v>184</v>
      </c>
      <c r="N17" s="47">
        <v>6000</v>
      </c>
    </row>
    <row r="18" spans="2:14">
      <c r="B18" s="19">
        <f>Tiers!B17</f>
        <v>14</v>
      </c>
      <c r="C18" s="20" t="str">
        <f>Tiers!X17</f>
        <v>main-13|||||||||</v>
      </c>
      <c r="D18" s="83">
        <f>Tiers!C17</f>
        <v>5</v>
      </c>
      <c r="E18" s="121">
        <v>941</v>
      </c>
      <c r="F18" s="47">
        <v>2000000</v>
      </c>
      <c r="G18" s="6">
        <f t="shared" si="0"/>
        <v>4705</v>
      </c>
      <c r="H18" s="24" t="str">
        <f>'Data Analysis'!BK16 &amp; " | " &amp; 'Data Analysis'!BL16</f>
        <v>Standard Win | Single Win</v>
      </c>
      <c r="I18" s="23">
        <f t="shared" si="1"/>
        <v>2125.3985122210415</v>
      </c>
      <c r="J18" s="49">
        <f t="shared" si="2"/>
        <v>9</v>
      </c>
      <c r="K18" s="75">
        <f t="shared" si="3"/>
        <v>2.9646637910583093E-3</v>
      </c>
      <c r="M18" s="2" t="s">
        <v>185</v>
      </c>
      <c r="N18" s="47">
        <f>COUNT(E5:E410)</f>
        <v>406</v>
      </c>
    </row>
    <row r="19" spans="2:14">
      <c r="B19" s="19">
        <f>Tiers!B18</f>
        <v>15</v>
      </c>
      <c r="C19" s="20" t="str">
        <f>Tiers!X18</f>
        <v>main-14|||||||||</v>
      </c>
      <c r="D19" s="83">
        <f>Tiers!C18</f>
        <v>10</v>
      </c>
      <c r="E19" s="121">
        <v>10</v>
      </c>
      <c r="F19" s="47">
        <v>2000000</v>
      </c>
      <c r="G19" s="6">
        <f t="shared" si="0"/>
        <v>100</v>
      </c>
      <c r="H19" s="24" t="str">
        <f>'Data Analysis'!BK17 &amp; " | " &amp; 'Data Analysis'!BL17</f>
        <v>Big Win | Single Win</v>
      </c>
      <c r="I19" s="23">
        <f t="shared" si="1"/>
        <v>200000</v>
      </c>
      <c r="J19" s="49">
        <f t="shared" si="2"/>
        <v>6</v>
      </c>
      <c r="K19" s="75">
        <f t="shared" si="3"/>
        <v>6.3010920107509235E-5</v>
      </c>
      <c r="M19" s="2" t="s">
        <v>186</v>
      </c>
      <c r="N19" s="47">
        <v>6</v>
      </c>
    </row>
    <row r="20" spans="2:14">
      <c r="B20" s="19">
        <f>Tiers!B19</f>
        <v>16</v>
      </c>
      <c r="C20" s="20" t="str">
        <f>Tiers!X19</f>
        <v>main-15|||||||||</v>
      </c>
      <c r="D20" s="83">
        <f>Tiers!C19</f>
        <v>20</v>
      </c>
      <c r="E20" s="121">
        <v>5</v>
      </c>
      <c r="F20" s="47">
        <v>2000000</v>
      </c>
      <c r="G20" s="6">
        <f t="shared" si="0"/>
        <v>100</v>
      </c>
      <c r="H20" s="24" t="str">
        <f>'Data Analysis'!BK18 &amp; " | " &amp; 'Data Analysis'!BL18</f>
        <v>Big Win | Single Win</v>
      </c>
      <c r="I20" s="23">
        <f t="shared" si="1"/>
        <v>400000</v>
      </c>
      <c r="J20" s="49">
        <f t="shared" si="2"/>
        <v>6</v>
      </c>
      <c r="K20" s="75">
        <f t="shared" si="3"/>
        <v>6.3010920107509235E-5</v>
      </c>
    </row>
    <row r="21" spans="2:14">
      <c r="B21" s="19">
        <f>Tiers!B20</f>
        <v>17</v>
      </c>
      <c r="C21" s="20" t="str">
        <f>Tiers!X20</f>
        <v>main-16|||||||||</v>
      </c>
      <c r="D21" s="83">
        <f>Tiers!C20</f>
        <v>100</v>
      </c>
      <c r="E21" s="121">
        <v>2</v>
      </c>
      <c r="F21" s="47">
        <v>2000000</v>
      </c>
      <c r="G21" s="6">
        <f t="shared" si="0"/>
        <v>200</v>
      </c>
      <c r="H21" s="24" t="str">
        <f>'Data Analysis'!BK19 &amp; " | " &amp; 'Data Analysis'!BL19</f>
        <v>Huge Win | Single Win</v>
      </c>
      <c r="I21" s="23">
        <f t="shared" si="1"/>
        <v>1000000</v>
      </c>
      <c r="J21" s="49">
        <f t="shared" si="2"/>
        <v>6</v>
      </c>
      <c r="K21" s="75">
        <f t="shared" si="3"/>
        <v>1.2602184021501847E-4</v>
      </c>
      <c r="M21" s="2" t="s">
        <v>187</v>
      </c>
      <c r="N21" s="227" t="s">
        <v>188</v>
      </c>
    </row>
    <row r="22" spans="2:14">
      <c r="B22" s="19">
        <f>Tiers!B21</f>
        <v>18</v>
      </c>
      <c r="C22" s="20" t="str">
        <f>Tiers!X21</f>
        <v>main-17|||||||||</v>
      </c>
      <c r="D22" s="83">
        <f>Tiers!C21</f>
        <v>2</v>
      </c>
      <c r="E22" s="121">
        <v>20000</v>
      </c>
      <c r="F22" s="47">
        <v>2000000</v>
      </c>
      <c r="G22" s="6">
        <f t="shared" si="0"/>
        <v>40000</v>
      </c>
      <c r="H22" s="24" t="str">
        <f>'Data Analysis'!BK20 &amp; " | " &amp; 'Data Analysis'!BL20</f>
        <v>Standard Win | Single Win</v>
      </c>
      <c r="I22" s="23">
        <f t="shared" si="1"/>
        <v>100</v>
      </c>
      <c r="J22" s="49">
        <f t="shared" si="2"/>
        <v>75</v>
      </c>
      <c r="K22" s="75">
        <f t="shared" si="3"/>
        <v>2.5204368043003692E-2</v>
      </c>
      <c r="M22" s="2" t="s">
        <v>189</v>
      </c>
      <c r="N22" s="4">
        <f>N8*N10-N9</f>
        <v>92973.5</v>
      </c>
    </row>
    <row r="23" spans="2:14">
      <c r="B23" s="19">
        <f>Tiers!B22</f>
        <v>19</v>
      </c>
      <c r="C23" s="20" t="str">
        <f>Tiers!X22</f>
        <v>main-18|||||||||</v>
      </c>
      <c r="D23" s="83">
        <f>Tiers!C22</f>
        <v>3</v>
      </c>
      <c r="E23" s="121">
        <v>1000</v>
      </c>
      <c r="F23" s="47">
        <v>2000000</v>
      </c>
      <c r="G23" s="6">
        <f t="shared" si="0"/>
        <v>3000</v>
      </c>
      <c r="H23" s="24" t="str">
        <f>'Data Analysis'!BK21 &amp; " | " &amp; 'Data Analysis'!BL21</f>
        <v>Standard Win | Single Win</v>
      </c>
      <c r="I23" s="23">
        <f t="shared" si="1"/>
        <v>2000</v>
      </c>
      <c r="J23" s="49">
        <f t="shared" si="2"/>
        <v>9</v>
      </c>
      <c r="K23" s="75">
        <f t="shared" si="3"/>
        <v>1.890327603225277E-3</v>
      </c>
    </row>
    <row r="24" spans="2:14">
      <c r="B24" s="19">
        <f>Tiers!B23</f>
        <v>20</v>
      </c>
      <c r="C24" s="20" t="str">
        <f>Tiers!X23</f>
        <v>main-19|||||||||</v>
      </c>
      <c r="D24" s="83">
        <f>Tiers!C23</f>
        <v>5</v>
      </c>
      <c r="E24" s="121">
        <v>500</v>
      </c>
      <c r="F24" s="47">
        <v>2000000</v>
      </c>
      <c r="G24" s="6">
        <f t="shared" si="0"/>
        <v>2500</v>
      </c>
      <c r="H24" s="24" t="str">
        <f>'Data Analysis'!BK22 &amp; " | " &amp; 'Data Analysis'!BL22</f>
        <v>Standard Win | Single Win</v>
      </c>
      <c r="I24" s="23">
        <f t="shared" si="1"/>
        <v>4000</v>
      </c>
      <c r="J24" s="49">
        <f t="shared" si="2"/>
        <v>8</v>
      </c>
      <c r="K24" s="75">
        <f t="shared" si="3"/>
        <v>1.5752730026877308E-3</v>
      </c>
    </row>
    <row r="25" spans="2:14">
      <c r="B25" s="19">
        <f>Tiers!B24</f>
        <v>21</v>
      </c>
      <c r="C25" s="20" t="str">
        <f>Tiers!X24</f>
        <v>main-20|||||||||</v>
      </c>
      <c r="D25" s="83">
        <f>Tiers!C24</f>
        <v>10</v>
      </c>
      <c r="E25" s="121">
        <v>100</v>
      </c>
      <c r="F25" s="47">
        <v>2000000</v>
      </c>
      <c r="G25" s="6">
        <f t="shared" si="0"/>
        <v>1000</v>
      </c>
      <c r="H25" s="24" t="str">
        <f>'Data Analysis'!BK23 &amp; " | " &amp; 'Data Analysis'!BL23</f>
        <v>Big Win | Single Win</v>
      </c>
      <c r="I25" s="23">
        <f t="shared" si="1"/>
        <v>20000</v>
      </c>
      <c r="J25" s="49">
        <f t="shared" si="2"/>
        <v>6</v>
      </c>
      <c r="K25" s="75">
        <f t="shared" si="3"/>
        <v>6.3010920107509235E-4</v>
      </c>
    </row>
    <row r="26" spans="2:14">
      <c r="B26" s="19">
        <f>Tiers!B25</f>
        <v>22</v>
      </c>
      <c r="C26" s="20" t="str">
        <f>Tiers!X25</f>
        <v>main-21|||||||||</v>
      </c>
      <c r="D26" s="83">
        <f>Tiers!C25</f>
        <v>20</v>
      </c>
      <c r="E26" s="121">
        <v>10</v>
      </c>
      <c r="F26" s="47">
        <v>2000000</v>
      </c>
      <c r="G26" s="6">
        <f t="shared" si="0"/>
        <v>200</v>
      </c>
      <c r="H26" s="24" t="str">
        <f>'Data Analysis'!BK24 &amp; " | " &amp; 'Data Analysis'!BL24</f>
        <v>Big Win | Single Win</v>
      </c>
      <c r="I26" s="23">
        <f t="shared" si="1"/>
        <v>200000</v>
      </c>
      <c r="J26" s="49">
        <f t="shared" si="2"/>
        <v>6</v>
      </c>
      <c r="K26" s="75">
        <f t="shared" si="3"/>
        <v>1.2602184021501847E-4</v>
      </c>
      <c r="M26" s="2"/>
      <c r="N26" s="5"/>
    </row>
    <row r="27" spans="2:14">
      <c r="B27" s="19">
        <f>Tiers!B26</f>
        <v>23</v>
      </c>
      <c r="C27" s="20" t="str">
        <f>Tiers!X26</f>
        <v>main-22|||||||||</v>
      </c>
      <c r="D27" s="83">
        <f>Tiers!C26</f>
        <v>100</v>
      </c>
      <c r="E27" s="121">
        <v>2</v>
      </c>
      <c r="F27" s="47">
        <v>2000000</v>
      </c>
      <c r="G27" s="6">
        <f t="shared" si="0"/>
        <v>200</v>
      </c>
      <c r="H27" s="24" t="str">
        <f>'Data Analysis'!BK25 &amp; " | " &amp; 'Data Analysis'!BL25</f>
        <v>Huge Win | Single Win</v>
      </c>
      <c r="I27" s="23">
        <f t="shared" si="1"/>
        <v>1000000</v>
      </c>
      <c r="J27" s="49">
        <f t="shared" si="2"/>
        <v>6</v>
      </c>
      <c r="K27" s="75">
        <f t="shared" si="3"/>
        <v>1.2602184021501847E-4</v>
      </c>
      <c r="N27" s="6"/>
    </row>
    <row r="28" spans="2:14">
      <c r="B28" s="19">
        <f>Tiers!B27</f>
        <v>24</v>
      </c>
      <c r="C28" s="20" t="str">
        <f>Tiers!X27</f>
        <v>main-23|||||||||</v>
      </c>
      <c r="D28" s="83">
        <f>Tiers!C27</f>
        <v>200</v>
      </c>
      <c r="E28" s="121">
        <v>1</v>
      </c>
      <c r="F28" s="47">
        <v>2000000</v>
      </c>
      <c r="G28" s="6">
        <f t="shared" si="0"/>
        <v>200</v>
      </c>
      <c r="H28" s="24" t="str">
        <f>'Data Analysis'!BK26 &amp; " | " &amp; 'Data Analysis'!BL26</f>
        <v>Huge Win | Single Win</v>
      </c>
      <c r="I28" s="23">
        <f t="shared" si="1"/>
        <v>2000000</v>
      </c>
      <c r="J28" s="49">
        <f t="shared" si="2"/>
        <v>6</v>
      </c>
      <c r="K28" s="75">
        <f t="shared" si="3"/>
        <v>1.2602184021501847E-4</v>
      </c>
      <c r="M28" s="2"/>
      <c r="N28" s="5"/>
    </row>
    <row r="29" spans="2:14">
      <c r="B29" s="19">
        <f>Tiers!B28</f>
        <v>25</v>
      </c>
      <c r="C29" s="20" t="str">
        <f>Tiers!X28</f>
        <v>main-24|||||||||</v>
      </c>
      <c r="D29" s="83">
        <f>Tiers!C28</f>
        <v>3</v>
      </c>
      <c r="E29" s="121">
        <v>2800</v>
      </c>
      <c r="F29" s="47">
        <v>2000000</v>
      </c>
      <c r="G29" s="6">
        <f t="shared" si="0"/>
        <v>8400</v>
      </c>
      <c r="H29" s="24" t="str">
        <f>'Data Analysis'!BK27 &amp; " | " &amp; 'Data Analysis'!BL27</f>
        <v>Standard Win | Single Win</v>
      </c>
      <c r="I29" s="23">
        <f t="shared" si="1"/>
        <v>714.28571428571433</v>
      </c>
      <c r="J29" s="49">
        <f t="shared" si="2"/>
        <v>16</v>
      </c>
      <c r="K29" s="75">
        <f t="shared" si="3"/>
        <v>5.2929172890307753E-3</v>
      </c>
      <c r="M29" s="2"/>
      <c r="N29" s="5"/>
    </row>
    <row r="30" spans="2:14">
      <c r="B30" s="19">
        <f>Tiers!B29</f>
        <v>26</v>
      </c>
      <c r="C30" s="20" t="str">
        <f>Tiers!X29</f>
        <v>main-25|||||||||</v>
      </c>
      <c r="D30" s="83">
        <f>Tiers!C29</f>
        <v>5</v>
      </c>
      <c r="E30" s="121">
        <v>941</v>
      </c>
      <c r="F30" s="47">
        <v>2000000</v>
      </c>
      <c r="G30" s="6">
        <f t="shared" si="0"/>
        <v>4705</v>
      </c>
      <c r="H30" s="24" t="str">
        <f>'Data Analysis'!BK28 &amp; " | " &amp; 'Data Analysis'!BL28</f>
        <v>Standard Win | Single Win</v>
      </c>
      <c r="I30" s="23">
        <f t="shared" si="1"/>
        <v>2125.3985122210415</v>
      </c>
      <c r="J30" s="49">
        <f t="shared" si="2"/>
        <v>9</v>
      </c>
      <c r="K30" s="75">
        <f t="shared" si="3"/>
        <v>2.9646637910583093E-3</v>
      </c>
      <c r="M30" s="2"/>
      <c r="N30" s="5"/>
    </row>
    <row r="31" spans="2:14">
      <c r="B31" s="19">
        <f>Tiers!B30</f>
        <v>27</v>
      </c>
      <c r="C31" s="20" t="str">
        <f>Tiers!X30</f>
        <v>main-26|||||||||</v>
      </c>
      <c r="D31" s="83">
        <f>Tiers!C30</f>
        <v>10</v>
      </c>
      <c r="E31" s="121">
        <v>110</v>
      </c>
      <c r="F31" s="47">
        <v>2000000</v>
      </c>
      <c r="G31" s="6">
        <f t="shared" si="0"/>
        <v>1100</v>
      </c>
      <c r="H31" s="24" t="str">
        <f>'Data Analysis'!BK29 &amp; " | " &amp; 'Data Analysis'!BL29</f>
        <v>Big Win | Single Win</v>
      </c>
      <c r="I31" s="23">
        <f t="shared" si="1"/>
        <v>18181.81818181818</v>
      </c>
      <c r="J31" s="49">
        <f t="shared" si="2"/>
        <v>6</v>
      </c>
      <c r="K31" s="75">
        <f t="shared" si="3"/>
        <v>6.9312012118260158E-4</v>
      </c>
    </row>
    <row r="32" spans="2:14">
      <c r="B32" s="19">
        <f>Tiers!B31</f>
        <v>28</v>
      </c>
      <c r="C32" s="20" t="str">
        <f>Tiers!X31</f>
        <v>main-27|||||||||</v>
      </c>
      <c r="D32" s="83">
        <f>Tiers!C31</f>
        <v>20</v>
      </c>
      <c r="E32" s="121">
        <v>10</v>
      </c>
      <c r="F32" s="47">
        <v>2000000</v>
      </c>
      <c r="G32" s="6">
        <f t="shared" si="0"/>
        <v>200</v>
      </c>
      <c r="H32" s="24" t="str">
        <f>'Data Analysis'!BK30 &amp; " | " &amp; 'Data Analysis'!BL30</f>
        <v>Big Win | Single Win</v>
      </c>
      <c r="I32" s="23">
        <f t="shared" si="1"/>
        <v>200000</v>
      </c>
      <c r="J32" s="49">
        <f t="shared" si="2"/>
        <v>6</v>
      </c>
      <c r="K32" s="75">
        <f t="shared" si="3"/>
        <v>1.2602184021501847E-4</v>
      </c>
    </row>
    <row r="33" spans="2:11">
      <c r="B33" s="19">
        <f>Tiers!B32</f>
        <v>29</v>
      </c>
      <c r="C33" s="20" t="str">
        <f>Tiers!X32</f>
        <v>main-28|||||||||</v>
      </c>
      <c r="D33" s="83">
        <f>Tiers!C32</f>
        <v>100</v>
      </c>
      <c r="E33" s="121">
        <v>5</v>
      </c>
      <c r="F33" s="47">
        <v>2000000</v>
      </c>
      <c r="G33" s="6">
        <f t="shared" si="0"/>
        <v>500</v>
      </c>
      <c r="H33" s="24" t="str">
        <f>'Data Analysis'!BK31 &amp; " | " &amp; 'Data Analysis'!BL31</f>
        <v>Huge Win | Single Win</v>
      </c>
      <c r="I33" s="23">
        <f t="shared" si="1"/>
        <v>400000</v>
      </c>
      <c r="J33" s="49">
        <f t="shared" si="2"/>
        <v>6</v>
      </c>
      <c r="K33" s="75">
        <f t="shared" si="3"/>
        <v>3.1505460053754617E-4</v>
      </c>
    </row>
    <row r="34" spans="2:11">
      <c r="B34" s="19">
        <f>Tiers!B33</f>
        <v>30</v>
      </c>
      <c r="C34" s="20" t="str">
        <f>Tiers!X33</f>
        <v>main-29|||||||||</v>
      </c>
      <c r="D34" s="83">
        <f>Tiers!C33</f>
        <v>200</v>
      </c>
      <c r="E34" s="121">
        <v>2</v>
      </c>
      <c r="F34" s="47">
        <v>2000000</v>
      </c>
      <c r="G34" s="6">
        <f t="shared" si="0"/>
        <v>400</v>
      </c>
      <c r="H34" s="24" t="str">
        <f>'Data Analysis'!BK32 &amp; " | " &amp; 'Data Analysis'!BL32</f>
        <v>Huge Win | Single Win</v>
      </c>
      <c r="I34" s="23">
        <f t="shared" si="1"/>
        <v>1000000</v>
      </c>
      <c r="J34" s="49">
        <f t="shared" si="2"/>
        <v>6</v>
      </c>
      <c r="K34" s="75">
        <f t="shared" si="3"/>
        <v>2.5204368043003694E-4</v>
      </c>
    </row>
    <row r="35" spans="2:11">
      <c r="B35" s="19">
        <f>Tiers!B34</f>
        <v>31</v>
      </c>
      <c r="C35" s="20" t="str">
        <f>Tiers!X34</f>
        <v>main-30|||||||||</v>
      </c>
      <c r="D35" s="83">
        <f>Tiers!C34</f>
        <v>1000</v>
      </c>
      <c r="E35" s="121">
        <v>1</v>
      </c>
      <c r="F35" s="47">
        <v>2000000</v>
      </c>
      <c r="G35" s="6">
        <f t="shared" si="0"/>
        <v>1000</v>
      </c>
      <c r="H35" s="24" t="str">
        <f>'Data Analysis'!BK33 &amp; " | " &amp; 'Data Analysis'!BL33</f>
        <v>Top Prize | Single Win</v>
      </c>
      <c r="I35" s="23">
        <f t="shared" si="1"/>
        <v>2000000</v>
      </c>
      <c r="J35" s="49">
        <f t="shared" si="2"/>
        <v>6</v>
      </c>
      <c r="K35" s="75">
        <f t="shared" si="3"/>
        <v>6.3010920107509235E-4</v>
      </c>
    </row>
    <row r="36" spans="2:11">
      <c r="B36" s="19">
        <f>Tiers!B35</f>
        <v>32</v>
      </c>
      <c r="C36" s="202" t="str">
        <f>Tiers!X35</f>
        <v>wild-0|||||||||</v>
      </c>
      <c r="D36" s="83">
        <f>Tiers!C35</f>
        <v>0.1</v>
      </c>
      <c r="E36" s="121">
        <v>25000</v>
      </c>
      <c r="F36" s="47">
        <v>2000000</v>
      </c>
      <c r="G36" s="6">
        <f t="shared" si="0"/>
        <v>2500</v>
      </c>
      <c r="H36" s="24" t="str">
        <f>'Data Analysis'!BK34 &amp; " | " &amp; 'Data Analysis'!BL34</f>
        <v>Less than Stake | Single Win</v>
      </c>
      <c r="I36" s="23">
        <f t="shared" si="1"/>
        <v>80</v>
      </c>
      <c r="J36" s="49">
        <f t="shared" si="2"/>
        <v>92</v>
      </c>
      <c r="K36" s="75">
        <f t="shared" si="3"/>
        <v>1.5752730026877308E-3</v>
      </c>
    </row>
    <row r="37" spans="2:11">
      <c r="B37" s="19">
        <f>Tiers!B36</f>
        <v>33</v>
      </c>
      <c r="C37" s="202" t="str">
        <f>Tiers!X36</f>
        <v>wild-1|||||||||</v>
      </c>
      <c r="D37" s="83">
        <f>Tiers!C36</f>
        <v>0.2</v>
      </c>
      <c r="E37" s="121">
        <v>20000</v>
      </c>
      <c r="F37" s="47">
        <v>2000000</v>
      </c>
      <c r="G37" s="6">
        <f t="shared" si="0"/>
        <v>4000</v>
      </c>
      <c r="H37" s="24" t="str">
        <f>'Data Analysis'!BK35 &amp; " | " &amp; 'Data Analysis'!BL35</f>
        <v>Less than Stake | Single Win</v>
      </c>
      <c r="I37" s="23">
        <f t="shared" si="1"/>
        <v>100</v>
      </c>
      <c r="J37" s="49">
        <f t="shared" si="2"/>
        <v>75</v>
      </c>
      <c r="K37" s="75">
        <f t="shared" si="3"/>
        <v>2.5204368043003694E-3</v>
      </c>
    </row>
    <row r="38" spans="2:11">
      <c r="B38" s="19">
        <f>Tiers!B37</f>
        <v>34</v>
      </c>
      <c r="C38" s="202" t="str">
        <f>Tiers!X37</f>
        <v>wild-2|||||||||</v>
      </c>
      <c r="D38" s="83">
        <f>Tiers!C37</f>
        <v>0.5</v>
      </c>
      <c r="E38" s="121">
        <v>15000</v>
      </c>
      <c r="F38" s="47">
        <v>2000000</v>
      </c>
      <c r="G38" s="6">
        <f t="shared" si="0"/>
        <v>7500</v>
      </c>
      <c r="H38" s="24" t="str">
        <f>'Data Analysis'!BK36 &amp; " | " &amp; 'Data Analysis'!BL36</f>
        <v>Less than Stake | Single Win</v>
      </c>
      <c r="I38" s="23">
        <f t="shared" si="1"/>
        <v>133.33333333333334</v>
      </c>
      <c r="J38" s="49">
        <f t="shared" si="2"/>
        <v>58</v>
      </c>
      <c r="K38" s="75">
        <f t="shared" si="3"/>
        <v>4.7258190080631925E-3</v>
      </c>
    </row>
    <row r="39" spans="2:11">
      <c r="B39" s="19">
        <f>Tiers!B38</f>
        <v>35</v>
      </c>
      <c r="C39" s="202" t="str">
        <f>Tiers!X38</f>
        <v>wild-3|||||||||</v>
      </c>
      <c r="D39" s="83">
        <f>Tiers!C38</f>
        <v>1</v>
      </c>
      <c r="E39" s="121">
        <v>20000</v>
      </c>
      <c r="F39" s="47">
        <v>2000000</v>
      </c>
      <c r="G39" s="6">
        <f t="shared" si="0"/>
        <v>20000</v>
      </c>
      <c r="H39" s="24" t="str">
        <f>'Data Analysis'!BK37 &amp; " | " &amp; 'Data Analysis'!BL37</f>
        <v>Stake Back | Single Win</v>
      </c>
      <c r="I39" s="23">
        <f t="shared" si="1"/>
        <v>100</v>
      </c>
      <c r="J39" s="49">
        <f t="shared" si="2"/>
        <v>75</v>
      </c>
      <c r="K39" s="75">
        <f t="shared" si="3"/>
        <v>1.2602184021501846E-2</v>
      </c>
    </row>
    <row r="40" spans="2:11">
      <c r="B40" s="19">
        <f>Tiers!B39</f>
        <v>36</v>
      </c>
      <c r="C40" s="202" t="str">
        <f>Tiers!X39</f>
        <v>wild-4|||||||||</v>
      </c>
      <c r="D40" s="83">
        <f>Tiers!C39</f>
        <v>2</v>
      </c>
      <c r="E40" s="121">
        <v>10000</v>
      </c>
      <c r="F40" s="47">
        <v>2000000</v>
      </c>
      <c r="G40" s="6">
        <f t="shared" si="0"/>
        <v>20000</v>
      </c>
      <c r="H40" s="24" t="str">
        <f>'Data Analysis'!BK38 &amp; " | " &amp; 'Data Analysis'!BL38</f>
        <v>Standard Win | Single Win</v>
      </c>
      <c r="I40" s="23">
        <f t="shared" si="1"/>
        <v>200</v>
      </c>
      <c r="J40" s="49">
        <f t="shared" si="2"/>
        <v>40</v>
      </c>
      <c r="K40" s="75">
        <f t="shared" si="3"/>
        <v>1.2602184021501846E-2</v>
      </c>
    </row>
    <row r="41" spans="2:11">
      <c r="B41" s="19">
        <f>Tiers!B40</f>
        <v>37</v>
      </c>
      <c r="C41" s="202" t="str">
        <f>Tiers!X40</f>
        <v>wild-5|||||||||</v>
      </c>
      <c r="D41" s="83">
        <f>Tiers!C40</f>
        <v>5</v>
      </c>
      <c r="E41" s="121">
        <v>1037</v>
      </c>
      <c r="F41" s="47">
        <v>2000000</v>
      </c>
      <c r="G41" s="6">
        <f t="shared" si="0"/>
        <v>5185</v>
      </c>
      <c r="H41" s="24" t="str">
        <f>'Data Analysis'!BK39 &amp; " | " &amp; 'Data Analysis'!BL39</f>
        <v>Standard Win | Single Win</v>
      </c>
      <c r="I41" s="23">
        <f t="shared" si="1"/>
        <v>1928.6403085824493</v>
      </c>
      <c r="J41" s="49">
        <f t="shared" si="2"/>
        <v>10</v>
      </c>
      <c r="K41" s="75">
        <f t="shared" si="3"/>
        <v>3.2671162075743536E-3</v>
      </c>
    </row>
    <row r="42" spans="2:11">
      <c r="B42" s="19">
        <f>Tiers!B41</f>
        <v>38</v>
      </c>
      <c r="C42" s="202" t="str">
        <f>Tiers!X41</f>
        <v>wild-6|||||||||</v>
      </c>
      <c r="D42" s="83">
        <f>Tiers!C41</f>
        <v>10</v>
      </c>
      <c r="E42" s="121">
        <v>150</v>
      </c>
      <c r="F42" s="47">
        <v>2000000</v>
      </c>
      <c r="G42" s="6">
        <f t="shared" si="0"/>
        <v>1500</v>
      </c>
      <c r="H42" s="24" t="str">
        <f>'Data Analysis'!BK40 &amp; " | " &amp; 'Data Analysis'!BL40</f>
        <v>Big Win | Single Win</v>
      </c>
      <c r="I42" s="23">
        <f t="shared" si="1"/>
        <v>13333.333333333334</v>
      </c>
      <c r="J42" s="49">
        <f t="shared" si="2"/>
        <v>7</v>
      </c>
      <c r="K42" s="75">
        <f t="shared" si="3"/>
        <v>9.4516380161263852E-4</v>
      </c>
    </row>
    <row r="43" spans="2:11">
      <c r="B43" s="19">
        <f>Tiers!B42</f>
        <v>39</v>
      </c>
      <c r="C43" s="202" t="str">
        <f>Tiers!X42</f>
        <v>wild-7|||||||||</v>
      </c>
      <c r="D43" s="83">
        <f>Tiers!C42</f>
        <v>20</v>
      </c>
      <c r="E43" s="121">
        <v>50</v>
      </c>
      <c r="F43" s="47">
        <v>2000000</v>
      </c>
      <c r="G43" s="6">
        <f t="shared" si="0"/>
        <v>1000</v>
      </c>
      <c r="H43" s="24" t="str">
        <f>'Data Analysis'!BK41 &amp; " | " &amp; 'Data Analysis'!BL41</f>
        <v>Big Win | Single Win</v>
      </c>
      <c r="I43" s="23">
        <f t="shared" si="1"/>
        <v>40000</v>
      </c>
      <c r="J43" s="49">
        <f t="shared" si="2"/>
        <v>6</v>
      </c>
      <c r="K43" s="75">
        <f t="shared" si="3"/>
        <v>6.3010920107509235E-4</v>
      </c>
    </row>
    <row r="44" spans="2:11">
      <c r="B44" s="19">
        <f>Tiers!B43</f>
        <v>40</v>
      </c>
      <c r="C44" s="202" t="str">
        <f>Tiers!X43</f>
        <v>wild-8|||||||||</v>
      </c>
      <c r="D44" s="83">
        <f>Tiers!C43</f>
        <v>30</v>
      </c>
      <c r="E44" s="121">
        <v>30</v>
      </c>
      <c r="F44" s="47">
        <v>2000000</v>
      </c>
      <c r="G44" s="6">
        <f t="shared" si="0"/>
        <v>900</v>
      </c>
      <c r="H44" s="24" t="str">
        <f>'Data Analysis'!BK42 &amp; " | " &amp; 'Data Analysis'!BL42</f>
        <v>Big Win | Single Win</v>
      </c>
      <c r="I44" s="23">
        <f t="shared" si="1"/>
        <v>66666.666666666672</v>
      </c>
      <c r="J44" s="49">
        <f t="shared" si="2"/>
        <v>6</v>
      </c>
      <c r="K44" s="75">
        <f t="shared" si="3"/>
        <v>5.6709828096758311E-4</v>
      </c>
    </row>
    <row r="45" spans="2:11">
      <c r="B45" s="19">
        <f>Tiers!B44</f>
        <v>41</v>
      </c>
      <c r="C45" s="202" t="str">
        <f>Tiers!X44</f>
        <v>wild-9|||||||||</v>
      </c>
      <c r="D45" s="83">
        <f>Tiers!C44</f>
        <v>40</v>
      </c>
      <c r="E45" s="121">
        <v>20</v>
      </c>
      <c r="F45" s="47">
        <v>2000000</v>
      </c>
      <c r="G45" s="6">
        <f t="shared" si="0"/>
        <v>800</v>
      </c>
      <c r="H45" s="24" t="str">
        <f>'Data Analysis'!BK43 &amp; " | " &amp; 'Data Analysis'!BL43</f>
        <v>Big Win | Single Win</v>
      </c>
      <c r="I45" s="23">
        <f t="shared" si="1"/>
        <v>100000</v>
      </c>
      <c r="J45" s="49">
        <f t="shared" si="2"/>
        <v>6</v>
      </c>
      <c r="K45" s="75">
        <f t="shared" si="3"/>
        <v>5.0408736086007388E-4</v>
      </c>
    </row>
    <row r="46" spans="2:11">
      <c r="B46" s="19">
        <f>Tiers!B45</f>
        <v>42</v>
      </c>
      <c r="C46" s="202" t="str">
        <f>Tiers!X45</f>
        <v>wild-10|||||||||</v>
      </c>
      <c r="D46" s="83">
        <f>Tiers!C45</f>
        <v>1</v>
      </c>
      <c r="E46" s="121">
        <v>18000</v>
      </c>
      <c r="F46" s="47">
        <v>2000000</v>
      </c>
      <c r="G46" s="6">
        <f t="shared" si="0"/>
        <v>18000</v>
      </c>
      <c r="H46" s="24" t="str">
        <f>'Data Analysis'!BK44 &amp; " | " &amp; 'Data Analysis'!BL44</f>
        <v>Stake Back | Single Win</v>
      </c>
      <c r="I46" s="23">
        <f t="shared" si="1"/>
        <v>111.11111111111111</v>
      </c>
      <c r="J46" s="49">
        <f t="shared" si="2"/>
        <v>68</v>
      </c>
      <c r="K46" s="75">
        <f t="shared" si="3"/>
        <v>1.1341965619351661E-2</v>
      </c>
    </row>
    <row r="47" spans="2:11">
      <c r="B47" s="19">
        <f>Tiers!B46</f>
        <v>43</v>
      </c>
      <c r="C47" s="202" t="str">
        <f>Tiers!X46</f>
        <v>wild-11|||||||||</v>
      </c>
      <c r="D47" s="83">
        <f>Tiers!C46</f>
        <v>2</v>
      </c>
      <c r="E47" s="121">
        <v>12000</v>
      </c>
      <c r="F47" s="47">
        <v>2000000</v>
      </c>
      <c r="G47" s="6">
        <f t="shared" si="0"/>
        <v>24000</v>
      </c>
      <c r="H47" s="24" t="str">
        <f>'Data Analysis'!BK45 &amp; " | " &amp; 'Data Analysis'!BL45</f>
        <v>Standard Win | Single Win</v>
      </c>
      <c r="I47" s="23">
        <f t="shared" si="1"/>
        <v>166.66666666666666</v>
      </c>
      <c r="J47" s="49">
        <f t="shared" si="2"/>
        <v>47</v>
      </c>
      <c r="K47" s="75">
        <f t="shared" si="3"/>
        <v>1.5122620825802216E-2</v>
      </c>
    </row>
    <row r="48" spans="2:11">
      <c r="B48" s="19">
        <f>Tiers!B47</f>
        <v>44</v>
      </c>
      <c r="C48" s="202" t="str">
        <f>Tiers!X47</f>
        <v>wild-12|||||||||</v>
      </c>
      <c r="D48" s="83">
        <f>Tiers!C47</f>
        <v>3</v>
      </c>
      <c r="E48" s="121">
        <v>2000</v>
      </c>
      <c r="F48" s="47">
        <v>2000000</v>
      </c>
      <c r="G48" s="6">
        <f t="shared" si="0"/>
        <v>6000</v>
      </c>
      <c r="H48" s="24" t="str">
        <f>'Data Analysis'!BK46 &amp; " | " &amp; 'Data Analysis'!BL46</f>
        <v>Standard Win | Single Win</v>
      </c>
      <c r="I48" s="23">
        <f t="shared" si="1"/>
        <v>1000</v>
      </c>
      <c r="J48" s="49">
        <f t="shared" si="2"/>
        <v>13</v>
      </c>
      <c r="K48" s="75">
        <f t="shared" si="3"/>
        <v>3.7806552064505541E-3</v>
      </c>
    </row>
    <row r="49" spans="2:11">
      <c r="B49" s="19">
        <f>Tiers!B48</f>
        <v>45</v>
      </c>
      <c r="C49" s="202" t="str">
        <f>Tiers!X48</f>
        <v>wild-13|||||||||</v>
      </c>
      <c r="D49" s="83">
        <f>Tiers!C48</f>
        <v>5</v>
      </c>
      <c r="E49" s="121">
        <v>941</v>
      </c>
      <c r="F49" s="47">
        <v>2000000</v>
      </c>
      <c r="G49" s="6">
        <f t="shared" si="0"/>
        <v>4705</v>
      </c>
      <c r="H49" s="24" t="str">
        <f>'Data Analysis'!BK47 &amp; " | " &amp; 'Data Analysis'!BL47</f>
        <v>Standard Win | Single Win</v>
      </c>
      <c r="I49" s="23">
        <f t="shared" si="1"/>
        <v>2125.3985122210415</v>
      </c>
      <c r="J49" s="49">
        <f t="shared" si="2"/>
        <v>9</v>
      </c>
      <c r="K49" s="75">
        <f t="shared" si="3"/>
        <v>2.9646637910583093E-3</v>
      </c>
    </row>
    <row r="50" spans="2:11">
      <c r="B50" s="19">
        <f>Tiers!B49</f>
        <v>46</v>
      </c>
      <c r="C50" s="202" t="str">
        <f>Tiers!X49</f>
        <v>wild-14|||||||||</v>
      </c>
      <c r="D50" s="83">
        <f>Tiers!C49</f>
        <v>2</v>
      </c>
      <c r="E50" s="121">
        <v>7250</v>
      </c>
      <c r="F50" s="47">
        <v>2000000</v>
      </c>
      <c r="G50" s="6">
        <f t="shared" si="0"/>
        <v>14500</v>
      </c>
      <c r="H50" s="24" t="str">
        <f>'Data Analysis'!BK48 &amp; " | " &amp; 'Data Analysis'!BL48</f>
        <v>Standard Win | Single Win</v>
      </c>
      <c r="I50" s="23">
        <f t="shared" si="1"/>
        <v>275.86206896551727</v>
      </c>
      <c r="J50" s="49">
        <f t="shared" si="2"/>
        <v>31</v>
      </c>
      <c r="K50" s="75">
        <f t="shared" si="3"/>
        <v>9.1365834155888379E-3</v>
      </c>
    </row>
    <row r="51" spans="2:11">
      <c r="B51" s="19">
        <f>Tiers!B50</f>
        <v>47</v>
      </c>
      <c r="C51" s="202" t="str">
        <f>Tiers!X50</f>
        <v>wild-15|||||||||</v>
      </c>
      <c r="D51" s="83">
        <f>Tiers!C50</f>
        <v>3</v>
      </c>
      <c r="E51" s="121">
        <v>3000</v>
      </c>
      <c r="F51" s="47">
        <v>2000000</v>
      </c>
      <c r="G51" s="6">
        <f t="shared" si="0"/>
        <v>9000</v>
      </c>
      <c r="H51" s="24" t="str">
        <f>'Data Analysis'!BK49 &amp; " | " &amp; 'Data Analysis'!BL49</f>
        <v>Standard Win | Single Win</v>
      </c>
      <c r="I51" s="23">
        <f t="shared" si="1"/>
        <v>666.66666666666663</v>
      </c>
      <c r="J51" s="49">
        <f t="shared" si="2"/>
        <v>16</v>
      </c>
      <c r="K51" s="75">
        <f t="shared" si="3"/>
        <v>5.6709828096758305E-3</v>
      </c>
    </row>
    <row r="52" spans="2:11">
      <c r="B52" s="19">
        <f>Tiers!B51</f>
        <v>48</v>
      </c>
      <c r="C52" s="202" t="str">
        <f>Tiers!X51</f>
        <v>wild-16|||||||||</v>
      </c>
      <c r="D52" s="83">
        <f>Tiers!C51</f>
        <v>5</v>
      </c>
      <c r="E52" s="121">
        <v>941</v>
      </c>
      <c r="F52" s="47">
        <v>2000000</v>
      </c>
      <c r="G52" s="6">
        <f t="shared" si="0"/>
        <v>4705</v>
      </c>
      <c r="H52" s="24" t="str">
        <f>'Data Analysis'!BK50 &amp; " | " &amp; 'Data Analysis'!BL50</f>
        <v>Standard Win | Single Win</v>
      </c>
      <c r="I52" s="23">
        <f t="shared" si="1"/>
        <v>2125.3985122210415</v>
      </c>
      <c r="J52" s="49">
        <f t="shared" si="2"/>
        <v>9</v>
      </c>
      <c r="K52" s="75">
        <f t="shared" si="3"/>
        <v>2.9646637910583093E-3</v>
      </c>
    </row>
    <row r="53" spans="2:11">
      <c r="B53" s="19">
        <f>Tiers!B52</f>
        <v>49</v>
      </c>
      <c r="C53" s="202" t="str">
        <f>Tiers!X52</f>
        <v>wild-17|||||||||</v>
      </c>
      <c r="D53" s="83">
        <f>Tiers!C52</f>
        <v>10</v>
      </c>
      <c r="E53" s="121">
        <v>270</v>
      </c>
      <c r="F53" s="47">
        <v>2000000</v>
      </c>
      <c r="G53" s="6">
        <f t="shared" si="0"/>
        <v>2700</v>
      </c>
      <c r="H53" s="24" t="str">
        <f>'Data Analysis'!BK51 &amp; " | " &amp; 'Data Analysis'!BL51</f>
        <v>Big Win | Single Win</v>
      </c>
      <c r="I53" s="23">
        <f t="shared" si="1"/>
        <v>7407.4074074074078</v>
      </c>
      <c r="J53" s="49">
        <f t="shared" si="2"/>
        <v>7</v>
      </c>
      <c r="K53" s="75">
        <f t="shared" si="3"/>
        <v>1.7012948429027492E-3</v>
      </c>
    </row>
    <row r="54" spans="2:11">
      <c r="B54" s="19">
        <f>Tiers!B53</f>
        <v>50</v>
      </c>
      <c r="C54" s="202" t="str">
        <f>Tiers!X53</f>
        <v>wild-18|||||||||</v>
      </c>
      <c r="D54" s="83">
        <f>Tiers!C53</f>
        <v>3</v>
      </c>
      <c r="E54" s="121">
        <v>4000</v>
      </c>
      <c r="F54" s="47">
        <v>2000000</v>
      </c>
      <c r="G54" s="6">
        <f t="shared" si="0"/>
        <v>12000</v>
      </c>
      <c r="H54" s="24" t="str">
        <f>'Data Analysis'!BK52 &amp; " | " &amp; 'Data Analysis'!BL52</f>
        <v>Standard Win | Single Win</v>
      </c>
      <c r="I54" s="23">
        <f t="shared" si="1"/>
        <v>500</v>
      </c>
      <c r="J54" s="49">
        <f t="shared" si="2"/>
        <v>20</v>
      </c>
      <c r="K54" s="75">
        <f t="shared" si="3"/>
        <v>7.5613104129011082E-3</v>
      </c>
    </row>
    <row r="55" spans="2:11">
      <c r="B55" s="19">
        <f>Tiers!B54</f>
        <v>51</v>
      </c>
      <c r="C55" s="202" t="str">
        <f>Tiers!X54</f>
        <v>wild-19|||||||||</v>
      </c>
      <c r="D55" s="83">
        <f>Tiers!C54</f>
        <v>5</v>
      </c>
      <c r="E55" s="121">
        <v>1000</v>
      </c>
      <c r="F55" s="47">
        <v>2000000</v>
      </c>
      <c r="G55" s="6">
        <f t="shared" si="0"/>
        <v>5000</v>
      </c>
      <c r="H55" s="24" t="str">
        <f>'Data Analysis'!BK53 &amp; " | " &amp; 'Data Analysis'!BL53</f>
        <v>Standard Win | Single Win</v>
      </c>
      <c r="I55" s="23">
        <f t="shared" si="1"/>
        <v>2000</v>
      </c>
      <c r="J55" s="49">
        <f t="shared" si="2"/>
        <v>9</v>
      </c>
      <c r="K55" s="75">
        <f t="shared" si="3"/>
        <v>3.1505460053754615E-3</v>
      </c>
    </row>
    <row r="56" spans="2:11">
      <c r="B56" s="19">
        <f>Tiers!B55</f>
        <v>52</v>
      </c>
      <c r="C56" s="202" t="str">
        <f>Tiers!X55</f>
        <v>wild-20|||||||||</v>
      </c>
      <c r="D56" s="83">
        <f>Tiers!C55</f>
        <v>10</v>
      </c>
      <c r="E56" s="121">
        <v>100</v>
      </c>
      <c r="F56" s="47">
        <v>2000000</v>
      </c>
      <c r="G56" s="6">
        <f t="shared" si="0"/>
        <v>1000</v>
      </c>
      <c r="H56" s="24" t="str">
        <f>'Data Analysis'!BK54 &amp; " | " &amp; 'Data Analysis'!BL54</f>
        <v>Big Win | Single Win</v>
      </c>
      <c r="I56" s="23">
        <f t="shared" si="1"/>
        <v>20000</v>
      </c>
      <c r="J56" s="49">
        <f t="shared" si="2"/>
        <v>6</v>
      </c>
      <c r="K56" s="75">
        <f t="shared" si="3"/>
        <v>6.3010920107509235E-4</v>
      </c>
    </row>
    <row r="57" spans="2:11">
      <c r="B57" s="19">
        <f>Tiers!B56</f>
        <v>53</v>
      </c>
      <c r="C57" s="202" t="str">
        <f>Tiers!X56</f>
        <v>wild-21|||||||||</v>
      </c>
      <c r="D57" s="83">
        <f>Tiers!C56</f>
        <v>20</v>
      </c>
      <c r="E57" s="121">
        <v>50</v>
      </c>
      <c r="F57" s="47">
        <v>2000000</v>
      </c>
      <c r="G57" s="6">
        <f t="shared" si="0"/>
        <v>1000</v>
      </c>
      <c r="H57" s="24" t="str">
        <f>'Data Analysis'!BK55 &amp; " | " &amp; 'Data Analysis'!BL55</f>
        <v>Big Win | Single Win</v>
      </c>
      <c r="I57" s="23">
        <f t="shared" si="1"/>
        <v>40000</v>
      </c>
      <c r="J57" s="49">
        <f t="shared" si="2"/>
        <v>6</v>
      </c>
      <c r="K57" s="75">
        <f t="shared" si="3"/>
        <v>6.3010920107509235E-4</v>
      </c>
    </row>
    <row r="58" spans="2:11">
      <c r="B58" s="19">
        <f>Tiers!B57</f>
        <v>54</v>
      </c>
      <c r="C58" s="118" t="str">
        <f>Tiers!X57</f>
        <v>freeplayA-0|||||||||</v>
      </c>
      <c r="D58" s="83">
        <f>Tiers!C57</f>
        <v>0.7</v>
      </c>
      <c r="E58" s="121">
        <v>400</v>
      </c>
      <c r="F58" s="47">
        <v>2000000</v>
      </c>
      <c r="G58" s="6">
        <f t="shared" si="0"/>
        <v>280</v>
      </c>
      <c r="H58" s="24" t="str">
        <f>'Data Analysis'!BK56 &amp; " | " &amp; 'Data Analysis'!BL56</f>
        <v>Less than Stake | Free Plays A</v>
      </c>
      <c r="I58" s="23">
        <f t="shared" si="1"/>
        <v>5000</v>
      </c>
      <c r="J58" s="49">
        <f t="shared" si="2"/>
        <v>7</v>
      </c>
      <c r="K58" s="75">
        <f t="shared" si="3"/>
        <v>1.7643057630102585E-4</v>
      </c>
    </row>
    <row r="59" spans="2:11">
      <c r="B59" s="19">
        <f>Tiers!B58</f>
        <v>55</v>
      </c>
      <c r="C59" s="118" t="str">
        <f>Tiers!X58</f>
        <v>freeplayA-1|||||||||</v>
      </c>
      <c r="D59" s="83">
        <f>Tiers!C58</f>
        <v>3</v>
      </c>
      <c r="E59" s="121">
        <v>500</v>
      </c>
      <c r="F59" s="47">
        <v>2000000</v>
      </c>
      <c r="G59" s="6">
        <f t="shared" si="0"/>
        <v>1500</v>
      </c>
      <c r="H59" s="24" t="str">
        <f>'Data Analysis'!BK57 &amp; " | " &amp; 'Data Analysis'!BL57</f>
        <v>Standard Win | Free Plays A</v>
      </c>
      <c r="I59" s="23">
        <f t="shared" si="1"/>
        <v>4000</v>
      </c>
      <c r="J59" s="49">
        <f t="shared" si="2"/>
        <v>8</v>
      </c>
      <c r="K59" s="75">
        <f t="shared" si="3"/>
        <v>9.4516380161263852E-4</v>
      </c>
    </row>
    <row r="60" spans="2:11">
      <c r="B60" s="19">
        <f>Tiers!B59</f>
        <v>56</v>
      </c>
      <c r="C60" s="118" t="str">
        <f>Tiers!X59</f>
        <v>freeplayA-2|||||||||</v>
      </c>
      <c r="D60" s="83">
        <f>Tiers!C59</f>
        <v>0.5</v>
      </c>
      <c r="E60" s="121">
        <v>500</v>
      </c>
      <c r="F60" s="47">
        <v>2000000</v>
      </c>
      <c r="G60" s="6">
        <f t="shared" si="0"/>
        <v>250</v>
      </c>
      <c r="H60" s="24" t="str">
        <f>'Data Analysis'!BK58 &amp; " | " &amp; 'Data Analysis'!BL58</f>
        <v>Less than Stake | Free Plays A</v>
      </c>
      <c r="I60" s="23">
        <f t="shared" si="1"/>
        <v>4000</v>
      </c>
      <c r="J60" s="49">
        <f t="shared" si="2"/>
        <v>8</v>
      </c>
      <c r="K60" s="75">
        <f t="shared" si="3"/>
        <v>1.5752730026877309E-4</v>
      </c>
    </row>
    <row r="61" spans="2:11">
      <c r="B61" s="19">
        <f>Tiers!B60</f>
        <v>57</v>
      </c>
      <c r="C61" s="118" t="str">
        <f>Tiers!X60</f>
        <v>freeplayA-3|||||||||</v>
      </c>
      <c r="D61" s="83">
        <f>Tiers!C60</f>
        <v>0.1</v>
      </c>
      <c r="E61" s="121">
        <v>500</v>
      </c>
      <c r="F61" s="47">
        <v>2000000</v>
      </c>
      <c r="G61" s="6">
        <f t="shared" si="0"/>
        <v>50</v>
      </c>
      <c r="H61" s="24" t="str">
        <f>'Data Analysis'!BK59 &amp; " | " &amp; 'Data Analysis'!BL59</f>
        <v>Less than Stake | Free Plays A</v>
      </c>
      <c r="I61" s="23">
        <f t="shared" si="1"/>
        <v>4000</v>
      </c>
      <c r="J61" s="49">
        <f t="shared" si="2"/>
        <v>8</v>
      </c>
      <c r="K61" s="75">
        <f t="shared" si="3"/>
        <v>3.1505460053754617E-5</v>
      </c>
    </row>
    <row r="62" spans="2:11">
      <c r="B62" s="19">
        <f>Tiers!B61</f>
        <v>58</v>
      </c>
      <c r="C62" s="118" t="str">
        <f>Tiers!X61</f>
        <v>freeplayA-4|||||||||</v>
      </c>
      <c r="D62" s="83">
        <f>Tiers!C61</f>
        <v>0.7</v>
      </c>
      <c r="E62" s="121">
        <v>500</v>
      </c>
      <c r="F62" s="47">
        <v>2000000</v>
      </c>
      <c r="G62" s="6">
        <f t="shared" si="0"/>
        <v>350</v>
      </c>
      <c r="H62" s="24" t="str">
        <f>'Data Analysis'!BK60 &amp; " | " &amp; 'Data Analysis'!BL60</f>
        <v>Less than Stake | Free Plays A</v>
      </c>
      <c r="I62" s="23">
        <f t="shared" si="1"/>
        <v>4000</v>
      </c>
      <c r="J62" s="49">
        <f t="shared" si="2"/>
        <v>8</v>
      </c>
      <c r="K62" s="75">
        <f t="shared" si="3"/>
        <v>2.2053822037628232E-4</v>
      </c>
    </row>
    <row r="63" spans="2:11">
      <c r="B63" s="19">
        <f>Tiers!B62</f>
        <v>59</v>
      </c>
      <c r="C63" s="118" t="str">
        <f>Tiers!X62</f>
        <v>freeplayA-5|||||||||</v>
      </c>
      <c r="D63" s="83">
        <f>Tiers!C62</f>
        <v>5</v>
      </c>
      <c r="E63" s="121">
        <v>497</v>
      </c>
      <c r="F63" s="47">
        <v>2000000</v>
      </c>
      <c r="G63" s="6">
        <f t="shared" si="0"/>
        <v>2485</v>
      </c>
      <c r="H63" s="24" t="str">
        <f>'Data Analysis'!BK61 &amp; " | " &amp; 'Data Analysis'!BL61</f>
        <v>Standard Win | Free Plays A</v>
      </c>
      <c r="I63" s="23">
        <f t="shared" si="1"/>
        <v>4024.1448692152917</v>
      </c>
      <c r="J63" s="49">
        <f t="shared" si="2"/>
        <v>8</v>
      </c>
      <c r="K63" s="75">
        <f t="shared" si="3"/>
        <v>1.5658213646716043E-3</v>
      </c>
    </row>
    <row r="64" spans="2:11">
      <c r="B64" s="19">
        <f>Tiers!B63</f>
        <v>60</v>
      </c>
      <c r="C64" s="118" t="str">
        <f>Tiers!X63</f>
        <v>freeplayA-6|||||||||</v>
      </c>
      <c r="D64" s="83">
        <f>Tiers!C63</f>
        <v>5</v>
      </c>
      <c r="E64" s="121">
        <v>400</v>
      </c>
      <c r="F64" s="47">
        <v>2000000</v>
      </c>
      <c r="G64" s="6">
        <f t="shared" si="0"/>
        <v>2000</v>
      </c>
      <c r="H64" s="24" t="str">
        <f>'Data Analysis'!BK62 &amp; " | " &amp; 'Data Analysis'!BL62</f>
        <v>Standard Win | Free Plays A</v>
      </c>
      <c r="I64" s="23">
        <f t="shared" si="1"/>
        <v>5000</v>
      </c>
      <c r="J64" s="49">
        <f t="shared" si="2"/>
        <v>7</v>
      </c>
      <c r="K64" s="75">
        <f t="shared" si="3"/>
        <v>1.2602184021501847E-3</v>
      </c>
    </row>
    <row r="65" spans="2:11">
      <c r="B65" s="19">
        <f>Tiers!B64</f>
        <v>61</v>
      </c>
      <c r="C65" s="118" t="str">
        <f>Tiers!X64</f>
        <v>freeplayA-7|||||||||</v>
      </c>
      <c r="D65" s="83">
        <f>Tiers!C64</f>
        <v>0.2</v>
      </c>
      <c r="E65" s="121">
        <v>100</v>
      </c>
      <c r="F65" s="47">
        <v>2000000</v>
      </c>
      <c r="G65" s="6">
        <f t="shared" si="0"/>
        <v>20</v>
      </c>
      <c r="H65" s="24" t="str">
        <f>'Data Analysis'!BK63 &amp; " | " &amp; 'Data Analysis'!BL63</f>
        <v>Less than Stake | Free Plays A</v>
      </c>
      <c r="I65" s="23">
        <f t="shared" si="1"/>
        <v>20000</v>
      </c>
      <c r="J65" s="49">
        <f t="shared" si="2"/>
        <v>6</v>
      </c>
      <c r="K65" s="75">
        <f t="shared" si="3"/>
        <v>1.2602184021501846E-5</v>
      </c>
    </row>
    <row r="66" spans="2:11">
      <c r="B66" s="19">
        <f>Tiers!B65</f>
        <v>62</v>
      </c>
      <c r="C66" s="118" t="str">
        <f>Tiers!X65</f>
        <v>freeplayA-8|||||||||</v>
      </c>
      <c r="D66" s="83">
        <f>Tiers!C65</f>
        <v>0.2</v>
      </c>
      <c r="E66" s="121">
        <v>600</v>
      </c>
      <c r="F66" s="47">
        <v>2000000</v>
      </c>
      <c r="G66" s="6">
        <f t="shared" si="0"/>
        <v>120</v>
      </c>
      <c r="H66" s="24" t="str">
        <f>'Data Analysis'!BK64 &amp; " | " &amp; 'Data Analysis'!BL64</f>
        <v>Less than Stake | Free Plays A</v>
      </c>
      <c r="I66" s="23">
        <f t="shared" si="1"/>
        <v>3333.3333333333335</v>
      </c>
      <c r="J66" s="49">
        <f t="shared" si="2"/>
        <v>8</v>
      </c>
      <c r="K66" s="75">
        <f t="shared" si="3"/>
        <v>7.5613104129011074E-5</v>
      </c>
    </row>
    <row r="67" spans="2:11">
      <c r="B67" s="19">
        <f>Tiers!B66</f>
        <v>63</v>
      </c>
      <c r="C67" s="118" t="str">
        <f>Tiers!X66</f>
        <v>freeplayA-9|||||||||</v>
      </c>
      <c r="D67" s="83">
        <f>Tiers!C66</f>
        <v>3</v>
      </c>
      <c r="E67" s="121">
        <v>100</v>
      </c>
      <c r="F67" s="47">
        <v>2000000</v>
      </c>
      <c r="G67" s="6">
        <f t="shared" si="0"/>
        <v>300</v>
      </c>
      <c r="H67" s="24" t="str">
        <f>'Data Analysis'!BK65 &amp; " | " &amp; 'Data Analysis'!BL65</f>
        <v>Standard Win | Free Plays A</v>
      </c>
      <c r="I67" s="23">
        <f t="shared" si="1"/>
        <v>20000</v>
      </c>
      <c r="J67" s="49">
        <f t="shared" si="2"/>
        <v>6</v>
      </c>
      <c r="K67" s="75">
        <f t="shared" si="3"/>
        <v>1.890327603225277E-4</v>
      </c>
    </row>
    <row r="68" spans="2:11">
      <c r="B68" s="19">
        <f>Tiers!B67</f>
        <v>64</v>
      </c>
      <c r="C68" s="118" t="str">
        <f>Tiers!X67</f>
        <v>freeplayA-10|||||||||</v>
      </c>
      <c r="D68" s="83">
        <f>Tiers!C67</f>
        <v>5</v>
      </c>
      <c r="E68" s="121">
        <v>600</v>
      </c>
      <c r="F68" s="47">
        <v>2000000</v>
      </c>
      <c r="G68" s="6">
        <f t="shared" ref="G68:G131" si="4">E68*D68</f>
        <v>3000</v>
      </c>
      <c r="H68" s="24" t="str">
        <f>'Data Analysis'!BK66 &amp; " | " &amp; 'Data Analysis'!BL66</f>
        <v>Standard Win | Free Plays A</v>
      </c>
      <c r="I68" s="23">
        <f t="shared" ref="I68:I131" si="5">F68/E68</f>
        <v>3333.3333333333335</v>
      </c>
      <c r="J68" s="49">
        <f t="shared" ref="J68:J131" si="6">ROUND(IF(D68=0,($N$17*0.3),((((N$17*0.7)-(N$19*N$18)))*(E68/$N$14)+$N$19)),0)</f>
        <v>8</v>
      </c>
      <c r="K68" s="75">
        <f t="shared" si="3"/>
        <v>1.890327603225277E-3</v>
      </c>
    </row>
    <row r="69" spans="2:11">
      <c r="B69" s="19">
        <f>Tiers!B68</f>
        <v>65</v>
      </c>
      <c r="C69" s="118" t="str">
        <f>Tiers!X68</f>
        <v>freeplayA-11|||||||||</v>
      </c>
      <c r="D69" s="83">
        <f>Tiers!C68</f>
        <v>3</v>
      </c>
      <c r="E69" s="121">
        <v>100</v>
      </c>
      <c r="F69" s="47">
        <v>2000000</v>
      </c>
      <c r="G69" s="6">
        <f t="shared" si="4"/>
        <v>300</v>
      </c>
      <c r="H69" s="24" t="str">
        <f>'Data Analysis'!BK67 &amp; " | " &amp; 'Data Analysis'!BL67</f>
        <v>Standard Win | Free Plays A</v>
      </c>
      <c r="I69" s="23">
        <f t="shared" si="5"/>
        <v>20000</v>
      </c>
      <c r="J69" s="49">
        <f t="shared" si="6"/>
        <v>6</v>
      </c>
      <c r="K69" s="75">
        <f t="shared" ref="K69:K132" si="7">G69/N$9</f>
        <v>1.890327603225277E-4</v>
      </c>
    </row>
    <row r="70" spans="2:11">
      <c r="B70" s="19">
        <f>Tiers!B69</f>
        <v>66</v>
      </c>
      <c r="C70" s="118" t="str">
        <f>Tiers!X69</f>
        <v>freeplayA-12|||||||||</v>
      </c>
      <c r="D70" s="83">
        <f>Tiers!C69</f>
        <v>0.2</v>
      </c>
      <c r="E70" s="121">
        <v>580</v>
      </c>
      <c r="F70" s="47">
        <v>2000000</v>
      </c>
      <c r="G70" s="6">
        <f t="shared" si="4"/>
        <v>116</v>
      </c>
      <c r="H70" s="24" t="str">
        <f>'Data Analysis'!BK68 &amp; " | " &amp; 'Data Analysis'!BL68</f>
        <v>Less than Stake | Free Plays A</v>
      </c>
      <c r="I70" s="23">
        <f t="shared" si="5"/>
        <v>3448.2758620689656</v>
      </c>
      <c r="J70" s="49">
        <f t="shared" si="6"/>
        <v>8</v>
      </c>
      <c r="K70" s="75">
        <f t="shared" si="7"/>
        <v>7.3092667324710706E-5</v>
      </c>
    </row>
    <row r="71" spans="2:11">
      <c r="B71" s="19">
        <f>Tiers!B70</f>
        <v>67</v>
      </c>
      <c r="C71" s="118" t="str">
        <f>Tiers!X70</f>
        <v>freeplayA-13|||||||||</v>
      </c>
      <c r="D71" s="83">
        <f>Tiers!C70</f>
        <v>3</v>
      </c>
      <c r="E71" s="121">
        <v>300</v>
      </c>
      <c r="F71" s="47">
        <v>2000000</v>
      </c>
      <c r="G71" s="6">
        <f t="shared" si="4"/>
        <v>900</v>
      </c>
      <c r="H71" s="24" t="str">
        <f>'Data Analysis'!BK69 &amp; " | " &amp; 'Data Analysis'!BL69</f>
        <v>Standard Win | Free Plays A</v>
      </c>
      <c r="I71" s="23">
        <f t="shared" si="5"/>
        <v>6666.666666666667</v>
      </c>
      <c r="J71" s="49">
        <f t="shared" si="6"/>
        <v>7</v>
      </c>
      <c r="K71" s="75">
        <f t="shared" si="7"/>
        <v>5.6709828096758311E-4</v>
      </c>
    </row>
    <row r="72" spans="2:11">
      <c r="B72" s="19">
        <f>Tiers!B71</f>
        <v>68</v>
      </c>
      <c r="C72" s="118" t="str">
        <f>Tiers!X71</f>
        <v>freeplayA-14|||||||||</v>
      </c>
      <c r="D72" s="83">
        <f>Tiers!C71</f>
        <v>3</v>
      </c>
      <c r="E72" s="121">
        <v>100</v>
      </c>
      <c r="F72" s="47">
        <v>2000000</v>
      </c>
      <c r="G72" s="6">
        <f t="shared" si="4"/>
        <v>300</v>
      </c>
      <c r="H72" s="24" t="str">
        <f>'Data Analysis'!BK70 &amp; " | " &amp; 'Data Analysis'!BL70</f>
        <v>Standard Win | Free Plays A</v>
      </c>
      <c r="I72" s="23">
        <f t="shared" si="5"/>
        <v>20000</v>
      </c>
      <c r="J72" s="49">
        <f t="shared" si="6"/>
        <v>6</v>
      </c>
      <c r="K72" s="75">
        <f t="shared" si="7"/>
        <v>1.890327603225277E-4</v>
      </c>
    </row>
    <row r="73" spans="2:11">
      <c r="B73" s="19">
        <f>Tiers!B72</f>
        <v>69</v>
      </c>
      <c r="C73" s="118" t="str">
        <f>Tiers!X72</f>
        <v>freeplayA-15|||||||||</v>
      </c>
      <c r="D73" s="83">
        <f>Tiers!C72</f>
        <v>1</v>
      </c>
      <c r="E73" s="121">
        <v>100</v>
      </c>
      <c r="F73" s="47">
        <v>2000000</v>
      </c>
      <c r="G73" s="6">
        <f t="shared" si="4"/>
        <v>100</v>
      </c>
      <c r="H73" s="24" t="str">
        <f>'Data Analysis'!BK71 &amp; " | " &amp; 'Data Analysis'!BL71</f>
        <v>Stake Back | Free Plays A</v>
      </c>
      <c r="I73" s="23">
        <f t="shared" si="5"/>
        <v>20000</v>
      </c>
      <c r="J73" s="49">
        <f t="shared" si="6"/>
        <v>6</v>
      </c>
      <c r="K73" s="75">
        <f t="shared" si="7"/>
        <v>6.3010920107509235E-5</v>
      </c>
    </row>
    <row r="74" spans="2:11">
      <c r="B74" s="19">
        <f>Tiers!B73</f>
        <v>70</v>
      </c>
      <c r="C74" s="118" t="str">
        <f>Tiers!X73</f>
        <v>freeplayA-16|||||||||</v>
      </c>
      <c r="D74" s="83">
        <f>Tiers!C73</f>
        <v>20</v>
      </c>
      <c r="E74" s="121">
        <v>50</v>
      </c>
      <c r="F74" s="47">
        <v>2000000</v>
      </c>
      <c r="G74" s="6">
        <f t="shared" si="4"/>
        <v>1000</v>
      </c>
      <c r="H74" s="24" t="str">
        <f>'Data Analysis'!BK72 &amp; " | " &amp; 'Data Analysis'!BL72</f>
        <v>Big Win | Free Plays A</v>
      </c>
      <c r="I74" s="23">
        <f t="shared" si="5"/>
        <v>40000</v>
      </c>
      <c r="J74" s="49">
        <f t="shared" si="6"/>
        <v>6</v>
      </c>
      <c r="K74" s="75">
        <f t="shared" si="7"/>
        <v>6.3010920107509235E-4</v>
      </c>
    </row>
    <row r="75" spans="2:11">
      <c r="B75" s="19">
        <f>Tiers!B74</f>
        <v>71</v>
      </c>
      <c r="C75" s="118" t="str">
        <f>Tiers!X74</f>
        <v>freeplayA-17|||||||||</v>
      </c>
      <c r="D75" s="83">
        <f>Tiers!C74</f>
        <v>3</v>
      </c>
      <c r="E75" s="121">
        <v>50</v>
      </c>
      <c r="F75" s="47">
        <v>2000000</v>
      </c>
      <c r="G75" s="6">
        <f t="shared" si="4"/>
        <v>150</v>
      </c>
      <c r="H75" s="24" t="str">
        <f>'Data Analysis'!BK73 &amp; " | " &amp; 'Data Analysis'!BL73</f>
        <v>Standard Win | Free Plays A</v>
      </c>
      <c r="I75" s="23">
        <f t="shared" si="5"/>
        <v>40000</v>
      </c>
      <c r="J75" s="49">
        <f t="shared" si="6"/>
        <v>6</v>
      </c>
      <c r="K75" s="75">
        <f t="shared" si="7"/>
        <v>9.4516380161263852E-5</v>
      </c>
    </row>
    <row r="76" spans="2:11">
      <c r="B76" s="19">
        <f>Tiers!B75</f>
        <v>72</v>
      </c>
      <c r="C76" s="118" t="str">
        <f>Tiers!X75</f>
        <v>freeplayA-18|||||||||</v>
      </c>
      <c r="D76" s="83">
        <f>Tiers!C75</f>
        <v>1</v>
      </c>
      <c r="E76" s="121">
        <v>50</v>
      </c>
      <c r="F76" s="47">
        <v>2000000</v>
      </c>
      <c r="G76" s="6">
        <f t="shared" si="4"/>
        <v>50</v>
      </c>
      <c r="H76" s="24" t="str">
        <f>'Data Analysis'!BK74 &amp; " | " &amp; 'Data Analysis'!BL74</f>
        <v>Stake Back | Free Plays A</v>
      </c>
      <c r="I76" s="23">
        <f t="shared" si="5"/>
        <v>40000</v>
      </c>
      <c r="J76" s="49">
        <f t="shared" si="6"/>
        <v>6</v>
      </c>
      <c r="K76" s="75">
        <f t="shared" si="7"/>
        <v>3.1505460053754617E-5</v>
      </c>
    </row>
    <row r="77" spans="2:11">
      <c r="B77" s="19">
        <f>Tiers!B76</f>
        <v>73</v>
      </c>
      <c r="C77" s="118" t="str">
        <f>Tiers!X76</f>
        <v>freeplayA-19|||||||||</v>
      </c>
      <c r="D77" s="83">
        <f>Tiers!C76</f>
        <v>2</v>
      </c>
      <c r="E77" s="121">
        <v>50</v>
      </c>
      <c r="F77" s="47">
        <v>2000000</v>
      </c>
      <c r="G77" s="6">
        <f t="shared" si="4"/>
        <v>100</v>
      </c>
      <c r="H77" s="24" t="str">
        <f>'Data Analysis'!BK75 &amp; " | " &amp; 'Data Analysis'!BL75</f>
        <v>Standard Win | Free Plays A</v>
      </c>
      <c r="I77" s="23">
        <f t="shared" si="5"/>
        <v>40000</v>
      </c>
      <c r="J77" s="49">
        <f t="shared" si="6"/>
        <v>6</v>
      </c>
      <c r="K77" s="75">
        <f t="shared" si="7"/>
        <v>6.3010920107509235E-5</v>
      </c>
    </row>
    <row r="78" spans="2:11">
      <c r="B78" s="19">
        <f>Tiers!B77</f>
        <v>74</v>
      </c>
      <c r="C78" s="118" t="str">
        <f>Tiers!X77</f>
        <v>freeplayA-20|||||||||</v>
      </c>
      <c r="D78" s="83">
        <f>Tiers!C77</f>
        <v>10</v>
      </c>
      <c r="E78" s="121">
        <v>50</v>
      </c>
      <c r="F78" s="47">
        <v>2000000</v>
      </c>
      <c r="G78" s="6">
        <f t="shared" si="4"/>
        <v>500</v>
      </c>
      <c r="H78" s="24" t="str">
        <f>'Data Analysis'!BK76 &amp; " | " &amp; 'Data Analysis'!BL76</f>
        <v>Big Win | Free Plays A</v>
      </c>
      <c r="I78" s="23">
        <f t="shared" si="5"/>
        <v>40000</v>
      </c>
      <c r="J78" s="49">
        <f t="shared" si="6"/>
        <v>6</v>
      </c>
      <c r="K78" s="75">
        <f t="shared" si="7"/>
        <v>3.1505460053754617E-4</v>
      </c>
    </row>
    <row r="79" spans="2:11">
      <c r="B79" s="19">
        <f>Tiers!B78</f>
        <v>75</v>
      </c>
      <c r="C79" s="118" t="str">
        <f>Tiers!X78</f>
        <v>freeplayA-21|||||||||</v>
      </c>
      <c r="D79" s="83">
        <f>Tiers!C78</f>
        <v>20</v>
      </c>
      <c r="E79" s="121">
        <v>25</v>
      </c>
      <c r="F79" s="47">
        <v>2000000</v>
      </c>
      <c r="G79" s="6">
        <f t="shared" si="4"/>
        <v>500</v>
      </c>
      <c r="H79" s="24" t="str">
        <f>'Data Analysis'!BK77 &amp; " | " &amp; 'Data Analysis'!BL77</f>
        <v>Big Win | Free Plays A</v>
      </c>
      <c r="I79" s="23">
        <f t="shared" si="5"/>
        <v>80000</v>
      </c>
      <c r="J79" s="49">
        <f t="shared" si="6"/>
        <v>6</v>
      </c>
      <c r="K79" s="75">
        <f t="shared" si="7"/>
        <v>3.1505460053754617E-4</v>
      </c>
    </row>
    <row r="80" spans="2:11">
      <c r="B80" s="19">
        <f>Tiers!B79</f>
        <v>76</v>
      </c>
      <c r="C80" s="118" t="str">
        <f>Tiers!X79</f>
        <v>freeplayA-22|||||||||</v>
      </c>
      <c r="D80" s="83">
        <f>Tiers!C79</f>
        <v>3.2</v>
      </c>
      <c r="E80" s="121">
        <v>25</v>
      </c>
      <c r="F80" s="47">
        <v>2000000</v>
      </c>
      <c r="G80" s="6">
        <f t="shared" si="4"/>
        <v>80</v>
      </c>
      <c r="H80" s="24" t="str">
        <f>'Data Analysis'!BK78 &amp; " | " &amp; 'Data Analysis'!BL78</f>
        <v>Standard Win | Free Plays A</v>
      </c>
      <c r="I80" s="23">
        <f t="shared" si="5"/>
        <v>80000</v>
      </c>
      <c r="J80" s="49">
        <f t="shared" si="6"/>
        <v>6</v>
      </c>
      <c r="K80" s="75">
        <f t="shared" si="7"/>
        <v>5.0408736086007382E-5</v>
      </c>
    </row>
    <row r="81" spans="2:11">
      <c r="B81" s="19">
        <f>Tiers!B80</f>
        <v>77</v>
      </c>
      <c r="C81" s="118" t="str">
        <f>Tiers!X80</f>
        <v>freeplayA-23|||||||||</v>
      </c>
      <c r="D81" s="83">
        <f>Tiers!C80</f>
        <v>20</v>
      </c>
      <c r="E81" s="121">
        <v>20</v>
      </c>
      <c r="F81" s="47">
        <v>2000000</v>
      </c>
      <c r="G81" s="6">
        <f t="shared" si="4"/>
        <v>400</v>
      </c>
      <c r="H81" s="24" t="str">
        <f>'Data Analysis'!BK79 &amp; " | " &amp; 'Data Analysis'!BL79</f>
        <v>Big Win | Free Plays A</v>
      </c>
      <c r="I81" s="23">
        <f t="shared" si="5"/>
        <v>100000</v>
      </c>
      <c r="J81" s="49">
        <f t="shared" si="6"/>
        <v>6</v>
      </c>
      <c r="K81" s="75">
        <f t="shared" si="7"/>
        <v>2.5204368043003694E-4</v>
      </c>
    </row>
    <row r="82" spans="2:11">
      <c r="B82" s="19">
        <f>Tiers!B81</f>
        <v>78</v>
      </c>
      <c r="C82" s="118" t="str">
        <f>Tiers!X81</f>
        <v>freeplayA-24|||||||||</v>
      </c>
      <c r="D82" s="83">
        <f>Tiers!C81</f>
        <v>11.2</v>
      </c>
      <c r="E82" s="121">
        <v>20</v>
      </c>
      <c r="F82" s="47">
        <v>2000000</v>
      </c>
      <c r="G82" s="6">
        <f t="shared" si="4"/>
        <v>224</v>
      </c>
      <c r="H82" s="24" t="str">
        <f>'Data Analysis'!BK80 &amp; " | " &amp; 'Data Analysis'!BL80</f>
        <v>Big Win | Free Plays A</v>
      </c>
      <c r="I82" s="23">
        <f t="shared" si="5"/>
        <v>100000</v>
      </c>
      <c r="J82" s="49">
        <f t="shared" si="6"/>
        <v>6</v>
      </c>
      <c r="K82" s="75">
        <f t="shared" si="7"/>
        <v>1.4114446104082068E-4</v>
      </c>
    </row>
    <row r="83" spans="2:11">
      <c r="B83" s="19">
        <f>Tiers!B82</f>
        <v>79</v>
      </c>
      <c r="C83" s="118" t="str">
        <f>Tiers!X82</f>
        <v>freeplayA-25|||||||||</v>
      </c>
      <c r="D83" s="83">
        <f>Tiers!C82</f>
        <v>5</v>
      </c>
      <c r="E83" s="121">
        <v>20</v>
      </c>
      <c r="F83" s="47">
        <v>2000000</v>
      </c>
      <c r="G83" s="6">
        <f t="shared" si="4"/>
        <v>100</v>
      </c>
      <c r="H83" s="24" t="str">
        <f>'Data Analysis'!BK81 &amp; " | " &amp; 'Data Analysis'!BL81</f>
        <v>Standard Win | Free Plays A</v>
      </c>
      <c r="I83" s="23">
        <f t="shared" si="5"/>
        <v>100000</v>
      </c>
      <c r="J83" s="49">
        <f t="shared" si="6"/>
        <v>6</v>
      </c>
      <c r="K83" s="75">
        <f t="shared" si="7"/>
        <v>6.3010920107509235E-5</v>
      </c>
    </row>
    <row r="84" spans="2:11">
      <c r="B84" s="19">
        <f>Tiers!B83</f>
        <v>80</v>
      </c>
      <c r="C84" s="118" t="str">
        <f>Tiers!X83</f>
        <v>freeplayA-26|||||||||</v>
      </c>
      <c r="D84" s="83">
        <f>Tiers!C83</f>
        <v>5</v>
      </c>
      <c r="E84" s="121">
        <v>20</v>
      </c>
      <c r="F84" s="47">
        <v>2000000</v>
      </c>
      <c r="G84" s="6">
        <f t="shared" si="4"/>
        <v>100</v>
      </c>
      <c r="H84" s="24" t="str">
        <f>'Data Analysis'!BK82 &amp; " | " &amp; 'Data Analysis'!BL82</f>
        <v>Standard Win | Free Plays A</v>
      </c>
      <c r="I84" s="23">
        <f t="shared" si="5"/>
        <v>100000</v>
      </c>
      <c r="J84" s="49">
        <f t="shared" si="6"/>
        <v>6</v>
      </c>
      <c r="K84" s="75">
        <f t="shared" si="7"/>
        <v>6.3010920107509235E-5</v>
      </c>
    </row>
    <row r="85" spans="2:11">
      <c r="B85" s="19">
        <f>Tiers!B84</f>
        <v>81</v>
      </c>
      <c r="C85" s="118" t="str">
        <f>Tiers!X84</f>
        <v>freeplayA-27|||||||||</v>
      </c>
      <c r="D85" s="83">
        <f>Tiers!C84</f>
        <v>0.5</v>
      </c>
      <c r="E85" s="121">
        <v>20</v>
      </c>
      <c r="F85" s="47">
        <v>2000000</v>
      </c>
      <c r="G85" s="6">
        <f t="shared" si="4"/>
        <v>10</v>
      </c>
      <c r="H85" s="24" t="str">
        <f>'Data Analysis'!BK83 &amp; " | " &amp; 'Data Analysis'!BL83</f>
        <v>Less than Stake | Free Plays A</v>
      </c>
      <c r="I85" s="23">
        <f t="shared" si="5"/>
        <v>100000</v>
      </c>
      <c r="J85" s="49">
        <f t="shared" si="6"/>
        <v>6</v>
      </c>
      <c r="K85" s="75">
        <f t="shared" si="7"/>
        <v>6.3010920107509228E-6</v>
      </c>
    </row>
    <row r="86" spans="2:11">
      <c r="B86" s="19">
        <f>Tiers!B85</f>
        <v>82</v>
      </c>
      <c r="C86" s="118" t="str">
        <f>Tiers!X85</f>
        <v>freeplayA-28|||||||||</v>
      </c>
      <c r="D86" s="83">
        <f>Tiers!C85</f>
        <v>3.1</v>
      </c>
      <c r="E86" s="121">
        <v>10</v>
      </c>
      <c r="F86" s="47">
        <v>2000000</v>
      </c>
      <c r="G86" s="6">
        <f t="shared" si="4"/>
        <v>31</v>
      </c>
      <c r="H86" s="24" t="str">
        <f>'Data Analysis'!BK84 &amp; " | " &amp; 'Data Analysis'!BL84</f>
        <v>Standard Win | Free Plays A</v>
      </c>
      <c r="I86" s="23">
        <f t="shared" si="5"/>
        <v>200000</v>
      </c>
      <c r="J86" s="49">
        <f t="shared" si="6"/>
        <v>6</v>
      </c>
      <c r="K86" s="75">
        <f t="shared" si="7"/>
        <v>1.953338523332786E-5</v>
      </c>
    </row>
    <row r="87" spans="2:11">
      <c r="B87" s="19">
        <f>Tiers!B86</f>
        <v>83</v>
      </c>
      <c r="C87" s="118" t="str">
        <f>Tiers!X86</f>
        <v>freeplayA-29|||||||||</v>
      </c>
      <c r="D87" s="83">
        <f>Tiers!C86</f>
        <v>2</v>
      </c>
      <c r="E87" s="121">
        <v>10</v>
      </c>
      <c r="F87" s="47">
        <v>2000000</v>
      </c>
      <c r="G87" s="6">
        <f t="shared" si="4"/>
        <v>20</v>
      </c>
      <c r="H87" s="24" t="str">
        <f>'Data Analysis'!BK85 &amp; " | " &amp; 'Data Analysis'!BL85</f>
        <v>Standard Win | Free Plays A</v>
      </c>
      <c r="I87" s="23">
        <f t="shared" si="5"/>
        <v>200000</v>
      </c>
      <c r="J87" s="49">
        <f t="shared" si="6"/>
        <v>6</v>
      </c>
      <c r="K87" s="75">
        <f t="shared" si="7"/>
        <v>1.2602184021501846E-5</v>
      </c>
    </row>
    <row r="88" spans="2:11">
      <c r="B88" s="19">
        <f>Tiers!B87</f>
        <v>84</v>
      </c>
      <c r="C88" s="118" t="str">
        <f>Tiers!X87</f>
        <v>freeplayA-30|||||||||</v>
      </c>
      <c r="D88" s="83">
        <f>Tiers!C87</f>
        <v>0.1</v>
      </c>
      <c r="E88" s="121">
        <v>10</v>
      </c>
      <c r="F88" s="47">
        <v>2000000</v>
      </c>
      <c r="G88" s="6">
        <f t="shared" si="4"/>
        <v>1</v>
      </c>
      <c r="H88" s="24" t="str">
        <f>'Data Analysis'!BK86 &amp; " | " &amp; 'Data Analysis'!BL86</f>
        <v>Less than Stake | Free Plays A</v>
      </c>
      <c r="I88" s="23">
        <f t="shared" si="5"/>
        <v>200000</v>
      </c>
      <c r="J88" s="49">
        <f t="shared" si="6"/>
        <v>6</v>
      </c>
      <c r="K88" s="75">
        <f t="shared" si="7"/>
        <v>6.3010920107509236E-7</v>
      </c>
    </row>
    <row r="89" spans="2:11">
      <c r="B89" s="19">
        <f>Tiers!B88</f>
        <v>85</v>
      </c>
      <c r="C89" s="118" t="str">
        <f>Tiers!X88</f>
        <v>freeplayA-31|||||||||</v>
      </c>
      <c r="D89" s="83">
        <f>Tiers!C88</f>
        <v>10</v>
      </c>
      <c r="E89" s="121">
        <v>10</v>
      </c>
      <c r="F89" s="47">
        <v>2000000</v>
      </c>
      <c r="G89" s="6">
        <f t="shared" si="4"/>
        <v>100</v>
      </c>
      <c r="H89" s="24" t="str">
        <f>'Data Analysis'!BK87 &amp; " | " &amp; 'Data Analysis'!BL87</f>
        <v>Big Win | Free Plays A</v>
      </c>
      <c r="I89" s="23">
        <f t="shared" si="5"/>
        <v>200000</v>
      </c>
      <c r="J89" s="49">
        <f t="shared" si="6"/>
        <v>6</v>
      </c>
      <c r="K89" s="75">
        <f t="shared" si="7"/>
        <v>6.3010920107509235E-5</v>
      </c>
    </row>
    <row r="90" spans="2:11">
      <c r="B90" s="19">
        <f>Tiers!B89</f>
        <v>86</v>
      </c>
      <c r="C90" s="118" t="str">
        <f>Tiers!X89</f>
        <v>freeplayA-32|||||||||</v>
      </c>
      <c r="D90" s="83">
        <f>Tiers!C89</f>
        <v>0.1</v>
      </c>
      <c r="E90" s="121">
        <v>10</v>
      </c>
      <c r="F90" s="47">
        <v>2000000</v>
      </c>
      <c r="G90" s="6">
        <f t="shared" si="4"/>
        <v>1</v>
      </c>
      <c r="H90" s="24" t="str">
        <f>'Data Analysis'!BK88 &amp; " | " &amp; 'Data Analysis'!BL88</f>
        <v>Less than Stake | Free Plays A</v>
      </c>
      <c r="I90" s="23">
        <f t="shared" si="5"/>
        <v>200000</v>
      </c>
      <c r="J90" s="49">
        <f t="shared" si="6"/>
        <v>6</v>
      </c>
      <c r="K90" s="75">
        <f t="shared" si="7"/>
        <v>6.3010920107509236E-7</v>
      </c>
    </row>
    <row r="91" spans="2:11">
      <c r="B91" s="19">
        <f>Tiers!B90</f>
        <v>87</v>
      </c>
      <c r="C91" s="118" t="str">
        <f>Tiers!X90</f>
        <v>freeplayA-33|||||||||</v>
      </c>
      <c r="D91" s="83">
        <f>Tiers!C90</f>
        <v>5</v>
      </c>
      <c r="E91" s="121">
        <v>5</v>
      </c>
      <c r="F91" s="47">
        <v>2000000</v>
      </c>
      <c r="G91" s="6">
        <f t="shared" si="4"/>
        <v>25</v>
      </c>
      <c r="H91" s="24" t="str">
        <f>'Data Analysis'!BK89 &amp; " | " &amp; 'Data Analysis'!BL89</f>
        <v>Standard Win | Free Plays A</v>
      </c>
      <c r="I91" s="23">
        <f t="shared" si="5"/>
        <v>400000</v>
      </c>
      <c r="J91" s="49">
        <f t="shared" si="6"/>
        <v>6</v>
      </c>
      <c r="K91" s="75">
        <f t="shared" si="7"/>
        <v>1.5752730026877309E-5</v>
      </c>
    </row>
    <row r="92" spans="2:11">
      <c r="B92" s="19">
        <f>Tiers!B91</f>
        <v>88</v>
      </c>
      <c r="C92" s="118" t="str">
        <f>Tiers!X91</f>
        <v>freeplayA-34|||||||||</v>
      </c>
      <c r="D92" s="83">
        <f>Tiers!C91</f>
        <v>20</v>
      </c>
      <c r="E92" s="121">
        <v>10</v>
      </c>
      <c r="F92" s="47">
        <v>2000000</v>
      </c>
      <c r="G92" s="6">
        <f t="shared" si="4"/>
        <v>200</v>
      </c>
      <c r="H92" s="24" t="str">
        <f>'Data Analysis'!BK90 &amp; " | " &amp; 'Data Analysis'!BL90</f>
        <v>Big Win | Free Plays A</v>
      </c>
      <c r="I92" s="23">
        <f t="shared" si="5"/>
        <v>200000</v>
      </c>
      <c r="J92" s="49">
        <f t="shared" si="6"/>
        <v>6</v>
      </c>
      <c r="K92" s="75">
        <f t="shared" si="7"/>
        <v>1.2602184021501847E-4</v>
      </c>
    </row>
    <row r="93" spans="2:11">
      <c r="B93" s="19">
        <f>Tiers!B92</f>
        <v>89</v>
      </c>
      <c r="C93" s="118" t="str">
        <f>Tiers!X92</f>
        <v>freeplayA-35|||||||||</v>
      </c>
      <c r="D93" s="83">
        <f>Tiers!C92</f>
        <v>0.2</v>
      </c>
      <c r="E93" s="121">
        <v>10</v>
      </c>
      <c r="F93" s="47">
        <v>2000000</v>
      </c>
      <c r="G93" s="6">
        <f t="shared" si="4"/>
        <v>2</v>
      </c>
      <c r="H93" s="24" t="str">
        <f>'Data Analysis'!BK91 &amp; " | " &amp; 'Data Analysis'!BL91</f>
        <v>Less than Stake | Free Plays A</v>
      </c>
      <c r="I93" s="23">
        <f t="shared" si="5"/>
        <v>200000</v>
      </c>
      <c r="J93" s="49">
        <f t="shared" si="6"/>
        <v>6</v>
      </c>
      <c r="K93" s="75">
        <f t="shared" si="7"/>
        <v>1.2602184021501847E-6</v>
      </c>
    </row>
    <row r="94" spans="2:11">
      <c r="B94" s="19">
        <f>Tiers!B93</f>
        <v>90</v>
      </c>
      <c r="C94" s="118" t="str">
        <f>Tiers!X93</f>
        <v>freeplayA-36|||||||||</v>
      </c>
      <c r="D94" s="83">
        <f>Tiers!C93</f>
        <v>2</v>
      </c>
      <c r="E94" s="121">
        <v>10</v>
      </c>
      <c r="F94" s="47">
        <v>2000000</v>
      </c>
      <c r="G94" s="6">
        <f t="shared" si="4"/>
        <v>20</v>
      </c>
      <c r="H94" s="24" t="str">
        <f>'Data Analysis'!BK92 &amp; " | " &amp; 'Data Analysis'!BL92</f>
        <v>Standard Win | Free Plays A</v>
      </c>
      <c r="I94" s="23">
        <f t="shared" si="5"/>
        <v>200000</v>
      </c>
      <c r="J94" s="49">
        <f t="shared" si="6"/>
        <v>6</v>
      </c>
      <c r="K94" s="75">
        <f t="shared" si="7"/>
        <v>1.2602184021501846E-5</v>
      </c>
    </row>
    <row r="95" spans="2:11">
      <c r="B95" s="19">
        <f>Tiers!B94</f>
        <v>91</v>
      </c>
      <c r="C95" s="118" t="str">
        <f>Tiers!X94</f>
        <v>freeplayA-37|||||||||</v>
      </c>
      <c r="D95" s="83">
        <f>Tiers!C94</f>
        <v>1</v>
      </c>
      <c r="E95" s="121">
        <v>10</v>
      </c>
      <c r="F95" s="47">
        <v>2000000</v>
      </c>
      <c r="G95" s="6">
        <f t="shared" si="4"/>
        <v>10</v>
      </c>
      <c r="H95" s="24" t="str">
        <f>'Data Analysis'!BK93 &amp; " | " &amp; 'Data Analysis'!BL93</f>
        <v>Stake Back | Free Plays A</v>
      </c>
      <c r="I95" s="23">
        <f t="shared" si="5"/>
        <v>200000</v>
      </c>
      <c r="J95" s="49">
        <f t="shared" si="6"/>
        <v>6</v>
      </c>
      <c r="K95" s="75">
        <f t="shared" si="7"/>
        <v>6.3010920107509228E-6</v>
      </c>
    </row>
    <row r="96" spans="2:11">
      <c r="B96" s="19">
        <f>Tiers!B95</f>
        <v>92</v>
      </c>
      <c r="C96" s="118" t="str">
        <f>Tiers!X95</f>
        <v>freeplayA-38|||||||||</v>
      </c>
      <c r="D96" s="83">
        <f>Tiers!C95</f>
        <v>5</v>
      </c>
      <c r="E96" s="121">
        <v>10</v>
      </c>
      <c r="F96" s="47">
        <v>2000000</v>
      </c>
      <c r="G96" s="6">
        <f t="shared" si="4"/>
        <v>50</v>
      </c>
      <c r="H96" s="24" t="str">
        <f>'Data Analysis'!BK94 &amp; " | " &amp; 'Data Analysis'!BL94</f>
        <v>Standard Win | Free Plays A</v>
      </c>
      <c r="I96" s="23">
        <f t="shared" si="5"/>
        <v>200000</v>
      </c>
      <c r="J96" s="49">
        <f t="shared" si="6"/>
        <v>6</v>
      </c>
      <c r="K96" s="75">
        <f t="shared" si="7"/>
        <v>3.1505460053754617E-5</v>
      </c>
    </row>
    <row r="97" spans="2:11">
      <c r="B97" s="19">
        <f>Tiers!B96</f>
        <v>93</v>
      </c>
      <c r="C97" s="118" t="str">
        <f>Tiers!X96</f>
        <v>freeplayA-39|||||||||</v>
      </c>
      <c r="D97" s="83">
        <f>Tiers!C96</f>
        <v>3</v>
      </c>
      <c r="E97" s="121">
        <v>10</v>
      </c>
      <c r="F97" s="47">
        <v>2000000</v>
      </c>
      <c r="G97" s="6">
        <f t="shared" si="4"/>
        <v>30</v>
      </c>
      <c r="H97" s="24" t="str">
        <f>'Data Analysis'!BK95 &amp; " | " &amp; 'Data Analysis'!BL95</f>
        <v>Standard Win | Free Plays A</v>
      </c>
      <c r="I97" s="23">
        <f t="shared" si="5"/>
        <v>200000</v>
      </c>
      <c r="J97" s="49">
        <f t="shared" si="6"/>
        <v>6</v>
      </c>
      <c r="K97" s="75">
        <f t="shared" si="7"/>
        <v>1.8903276032252768E-5</v>
      </c>
    </row>
    <row r="98" spans="2:11">
      <c r="B98" s="19">
        <f>Tiers!B97</f>
        <v>94</v>
      </c>
      <c r="C98" s="118" t="str">
        <f>Tiers!X97</f>
        <v>freeplayA-40|||||||||</v>
      </c>
      <c r="D98" s="83">
        <f>Tiers!C97</f>
        <v>0.2</v>
      </c>
      <c r="E98" s="121">
        <v>10</v>
      </c>
      <c r="F98" s="47">
        <v>2000000</v>
      </c>
      <c r="G98" s="6">
        <f t="shared" si="4"/>
        <v>2</v>
      </c>
      <c r="H98" s="24" t="str">
        <f>'Data Analysis'!BK96 &amp; " | " &amp; 'Data Analysis'!BL96</f>
        <v>Less than Stake | Free Plays A</v>
      </c>
      <c r="I98" s="23">
        <f t="shared" si="5"/>
        <v>200000</v>
      </c>
      <c r="J98" s="49">
        <f t="shared" si="6"/>
        <v>6</v>
      </c>
      <c r="K98" s="75">
        <f t="shared" si="7"/>
        <v>1.2602184021501847E-6</v>
      </c>
    </row>
    <row r="99" spans="2:11">
      <c r="B99" s="19">
        <f>Tiers!B98</f>
        <v>95</v>
      </c>
      <c r="C99" s="118" t="str">
        <f>Tiers!X98</f>
        <v>freeplayA-41|||||||||</v>
      </c>
      <c r="D99" s="83">
        <f>Tiers!C98</f>
        <v>1</v>
      </c>
      <c r="E99" s="121">
        <v>10</v>
      </c>
      <c r="F99" s="47">
        <v>2000000</v>
      </c>
      <c r="G99" s="6">
        <f t="shared" si="4"/>
        <v>10</v>
      </c>
      <c r="H99" s="24" t="str">
        <f>'Data Analysis'!BK97 &amp; " | " &amp; 'Data Analysis'!BL97</f>
        <v>Stake Back | Free Plays A</v>
      </c>
      <c r="I99" s="23">
        <f t="shared" si="5"/>
        <v>200000</v>
      </c>
      <c r="J99" s="49">
        <f t="shared" si="6"/>
        <v>6</v>
      </c>
      <c r="K99" s="75">
        <f t="shared" si="7"/>
        <v>6.3010920107509228E-6</v>
      </c>
    </row>
    <row r="100" spans="2:11">
      <c r="B100" s="19">
        <f>Tiers!B99</f>
        <v>96</v>
      </c>
      <c r="C100" s="118" t="str">
        <f>Tiers!X99</f>
        <v>freeplayA-42|||||||||</v>
      </c>
      <c r="D100" s="83">
        <f>Tiers!C99</f>
        <v>5</v>
      </c>
      <c r="E100" s="121">
        <v>10</v>
      </c>
      <c r="F100" s="47">
        <v>2000000</v>
      </c>
      <c r="G100" s="6">
        <f t="shared" si="4"/>
        <v>50</v>
      </c>
      <c r="H100" s="24" t="str">
        <f>'Data Analysis'!BK98 &amp; " | " &amp; 'Data Analysis'!BL98</f>
        <v>Standard Win | Free Plays A</v>
      </c>
      <c r="I100" s="23">
        <f t="shared" si="5"/>
        <v>200000</v>
      </c>
      <c r="J100" s="49">
        <f t="shared" si="6"/>
        <v>6</v>
      </c>
      <c r="K100" s="75">
        <f t="shared" si="7"/>
        <v>3.1505460053754617E-5</v>
      </c>
    </row>
    <row r="101" spans="2:11">
      <c r="B101" s="19">
        <f>Tiers!B100</f>
        <v>97</v>
      </c>
      <c r="C101" s="118" t="str">
        <f>Tiers!X100</f>
        <v>freeplayA-43|||||||||</v>
      </c>
      <c r="D101" s="83">
        <f>Tiers!C100</f>
        <v>3</v>
      </c>
      <c r="E101" s="121">
        <v>10</v>
      </c>
      <c r="F101" s="47">
        <v>2000000</v>
      </c>
      <c r="G101" s="6">
        <f t="shared" si="4"/>
        <v>30</v>
      </c>
      <c r="H101" s="24" t="str">
        <f>'Data Analysis'!BK99 &amp; " | " &amp; 'Data Analysis'!BL99</f>
        <v>Standard Win | Free Plays A</v>
      </c>
      <c r="I101" s="23">
        <f t="shared" si="5"/>
        <v>200000</v>
      </c>
      <c r="J101" s="49">
        <f t="shared" si="6"/>
        <v>6</v>
      </c>
      <c r="K101" s="75">
        <f t="shared" si="7"/>
        <v>1.8903276032252768E-5</v>
      </c>
    </row>
    <row r="102" spans="2:11">
      <c r="B102" s="19">
        <f>Tiers!B101</f>
        <v>98</v>
      </c>
      <c r="C102" s="118" t="str">
        <f>Tiers!X101</f>
        <v>freeplayA-44|||||||||</v>
      </c>
      <c r="D102" s="83">
        <f>Tiers!C101</f>
        <v>0.2</v>
      </c>
      <c r="E102" s="121">
        <v>10</v>
      </c>
      <c r="F102" s="47">
        <v>2000000</v>
      </c>
      <c r="G102" s="6">
        <f t="shared" si="4"/>
        <v>2</v>
      </c>
      <c r="H102" s="24" t="str">
        <f>'Data Analysis'!BK100 &amp; " | " &amp; 'Data Analysis'!BL100</f>
        <v>Less than Stake | Free Plays A</v>
      </c>
      <c r="I102" s="23">
        <f t="shared" si="5"/>
        <v>200000</v>
      </c>
      <c r="J102" s="49">
        <f t="shared" si="6"/>
        <v>6</v>
      </c>
      <c r="K102" s="75">
        <f t="shared" si="7"/>
        <v>1.2602184021501847E-6</v>
      </c>
    </row>
    <row r="103" spans="2:11">
      <c r="B103" s="19">
        <f>Tiers!B102</f>
        <v>99</v>
      </c>
      <c r="C103" s="20" t="str">
        <f>Tiers!X102</f>
        <v>main-0|main-0||||||||</v>
      </c>
      <c r="D103" s="83">
        <f>Tiers!C102</f>
        <v>0.2</v>
      </c>
      <c r="E103" s="121">
        <v>6000</v>
      </c>
      <c r="F103" s="47">
        <v>2000000</v>
      </c>
      <c r="G103" s="6">
        <f t="shared" si="4"/>
        <v>1200</v>
      </c>
      <c r="H103" s="24" t="str">
        <f>'Data Analysis'!BK101 &amp; " | " &amp; 'Data Analysis'!BL101</f>
        <v>Less than Stake | Combo Win</v>
      </c>
      <c r="I103" s="23">
        <f t="shared" si="5"/>
        <v>333.33333333333331</v>
      </c>
      <c r="J103" s="49">
        <f t="shared" si="6"/>
        <v>27</v>
      </c>
      <c r="K103" s="75">
        <f t="shared" si="7"/>
        <v>7.5613104129011082E-4</v>
      </c>
    </row>
    <row r="104" spans="2:11">
      <c r="B104" s="19">
        <f>Tiers!B103</f>
        <v>100</v>
      </c>
      <c r="C104" s="20" t="str">
        <f>Tiers!X103</f>
        <v>main-0|main-1||||||||</v>
      </c>
      <c r="D104" s="83">
        <f>Tiers!C103</f>
        <v>0.30000000000000004</v>
      </c>
      <c r="E104" s="121">
        <v>6000</v>
      </c>
      <c r="F104" s="47">
        <v>2000000</v>
      </c>
      <c r="G104" s="6">
        <f t="shared" si="4"/>
        <v>1800.0000000000002</v>
      </c>
      <c r="H104" s="24" t="str">
        <f>'Data Analysis'!BK102 &amp; " | " &amp; 'Data Analysis'!BL102</f>
        <v>Less than Stake | Combo Win</v>
      </c>
      <c r="I104" s="23">
        <f t="shared" si="5"/>
        <v>333.33333333333331</v>
      </c>
      <c r="J104" s="49">
        <f t="shared" si="6"/>
        <v>27</v>
      </c>
      <c r="K104" s="75">
        <f t="shared" si="7"/>
        <v>1.1341965619351662E-3</v>
      </c>
    </row>
    <row r="105" spans="2:11">
      <c r="B105" s="19">
        <f>Tiers!B104</f>
        <v>101</v>
      </c>
      <c r="C105" s="20" t="str">
        <f>Tiers!X104</f>
        <v>main-1|main-1||||||||</v>
      </c>
      <c r="D105" s="83">
        <f>Tiers!C104</f>
        <v>0.4</v>
      </c>
      <c r="E105" s="121">
        <v>6000</v>
      </c>
      <c r="F105" s="47">
        <v>2000000</v>
      </c>
      <c r="G105" s="6">
        <f t="shared" si="4"/>
        <v>2400</v>
      </c>
      <c r="H105" s="24" t="str">
        <f>'Data Analysis'!BK103 &amp; " | " &amp; 'Data Analysis'!BL103</f>
        <v>Less than Stake | Combo Win</v>
      </c>
      <c r="I105" s="23">
        <f t="shared" si="5"/>
        <v>333.33333333333331</v>
      </c>
      <c r="J105" s="49">
        <f t="shared" si="6"/>
        <v>27</v>
      </c>
      <c r="K105" s="75">
        <f t="shared" si="7"/>
        <v>1.5122620825802216E-3</v>
      </c>
    </row>
    <row r="106" spans="2:11">
      <c r="B106" s="19">
        <f>Tiers!B105</f>
        <v>102</v>
      </c>
      <c r="C106" s="20" t="str">
        <f>Tiers!X105</f>
        <v>main-0|main-2||||||||</v>
      </c>
      <c r="D106" s="83">
        <f>Tiers!C105</f>
        <v>0.6</v>
      </c>
      <c r="E106" s="121">
        <v>5000</v>
      </c>
      <c r="F106" s="47">
        <v>2000000</v>
      </c>
      <c r="G106" s="6">
        <f t="shared" si="4"/>
        <v>3000</v>
      </c>
      <c r="H106" s="24" t="str">
        <f>'Data Analysis'!BK104 &amp; " | " &amp; 'Data Analysis'!BL104</f>
        <v>Less than Stake | Combo Win</v>
      </c>
      <c r="I106" s="23">
        <f t="shared" si="5"/>
        <v>400</v>
      </c>
      <c r="J106" s="49">
        <f t="shared" si="6"/>
        <v>23</v>
      </c>
      <c r="K106" s="75">
        <f t="shared" si="7"/>
        <v>1.890327603225277E-3</v>
      </c>
    </row>
    <row r="107" spans="2:11">
      <c r="B107" s="19">
        <f>Tiers!B106</f>
        <v>103</v>
      </c>
      <c r="C107" s="20" t="str">
        <f>Tiers!X106</f>
        <v>main-1|main-2||||||||</v>
      </c>
      <c r="D107" s="83">
        <f>Tiers!C106</f>
        <v>0.7</v>
      </c>
      <c r="E107" s="121">
        <v>5000</v>
      </c>
      <c r="F107" s="47">
        <v>2000000</v>
      </c>
      <c r="G107" s="6">
        <f t="shared" si="4"/>
        <v>3500</v>
      </c>
      <c r="H107" s="24" t="str">
        <f>'Data Analysis'!BK105 &amp; " | " &amp; 'Data Analysis'!BL105</f>
        <v>Less than Stake | Combo Win</v>
      </c>
      <c r="I107" s="23">
        <f t="shared" si="5"/>
        <v>400</v>
      </c>
      <c r="J107" s="49">
        <f t="shared" si="6"/>
        <v>23</v>
      </c>
      <c r="K107" s="75">
        <f t="shared" si="7"/>
        <v>2.2053822037628231E-3</v>
      </c>
    </row>
    <row r="108" spans="2:11">
      <c r="B108" s="19">
        <f>Tiers!B107</f>
        <v>104</v>
      </c>
      <c r="C108" s="20" t="str">
        <f>Tiers!X107</f>
        <v>main-3|main-0||||||||</v>
      </c>
      <c r="D108" s="83">
        <f>Tiers!C107</f>
        <v>1.1000000000000001</v>
      </c>
      <c r="E108" s="121">
        <v>19000</v>
      </c>
      <c r="F108" s="47">
        <v>2000000</v>
      </c>
      <c r="G108" s="6">
        <f t="shared" si="4"/>
        <v>20900</v>
      </c>
      <c r="H108" s="24" t="str">
        <f>'Data Analysis'!BK106 &amp; " | " &amp; 'Data Analysis'!BL106</f>
        <v>Standard Win | Combo Win</v>
      </c>
      <c r="I108" s="23">
        <f t="shared" si="5"/>
        <v>105.26315789473684</v>
      </c>
      <c r="J108" s="49">
        <f t="shared" si="6"/>
        <v>71</v>
      </c>
      <c r="K108" s="75">
        <f t="shared" si="7"/>
        <v>1.3169282302469429E-2</v>
      </c>
    </row>
    <row r="109" spans="2:11">
      <c r="B109" s="19">
        <f>Tiers!B108</f>
        <v>105</v>
      </c>
      <c r="C109" s="20" t="str">
        <f>Tiers!X108</f>
        <v>main-3|main-1||||||||</v>
      </c>
      <c r="D109" s="83">
        <f>Tiers!C108</f>
        <v>1.2</v>
      </c>
      <c r="E109" s="121">
        <v>20000</v>
      </c>
      <c r="F109" s="47">
        <v>2000000</v>
      </c>
      <c r="G109" s="6">
        <f t="shared" si="4"/>
        <v>24000</v>
      </c>
      <c r="H109" s="24" t="str">
        <f>'Data Analysis'!BK107 &amp; " | " &amp; 'Data Analysis'!BL107</f>
        <v>Standard Win | Combo Win</v>
      </c>
      <c r="I109" s="23">
        <f t="shared" si="5"/>
        <v>100</v>
      </c>
      <c r="J109" s="49">
        <f t="shared" si="6"/>
        <v>75</v>
      </c>
      <c r="K109" s="75">
        <f t="shared" si="7"/>
        <v>1.5122620825802216E-2</v>
      </c>
    </row>
    <row r="110" spans="2:11">
      <c r="B110" s="19">
        <f>Tiers!B109</f>
        <v>106</v>
      </c>
      <c r="C110" s="20" t="str">
        <f>Tiers!X109</f>
        <v>main-1|main-5||||||||</v>
      </c>
      <c r="D110" s="83">
        <f>Tiers!C109</f>
        <v>5.2</v>
      </c>
      <c r="E110" s="121">
        <v>100</v>
      </c>
      <c r="F110" s="47">
        <v>2000000</v>
      </c>
      <c r="G110" s="6">
        <f t="shared" si="4"/>
        <v>520</v>
      </c>
      <c r="H110" s="24" t="str">
        <f>'Data Analysis'!BK108 &amp; " | " &amp; 'Data Analysis'!BL108</f>
        <v>Standard Win | Combo Win</v>
      </c>
      <c r="I110" s="23">
        <f t="shared" si="5"/>
        <v>20000</v>
      </c>
      <c r="J110" s="49">
        <f t="shared" si="6"/>
        <v>6</v>
      </c>
      <c r="K110" s="75">
        <f t="shared" si="7"/>
        <v>3.27656784559048E-4</v>
      </c>
    </row>
    <row r="111" spans="2:11">
      <c r="B111" s="19">
        <f>Tiers!B110</f>
        <v>107</v>
      </c>
      <c r="C111" s="20" t="str">
        <f>Tiers!X110</f>
        <v>main-4|main-19||||||||</v>
      </c>
      <c r="D111" s="83">
        <f>Tiers!C110</f>
        <v>7</v>
      </c>
      <c r="E111" s="121">
        <v>10</v>
      </c>
      <c r="F111" s="47">
        <v>2000000</v>
      </c>
      <c r="G111" s="6">
        <f t="shared" si="4"/>
        <v>70</v>
      </c>
      <c r="H111" s="24" t="str">
        <f>'Data Analysis'!BK109 &amp; " | " &amp; 'Data Analysis'!BL109</f>
        <v>Standard Win | Combo Win</v>
      </c>
      <c r="I111" s="23">
        <f t="shared" si="5"/>
        <v>200000</v>
      </c>
      <c r="J111" s="49">
        <f t="shared" si="6"/>
        <v>6</v>
      </c>
      <c r="K111" s="75">
        <f t="shared" si="7"/>
        <v>4.4107644075256463E-5</v>
      </c>
    </row>
    <row r="112" spans="2:11">
      <c r="B112" s="19">
        <f>Tiers!B111</f>
        <v>108</v>
      </c>
      <c r="C112" s="20" t="str">
        <f>Tiers!X111</f>
        <v>main-3|main-20||||||||</v>
      </c>
      <c r="D112" s="83">
        <f>Tiers!C111</f>
        <v>11</v>
      </c>
      <c r="E112" s="121">
        <v>10</v>
      </c>
      <c r="F112" s="47">
        <v>2000000</v>
      </c>
      <c r="G112" s="6">
        <f t="shared" si="4"/>
        <v>110</v>
      </c>
      <c r="H112" s="24" t="str">
        <f>'Data Analysis'!BK110 &amp; " | " &amp; 'Data Analysis'!BL110</f>
        <v>Big Win | Combo Win</v>
      </c>
      <c r="I112" s="23">
        <f t="shared" si="5"/>
        <v>200000</v>
      </c>
      <c r="J112" s="49">
        <f t="shared" si="6"/>
        <v>6</v>
      </c>
      <c r="K112" s="75">
        <f t="shared" si="7"/>
        <v>6.9312012118260161E-5</v>
      </c>
    </row>
    <row r="113" spans="2:11">
      <c r="B113" s="19">
        <f>Tiers!B112</f>
        <v>109</v>
      </c>
      <c r="C113" s="20" t="str">
        <f>Tiers!X112</f>
        <v>main-4|main-5||||||||</v>
      </c>
      <c r="D113" s="83">
        <f>Tiers!C112</f>
        <v>7</v>
      </c>
      <c r="E113" s="121">
        <v>10</v>
      </c>
      <c r="F113" s="47">
        <v>2000000</v>
      </c>
      <c r="G113" s="6">
        <f t="shared" si="4"/>
        <v>70</v>
      </c>
      <c r="H113" s="24" t="str">
        <f>'Data Analysis'!BK111 &amp; " | " &amp; 'Data Analysis'!BL111</f>
        <v>Standard Win | Combo Win</v>
      </c>
      <c r="I113" s="23">
        <f t="shared" si="5"/>
        <v>200000</v>
      </c>
      <c r="J113" s="49">
        <f t="shared" si="6"/>
        <v>6</v>
      </c>
      <c r="K113" s="75">
        <f t="shared" si="7"/>
        <v>4.4107644075256463E-5</v>
      </c>
    </row>
    <row r="114" spans="2:11">
      <c r="B114" s="19">
        <f>Tiers!B113</f>
        <v>110</v>
      </c>
      <c r="C114" s="20" t="str">
        <f>Tiers!X113</f>
        <v>main-5|main-25||||||||</v>
      </c>
      <c r="D114" s="83">
        <f>Tiers!C113</f>
        <v>10</v>
      </c>
      <c r="E114" s="121">
        <v>10</v>
      </c>
      <c r="F114" s="47">
        <v>2000000</v>
      </c>
      <c r="G114" s="6">
        <f t="shared" si="4"/>
        <v>100</v>
      </c>
      <c r="H114" s="24" t="str">
        <f>'Data Analysis'!BK112 &amp; " | " &amp; 'Data Analysis'!BL112</f>
        <v>Big Win | Combo Win</v>
      </c>
      <c r="I114" s="23">
        <f t="shared" si="5"/>
        <v>200000</v>
      </c>
      <c r="J114" s="49">
        <f t="shared" si="6"/>
        <v>6</v>
      </c>
      <c r="K114" s="75">
        <f t="shared" si="7"/>
        <v>6.3010920107509235E-5</v>
      </c>
    </row>
    <row r="115" spans="2:11">
      <c r="B115" s="19">
        <f>Tiers!B114</f>
        <v>111</v>
      </c>
      <c r="C115" s="20" t="str">
        <f>Tiers!X114</f>
        <v>main-5|main-26||||||||</v>
      </c>
      <c r="D115" s="83">
        <f>Tiers!C114</f>
        <v>15</v>
      </c>
      <c r="E115" s="121">
        <v>10</v>
      </c>
      <c r="F115" s="47">
        <v>2000000</v>
      </c>
      <c r="G115" s="6">
        <f t="shared" si="4"/>
        <v>150</v>
      </c>
      <c r="H115" s="24" t="str">
        <f>'Data Analysis'!BK113 &amp; " | " &amp; 'Data Analysis'!BL113</f>
        <v>Big Win | Combo Win</v>
      </c>
      <c r="I115" s="23">
        <f t="shared" si="5"/>
        <v>200000</v>
      </c>
      <c r="J115" s="49">
        <f t="shared" si="6"/>
        <v>6</v>
      </c>
      <c r="K115" s="75">
        <f t="shared" si="7"/>
        <v>9.4516380161263852E-5</v>
      </c>
    </row>
    <row r="116" spans="2:11">
      <c r="B116" s="19">
        <f>Tiers!B115</f>
        <v>112</v>
      </c>
      <c r="C116" s="20" t="str">
        <f>Tiers!X115</f>
        <v>main-0|main-27||||||||</v>
      </c>
      <c r="D116" s="83">
        <f>Tiers!C115</f>
        <v>20.100000000000001</v>
      </c>
      <c r="E116" s="121">
        <v>10</v>
      </c>
      <c r="F116" s="47">
        <v>2000000</v>
      </c>
      <c r="G116" s="6">
        <f t="shared" si="4"/>
        <v>201</v>
      </c>
      <c r="H116" s="24" t="str">
        <f>'Data Analysis'!BK114 &amp; " | " &amp; 'Data Analysis'!BL114</f>
        <v>Big Win | Combo Win</v>
      </c>
      <c r="I116" s="23">
        <f t="shared" si="5"/>
        <v>200000</v>
      </c>
      <c r="J116" s="49">
        <f t="shared" si="6"/>
        <v>6</v>
      </c>
      <c r="K116" s="75">
        <f t="shared" si="7"/>
        <v>1.2665194941609354E-4</v>
      </c>
    </row>
    <row r="117" spans="2:11">
      <c r="B117" s="19">
        <f>Tiers!B116</f>
        <v>113</v>
      </c>
      <c r="C117" s="20" t="str">
        <f>Tiers!X116</f>
        <v>main-4|main-21||||||||</v>
      </c>
      <c r="D117" s="83">
        <f>Tiers!C116</f>
        <v>22</v>
      </c>
      <c r="E117" s="121">
        <v>10</v>
      </c>
      <c r="F117" s="47">
        <v>2000000</v>
      </c>
      <c r="G117" s="6">
        <f t="shared" si="4"/>
        <v>220</v>
      </c>
      <c r="H117" s="24" t="str">
        <f>'Data Analysis'!BK115 &amp; " | " &amp; 'Data Analysis'!BL115</f>
        <v>Big Win | Combo Win</v>
      </c>
      <c r="I117" s="23">
        <f t="shared" si="5"/>
        <v>200000</v>
      </c>
      <c r="J117" s="49">
        <f t="shared" si="6"/>
        <v>6</v>
      </c>
      <c r="K117" s="75">
        <f t="shared" si="7"/>
        <v>1.3862402423652032E-4</v>
      </c>
    </row>
    <row r="118" spans="2:11">
      <c r="B118" s="19">
        <f>Tiers!B117</f>
        <v>114</v>
      </c>
      <c r="C118" s="20" t="str">
        <f>Tiers!X117</f>
        <v>main-0|main-18|main-4|||||||</v>
      </c>
      <c r="D118" s="83">
        <f>Tiers!C117</f>
        <v>5.0999999999999996</v>
      </c>
      <c r="E118" s="121">
        <v>10</v>
      </c>
      <c r="F118" s="47">
        <v>2000000</v>
      </c>
      <c r="G118" s="6">
        <f t="shared" si="4"/>
        <v>51</v>
      </c>
      <c r="H118" s="24" t="str">
        <f>'Data Analysis'!BK116 &amp; " | " &amp; 'Data Analysis'!BL116</f>
        <v>Standard Win | Combo Win</v>
      </c>
      <c r="I118" s="23">
        <f t="shared" si="5"/>
        <v>200000</v>
      </c>
      <c r="J118" s="49">
        <f t="shared" si="6"/>
        <v>6</v>
      </c>
      <c r="K118" s="75">
        <f t="shared" si="7"/>
        <v>3.2135569254829706E-5</v>
      </c>
    </row>
    <row r="119" spans="2:11">
      <c r="B119" s="19">
        <f>Tiers!B118</f>
        <v>115</v>
      </c>
      <c r="C119" s="20" t="str">
        <f>Tiers!X118</f>
        <v>main-1|main-25|main-18|||||||</v>
      </c>
      <c r="D119" s="83">
        <f>Tiers!C118</f>
        <v>8.1999999999999993</v>
      </c>
      <c r="E119" s="121">
        <v>10</v>
      </c>
      <c r="F119" s="47">
        <v>2000000</v>
      </c>
      <c r="G119" s="6">
        <f t="shared" si="4"/>
        <v>82</v>
      </c>
      <c r="H119" s="24" t="str">
        <f>'Data Analysis'!BK117 &amp; " | " &amp; 'Data Analysis'!BL117</f>
        <v>Standard Win | Combo Win</v>
      </c>
      <c r="I119" s="23">
        <f t="shared" si="5"/>
        <v>200000</v>
      </c>
      <c r="J119" s="49">
        <f t="shared" si="6"/>
        <v>6</v>
      </c>
      <c r="K119" s="75">
        <f t="shared" si="7"/>
        <v>5.1668954488157573E-5</v>
      </c>
    </row>
    <row r="120" spans="2:11">
      <c r="B120" s="19">
        <f>Tiers!B119</f>
        <v>116</v>
      </c>
      <c r="C120" s="20" t="str">
        <f>Tiers!X119</f>
        <v>main-2|main-19|main-3|||||||</v>
      </c>
      <c r="D120" s="83">
        <f>Tiers!C119</f>
        <v>6.5</v>
      </c>
      <c r="E120" s="121">
        <v>10</v>
      </c>
      <c r="F120" s="47">
        <v>2000000</v>
      </c>
      <c r="G120" s="6">
        <f t="shared" si="4"/>
        <v>65</v>
      </c>
      <c r="H120" s="24" t="str">
        <f>'Data Analysis'!BK118 &amp; " | " &amp; 'Data Analysis'!BL118</f>
        <v>Standard Win | Combo Win</v>
      </c>
      <c r="I120" s="23">
        <f t="shared" si="5"/>
        <v>200000</v>
      </c>
      <c r="J120" s="49">
        <f t="shared" si="6"/>
        <v>6</v>
      </c>
      <c r="K120" s="75">
        <f t="shared" si="7"/>
        <v>4.0957098069881E-5</v>
      </c>
    </row>
    <row r="121" spans="2:11">
      <c r="B121" s="19">
        <f>Tiers!B120</f>
        <v>117</v>
      </c>
      <c r="C121" s="20" t="str">
        <f>Tiers!X120</f>
        <v>main-4|main-13|main-0|||||||</v>
      </c>
      <c r="D121" s="83">
        <f>Tiers!C120</f>
        <v>7.1</v>
      </c>
      <c r="E121" s="121">
        <v>10</v>
      </c>
      <c r="F121" s="47">
        <v>2000000</v>
      </c>
      <c r="G121" s="6">
        <f t="shared" si="4"/>
        <v>71</v>
      </c>
      <c r="H121" s="24" t="str">
        <f>'Data Analysis'!BK119 &amp; " | " &amp; 'Data Analysis'!BL119</f>
        <v>Standard Win | Combo Win</v>
      </c>
      <c r="I121" s="23">
        <f t="shared" si="5"/>
        <v>200000</v>
      </c>
      <c r="J121" s="49">
        <f t="shared" si="6"/>
        <v>6</v>
      </c>
      <c r="K121" s="75">
        <f t="shared" si="7"/>
        <v>4.4737753276331552E-5</v>
      </c>
    </row>
    <row r="122" spans="2:11">
      <c r="B122" s="19">
        <f>Tiers!B121</f>
        <v>118</v>
      </c>
      <c r="C122" s="20" t="str">
        <f>Tiers!X121</f>
        <v>main-1|main-18|main-26|||||||</v>
      </c>
      <c r="D122" s="83">
        <f>Tiers!C121</f>
        <v>13.2</v>
      </c>
      <c r="E122" s="121">
        <v>10</v>
      </c>
      <c r="F122" s="47">
        <v>2000000</v>
      </c>
      <c r="G122" s="6">
        <f t="shared" si="4"/>
        <v>132</v>
      </c>
      <c r="H122" s="24" t="str">
        <f>'Data Analysis'!BK120 &amp; " | " &amp; 'Data Analysis'!BL120</f>
        <v>Big Win | Combo Win</v>
      </c>
      <c r="I122" s="23">
        <f t="shared" si="5"/>
        <v>200000</v>
      </c>
      <c r="J122" s="49">
        <f t="shared" si="6"/>
        <v>6</v>
      </c>
      <c r="K122" s="75">
        <f t="shared" si="7"/>
        <v>8.317441454191219E-5</v>
      </c>
    </row>
    <row r="123" spans="2:11">
      <c r="B123" s="19">
        <f>Tiers!B122</f>
        <v>119</v>
      </c>
      <c r="C123" s="20" t="str">
        <f>Tiers!X122</f>
        <v>main-5|main-25|main-0|||||||</v>
      </c>
      <c r="D123" s="83">
        <f>Tiers!C122</f>
        <v>10.1</v>
      </c>
      <c r="E123" s="121">
        <v>10</v>
      </c>
      <c r="F123" s="47">
        <v>2000000</v>
      </c>
      <c r="G123" s="6">
        <f t="shared" si="4"/>
        <v>101</v>
      </c>
      <c r="H123" s="24" t="str">
        <f>'Data Analysis'!BK121 &amp; " | " &amp; 'Data Analysis'!BL121</f>
        <v>Big Win | Combo Win</v>
      </c>
      <c r="I123" s="23">
        <f t="shared" si="5"/>
        <v>200000</v>
      </c>
      <c r="J123" s="49">
        <f t="shared" si="6"/>
        <v>6</v>
      </c>
      <c r="K123" s="75">
        <f t="shared" si="7"/>
        <v>6.3641029308584323E-5</v>
      </c>
    </row>
    <row r="124" spans="2:11">
      <c r="B124" s="19">
        <f>Tiers!B123</f>
        <v>120</v>
      </c>
      <c r="C124" s="20" t="str">
        <f>Tiers!X123</f>
        <v>main-4|main-0|main-20|||||||</v>
      </c>
      <c r="D124" s="83">
        <f>Tiers!C123</f>
        <v>12.1</v>
      </c>
      <c r="E124" s="121">
        <v>10</v>
      </c>
      <c r="F124" s="47">
        <v>2000000</v>
      </c>
      <c r="G124" s="6">
        <f t="shared" si="4"/>
        <v>121</v>
      </c>
      <c r="H124" s="24" t="str">
        <f>'Data Analysis'!BK122 &amp; " | " &amp; 'Data Analysis'!BL122</f>
        <v>Big Win | Combo Win</v>
      </c>
      <c r="I124" s="23">
        <f t="shared" si="5"/>
        <v>200000</v>
      </c>
      <c r="J124" s="49">
        <f t="shared" si="6"/>
        <v>6</v>
      </c>
      <c r="K124" s="75">
        <f t="shared" si="7"/>
        <v>7.6243213330086176E-5</v>
      </c>
    </row>
    <row r="125" spans="2:11">
      <c r="B125" s="19">
        <f>Tiers!B124</f>
        <v>121</v>
      </c>
      <c r="C125" s="20" t="str">
        <f>Tiers!X124</f>
        <v>main-11|main-25|main-5|||||||</v>
      </c>
      <c r="D125" s="83">
        <f>Tiers!C124</f>
        <v>12</v>
      </c>
      <c r="E125" s="121">
        <v>10</v>
      </c>
      <c r="F125" s="47">
        <v>2000000</v>
      </c>
      <c r="G125" s="6">
        <f t="shared" si="4"/>
        <v>120</v>
      </c>
      <c r="H125" s="24" t="str">
        <f>'Data Analysis'!BK123 &amp; " | " &amp; 'Data Analysis'!BL123</f>
        <v>Big Win | Combo Win</v>
      </c>
      <c r="I125" s="23">
        <f t="shared" si="5"/>
        <v>200000</v>
      </c>
      <c r="J125" s="49">
        <f t="shared" si="6"/>
        <v>6</v>
      </c>
      <c r="K125" s="75">
        <f t="shared" si="7"/>
        <v>7.5613104129011074E-5</v>
      </c>
    </row>
    <row r="126" spans="2:11">
      <c r="B126" s="19">
        <f>Tiers!B125</f>
        <v>122</v>
      </c>
      <c r="C126" s="20" t="str">
        <f>Tiers!X125</f>
        <v>main-18|main-19|main-5|||||||</v>
      </c>
      <c r="D126" s="83">
        <f>Tiers!C125</f>
        <v>13</v>
      </c>
      <c r="E126" s="121">
        <v>10</v>
      </c>
      <c r="F126" s="47">
        <v>2000000</v>
      </c>
      <c r="G126" s="6">
        <f t="shared" si="4"/>
        <v>130</v>
      </c>
      <c r="H126" s="24" t="str">
        <f>'Data Analysis'!BK124 &amp; " | " &amp; 'Data Analysis'!BL124</f>
        <v>Big Win | Combo Win</v>
      </c>
      <c r="I126" s="23">
        <f t="shared" si="5"/>
        <v>200000</v>
      </c>
      <c r="J126" s="49">
        <f t="shared" si="6"/>
        <v>6</v>
      </c>
      <c r="K126" s="75">
        <f t="shared" si="7"/>
        <v>8.1914196139762E-5</v>
      </c>
    </row>
    <row r="127" spans="2:11">
      <c r="B127" s="19">
        <f>Tiers!B126</f>
        <v>123</v>
      </c>
      <c r="C127" s="20" t="str">
        <f>Tiers!X126</f>
        <v>main-3|main-20|main-4|||||||</v>
      </c>
      <c r="D127" s="83">
        <f>Tiers!C126</f>
        <v>13</v>
      </c>
      <c r="E127" s="121">
        <v>10</v>
      </c>
      <c r="F127" s="47">
        <v>2000000</v>
      </c>
      <c r="G127" s="6">
        <f t="shared" si="4"/>
        <v>130</v>
      </c>
      <c r="H127" s="24" t="str">
        <f>'Data Analysis'!BK125 &amp; " | " &amp; 'Data Analysis'!BL125</f>
        <v>Big Win | Combo Win</v>
      </c>
      <c r="I127" s="23">
        <f t="shared" si="5"/>
        <v>200000</v>
      </c>
      <c r="J127" s="49">
        <f t="shared" si="6"/>
        <v>6</v>
      </c>
      <c r="K127" s="75">
        <f t="shared" si="7"/>
        <v>8.1914196139762E-5</v>
      </c>
    </row>
    <row r="128" spans="2:11">
      <c r="B128" s="19">
        <f>Tiers!B127</f>
        <v>124</v>
      </c>
      <c r="C128" s="20" t="str">
        <f>Tiers!X127</f>
        <v>main-3|main-5|main-19|||||||</v>
      </c>
      <c r="D128" s="83">
        <f>Tiers!C127</f>
        <v>11</v>
      </c>
      <c r="E128" s="121">
        <v>10</v>
      </c>
      <c r="F128" s="47">
        <v>2000000</v>
      </c>
      <c r="G128" s="6">
        <f t="shared" si="4"/>
        <v>110</v>
      </c>
      <c r="H128" s="24" t="str">
        <f>'Data Analysis'!BK126 &amp; " | " &amp; 'Data Analysis'!BL126</f>
        <v>Big Win | Combo Win</v>
      </c>
      <c r="I128" s="23">
        <f t="shared" si="5"/>
        <v>200000</v>
      </c>
      <c r="J128" s="49">
        <f t="shared" si="6"/>
        <v>6</v>
      </c>
      <c r="K128" s="75">
        <f t="shared" si="7"/>
        <v>6.9312012118260161E-5</v>
      </c>
    </row>
    <row r="129" spans="2:11">
      <c r="B129" s="19">
        <f>Tiers!B128</f>
        <v>125</v>
      </c>
      <c r="C129" s="20" t="str">
        <f>Tiers!X128</f>
        <v>main-5|main-26|main-1|||||||</v>
      </c>
      <c r="D129" s="83">
        <f>Tiers!C128</f>
        <v>15.2</v>
      </c>
      <c r="E129" s="121">
        <v>10</v>
      </c>
      <c r="F129" s="47">
        <v>2000000</v>
      </c>
      <c r="G129" s="6">
        <f t="shared" si="4"/>
        <v>152</v>
      </c>
      <c r="H129" s="24" t="str">
        <f>'Data Analysis'!BK127 &amp; " | " &amp; 'Data Analysis'!BL127</f>
        <v>Big Win | Combo Win</v>
      </c>
      <c r="I129" s="23">
        <f t="shared" si="5"/>
        <v>200000</v>
      </c>
      <c r="J129" s="49">
        <f t="shared" si="6"/>
        <v>6</v>
      </c>
      <c r="K129" s="75">
        <f t="shared" si="7"/>
        <v>9.5776598563414029E-5</v>
      </c>
    </row>
    <row r="130" spans="2:11">
      <c r="B130" s="19">
        <f>Tiers!B129</f>
        <v>126</v>
      </c>
      <c r="C130" s="20" t="str">
        <f>Tiers!X129</f>
        <v>main-5|main-25|main-19|||||||</v>
      </c>
      <c r="D130" s="83">
        <f>Tiers!C129</f>
        <v>15</v>
      </c>
      <c r="E130" s="121">
        <v>10</v>
      </c>
      <c r="F130" s="47">
        <v>2000000</v>
      </c>
      <c r="G130" s="6">
        <f t="shared" si="4"/>
        <v>150</v>
      </c>
      <c r="H130" s="24" t="str">
        <f>'Data Analysis'!BK128 &amp; " | " &amp; 'Data Analysis'!BL128</f>
        <v>Big Win | Combo Win</v>
      </c>
      <c r="I130" s="23">
        <f t="shared" si="5"/>
        <v>200000</v>
      </c>
      <c r="J130" s="49">
        <f t="shared" si="6"/>
        <v>6</v>
      </c>
      <c r="K130" s="75">
        <f t="shared" si="7"/>
        <v>9.4516380161263852E-5</v>
      </c>
    </row>
    <row r="131" spans="2:11">
      <c r="B131" s="19">
        <f>Tiers!B130</f>
        <v>127</v>
      </c>
      <c r="C131" s="20" t="str">
        <f>Tiers!X130</f>
        <v>main-4|main-19|main-5|||||||</v>
      </c>
      <c r="D131" s="83">
        <f>Tiers!C130</f>
        <v>12</v>
      </c>
      <c r="E131" s="121">
        <v>10</v>
      </c>
      <c r="F131" s="47">
        <v>2000000</v>
      </c>
      <c r="G131" s="6">
        <f t="shared" si="4"/>
        <v>120</v>
      </c>
      <c r="H131" s="24" t="str">
        <f>'Data Analysis'!BK129 &amp; " | " &amp; 'Data Analysis'!BL129</f>
        <v>Big Win | Combo Win</v>
      </c>
      <c r="I131" s="23">
        <f t="shared" si="5"/>
        <v>200000</v>
      </c>
      <c r="J131" s="49">
        <f t="shared" si="6"/>
        <v>6</v>
      </c>
      <c r="K131" s="75">
        <f t="shared" si="7"/>
        <v>7.5613104129011074E-5</v>
      </c>
    </row>
    <row r="132" spans="2:11">
      <c r="B132" s="19">
        <f>Tiers!B131</f>
        <v>128</v>
      </c>
      <c r="C132" s="20" t="str">
        <f>Tiers!X131</f>
        <v>main-0|main-27|main-2|||||||</v>
      </c>
      <c r="D132" s="83">
        <f>Tiers!C131</f>
        <v>20.6</v>
      </c>
      <c r="E132" s="121">
        <v>10</v>
      </c>
      <c r="F132" s="47">
        <v>2000000</v>
      </c>
      <c r="G132" s="6">
        <f t="shared" ref="G132:G195" si="8">E132*D132</f>
        <v>206</v>
      </c>
      <c r="H132" s="24" t="str">
        <f>'Data Analysis'!BK130 &amp; " | " &amp; 'Data Analysis'!BL130</f>
        <v>Big Win | Combo Win</v>
      </c>
      <c r="I132" s="23">
        <f t="shared" ref="I132:I195" si="9">F132/E132</f>
        <v>200000</v>
      </c>
      <c r="J132" s="49">
        <f t="shared" ref="J132:J195" si="10">ROUND(IF(D132=0,($N$17*0.3),((((N$17*0.7)-(N$19*N$18)))*(E132/$N$14)+$N$19)),0)</f>
        <v>6</v>
      </c>
      <c r="K132" s="75">
        <f t="shared" si="7"/>
        <v>1.2980249542146903E-4</v>
      </c>
    </row>
    <row r="133" spans="2:11">
      <c r="B133" s="19">
        <f>Tiers!B132</f>
        <v>129</v>
      </c>
      <c r="C133" s="20" t="str">
        <f>Tiers!X132</f>
        <v>main-4|main-14|main-15|||||||</v>
      </c>
      <c r="D133" s="83">
        <f>Tiers!C132</f>
        <v>32</v>
      </c>
      <c r="E133" s="121">
        <v>10</v>
      </c>
      <c r="F133" s="47">
        <v>2000000</v>
      </c>
      <c r="G133" s="6">
        <f t="shared" si="8"/>
        <v>320</v>
      </c>
      <c r="H133" s="24" t="str">
        <f>'Data Analysis'!BK131 &amp; " | " &amp; 'Data Analysis'!BL131</f>
        <v>Big Win | Combo Win</v>
      </c>
      <c r="I133" s="23">
        <f t="shared" si="9"/>
        <v>200000</v>
      </c>
      <c r="J133" s="49">
        <f t="shared" si="10"/>
        <v>6</v>
      </c>
      <c r="K133" s="75">
        <f t="shared" ref="K133:K196" si="11">G133/N$9</f>
        <v>2.0163494434402953E-4</v>
      </c>
    </row>
    <row r="134" spans="2:11">
      <c r="B134" s="19">
        <f>Tiers!B133</f>
        <v>130</v>
      </c>
      <c r="C134" s="20" t="str">
        <f>Tiers!X133</f>
        <v>main-4|main-28|main-3|||||||</v>
      </c>
      <c r="D134" s="83">
        <f>Tiers!C133</f>
        <v>103</v>
      </c>
      <c r="E134" s="121">
        <v>2</v>
      </c>
      <c r="F134" s="47">
        <v>2000000</v>
      </c>
      <c r="G134" s="6">
        <f t="shared" si="8"/>
        <v>206</v>
      </c>
      <c r="H134" s="24" t="str">
        <f>'Data Analysis'!BK132 &amp; " | " &amp; 'Data Analysis'!BL132</f>
        <v>Huge Win | Combo Win</v>
      </c>
      <c r="I134" s="23">
        <f t="shared" si="9"/>
        <v>1000000</v>
      </c>
      <c r="J134" s="49">
        <f t="shared" si="10"/>
        <v>6</v>
      </c>
      <c r="K134" s="75">
        <f t="shared" si="11"/>
        <v>1.2980249542146903E-4</v>
      </c>
    </row>
    <row r="135" spans="2:11">
      <c r="B135" s="19">
        <f>Tiers!B134</f>
        <v>131</v>
      </c>
      <c r="C135" s="20" t="str">
        <f>Tiers!X134</f>
        <v>main-4|main-0|main-1|main-18||||||</v>
      </c>
      <c r="D135" s="83">
        <f>Tiers!C134</f>
        <v>5.3000000000000007</v>
      </c>
      <c r="E135" s="121">
        <v>10</v>
      </c>
      <c r="F135" s="47">
        <v>2000000</v>
      </c>
      <c r="G135" s="6">
        <f t="shared" si="8"/>
        <v>53.000000000000007</v>
      </c>
      <c r="H135" s="24" t="str">
        <f>'Data Analysis'!BK133 &amp; " | " &amp; 'Data Analysis'!BL133</f>
        <v>Standard Win | Combo Win</v>
      </c>
      <c r="I135" s="23">
        <f t="shared" si="9"/>
        <v>200000</v>
      </c>
      <c r="J135" s="49">
        <f t="shared" si="10"/>
        <v>6</v>
      </c>
      <c r="K135" s="75">
        <f t="shared" si="11"/>
        <v>3.3395787656979897E-5</v>
      </c>
    </row>
    <row r="136" spans="2:11">
      <c r="B136" s="19">
        <f>Tiers!B135</f>
        <v>132</v>
      </c>
      <c r="C136" s="20" t="str">
        <f>Tiers!X135</f>
        <v>main-0|main-4|main-0|main-19||||||</v>
      </c>
      <c r="D136" s="83">
        <f>Tiers!C135</f>
        <v>7.2</v>
      </c>
      <c r="E136" s="121">
        <v>10</v>
      </c>
      <c r="F136" s="47">
        <v>2000000</v>
      </c>
      <c r="G136" s="6">
        <f t="shared" si="8"/>
        <v>72</v>
      </c>
      <c r="H136" s="24" t="str">
        <f>'Data Analysis'!BK134 &amp; " | " &amp; 'Data Analysis'!BL134</f>
        <v>Standard Win | Combo Win</v>
      </c>
      <c r="I136" s="23">
        <f t="shared" si="9"/>
        <v>200000</v>
      </c>
      <c r="J136" s="49">
        <f t="shared" si="10"/>
        <v>6</v>
      </c>
      <c r="K136" s="75">
        <f t="shared" si="11"/>
        <v>4.5367862477406647E-5</v>
      </c>
    </row>
    <row r="137" spans="2:11">
      <c r="B137" s="19">
        <f>Tiers!B136</f>
        <v>133</v>
      </c>
      <c r="C137" s="20" t="str">
        <f>Tiers!X136</f>
        <v>main-0|main-13|main-26|main-18||||||</v>
      </c>
      <c r="D137" s="83">
        <f>Tiers!C136</f>
        <v>18.100000000000001</v>
      </c>
      <c r="E137" s="121">
        <v>10</v>
      </c>
      <c r="F137" s="47">
        <v>2000000</v>
      </c>
      <c r="G137" s="6">
        <f t="shared" si="8"/>
        <v>181</v>
      </c>
      <c r="H137" s="24" t="str">
        <f>'Data Analysis'!BK135 &amp; " | " &amp; 'Data Analysis'!BL135</f>
        <v>Big Win | Combo Win</v>
      </c>
      <c r="I137" s="23">
        <f t="shared" si="9"/>
        <v>200000</v>
      </c>
      <c r="J137" s="49">
        <f t="shared" si="10"/>
        <v>6</v>
      </c>
      <c r="K137" s="75">
        <f t="shared" si="11"/>
        <v>1.1404976539459171E-4</v>
      </c>
    </row>
    <row r="138" spans="2:11">
      <c r="B138" s="19">
        <f>Tiers!B137</f>
        <v>134</v>
      </c>
      <c r="C138" s="20" t="str">
        <f>Tiers!X137</f>
        <v>main-5|main-13|main-25|main-0||||||</v>
      </c>
      <c r="D138" s="83">
        <f>Tiers!C137</f>
        <v>15.1</v>
      </c>
      <c r="E138" s="121">
        <v>10</v>
      </c>
      <c r="F138" s="47">
        <v>2000000</v>
      </c>
      <c r="G138" s="6">
        <f t="shared" si="8"/>
        <v>151</v>
      </c>
      <c r="H138" s="24" t="str">
        <f>'Data Analysis'!BK136 &amp; " | " &amp; 'Data Analysis'!BL136</f>
        <v>Big Win | Combo Win</v>
      </c>
      <c r="I138" s="23">
        <f t="shared" si="9"/>
        <v>200000</v>
      </c>
      <c r="J138" s="49">
        <f t="shared" si="10"/>
        <v>6</v>
      </c>
      <c r="K138" s="75">
        <f t="shared" si="11"/>
        <v>9.5146489362338941E-5</v>
      </c>
    </row>
    <row r="139" spans="2:11">
      <c r="B139" s="19">
        <f>Tiers!B138</f>
        <v>135</v>
      </c>
      <c r="C139" s="20" t="str">
        <f>Tiers!X138</f>
        <v>main-18|main-5|main-13|main-3||||||</v>
      </c>
      <c r="D139" s="83">
        <f>Tiers!C138</f>
        <v>14</v>
      </c>
      <c r="E139" s="121">
        <v>10</v>
      </c>
      <c r="F139" s="47">
        <v>2000000</v>
      </c>
      <c r="G139" s="6">
        <f t="shared" si="8"/>
        <v>140</v>
      </c>
      <c r="H139" s="24" t="str">
        <f>'Data Analysis'!BK137 &amp; " | " &amp; 'Data Analysis'!BL137</f>
        <v>Big Win | Combo Win</v>
      </c>
      <c r="I139" s="23">
        <f t="shared" si="9"/>
        <v>200000</v>
      </c>
      <c r="J139" s="49">
        <f t="shared" si="10"/>
        <v>6</v>
      </c>
      <c r="K139" s="75">
        <f t="shared" si="11"/>
        <v>8.8215288150512926E-5</v>
      </c>
    </row>
    <row r="140" spans="2:11">
      <c r="B140" s="19">
        <f>Tiers!B139</f>
        <v>136</v>
      </c>
      <c r="C140" s="20" t="str">
        <f>Tiers!X139</f>
        <v>main-3|main-19|main-13|main-26||||||</v>
      </c>
      <c r="D140" s="83">
        <f>Tiers!C139</f>
        <v>21</v>
      </c>
      <c r="E140" s="121">
        <v>10</v>
      </c>
      <c r="F140" s="47">
        <v>2000000</v>
      </c>
      <c r="G140" s="6">
        <f t="shared" si="8"/>
        <v>210</v>
      </c>
      <c r="H140" s="24" t="str">
        <f>'Data Analysis'!BK138 &amp; " | " &amp; 'Data Analysis'!BL138</f>
        <v>Big Win | Combo Win</v>
      </c>
      <c r="I140" s="23">
        <f t="shared" si="9"/>
        <v>200000</v>
      </c>
      <c r="J140" s="49">
        <f t="shared" si="10"/>
        <v>6</v>
      </c>
      <c r="K140" s="75">
        <f t="shared" si="11"/>
        <v>1.3232293222576938E-4</v>
      </c>
    </row>
    <row r="141" spans="2:11">
      <c r="B141" s="19">
        <f>Tiers!B140</f>
        <v>137</v>
      </c>
      <c r="C141" s="20" t="str">
        <f>Tiers!X140</f>
        <v>main-19|main-4|main-1|main-15||||||</v>
      </c>
      <c r="D141" s="83">
        <f>Tiers!C140</f>
        <v>27.2</v>
      </c>
      <c r="E141" s="121">
        <v>10</v>
      </c>
      <c r="F141" s="47">
        <v>2000000</v>
      </c>
      <c r="G141" s="6">
        <f t="shared" si="8"/>
        <v>272</v>
      </c>
      <c r="H141" s="24" t="str">
        <f>'Data Analysis'!BK139 &amp; " | " &amp; 'Data Analysis'!BL139</f>
        <v>Big Win | Combo Win</v>
      </c>
      <c r="I141" s="23">
        <f t="shared" si="9"/>
        <v>200000</v>
      </c>
      <c r="J141" s="49">
        <f t="shared" si="10"/>
        <v>6</v>
      </c>
      <c r="K141" s="75">
        <f t="shared" si="11"/>
        <v>1.7138970269242512E-4</v>
      </c>
    </row>
    <row r="142" spans="2:11">
      <c r="B142" s="19">
        <f>Tiers!B141</f>
        <v>138</v>
      </c>
      <c r="C142" s="20" t="str">
        <f>Tiers!X141</f>
        <v>main-5|main-3|main-5|main-15||||||</v>
      </c>
      <c r="D142" s="83">
        <f>Tiers!C141</f>
        <v>31</v>
      </c>
      <c r="E142" s="121">
        <v>10</v>
      </c>
      <c r="F142" s="47">
        <v>2000000</v>
      </c>
      <c r="G142" s="6">
        <f t="shared" si="8"/>
        <v>310</v>
      </c>
      <c r="H142" s="24" t="str">
        <f>'Data Analysis'!BK140 &amp; " | " &amp; 'Data Analysis'!BL140</f>
        <v>Big Win | Combo Win</v>
      </c>
      <c r="I142" s="23">
        <f t="shared" si="9"/>
        <v>200000</v>
      </c>
      <c r="J142" s="49">
        <f t="shared" si="10"/>
        <v>6</v>
      </c>
      <c r="K142" s="75">
        <f t="shared" si="11"/>
        <v>1.9533385233327862E-4</v>
      </c>
    </row>
    <row r="143" spans="2:11">
      <c r="B143" s="19">
        <f>Tiers!B142</f>
        <v>139</v>
      </c>
      <c r="C143" s="20" t="str">
        <f>Tiers!X142</f>
        <v>main-4|main-18|main-28|main-0||||||</v>
      </c>
      <c r="D143" s="83">
        <f>Tiers!C142</f>
        <v>105.1</v>
      </c>
      <c r="E143" s="121">
        <v>2</v>
      </c>
      <c r="F143" s="47">
        <v>2000000</v>
      </c>
      <c r="G143" s="6">
        <f t="shared" si="8"/>
        <v>210.2</v>
      </c>
      <c r="H143" s="24" t="str">
        <f>'Data Analysis'!BK141 &amp; " | " &amp; 'Data Analysis'!BL141</f>
        <v>Huge Win | Combo Win</v>
      </c>
      <c r="I143" s="23">
        <f t="shared" si="9"/>
        <v>1000000</v>
      </c>
      <c r="J143" s="49">
        <f t="shared" si="10"/>
        <v>6</v>
      </c>
      <c r="K143" s="75">
        <f t="shared" si="11"/>
        <v>1.3244895406598441E-4</v>
      </c>
    </row>
    <row r="144" spans="2:11">
      <c r="B144" s="19">
        <f>Tiers!B143</f>
        <v>140</v>
      </c>
      <c r="C144" s="20" t="str">
        <f>Tiers!X143</f>
        <v>main-19|main-3|main-1|main-18|main-4|||||</v>
      </c>
      <c r="D144" s="83">
        <f>Tiers!C143</f>
        <v>11.2</v>
      </c>
      <c r="E144" s="121">
        <v>10</v>
      </c>
      <c r="F144" s="47">
        <v>2000000</v>
      </c>
      <c r="G144" s="6">
        <f t="shared" si="8"/>
        <v>112</v>
      </c>
      <c r="H144" s="24" t="str">
        <f>'Data Analysis'!BK142 &amp; " | " &amp; 'Data Analysis'!BL142</f>
        <v>Big Win | Combo Win</v>
      </c>
      <c r="I144" s="23">
        <f t="shared" si="9"/>
        <v>200000</v>
      </c>
      <c r="J144" s="49">
        <f t="shared" si="10"/>
        <v>6</v>
      </c>
      <c r="K144" s="75">
        <f t="shared" si="11"/>
        <v>7.0572230520410338E-5</v>
      </c>
    </row>
    <row r="145" spans="2:11">
      <c r="B145" s="19">
        <f>Tiers!B144</f>
        <v>141</v>
      </c>
      <c r="C145" s="20" t="str">
        <f>Tiers!X144</f>
        <v>main-26|main-0|main-3|main-18|main-18|||||</v>
      </c>
      <c r="D145" s="83">
        <f>Tiers!C144</f>
        <v>17.100000000000001</v>
      </c>
      <c r="E145" s="121">
        <v>10</v>
      </c>
      <c r="F145" s="47">
        <v>2000000</v>
      </c>
      <c r="G145" s="6">
        <f t="shared" si="8"/>
        <v>171</v>
      </c>
      <c r="H145" s="24" t="str">
        <f>'Data Analysis'!BK143 &amp; " | " &amp; 'Data Analysis'!BL143</f>
        <v>Big Win | Combo Win</v>
      </c>
      <c r="I145" s="23">
        <f t="shared" si="9"/>
        <v>200000</v>
      </c>
      <c r="J145" s="49">
        <f t="shared" si="10"/>
        <v>6</v>
      </c>
      <c r="K145" s="75">
        <f t="shared" si="11"/>
        <v>1.0774867338384079E-4</v>
      </c>
    </row>
    <row r="146" spans="2:11">
      <c r="B146" s="19">
        <f>Tiers!B145</f>
        <v>142</v>
      </c>
      <c r="C146" s="20" t="str">
        <f>Tiers!X145</f>
        <v>main-4|main-2|main-5|main-3|main-3|||||</v>
      </c>
      <c r="D146" s="83">
        <f>Tiers!C145</f>
        <v>9.5</v>
      </c>
      <c r="E146" s="121">
        <v>10</v>
      </c>
      <c r="F146" s="47">
        <v>2000000</v>
      </c>
      <c r="G146" s="6">
        <f t="shared" si="8"/>
        <v>95</v>
      </c>
      <c r="H146" s="24" t="str">
        <f>'Data Analysis'!BK144 &amp; " | " &amp; 'Data Analysis'!BL144</f>
        <v>Standard Win | Combo Win</v>
      </c>
      <c r="I146" s="23">
        <f t="shared" si="9"/>
        <v>200000</v>
      </c>
      <c r="J146" s="49">
        <f t="shared" si="10"/>
        <v>6</v>
      </c>
      <c r="K146" s="75">
        <f t="shared" si="11"/>
        <v>5.9860374102133772E-5</v>
      </c>
    </row>
    <row r="147" spans="2:11">
      <c r="B147" s="19">
        <f>Tiers!B146</f>
        <v>143</v>
      </c>
      <c r="C147" s="20" t="str">
        <f>Tiers!X146</f>
        <v>main-5|main-0|main-4|main-4|main-18|||||</v>
      </c>
      <c r="D147" s="83">
        <f>Tiers!C146</f>
        <v>12.1</v>
      </c>
      <c r="E147" s="121">
        <v>10</v>
      </c>
      <c r="F147" s="47">
        <v>2000000</v>
      </c>
      <c r="G147" s="6">
        <f t="shared" si="8"/>
        <v>121</v>
      </c>
      <c r="H147" s="24" t="str">
        <f>'Data Analysis'!BK145 &amp; " | " &amp; 'Data Analysis'!BL145</f>
        <v>Big Win | Combo Win</v>
      </c>
      <c r="I147" s="23">
        <f t="shared" si="9"/>
        <v>200000</v>
      </c>
      <c r="J147" s="49">
        <f t="shared" si="10"/>
        <v>6</v>
      </c>
      <c r="K147" s="75">
        <f t="shared" si="11"/>
        <v>7.6243213330086176E-5</v>
      </c>
    </row>
    <row r="148" spans="2:11">
      <c r="B148" s="19">
        <f>Tiers!B147</f>
        <v>144</v>
      </c>
      <c r="C148" s="20" t="str">
        <f>Tiers!X147</f>
        <v>main-5|main-3|main-18|main-0|main-26|||||</v>
      </c>
      <c r="D148" s="83">
        <f>Tiers!C147</f>
        <v>19.100000000000001</v>
      </c>
      <c r="E148" s="121">
        <v>10</v>
      </c>
      <c r="F148" s="47">
        <v>2000000</v>
      </c>
      <c r="G148" s="6">
        <f t="shared" si="8"/>
        <v>191</v>
      </c>
      <c r="H148" s="24" t="str">
        <f>'Data Analysis'!BK146 &amp; " | " &amp; 'Data Analysis'!BL146</f>
        <v>Big Win | Combo Win</v>
      </c>
      <c r="I148" s="23">
        <f t="shared" si="9"/>
        <v>200000</v>
      </c>
      <c r="J148" s="49">
        <f t="shared" si="10"/>
        <v>6</v>
      </c>
      <c r="K148" s="75">
        <f t="shared" si="11"/>
        <v>1.2035085740534263E-4</v>
      </c>
    </row>
    <row r="149" spans="2:11">
      <c r="B149" s="19">
        <f>Tiers!B148</f>
        <v>145</v>
      </c>
      <c r="C149" s="20" t="str">
        <f>Tiers!X148</f>
        <v>main-3|main-1|main-4|main-26|main-26|||||</v>
      </c>
      <c r="D149" s="83">
        <f>Tiers!C148</f>
        <v>23.2</v>
      </c>
      <c r="E149" s="121">
        <v>10</v>
      </c>
      <c r="F149" s="47">
        <v>2000000</v>
      </c>
      <c r="G149" s="6">
        <f t="shared" si="8"/>
        <v>232</v>
      </c>
      <c r="H149" s="24" t="str">
        <f>'Data Analysis'!BK147 &amp; " | " &amp; 'Data Analysis'!BL147</f>
        <v>Big Win | Combo Win</v>
      </c>
      <c r="I149" s="23">
        <f t="shared" si="9"/>
        <v>200000</v>
      </c>
      <c r="J149" s="49">
        <f t="shared" si="10"/>
        <v>6</v>
      </c>
      <c r="K149" s="75">
        <f t="shared" si="11"/>
        <v>1.4618533464942141E-4</v>
      </c>
    </row>
    <row r="150" spans="2:11">
      <c r="B150" s="19">
        <f>Tiers!B149</f>
        <v>146</v>
      </c>
      <c r="C150" s="20" t="str">
        <f>Tiers!X149</f>
        <v>main-26|main-4|main-4|main-0|main-26|||||</v>
      </c>
      <c r="D150" s="83">
        <f>Tiers!C149</f>
        <v>24.1</v>
      </c>
      <c r="E150" s="121">
        <v>10</v>
      </c>
      <c r="F150" s="47">
        <v>2000000</v>
      </c>
      <c r="G150" s="6">
        <f t="shared" si="8"/>
        <v>241</v>
      </c>
      <c r="H150" s="24" t="str">
        <f>'Data Analysis'!BK148 &amp; " | " &amp; 'Data Analysis'!BL148</f>
        <v>Big Win | Combo Win</v>
      </c>
      <c r="I150" s="23">
        <f t="shared" si="9"/>
        <v>200000</v>
      </c>
      <c r="J150" s="49">
        <f t="shared" si="10"/>
        <v>6</v>
      </c>
      <c r="K150" s="75">
        <f t="shared" si="11"/>
        <v>1.5185631745909725E-4</v>
      </c>
    </row>
    <row r="151" spans="2:11">
      <c r="B151" s="19">
        <f>Tiers!B150</f>
        <v>147</v>
      </c>
      <c r="C151" s="20" t="str">
        <f>Tiers!X150</f>
        <v>main-20|main-4|main-1|main-26|main-5|||||</v>
      </c>
      <c r="D151" s="83">
        <f>Tiers!C150</f>
        <v>27.2</v>
      </c>
      <c r="E151" s="121">
        <v>10</v>
      </c>
      <c r="F151" s="47">
        <v>2000000</v>
      </c>
      <c r="G151" s="6">
        <f t="shared" si="8"/>
        <v>272</v>
      </c>
      <c r="H151" s="24" t="str">
        <f>'Data Analysis'!BK149 &amp; " | " &amp; 'Data Analysis'!BL149</f>
        <v>Big Win | Combo Win</v>
      </c>
      <c r="I151" s="23">
        <f t="shared" si="9"/>
        <v>200000</v>
      </c>
      <c r="J151" s="49">
        <f t="shared" si="10"/>
        <v>6</v>
      </c>
      <c r="K151" s="75">
        <f t="shared" si="11"/>
        <v>1.7138970269242512E-4</v>
      </c>
    </row>
    <row r="152" spans="2:11">
      <c r="B152" s="19">
        <f>Tiers!B151</f>
        <v>148</v>
      </c>
      <c r="C152" s="20" t="str">
        <f>Tiers!X151</f>
        <v>main-21|main-5|main-2|main-19|main-19|||||</v>
      </c>
      <c r="D152" s="83">
        <f>Tiers!C151</f>
        <v>35.5</v>
      </c>
      <c r="E152" s="121">
        <v>10</v>
      </c>
      <c r="F152" s="47">
        <v>2000000</v>
      </c>
      <c r="G152" s="6">
        <f t="shared" si="8"/>
        <v>355</v>
      </c>
      <c r="H152" s="24" t="str">
        <f>'Data Analysis'!BK150 &amp; " | " &amp; 'Data Analysis'!BL150</f>
        <v>Big Win | Combo Win</v>
      </c>
      <c r="I152" s="23">
        <f t="shared" si="9"/>
        <v>200000</v>
      </c>
      <c r="J152" s="49">
        <f t="shared" si="10"/>
        <v>6</v>
      </c>
      <c r="K152" s="75">
        <f t="shared" si="11"/>
        <v>2.2368876638165778E-4</v>
      </c>
    </row>
    <row r="153" spans="2:11">
      <c r="B153" s="19">
        <f>Tiers!B152</f>
        <v>149</v>
      </c>
      <c r="C153" s="20" t="str">
        <f>Tiers!X152</f>
        <v>main-27|main-5|main-5|main-19|main-3|||||</v>
      </c>
      <c r="D153" s="83">
        <f>Tiers!C152</f>
        <v>36</v>
      </c>
      <c r="E153" s="121">
        <v>10</v>
      </c>
      <c r="F153" s="47">
        <v>2000000</v>
      </c>
      <c r="G153" s="6">
        <f t="shared" si="8"/>
        <v>360</v>
      </c>
      <c r="H153" s="24" t="str">
        <f>'Data Analysis'!BK151 &amp; " | " &amp; 'Data Analysis'!BL151</f>
        <v>Big Win | Combo Win</v>
      </c>
      <c r="I153" s="23">
        <f t="shared" si="9"/>
        <v>200000</v>
      </c>
      <c r="J153" s="49">
        <f t="shared" si="10"/>
        <v>6</v>
      </c>
      <c r="K153" s="75">
        <f t="shared" si="11"/>
        <v>2.2683931238703323E-4</v>
      </c>
    </row>
    <row r="154" spans="2:11">
      <c r="B154" s="19">
        <f>Tiers!B153</f>
        <v>150</v>
      </c>
      <c r="C154" s="20" t="str">
        <f>Tiers!X153</f>
        <v>main-0|wild-2||||||||</v>
      </c>
      <c r="D154" s="83">
        <f>Tiers!C153</f>
        <v>0.6</v>
      </c>
      <c r="E154" s="121">
        <v>6000</v>
      </c>
      <c r="F154" s="47">
        <v>2000000</v>
      </c>
      <c r="G154" s="6">
        <f t="shared" si="8"/>
        <v>3600</v>
      </c>
      <c r="H154" s="24" t="str">
        <f>'Data Analysis'!BK152 &amp; " | " &amp; 'Data Analysis'!BL152</f>
        <v>Less than Stake | Combo Win</v>
      </c>
      <c r="I154" s="23">
        <f t="shared" si="9"/>
        <v>333.33333333333331</v>
      </c>
      <c r="J154" s="49">
        <f t="shared" si="10"/>
        <v>27</v>
      </c>
      <c r="K154" s="75">
        <f t="shared" si="11"/>
        <v>2.2683931238703325E-3</v>
      </c>
    </row>
    <row r="155" spans="2:11">
      <c r="B155" s="19">
        <f>Tiers!B154</f>
        <v>151</v>
      </c>
      <c r="C155" s="20" t="str">
        <f>Tiers!X154</f>
        <v>main-1|wild-3||||||||</v>
      </c>
      <c r="D155" s="83">
        <f>Tiers!C154</f>
        <v>1.2</v>
      </c>
      <c r="E155" s="121">
        <v>4000</v>
      </c>
      <c r="F155" s="47">
        <v>2000000</v>
      </c>
      <c r="G155" s="6">
        <f t="shared" si="8"/>
        <v>4800</v>
      </c>
      <c r="H155" s="24" t="str">
        <f>'Data Analysis'!BK153 &amp; " | " &amp; 'Data Analysis'!BL153</f>
        <v>Standard Win | Combo Win</v>
      </c>
      <c r="I155" s="23">
        <f t="shared" si="9"/>
        <v>500</v>
      </c>
      <c r="J155" s="49">
        <f t="shared" si="10"/>
        <v>20</v>
      </c>
      <c r="K155" s="75">
        <f t="shared" si="11"/>
        <v>3.0245241651604433E-3</v>
      </c>
    </row>
    <row r="156" spans="2:11">
      <c r="B156" s="19">
        <f>Tiers!B155</f>
        <v>152</v>
      </c>
      <c r="C156" s="20" t="str">
        <f>Tiers!X155</f>
        <v>main-2|wild-4||||||||</v>
      </c>
      <c r="D156" s="83">
        <f>Tiers!C155</f>
        <v>2.5</v>
      </c>
      <c r="E156" s="121">
        <v>57</v>
      </c>
      <c r="F156" s="47">
        <v>2000000</v>
      </c>
      <c r="G156" s="6">
        <f t="shared" si="8"/>
        <v>142.5</v>
      </c>
      <c r="H156" s="24" t="str">
        <f>'Data Analysis'!BK154 &amp; " | " &amp; 'Data Analysis'!BL154</f>
        <v>Standard Win | Combo Win</v>
      </c>
      <c r="I156" s="23">
        <f t="shared" si="9"/>
        <v>35087.719298245611</v>
      </c>
      <c r="J156" s="49">
        <f t="shared" si="10"/>
        <v>6</v>
      </c>
      <c r="K156" s="75">
        <f t="shared" si="11"/>
        <v>8.9790561153200654E-5</v>
      </c>
    </row>
    <row r="157" spans="2:11">
      <c r="B157" s="19">
        <f>Tiers!B156</f>
        <v>153</v>
      </c>
      <c r="C157" s="20" t="str">
        <f>Tiers!X156</f>
        <v>main-3|wild-5||||||||</v>
      </c>
      <c r="D157" s="83">
        <f>Tiers!C156</f>
        <v>6</v>
      </c>
      <c r="E157" s="121">
        <v>188</v>
      </c>
      <c r="F157" s="47">
        <v>2000000</v>
      </c>
      <c r="G157" s="6">
        <f t="shared" si="8"/>
        <v>1128</v>
      </c>
      <c r="H157" s="24" t="str">
        <f>'Data Analysis'!BK155 &amp; " | " &amp; 'Data Analysis'!BL155</f>
        <v>Standard Win | Combo Win</v>
      </c>
      <c r="I157" s="23">
        <f t="shared" si="9"/>
        <v>10638.297872340425</v>
      </c>
      <c r="J157" s="49">
        <f t="shared" si="10"/>
        <v>7</v>
      </c>
      <c r="K157" s="75">
        <f t="shared" si="11"/>
        <v>7.1076317881270412E-4</v>
      </c>
    </row>
    <row r="158" spans="2:11">
      <c r="B158" s="19">
        <f>Tiers!B157</f>
        <v>154</v>
      </c>
      <c r="C158" s="20" t="str">
        <f>Tiers!X157</f>
        <v>main-4|wild-14||||||||</v>
      </c>
      <c r="D158" s="83">
        <f>Tiers!C157</f>
        <v>4</v>
      </c>
      <c r="E158" s="121">
        <v>10</v>
      </c>
      <c r="F158" s="47">
        <v>2000000</v>
      </c>
      <c r="G158" s="6">
        <f t="shared" si="8"/>
        <v>40</v>
      </c>
      <c r="H158" s="24" t="str">
        <f>'Data Analysis'!BK156 &amp; " | " &amp; 'Data Analysis'!BL156</f>
        <v>Standard Win | Combo Win</v>
      </c>
      <c r="I158" s="23">
        <f t="shared" si="9"/>
        <v>200000</v>
      </c>
      <c r="J158" s="49">
        <f t="shared" si="10"/>
        <v>6</v>
      </c>
      <c r="K158" s="75">
        <f t="shared" si="11"/>
        <v>2.5204368043003691E-5</v>
      </c>
    </row>
    <row r="159" spans="2:11">
      <c r="B159" s="19">
        <f>Tiers!B158</f>
        <v>155</v>
      </c>
      <c r="C159" s="20" t="str">
        <f>Tiers!X158</f>
        <v>main-5|wild-16||||||||</v>
      </c>
      <c r="D159" s="83">
        <f>Tiers!C158</f>
        <v>10</v>
      </c>
      <c r="E159" s="121">
        <v>70</v>
      </c>
      <c r="F159" s="47">
        <v>2000000</v>
      </c>
      <c r="G159" s="6">
        <f t="shared" si="8"/>
        <v>700</v>
      </c>
      <c r="H159" s="24" t="str">
        <f>'Data Analysis'!BK157 &amp; " | " &amp; 'Data Analysis'!BL157</f>
        <v>Big Win | Combo Win</v>
      </c>
      <c r="I159" s="23">
        <f t="shared" si="9"/>
        <v>28571.428571428572</v>
      </c>
      <c r="J159" s="49">
        <f t="shared" si="10"/>
        <v>6</v>
      </c>
      <c r="K159" s="75">
        <f t="shared" si="11"/>
        <v>4.4107644075256464E-4</v>
      </c>
    </row>
    <row r="160" spans="2:11">
      <c r="B160" s="19">
        <f>Tiers!B159</f>
        <v>156</v>
      </c>
      <c r="C160" s="20" t="str">
        <f>Tiers!X159</f>
        <v>main-0|wild-17||||||||</v>
      </c>
      <c r="D160" s="83">
        <f>Tiers!C159</f>
        <v>10.1</v>
      </c>
      <c r="E160" s="121">
        <v>100</v>
      </c>
      <c r="F160" s="47">
        <v>2000000</v>
      </c>
      <c r="G160" s="6">
        <f t="shared" si="8"/>
        <v>1010</v>
      </c>
      <c r="H160" s="24" t="str">
        <f>'Data Analysis'!BK158 &amp; " | " &amp; 'Data Analysis'!BL158</f>
        <v>Big Win | Combo Win</v>
      </c>
      <c r="I160" s="23">
        <f t="shared" si="9"/>
        <v>20000</v>
      </c>
      <c r="J160" s="49">
        <f t="shared" si="10"/>
        <v>6</v>
      </c>
      <c r="K160" s="75">
        <f t="shared" si="11"/>
        <v>6.3641029308584326E-4</v>
      </c>
    </row>
    <row r="161" spans="2:11">
      <c r="B161" s="19">
        <f>Tiers!B160</f>
        <v>157</v>
      </c>
      <c r="C161" s="20" t="str">
        <f>Tiers!X160</f>
        <v>main-1|wild-18||||||||</v>
      </c>
      <c r="D161" s="83">
        <f>Tiers!C160</f>
        <v>3.2</v>
      </c>
      <c r="E161" s="121">
        <v>109</v>
      </c>
      <c r="F161" s="47">
        <v>2000000</v>
      </c>
      <c r="G161" s="6">
        <f t="shared" si="8"/>
        <v>348.8</v>
      </c>
      <c r="H161" s="24" t="str">
        <f>'Data Analysis'!BK159 &amp; " | " &amp; 'Data Analysis'!BL159</f>
        <v>Standard Win | Combo Win</v>
      </c>
      <c r="I161" s="23">
        <f t="shared" si="9"/>
        <v>18348.623853211007</v>
      </c>
      <c r="J161" s="49">
        <f t="shared" si="10"/>
        <v>6</v>
      </c>
      <c r="K161" s="75">
        <f t="shared" si="11"/>
        <v>2.1978208933499222E-4</v>
      </c>
    </row>
    <row r="162" spans="2:11">
      <c r="B162" s="19">
        <f>Tiers!B161</f>
        <v>158</v>
      </c>
      <c r="C162" s="20" t="str">
        <f>Tiers!X161</f>
        <v>main-2|wild-1||||||||</v>
      </c>
      <c r="D162" s="83">
        <f>Tiers!C161</f>
        <v>0.7</v>
      </c>
      <c r="E162" s="121">
        <v>500</v>
      </c>
      <c r="F162" s="47">
        <v>2000000</v>
      </c>
      <c r="G162" s="6">
        <f t="shared" si="8"/>
        <v>350</v>
      </c>
      <c r="H162" s="24" t="str">
        <f>'Data Analysis'!BK160 &amp; " | " &amp; 'Data Analysis'!BL160</f>
        <v>Less than Stake | Combo Win</v>
      </c>
      <c r="I162" s="23">
        <f t="shared" si="9"/>
        <v>4000</v>
      </c>
      <c r="J162" s="49">
        <f t="shared" si="10"/>
        <v>8</v>
      </c>
      <c r="K162" s="75">
        <f t="shared" si="11"/>
        <v>2.2053822037628232E-4</v>
      </c>
    </row>
    <row r="163" spans="2:11">
      <c r="B163" s="19">
        <f>Tiers!B162</f>
        <v>159</v>
      </c>
      <c r="C163" s="20" t="str">
        <f>Tiers!X162</f>
        <v>main-3|wild-2||||||||</v>
      </c>
      <c r="D163" s="83">
        <f>Tiers!C162</f>
        <v>1.5</v>
      </c>
      <c r="E163" s="121">
        <v>3000</v>
      </c>
      <c r="F163" s="47">
        <v>2000000</v>
      </c>
      <c r="G163" s="6">
        <f t="shared" si="8"/>
        <v>4500</v>
      </c>
      <c r="H163" s="24" t="str">
        <f>'Data Analysis'!BK161 &amp; " | " &amp; 'Data Analysis'!BL161</f>
        <v>Standard Win | Combo Win</v>
      </c>
      <c r="I163" s="23">
        <f t="shared" si="9"/>
        <v>666.66666666666663</v>
      </c>
      <c r="J163" s="49">
        <f t="shared" si="10"/>
        <v>16</v>
      </c>
      <c r="K163" s="75">
        <f t="shared" si="11"/>
        <v>2.8354914048379152E-3</v>
      </c>
    </row>
    <row r="164" spans="2:11">
      <c r="B164" s="19">
        <f>Tiers!B163</f>
        <v>160</v>
      </c>
      <c r="C164" s="20" t="str">
        <f>Tiers!X163</f>
        <v>main-4|wild-3||||||||</v>
      </c>
      <c r="D164" s="83">
        <f>Tiers!C163</f>
        <v>3</v>
      </c>
      <c r="E164" s="121">
        <v>188</v>
      </c>
      <c r="F164" s="47">
        <v>2000000</v>
      </c>
      <c r="G164" s="6">
        <f t="shared" si="8"/>
        <v>564</v>
      </c>
      <c r="H164" s="24" t="str">
        <f>'Data Analysis'!BK162 &amp; " | " &amp; 'Data Analysis'!BL162</f>
        <v>Standard Win | Combo Win</v>
      </c>
      <c r="I164" s="23">
        <f t="shared" si="9"/>
        <v>10638.297872340425</v>
      </c>
      <c r="J164" s="49">
        <f t="shared" si="10"/>
        <v>7</v>
      </c>
      <c r="K164" s="75">
        <f t="shared" si="11"/>
        <v>3.5538158940635206E-4</v>
      </c>
    </row>
    <row r="165" spans="2:11">
      <c r="B165" s="19">
        <f>Tiers!B164</f>
        <v>161</v>
      </c>
      <c r="C165" s="20" t="str">
        <f>Tiers!X164</f>
        <v>main-5|wild-4||||||||</v>
      </c>
      <c r="D165" s="83">
        <f>Tiers!C164</f>
        <v>7</v>
      </c>
      <c r="E165" s="121">
        <v>50</v>
      </c>
      <c r="F165" s="47">
        <v>2000000</v>
      </c>
      <c r="G165" s="6">
        <f t="shared" si="8"/>
        <v>350</v>
      </c>
      <c r="H165" s="24" t="str">
        <f>'Data Analysis'!BK163 &amp; " | " &amp; 'Data Analysis'!BL163</f>
        <v>Standard Win | Combo Win</v>
      </c>
      <c r="I165" s="23">
        <f t="shared" si="9"/>
        <v>40000</v>
      </c>
      <c r="J165" s="49">
        <f t="shared" si="10"/>
        <v>6</v>
      </c>
      <c r="K165" s="75">
        <f t="shared" si="11"/>
        <v>2.2053822037628232E-4</v>
      </c>
    </row>
    <row r="166" spans="2:11">
      <c r="B166" s="19">
        <f>Tiers!B165</f>
        <v>162</v>
      </c>
      <c r="C166" s="20" t="str">
        <f>Tiers!X165</f>
        <v>main-5|wild-11||||||||</v>
      </c>
      <c r="D166" s="83">
        <f>Tiers!C165</f>
        <v>7</v>
      </c>
      <c r="E166" s="121">
        <v>18</v>
      </c>
      <c r="F166" s="47">
        <v>2000000</v>
      </c>
      <c r="G166" s="6">
        <f t="shared" si="8"/>
        <v>126</v>
      </c>
      <c r="H166" s="24" t="str">
        <f>'Data Analysis'!BK164 &amp; " | " &amp; 'Data Analysis'!BL164</f>
        <v>Standard Win | Combo Win</v>
      </c>
      <c r="I166" s="23">
        <f t="shared" si="9"/>
        <v>111111.11111111111</v>
      </c>
      <c r="J166" s="49">
        <f t="shared" si="10"/>
        <v>6</v>
      </c>
      <c r="K166" s="75">
        <f t="shared" si="11"/>
        <v>7.9393759335461632E-5</v>
      </c>
    </row>
    <row r="167" spans="2:11">
      <c r="B167" s="19">
        <f>Tiers!B166</f>
        <v>163</v>
      </c>
      <c r="C167" s="20" t="str">
        <f>Tiers!X166</f>
        <v>main-0|wild-12||||||||</v>
      </c>
      <c r="D167" s="83">
        <f>Tiers!C166</f>
        <v>3.1</v>
      </c>
      <c r="E167" s="121">
        <v>18</v>
      </c>
      <c r="F167" s="47">
        <v>2000000</v>
      </c>
      <c r="G167" s="6">
        <f t="shared" si="8"/>
        <v>55.800000000000004</v>
      </c>
      <c r="H167" s="24" t="str">
        <f>'Data Analysis'!BK165 &amp; " | " &amp; 'Data Analysis'!BL165</f>
        <v>Standard Win | Combo Win</v>
      </c>
      <c r="I167" s="23">
        <f t="shared" si="9"/>
        <v>111111.11111111111</v>
      </c>
      <c r="J167" s="49">
        <f t="shared" si="10"/>
        <v>6</v>
      </c>
      <c r="K167" s="75">
        <f t="shared" si="11"/>
        <v>3.5160093419990157E-5</v>
      </c>
    </row>
    <row r="168" spans="2:11">
      <c r="B168" s="19">
        <f>Tiers!B167</f>
        <v>164</v>
      </c>
      <c r="C168" s="20" t="str">
        <f>Tiers!X167</f>
        <v>main-4|wild-13||||||||</v>
      </c>
      <c r="D168" s="83">
        <f>Tiers!C167</f>
        <v>7</v>
      </c>
      <c r="E168" s="121">
        <v>14</v>
      </c>
      <c r="F168" s="47">
        <v>2000000</v>
      </c>
      <c r="G168" s="6">
        <f t="shared" si="8"/>
        <v>98</v>
      </c>
      <c r="H168" s="24" t="str">
        <f>'Data Analysis'!BK166 &amp; " | " &amp; 'Data Analysis'!BL166</f>
        <v>Standard Win | Combo Win</v>
      </c>
      <c r="I168" s="23">
        <f t="shared" si="9"/>
        <v>142857.14285714287</v>
      </c>
      <c r="J168" s="49">
        <f t="shared" si="10"/>
        <v>6</v>
      </c>
      <c r="K168" s="75">
        <f t="shared" si="11"/>
        <v>6.1750701705359044E-5</v>
      </c>
    </row>
    <row r="169" spans="2:11">
      <c r="B169" s="19">
        <f>Tiers!B168</f>
        <v>165</v>
      </c>
      <c r="C169" s="20" t="str">
        <f>Tiers!X168</f>
        <v>main-5|wild-5||||||||</v>
      </c>
      <c r="D169" s="83">
        <f>Tiers!C168</f>
        <v>10</v>
      </c>
      <c r="E169" s="121">
        <v>50</v>
      </c>
      <c r="F169" s="47">
        <v>2000000</v>
      </c>
      <c r="G169" s="6">
        <f t="shared" si="8"/>
        <v>500</v>
      </c>
      <c r="H169" s="24" t="str">
        <f>'Data Analysis'!BK167 &amp; " | " &amp; 'Data Analysis'!BL167</f>
        <v>Big Win | Combo Win</v>
      </c>
      <c r="I169" s="23">
        <f t="shared" si="9"/>
        <v>40000</v>
      </c>
      <c r="J169" s="49">
        <f t="shared" si="10"/>
        <v>6</v>
      </c>
      <c r="K169" s="75">
        <f t="shared" si="11"/>
        <v>3.1505460053754617E-4</v>
      </c>
    </row>
    <row r="170" spans="2:11">
      <c r="B170" s="19">
        <f>Tiers!B169</f>
        <v>166</v>
      </c>
      <c r="C170" s="20" t="str">
        <f>Tiers!X169</f>
        <v>main-17|wild-6||||||||</v>
      </c>
      <c r="D170" s="83">
        <f>Tiers!C169</f>
        <v>12</v>
      </c>
      <c r="E170" s="121">
        <v>2</v>
      </c>
      <c r="F170" s="47">
        <v>2000000</v>
      </c>
      <c r="G170" s="6">
        <f t="shared" si="8"/>
        <v>24</v>
      </c>
      <c r="H170" s="24" t="str">
        <f>'Data Analysis'!BK168 &amp; " | " &amp; 'Data Analysis'!BL168</f>
        <v>Big Win | Combo Win</v>
      </c>
      <c r="I170" s="23">
        <f t="shared" si="9"/>
        <v>1000000</v>
      </c>
      <c r="J170" s="49">
        <f t="shared" si="10"/>
        <v>6</v>
      </c>
      <c r="K170" s="75">
        <f t="shared" si="11"/>
        <v>1.5122620825802215E-5</v>
      </c>
    </row>
    <row r="171" spans="2:11">
      <c r="B171" s="19">
        <f>Tiers!B170</f>
        <v>167</v>
      </c>
      <c r="C171" s="20" t="str">
        <f>Tiers!X170</f>
        <v>main-18|wild-7||||||||</v>
      </c>
      <c r="D171" s="83">
        <f>Tiers!C170</f>
        <v>23</v>
      </c>
      <c r="E171" s="121">
        <v>6</v>
      </c>
      <c r="F171" s="47">
        <v>2000000</v>
      </c>
      <c r="G171" s="6">
        <f t="shared" si="8"/>
        <v>138</v>
      </c>
      <c r="H171" s="24" t="str">
        <f>'Data Analysis'!BK169 &amp; " | " &amp; 'Data Analysis'!BL169</f>
        <v>Big Win | Combo Win</v>
      </c>
      <c r="I171" s="23">
        <f t="shared" si="9"/>
        <v>333333.33333333331</v>
      </c>
      <c r="J171" s="49">
        <f t="shared" si="10"/>
        <v>6</v>
      </c>
      <c r="K171" s="75">
        <f t="shared" si="11"/>
        <v>8.6955069748362735E-5</v>
      </c>
    </row>
    <row r="172" spans="2:11">
      <c r="B172" s="19">
        <f>Tiers!B171</f>
        <v>168</v>
      </c>
      <c r="C172" s="20" t="str">
        <f>Tiers!X171</f>
        <v>main-3|wild-8||||||||</v>
      </c>
      <c r="D172" s="83">
        <f>Tiers!C171</f>
        <v>31</v>
      </c>
      <c r="E172" s="121">
        <v>2</v>
      </c>
      <c r="F172" s="47">
        <v>2000000</v>
      </c>
      <c r="G172" s="6">
        <f t="shared" si="8"/>
        <v>62</v>
      </c>
      <c r="H172" s="24" t="str">
        <f>'Data Analysis'!BK170 &amp; " | " &amp; 'Data Analysis'!BL170</f>
        <v>Big Win | Combo Win</v>
      </c>
      <c r="I172" s="23">
        <f t="shared" si="9"/>
        <v>1000000</v>
      </c>
      <c r="J172" s="49">
        <f t="shared" si="10"/>
        <v>6</v>
      </c>
      <c r="K172" s="75">
        <f t="shared" si="11"/>
        <v>3.9066770466655721E-5</v>
      </c>
    </row>
    <row r="173" spans="2:11">
      <c r="B173" s="19">
        <f>Tiers!B172</f>
        <v>169</v>
      </c>
      <c r="C173" s="20" t="str">
        <f>Tiers!X172</f>
        <v>main-4|wild-9||||||||</v>
      </c>
      <c r="D173" s="83">
        <f>Tiers!C172</f>
        <v>42</v>
      </c>
      <c r="E173" s="121">
        <v>2</v>
      </c>
      <c r="F173" s="47">
        <v>2000000</v>
      </c>
      <c r="G173" s="6">
        <f t="shared" si="8"/>
        <v>84</v>
      </c>
      <c r="H173" s="24" t="str">
        <f>'Data Analysis'!BK171 &amp; " | " &amp; 'Data Analysis'!BL171</f>
        <v>Big Win | Combo Win</v>
      </c>
      <c r="I173" s="23">
        <f t="shared" si="9"/>
        <v>1000000</v>
      </c>
      <c r="J173" s="49">
        <f t="shared" si="10"/>
        <v>6</v>
      </c>
      <c r="K173" s="75">
        <f t="shared" si="11"/>
        <v>5.2929172890307757E-5</v>
      </c>
    </row>
    <row r="174" spans="2:11">
      <c r="B174" s="19">
        <f>Tiers!B173</f>
        <v>170</v>
      </c>
      <c r="C174" s="20" t="str">
        <f>Tiers!X173</f>
        <v>main-5|wild-2||||||||</v>
      </c>
      <c r="D174" s="83">
        <f>Tiers!C173</f>
        <v>5.5</v>
      </c>
      <c r="E174" s="121">
        <v>100</v>
      </c>
      <c r="F174" s="47">
        <v>2000000</v>
      </c>
      <c r="G174" s="6">
        <f t="shared" si="8"/>
        <v>550</v>
      </c>
      <c r="H174" s="24" t="str">
        <f>'Data Analysis'!BK172 &amp; " | " &amp; 'Data Analysis'!BL172</f>
        <v>Standard Win | Combo Win</v>
      </c>
      <c r="I174" s="23">
        <f t="shared" si="9"/>
        <v>20000</v>
      </c>
      <c r="J174" s="49">
        <f t="shared" si="10"/>
        <v>6</v>
      </c>
      <c r="K174" s="75">
        <f t="shared" si="11"/>
        <v>3.4656006059130079E-4</v>
      </c>
    </row>
    <row r="175" spans="2:11">
      <c r="B175" s="19">
        <f>Tiers!B174</f>
        <v>171</v>
      </c>
      <c r="C175" s="20" t="str">
        <f>Tiers!X174</f>
        <v>main-0|wild-11||||||||</v>
      </c>
      <c r="D175" s="83">
        <f>Tiers!C174</f>
        <v>2.1</v>
      </c>
      <c r="E175" s="121">
        <v>200</v>
      </c>
      <c r="F175" s="47">
        <v>2000000</v>
      </c>
      <c r="G175" s="6">
        <f t="shared" si="8"/>
        <v>420</v>
      </c>
      <c r="H175" s="24" t="str">
        <f>'Data Analysis'!BK173 &amp; " | " &amp; 'Data Analysis'!BL173</f>
        <v>Standard Win | Combo Win</v>
      </c>
      <c r="I175" s="23">
        <f t="shared" si="9"/>
        <v>10000</v>
      </c>
      <c r="J175" s="49">
        <f t="shared" si="10"/>
        <v>7</v>
      </c>
      <c r="K175" s="75">
        <f t="shared" si="11"/>
        <v>2.6464586445153876E-4</v>
      </c>
    </row>
    <row r="176" spans="2:11">
      <c r="B176" s="19">
        <f>Tiers!B175</f>
        <v>172</v>
      </c>
      <c r="C176" s="20" t="str">
        <f>Tiers!X175</f>
        <v>main-1|wild-12||||||||</v>
      </c>
      <c r="D176" s="83">
        <f>Tiers!C175</f>
        <v>3.2</v>
      </c>
      <c r="E176" s="121">
        <v>147</v>
      </c>
      <c r="F176" s="47">
        <v>2000000</v>
      </c>
      <c r="G176" s="6">
        <f t="shared" si="8"/>
        <v>470.40000000000003</v>
      </c>
      <c r="H176" s="24" t="str">
        <f>'Data Analysis'!BK174 &amp; " | " &amp; 'Data Analysis'!BL174</f>
        <v>Standard Win | Combo Win</v>
      </c>
      <c r="I176" s="23">
        <f t="shared" si="9"/>
        <v>13605.442176870749</v>
      </c>
      <c r="J176" s="49">
        <f t="shared" si="10"/>
        <v>7</v>
      </c>
      <c r="K176" s="75">
        <f t="shared" si="11"/>
        <v>2.9640336818572343E-4</v>
      </c>
    </row>
    <row r="177" spans="2:11">
      <c r="B177" s="19">
        <f>Tiers!B176</f>
        <v>173</v>
      </c>
      <c r="C177" s="20" t="str">
        <f>Tiers!X176</f>
        <v>main-2|wild-13||||||||</v>
      </c>
      <c r="D177" s="83">
        <f>Tiers!C176</f>
        <v>5.5</v>
      </c>
      <c r="E177" s="121">
        <v>45</v>
      </c>
      <c r="F177" s="47">
        <v>2000000</v>
      </c>
      <c r="G177" s="6">
        <f t="shared" si="8"/>
        <v>247.5</v>
      </c>
      <c r="H177" s="24" t="str">
        <f>'Data Analysis'!BK175 &amp; " | " &amp; 'Data Analysis'!BL175</f>
        <v>Standard Win | Combo Win</v>
      </c>
      <c r="I177" s="23">
        <f t="shared" si="9"/>
        <v>44444.444444444445</v>
      </c>
      <c r="J177" s="49">
        <f t="shared" si="10"/>
        <v>6</v>
      </c>
      <c r="K177" s="75">
        <f t="shared" si="11"/>
        <v>1.5595202726608536E-4</v>
      </c>
    </row>
    <row r="178" spans="2:11">
      <c r="B178" s="19">
        <f>Tiers!B177</f>
        <v>174</v>
      </c>
      <c r="C178" s="20" t="str">
        <f>Tiers!X177</f>
        <v>main-3|wild-14||||||||</v>
      </c>
      <c r="D178" s="83">
        <f>Tiers!C177</f>
        <v>3</v>
      </c>
      <c r="E178" s="121">
        <v>188</v>
      </c>
      <c r="F178" s="47">
        <v>2000000</v>
      </c>
      <c r="G178" s="6">
        <f t="shared" si="8"/>
        <v>564</v>
      </c>
      <c r="H178" s="24" t="str">
        <f>'Data Analysis'!BK176 &amp; " | " &amp; 'Data Analysis'!BL176</f>
        <v>Standard Win | Combo Win</v>
      </c>
      <c r="I178" s="23">
        <f t="shared" si="9"/>
        <v>10638.297872340425</v>
      </c>
      <c r="J178" s="49">
        <f t="shared" si="10"/>
        <v>7</v>
      </c>
      <c r="K178" s="75">
        <f t="shared" si="11"/>
        <v>3.5538158940635206E-4</v>
      </c>
    </row>
    <row r="179" spans="2:11">
      <c r="B179" s="19">
        <f>Tiers!B178</f>
        <v>175</v>
      </c>
      <c r="C179" s="20" t="str">
        <f>Tiers!X178</f>
        <v>main-4|wild-15||||||||</v>
      </c>
      <c r="D179" s="83">
        <f>Tiers!C178</f>
        <v>5</v>
      </c>
      <c r="E179" s="121">
        <v>100</v>
      </c>
      <c r="F179" s="47">
        <v>2000000</v>
      </c>
      <c r="G179" s="6">
        <f t="shared" si="8"/>
        <v>500</v>
      </c>
      <c r="H179" s="24" t="str">
        <f>'Data Analysis'!BK177 &amp; " | " &amp; 'Data Analysis'!BL177</f>
        <v>Standard Win | Combo Win</v>
      </c>
      <c r="I179" s="23">
        <f t="shared" si="9"/>
        <v>20000</v>
      </c>
      <c r="J179" s="49">
        <f t="shared" si="10"/>
        <v>6</v>
      </c>
      <c r="K179" s="75">
        <f t="shared" si="11"/>
        <v>3.1505460053754617E-4</v>
      </c>
    </row>
    <row r="180" spans="2:11">
      <c r="B180" s="19">
        <f>Tiers!B179</f>
        <v>176</v>
      </c>
      <c r="C180" s="20" t="str">
        <f>Tiers!X179</f>
        <v>main-5|wild-18||||||||</v>
      </c>
      <c r="D180" s="83">
        <f>Tiers!C179</f>
        <v>8</v>
      </c>
      <c r="E180" s="121">
        <v>53</v>
      </c>
      <c r="F180" s="47">
        <v>2000000</v>
      </c>
      <c r="G180" s="6">
        <f t="shared" si="8"/>
        <v>424</v>
      </c>
      <c r="H180" s="24" t="str">
        <f>'Data Analysis'!BK178 &amp; " | " &amp; 'Data Analysis'!BL178</f>
        <v>Standard Win | Combo Win</v>
      </c>
      <c r="I180" s="23">
        <f t="shared" si="9"/>
        <v>37735.849056603773</v>
      </c>
      <c r="J180" s="49">
        <f t="shared" si="10"/>
        <v>6</v>
      </c>
      <c r="K180" s="75">
        <f t="shared" si="11"/>
        <v>2.6716630125583912E-4</v>
      </c>
    </row>
    <row r="181" spans="2:11">
      <c r="B181" s="19">
        <f>Tiers!B180</f>
        <v>177</v>
      </c>
      <c r="C181" s="20" t="str">
        <f>Tiers!X180</f>
        <v>main-5|wild-17||||||||</v>
      </c>
      <c r="D181" s="83">
        <f>Tiers!C180</f>
        <v>15</v>
      </c>
      <c r="E181" s="121">
        <v>100</v>
      </c>
      <c r="F181" s="47">
        <v>2000000</v>
      </c>
      <c r="G181" s="6">
        <f t="shared" si="8"/>
        <v>1500</v>
      </c>
      <c r="H181" s="24" t="str">
        <f>'Data Analysis'!BK179 &amp; " | " &amp; 'Data Analysis'!BL179</f>
        <v>Big Win | Combo Win</v>
      </c>
      <c r="I181" s="23">
        <f t="shared" si="9"/>
        <v>20000</v>
      </c>
      <c r="J181" s="49">
        <f t="shared" si="10"/>
        <v>6</v>
      </c>
      <c r="K181" s="75">
        <f t="shared" si="11"/>
        <v>9.4516380161263852E-4</v>
      </c>
    </row>
    <row r="182" spans="2:11">
      <c r="B182" s="19">
        <f>Tiers!B181</f>
        <v>178</v>
      </c>
      <c r="C182" s="20" t="str">
        <f>Tiers!X181</f>
        <v>main-0|wild-18||||||||</v>
      </c>
      <c r="D182" s="83">
        <f>Tiers!C181</f>
        <v>3.1</v>
      </c>
      <c r="E182" s="121">
        <v>50</v>
      </c>
      <c r="F182" s="47">
        <v>2000000</v>
      </c>
      <c r="G182" s="6">
        <f t="shared" si="8"/>
        <v>155</v>
      </c>
      <c r="H182" s="24" t="str">
        <f>'Data Analysis'!BK180 &amp; " | " &amp; 'Data Analysis'!BL180</f>
        <v>Standard Win | Combo Win</v>
      </c>
      <c r="I182" s="23">
        <f t="shared" si="9"/>
        <v>40000</v>
      </c>
      <c r="J182" s="49">
        <f t="shared" si="10"/>
        <v>6</v>
      </c>
      <c r="K182" s="75">
        <f t="shared" si="11"/>
        <v>9.7666926166639309E-5</v>
      </c>
    </row>
    <row r="183" spans="2:11">
      <c r="B183" s="19">
        <f>Tiers!B182</f>
        <v>179</v>
      </c>
      <c r="C183" s="20" t="str">
        <f>Tiers!X182</f>
        <v>main-4|wild-19||||||||</v>
      </c>
      <c r="D183" s="83">
        <f>Tiers!C182</f>
        <v>7</v>
      </c>
      <c r="E183" s="121">
        <v>18</v>
      </c>
      <c r="F183" s="47">
        <v>2000000</v>
      </c>
      <c r="G183" s="6">
        <f t="shared" si="8"/>
        <v>126</v>
      </c>
      <c r="H183" s="24" t="str">
        <f>'Data Analysis'!BK181 &amp; " | " &amp; 'Data Analysis'!BL181</f>
        <v>Standard Win | Combo Win</v>
      </c>
      <c r="I183" s="23">
        <f t="shared" si="9"/>
        <v>111111.11111111111</v>
      </c>
      <c r="J183" s="49">
        <f t="shared" si="10"/>
        <v>6</v>
      </c>
      <c r="K183" s="75">
        <f t="shared" si="11"/>
        <v>7.9393759335461632E-5</v>
      </c>
    </row>
    <row r="184" spans="2:11">
      <c r="B184" s="19">
        <f>Tiers!B183</f>
        <v>180</v>
      </c>
      <c r="C184" s="20" t="str">
        <f>Tiers!X183</f>
        <v>main-3|wild-20||||||||</v>
      </c>
      <c r="D184" s="83">
        <f>Tiers!C183</f>
        <v>11</v>
      </c>
      <c r="E184" s="121">
        <v>18</v>
      </c>
      <c r="F184" s="47">
        <v>2000000</v>
      </c>
      <c r="G184" s="6">
        <f t="shared" si="8"/>
        <v>198</v>
      </c>
      <c r="H184" s="24" t="str">
        <f>'Data Analysis'!BK182 &amp; " | " &amp; 'Data Analysis'!BL182</f>
        <v>Big Win | Combo Win</v>
      </c>
      <c r="I184" s="23">
        <f t="shared" si="9"/>
        <v>111111.11111111111</v>
      </c>
      <c r="J184" s="49">
        <f t="shared" si="10"/>
        <v>6</v>
      </c>
      <c r="K184" s="75">
        <f t="shared" si="11"/>
        <v>1.2476162181286829E-4</v>
      </c>
    </row>
    <row r="185" spans="2:11">
      <c r="B185" s="19">
        <f>Tiers!B184</f>
        <v>181</v>
      </c>
      <c r="C185" s="20" t="str">
        <f>Tiers!X184</f>
        <v>main-4|wild-21||||||||</v>
      </c>
      <c r="D185" s="83">
        <f>Tiers!C184</f>
        <v>22</v>
      </c>
      <c r="E185" s="121">
        <v>50</v>
      </c>
      <c r="F185" s="47">
        <v>2000000</v>
      </c>
      <c r="G185" s="6">
        <f t="shared" si="8"/>
        <v>1100</v>
      </c>
      <c r="H185" s="24" t="str">
        <f>'Data Analysis'!BK183 &amp; " | " &amp; 'Data Analysis'!BL183</f>
        <v>Big Win | Combo Win</v>
      </c>
      <c r="I185" s="23">
        <f t="shared" si="9"/>
        <v>40000</v>
      </c>
      <c r="J185" s="49">
        <f t="shared" si="10"/>
        <v>6</v>
      </c>
      <c r="K185" s="75">
        <f t="shared" si="11"/>
        <v>6.9312012118260158E-4</v>
      </c>
    </row>
    <row r="186" spans="2:11">
      <c r="B186" s="19">
        <f>Tiers!B185</f>
        <v>182</v>
      </c>
      <c r="C186" s="20" t="str">
        <f>Tiers!X185</f>
        <v>main-0|main-0|wild-2|||||||</v>
      </c>
      <c r="D186" s="83">
        <f>Tiers!C185</f>
        <v>0.7</v>
      </c>
      <c r="E186" s="121">
        <v>100</v>
      </c>
      <c r="F186" s="47">
        <v>2000000</v>
      </c>
      <c r="G186" s="6">
        <f t="shared" si="8"/>
        <v>70</v>
      </c>
      <c r="H186" s="24" t="str">
        <f>'Data Analysis'!BK184 &amp; " | " &amp; 'Data Analysis'!BL184</f>
        <v>Less than Stake | Combo Win</v>
      </c>
      <c r="I186" s="23">
        <f t="shared" si="9"/>
        <v>20000</v>
      </c>
      <c r="J186" s="49">
        <f t="shared" si="10"/>
        <v>6</v>
      </c>
      <c r="K186" s="75">
        <f t="shared" si="11"/>
        <v>4.4107644075256463E-5</v>
      </c>
    </row>
    <row r="187" spans="2:11">
      <c r="B187" s="19">
        <f>Tiers!B186</f>
        <v>183</v>
      </c>
      <c r="C187" s="20" t="str">
        <f>Tiers!X186</f>
        <v>main-0|main-1|wild-3|||||||</v>
      </c>
      <c r="D187" s="83">
        <f>Tiers!C186</f>
        <v>1.3</v>
      </c>
      <c r="E187" s="121">
        <v>167</v>
      </c>
      <c r="F187" s="47">
        <v>2000000</v>
      </c>
      <c r="G187" s="6">
        <f t="shared" si="8"/>
        <v>217.1</v>
      </c>
      <c r="H187" s="24" t="str">
        <f>'Data Analysis'!BK185 &amp; " | " &amp; 'Data Analysis'!BL185</f>
        <v>Standard Win | Combo Win</v>
      </c>
      <c r="I187" s="23">
        <f t="shared" si="9"/>
        <v>11976.047904191617</v>
      </c>
      <c r="J187" s="49">
        <f t="shared" si="10"/>
        <v>7</v>
      </c>
      <c r="K187" s="75">
        <f t="shared" si="11"/>
        <v>1.3679670755340254E-4</v>
      </c>
    </row>
    <row r="188" spans="2:11">
      <c r="B188" s="19">
        <f>Tiers!B187</f>
        <v>184</v>
      </c>
      <c r="C188" s="20" t="str">
        <f>Tiers!X187</f>
        <v>main-1|main-1|wild-4|||||||</v>
      </c>
      <c r="D188" s="83">
        <f>Tiers!C187</f>
        <v>2.4</v>
      </c>
      <c r="E188" s="121">
        <v>84</v>
      </c>
      <c r="F188" s="47">
        <v>2000000</v>
      </c>
      <c r="G188" s="6">
        <f t="shared" si="8"/>
        <v>201.6</v>
      </c>
      <c r="H188" s="24" t="str">
        <f>'Data Analysis'!BK186 &amp; " | " &amp; 'Data Analysis'!BL186</f>
        <v>Standard Win | Combo Win</v>
      </c>
      <c r="I188" s="23">
        <f t="shared" si="9"/>
        <v>23809.523809523809</v>
      </c>
      <c r="J188" s="49">
        <f t="shared" si="10"/>
        <v>6</v>
      </c>
      <c r="K188" s="75">
        <f t="shared" si="11"/>
        <v>1.270300149367386E-4</v>
      </c>
    </row>
    <row r="189" spans="2:11">
      <c r="B189" s="19">
        <f>Tiers!B188</f>
        <v>185</v>
      </c>
      <c r="C189" s="20" t="str">
        <f>Tiers!X188</f>
        <v>main-0|main-2|wild-11|||||||</v>
      </c>
      <c r="D189" s="83">
        <f>Tiers!C188</f>
        <v>2.6</v>
      </c>
      <c r="E189" s="121">
        <v>176</v>
      </c>
      <c r="F189" s="47">
        <v>2000000</v>
      </c>
      <c r="G189" s="6">
        <f t="shared" si="8"/>
        <v>457.6</v>
      </c>
      <c r="H189" s="24" t="str">
        <f>'Data Analysis'!BK187 &amp; " | " &amp; 'Data Analysis'!BL187</f>
        <v>Standard Win | Combo Win</v>
      </c>
      <c r="I189" s="23">
        <f t="shared" si="9"/>
        <v>11363.636363636364</v>
      </c>
      <c r="J189" s="49">
        <f t="shared" si="10"/>
        <v>7</v>
      </c>
      <c r="K189" s="75">
        <f t="shared" si="11"/>
        <v>2.8833797041196227E-4</v>
      </c>
    </row>
    <row r="190" spans="2:11">
      <c r="B190" s="19">
        <f>Tiers!B189</f>
        <v>186</v>
      </c>
      <c r="C190" s="20" t="str">
        <f>Tiers!X189</f>
        <v>main-1|main-2|wild-12|||||||</v>
      </c>
      <c r="D190" s="83">
        <f>Tiers!C189</f>
        <v>3.7</v>
      </c>
      <c r="E190" s="121">
        <v>100</v>
      </c>
      <c r="F190" s="47">
        <v>2000000</v>
      </c>
      <c r="G190" s="6">
        <f t="shared" si="8"/>
        <v>370</v>
      </c>
      <c r="H190" s="24" t="str">
        <f>'Data Analysis'!BK188 &amp; " | " &amp; 'Data Analysis'!BL188</f>
        <v>Standard Win | Combo Win</v>
      </c>
      <c r="I190" s="23">
        <f t="shared" si="9"/>
        <v>20000</v>
      </c>
      <c r="J190" s="49">
        <f t="shared" si="10"/>
        <v>6</v>
      </c>
      <c r="K190" s="75">
        <f t="shared" si="11"/>
        <v>2.3314040439778415E-4</v>
      </c>
    </row>
    <row r="191" spans="2:11">
      <c r="B191" s="19">
        <f>Tiers!B190</f>
        <v>187</v>
      </c>
      <c r="C191" s="20" t="str">
        <f>Tiers!X190</f>
        <v>main-3|main-0|wild-13|||||||</v>
      </c>
      <c r="D191" s="83">
        <f>Tiers!C190</f>
        <v>6.1</v>
      </c>
      <c r="E191" s="121">
        <v>100</v>
      </c>
      <c r="F191" s="47">
        <v>2000000</v>
      </c>
      <c r="G191" s="6">
        <f t="shared" si="8"/>
        <v>610</v>
      </c>
      <c r="H191" s="24" t="str">
        <f>'Data Analysis'!BK189 &amp; " | " &amp; 'Data Analysis'!BL189</f>
        <v>Standard Win | Combo Win</v>
      </c>
      <c r="I191" s="23">
        <f t="shared" si="9"/>
        <v>20000</v>
      </c>
      <c r="J191" s="49">
        <f t="shared" si="10"/>
        <v>6</v>
      </c>
      <c r="K191" s="75">
        <f t="shared" si="11"/>
        <v>3.8436661265580632E-4</v>
      </c>
    </row>
    <row r="192" spans="2:11">
      <c r="B192" s="19">
        <f>Tiers!B191</f>
        <v>188</v>
      </c>
      <c r="C192" s="20" t="str">
        <f>Tiers!X191</f>
        <v>main-3|main-1|wild-15|||||||</v>
      </c>
      <c r="D192" s="83">
        <f>Tiers!C191</f>
        <v>4.2</v>
      </c>
      <c r="E192" s="121">
        <v>176</v>
      </c>
      <c r="F192" s="47">
        <v>2000000</v>
      </c>
      <c r="G192" s="6">
        <f t="shared" si="8"/>
        <v>739.2</v>
      </c>
      <c r="H192" s="24" t="str">
        <f>'Data Analysis'!BK190 &amp; " | " &amp; 'Data Analysis'!BL190</f>
        <v>Standard Win | Combo Win</v>
      </c>
      <c r="I192" s="23">
        <f t="shared" si="9"/>
        <v>11363.636363636364</v>
      </c>
      <c r="J192" s="49">
        <f t="shared" si="10"/>
        <v>7</v>
      </c>
      <c r="K192" s="75">
        <f t="shared" si="11"/>
        <v>4.6577672143470824E-4</v>
      </c>
    </row>
    <row r="193" spans="2:11">
      <c r="B193" s="19">
        <f>Tiers!B192</f>
        <v>189</v>
      </c>
      <c r="C193" s="20" t="str">
        <f>Tiers!X192</f>
        <v>main-1|main-5|wild-16|||||||</v>
      </c>
      <c r="D193" s="83">
        <f>Tiers!C192</f>
        <v>10.199999999999999</v>
      </c>
      <c r="E193" s="121">
        <v>50</v>
      </c>
      <c r="F193" s="47">
        <v>2000000</v>
      </c>
      <c r="G193" s="6">
        <f t="shared" si="8"/>
        <v>509.99999999999994</v>
      </c>
      <c r="H193" s="24" t="str">
        <f>'Data Analysis'!BK191 &amp; " | " &amp; 'Data Analysis'!BL191</f>
        <v>Big Win | Combo Win</v>
      </c>
      <c r="I193" s="23">
        <f t="shared" si="9"/>
        <v>40000</v>
      </c>
      <c r="J193" s="49">
        <f t="shared" si="10"/>
        <v>6</v>
      </c>
      <c r="K193" s="75">
        <f t="shared" si="11"/>
        <v>3.2135569254829703E-4</v>
      </c>
    </row>
    <row r="194" spans="2:11">
      <c r="B194" s="19">
        <f>Tiers!B193</f>
        <v>190</v>
      </c>
      <c r="C194" s="20" t="str">
        <f>Tiers!X193</f>
        <v>main-4|main-19|wild-17|||||||</v>
      </c>
      <c r="D194" s="83">
        <f>Tiers!C193</f>
        <v>17</v>
      </c>
      <c r="E194" s="121">
        <v>50</v>
      </c>
      <c r="F194" s="47">
        <v>2000000</v>
      </c>
      <c r="G194" s="6">
        <f t="shared" si="8"/>
        <v>850</v>
      </c>
      <c r="H194" s="24" t="str">
        <f>'Data Analysis'!BK192 &amp; " | " &amp; 'Data Analysis'!BL192</f>
        <v>Big Win | Combo Win</v>
      </c>
      <c r="I194" s="23">
        <f t="shared" si="9"/>
        <v>40000</v>
      </c>
      <c r="J194" s="49">
        <f t="shared" si="10"/>
        <v>6</v>
      </c>
      <c r="K194" s="75">
        <f t="shared" si="11"/>
        <v>5.3559282091382844E-4</v>
      </c>
    </row>
    <row r="195" spans="2:11">
      <c r="B195" s="19">
        <f>Tiers!B194</f>
        <v>191</v>
      </c>
      <c r="C195" s="20" t="str">
        <f>Tiers!X194</f>
        <v>main-3|main-20|wild-11|||||||</v>
      </c>
      <c r="D195" s="83">
        <f>Tiers!C194</f>
        <v>13</v>
      </c>
      <c r="E195" s="121">
        <v>111</v>
      </c>
      <c r="F195" s="47">
        <v>2000000</v>
      </c>
      <c r="G195" s="6">
        <f t="shared" si="8"/>
        <v>1443</v>
      </c>
      <c r="H195" s="24" t="str">
        <f>'Data Analysis'!BK193 &amp; " | " &amp; 'Data Analysis'!BL193</f>
        <v>Big Win | Combo Win</v>
      </c>
      <c r="I195" s="23">
        <f t="shared" si="9"/>
        <v>18018.018018018018</v>
      </c>
      <c r="J195" s="49">
        <f t="shared" si="10"/>
        <v>6</v>
      </c>
      <c r="K195" s="75">
        <f t="shared" si="11"/>
        <v>9.0924757715135824E-4</v>
      </c>
    </row>
    <row r="196" spans="2:11">
      <c r="B196" s="19">
        <f>Tiers!B195</f>
        <v>192</v>
      </c>
      <c r="C196" s="20" t="str">
        <f>Tiers!X195</f>
        <v>main-4|main-5|wild-12|||||||</v>
      </c>
      <c r="D196" s="83">
        <f>Tiers!C195</f>
        <v>10</v>
      </c>
      <c r="E196" s="121">
        <v>105</v>
      </c>
      <c r="F196" s="47">
        <v>2000000</v>
      </c>
      <c r="G196" s="6">
        <f t="shared" ref="G196:G259" si="12">E196*D196</f>
        <v>1050</v>
      </c>
      <c r="H196" s="24" t="str">
        <f>'Data Analysis'!BK194 &amp; " | " &amp; 'Data Analysis'!BL194</f>
        <v>Big Win | Combo Win</v>
      </c>
      <c r="I196" s="23">
        <f t="shared" ref="I196:I259" si="13">F196/E196</f>
        <v>19047.619047619046</v>
      </c>
      <c r="J196" s="49">
        <f t="shared" ref="J196:J259" si="14">ROUND(IF(D196=0,($N$17*0.3),((((N$17*0.7)-(N$19*N$18)))*(E196/$N$14)+$N$19)),0)</f>
        <v>6</v>
      </c>
      <c r="K196" s="75">
        <f t="shared" si="11"/>
        <v>6.6161466112884691E-4</v>
      </c>
    </row>
    <row r="197" spans="2:11">
      <c r="B197" s="19">
        <f>Tiers!B196</f>
        <v>193</v>
      </c>
      <c r="C197" s="20" t="str">
        <f>Tiers!X196</f>
        <v>main-5|main-25|wild-13|||||||</v>
      </c>
      <c r="D197" s="83">
        <f>Tiers!C196</f>
        <v>15</v>
      </c>
      <c r="E197" s="121">
        <v>50</v>
      </c>
      <c r="F197" s="47">
        <v>2000000</v>
      </c>
      <c r="G197" s="6">
        <f t="shared" si="12"/>
        <v>750</v>
      </c>
      <c r="H197" s="24" t="str">
        <f>'Data Analysis'!BK195 &amp; " | " &amp; 'Data Analysis'!BL195</f>
        <v>Big Win | Combo Win</v>
      </c>
      <c r="I197" s="23">
        <f t="shared" si="13"/>
        <v>40000</v>
      </c>
      <c r="J197" s="49">
        <f t="shared" si="14"/>
        <v>6</v>
      </c>
      <c r="K197" s="75">
        <f t="shared" ref="K197:K260" si="15">G197/N$9</f>
        <v>4.7258190080631926E-4</v>
      </c>
    </row>
    <row r="198" spans="2:11">
      <c r="B198" s="19">
        <f>Tiers!B197</f>
        <v>194</v>
      </c>
      <c r="C198" s="20" t="str">
        <f>Tiers!X197</f>
        <v>main-5|main-26|wild-14|||||||</v>
      </c>
      <c r="D198" s="83">
        <f>Tiers!C197</f>
        <v>17</v>
      </c>
      <c r="E198" s="121">
        <v>50</v>
      </c>
      <c r="F198" s="47">
        <v>2000000</v>
      </c>
      <c r="G198" s="6">
        <f t="shared" si="12"/>
        <v>850</v>
      </c>
      <c r="H198" s="24" t="str">
        <f>'Data Analysis'!BK196 &amp; " | " &amp; 'Data Analysis'!BL196</f>
        <v>Big Win | Combo Win</v>
      </c>
      <c r="I198" s="23">
        <f t="shared" si="13"/>
        <v>40000</v>
      </c>
      <c r="J198" s="49">
        <f t="shared" si="14"/>
        <v>6</v>
      </c>
      <c r="K198" s="75">
        <f t="shared" si="15"/>
        <v>5.3559282091382844E-4</v>
      </c>
    </row>
    <row r="199" spans="2:11">
      <c r="B199" s="19">
        <f>Tiers!B198</f>
        <v>195</v>
      </c>
      <c r="C199" s="20" t="str">
        <f>Tiers!X198</f>
        <v>main-0|main-27|wild-15|||||||</v>
      </c>
      <c r="D199" s="83">
        <f>Tiers!C198</f>
        <v>23.1</v>
      </c>
      <c r="E199" s="121">
        <v>100</v>
      </c>
      <c r="F199" s="47">
        <v>2000000</v>
      </c>
      <c r="G199" s="6">
        <f t="shared" si="12"/>
        <v>2310</v>
      </c>
      <c r="H199" s="24" t="str">
        <f>'Data Analysis'!BK197 &amp; " | " &amp; 'Data Analysis'!BL197</f>
        <v>Big Win | Combo Win</v>
      </c>
      <c r="I199" s="23">
        <f t="shared" si="13"/>
        <v>20000</v>
      </c>
      <c r="J199" s="49">
        <f t="shared" si="14"/>
        <v>6</v>
      </c>
      <c r="K199" s="75">
        <f t="shared" si="15"/>
        <v>1.4555522544834633E-3</v>
      </c>
    </row>
    <row r="200" spans="2:11">
      <c r="B200" s="19">
        <f>Tiers!B199</f>
        <v>196</v>
      </c>
      <c r="C200" s="20" t="str">
        <f>Tiers!X199</f>
        <v>main-4|main-21|wild-16|||||||</v>
      </c>
      <c r="D200" s="83">
        <f>Tiers!C199</f>
        <v>27</v>
      </c>
      <c r="E200" s="121">
        <v>100</v>
      </c>
      <c r="F200" s="47">
        <v>2000000</v>
      </c>
      <c r="G200" s="6">
        <f t="shared" si="12"/>
        <v>2700</v>
      </c>
      <c r="H200" s="24" t="str">
        <f>'Data Analysis'!BK198 &amp; " | " &amp; 'Data Analysis'!BL198</f>
        <v>Big Win | Combo Win</v>
      </c>
      <c r="I200" s="23">
        <f t="shared" si="13"/>
        <v>20000</v>
      </c>
      <c r="J200" s="49">
        <f t="shared" si="14"/>
        <v>6</v>
      </c>
      <c r="K200" s="75">
        <f t="shared" si="15"/>
        <v>1.7012948429027492E-3</v>
      </c>
    </row>
    <row r="201" spans="2:11">
      <c r="B201" s="19">
        <f>Tiers!B200</f>
        <v>197</v>
      </c>
      <c r="C201" s="20" t="str">
        <f>Tiers!X200</f>
        <v>main-0|main-18|main-4|wild-21||||||</v>
      </c>
      <c r="D201" s="83">
        <f>Tiers!C200</f>
        <v>25.1</v>
      </c>
      <c r="E201" s="121">
        <v>20</v>
      </c>
      <c r="F201" s="47">
        <v>2000000</v>
      </c>
      <c r="G201" s="6">
        <f t="shared" si="12"/>
        <v>502</v>
      </c>
      <c r="H201" s="24" t="str">
        <f>'Data Analysis'!BK199 &amp; " | " &amp; 'Data Analysis'!BL199</f>
        <v>Big Win | Combo Win</v>
      </c>
      <c r="I201" s="23">
        <f t="shared" si="13"/>
        <v>100000</v>
      </c>
      <c r="J201" s="49">
        <f t="shared" si="14"/>
        <v>6</v>
      </c>
      <c r="K201" s="75">
        <f t="shared" si="15"/>
        <v>3.1631481893969632E-4</v>
      </c>
    </row>
    <row r="202" spans="2:11">
      <c r="B202" s="19">
        <f>Tiers!B201</f>
        <v>198</v>
      </c>
      <c r="C202" s="20" t="str">
        <f>Tiers!X201</f>
        <v>main-1|main-25|main-18|wild-2||||||</v>
      </c>
      <c r="D202" s="83">
        <f>Tiers!C201</f>
        <v>8.6999999999999993</v>
      </c>
      <c r="E202" s="121">
        <v>72</v>
      </c>
      <c r="F202" s="47">
        <v>2000000</v>
      </c>
      <c r="G202" s="6">
        <f t="shared" si="12"/>
        <v>626.4</v>
      </c>
      <c r="H202" s="24" t="str">
        <f>'Data Analysis'!BK200 &amp; " | " &amp; 'Data Analysis'!BL200</f>
        <v>Standard Win | Combo Win</v>
      </c>
      <c r="I202" s="23">
        <f t="shared" si="13"/>
        <v>27777.777777777777</v>
      </c>
      <c r="J202" s="49">
        <f t="shared" si="14"/>
        <v>6</v>
      </c>
      <c r="K202" s="75">
        <f t="shared" si="15"/>
        <v>3.9470040355343779E-4</v>
      </c>
    </row>
    <row r="203" spans="2:11">
      <c r="B203" s="19">
        <f>Tiers!B202</f>
        <v>199</v>
      </c>
      <c r="C203" s="20" t="str">
        <f>Tiers!X202</f>
        <v>main-2|main-19|main-3|wild-3||||||</v>
      </c>
      <c r="D203" s="83">
        <f>Tiers!C202</f>
        <v>7.5</v>
      </c>
      <c r="E203" s="121">
        <v>50</v>
      </c>
      <c r="F203" s="47">
        <v>2000000</v>
      </c>
      <c r="G203" s="6">
        <f t="shared" si="12"/>
        <v>375</v>
      </c>
      <c r="H203" s="24" t="str">
        <f>'Data Analysis'!BK201 &amp; " | " &amp; 'Data Analysis'!BL201</f>
        <v>Standard Win | Combo Win</v>
      </c>
      <c r="I203" s="23">
        <f t="shared" si="13"/>
        <v>40000</v>
      </c>
      <c r="J203" s="49">
        <f t="shared" si="14"/>
        <v>6</v>
      </c>
      <c r="K203" s="75">
        <f t="shared" si="15"/>
        <v>2.3629095040315963E-4</v>
      </c>
    </row>
    <row r="204" spans="2:11">
      <c r="B204" s="19">
        <f>Tiers!B203</f>
        <v>200</v>
      </c>
      <c r="C204" s="20" t="str">
        <f>Tiers!X203</f>
        <v>main-4|main-13|main-0|wild-4||||||</v>
      </c>
      <c r="D204" s="83">
        <f>Tiers!C203</f>
        <v>9.1</v>
      </c>
      <c r="E204" s="121">
        <v>42</v>
      </c>
      <c r="F204" s="47">
        <v>2000000</v>
      </c>
      <c r="G204" s="6">
        <f t="shared" si="12"/>
        <v>382.2</v>
      </c>
      <c r="H204" s="24" t="str">
        <f>'Data Analysis'!BK202 &amp; " | " &amp; 'Data Analysis'!BL202</f>
        <v>Standard Win | Combo Win</v>
      </c>
      <c r="I204" s="23">
        <f t="shared" si="13"/>
        <v>47619.047619047618</v>
      </c>
      <c r="J204" s="49">
        <f t="shared" si="14"/>
        <v>6</v>
      </c>
      <c r="K204" s="75">
        <f t="shared" si="15"/>
        <v>2.4082773665090029E-4</v>
      </c>
    </row>
    <row r="205" spans="2:11">
      <c r="B205" s="19">
        <f>Tiers!B204</f>
        <v>201</v>
      </c>
      <c r="C205" s="20" t="str">
        <f>Tiers!X204</f>
        <v>main-1|main-18|main-26|wild-16||||||</v>
      </c>
      <c r="D205" s="83">
        <f>Tiers!C204</f>
        <v>18.2</v>
      </c>
      <c r="E205" s="121">
        <v>100</v>
      </c>
      <c r="F205" s="47">
        <v>2000000</v>
      </c>
      <c r="G205" s="6">
        <f t="shared" si="12"/>
        <v>1820</v>
      </c>
      <c r="H205" s="24" t="str">
        <f>'Data Analysis'!BK203 &amp; " | " &amp; 'Data Analysis'!BL203</f>
        <v>Big Win | Combo Win</v>
      </c>
      <c r="I205" s="23">
        <f t="shared" si="13"/>
        <v>20000</v>
      </c>
      <c r="J205" s="49">
        <f t="shared" si="14"/>
        <v>6</v>
      </c>
      <c r="K205" s="75">
        <f t="shared" si="15"/>
        <v>1.1467987459566681E-3</v>
      </c>
    </row>
    <row r="206" spans="2:11">
      <c r="B206" s="19">
        <f>Tiers!B205</f>
        <v>202</v>
      </c>
      <c r="C206" s="20" t="str">
        <f>Tiers!X205</f>
        <v>main-5|main-25|main-0|wild-17||||||</v>
      </c>
      <c r="D206" s="83">
        <f>Tiers!C205</f>
        <v>20.100000000000001</v>
      </c>
      <c r="E206" s="121">
        <v>50</v>
      </c>
      <c r="F206" s="47">
        <v>2000000</v>
      </c>
      <c r="G206" s="6">
        <f t="shared" si="12"/>
        <v>1005.0000000000001</v>
      </c>
      <c r="H206" s="24" t="str">
        <f>'Data Analysis'!BK204 &amp; " | " &amp; 'Data Analysis'!BL204</f>
        <v>Big Win | Combo Win</v>
      </c>
      <c r="I206" s="23">
        <f t="shared" si="13"/>
        <v>40000</v>
      </c>
      <c r="J206" s="49">
        <f t="shared" si="14"/>
        <v>6</v>
      </c>
      <c r="K206" s="75">
        <f t="shared" si="15"/>
        <v>6.3325974708046786E-4</v>
      </c>
    </row>
    <row r="207" spans="2:11">
      <c r="B207" s="19">
        <f>Tiers!B206</f>
        <v>203</v>
      </c>
      <c r="C207" s="20" t="str">
        <f>Tiers!X206</f>
        <v>main-4|main-0|main-20|wild-18||||||</v>
      </c>
      <c r="D207" s="83">
        <f>Tiers!C206</f>
        <v>15.1</v>
      </c>
      <c r="E207" s="121">
        <v>100</v>
      </c>
      <c r="F207" s="47">
        <v>2000000</v>
      </c>
      <c r="G207" s="6">
        <f t="shared" si="12"/>
        <v>1510</v>
      </c>
      <c r="H207" s="24" t="str">
        <f>'Data Analysis'!BK205 &amp; " | " &amp; 'Data Analysis'!BL205</f>
        <v>Big Win | Combo Win</v>
      </c>
      <c r="I207" s="23">
        <f t="shared" si="13"/>
        <v>20000</v>
      </c>
      <c r="J207" s="49">
        <f t="shared" si="14"/>
        <v>6</v>
      </c>
      <c r="K207" s="75">
        <f t="shared" si="15"/>
        <v>9.5146489362338943E-4</v>
      </c>
    </row>
    <row r="208" spans="2:11">
      <c r="B208" s="19">
        <f>Tiers!B207</f>
        <v>204</v>
      </c>
      <c r="C208" s="20" t="str">
        <f>Tiers!X207</f>
        <v>main-11|main-25|main-5|wild-12||||||</v>
      </c>
      <c r="D208" s="83">
        <f>Tiers!C207</f>
        <v>15</v>
      </c>
      <c r="E208" s="121">
        <v>20</v>
      </c>
      <c r="F208" s="47">
        <v>2000000</v>
      </c>
      <c r="G208" s="6">
        <f t="shared" si="12"/>
        <v>300</v>
      </c>
      <c r="H208" s="24" t="str">
        <f>'Data Analysis'!BK206 &amp; " | " &amp; 'Data Analysis'!BL206</f>
        <v>Big Win | Combo Win</v>
      </c>
      <c r="I208" s="23">
        <f t="shared" si="13"/>
        <v>100000</v>
      </c>
      <c r="J208" s="49">
        <f t="shared" si="14"/>
        <v>6</v>
      </c>
      <c r="K208" s="75">
        <f t="shared" si="15"/>
        <v>1.890327603225277E-4</v>
      </c>
    </row>
    <row r="209" spans="2:11">
      <c r="B209" s="19">
        <f>Tiers!B208</f>
        <v>205</v>
      </c>
      <c r="C209" s="20" t="str">
        <f>Tiers!X208</f>
        <v>main-18|main-19|main-5|wild-13||||||</v>
      </c>
      <c r="D209" s="83">
        <f>Tiers!C208</f>
        <v>18</v>
      </c>
      <c r="E209" s="121">
        <v>100</v>
      </c>
      <c r="F209" s="47">
        <v>2000000</v>
      </c>
      <c r="G209" s="6">
        <f t="shared" si="12"/>
        <v>1800</v>
      </c>
      <c r="H209" s="24" t="str">
        <f>'Data Analysis'!BK207 &amp; " | " &amp; 'Data Analysis'!BL207</f>
        <v>Big Win | Combo Win</v>
      </c>
      <c r="I209" s="23">
        <f t="shared" si="13"/>
        <v>20000</v>
      </c>
      <c r="J209" s="49">
        <f t="shared" si="14"/>
        <v>6</v>
      </c>
      <c r="K209" s="75">
        <f t="shared" si="15"/>
        <v>1.1341965619351662E-3</v>
      </c>
    </row>
    <row r="210" spans="2:11">
      <c r="B210" s="19">
        <f>Tiers!B209</f>
        <v>206</v>
      </c>
      <c r="C210" s="20" t="str">
        <f>Tiers!X209</f>
        <v>main-3|main-20|main-4|wild-15||||||</v>
      </c>
      <c r="D210" s="83">
        <f>Tiers!C209</f>
        <v>16</v>
      </c>
      <c r="E210" s="121">
        <v>20</v>
      </c>
      <c r="F210" s="47">
        <v>2000000</v>
      </c>
      <c r="G210" s="6">
        <f t="shared" si="12"/>
        <v>320</v>
      </c>
      <c r="H210" s="24" t="str">
        <f>'Data Analysis'!BK208 &amp; " | " &amp; 'Data Analysis'!BL208</f>
        <v>Big Win | Combo Win</v>
      </c>
      <c r="I210" s="23">
        <f t="shared" si="13"/>
        <v>100000</v>
      </c>
      <c r="J210" s="49">
        <f t="shared" si="14"/>
        <v>6</v>
      </c>
      <c r="K210" s="75">
        <f t="shared" si="15"/>
        <v>2.0163494434402953E-4</v>
      </c>
    </row>
    <row r="211" spans="2:11">
      <c r="B211" s="19">
        <f>Tiers!B210</f>
        <v>207</v>
      </c>
      <c r="C211" s="20" t="str">
        <f>Tiers!X210</f>
        <v>main-3|main-5|main-19|wild-16||||||</v>
      </c>
      <c r="D211" s="83">
        <f>Tiers!C210</f>
        <v>16</v>
      </c>
      <c r="E211" s="121">
        <v>100</v>
      </c>
      <c r="F211" s="47">
        <v>2000000</v>
      </c>
      <c r="G211" s="6">
        <f t="shared" si="12"/>
        <v>1600</v>
      </c>
      <c r="H211" s="24" t="str">
        <f>'Data Analysis'!BK209 &amp; " | " &amp; 'Data Analysis'!BL209</f>
        <v>Big Win | Combo Win</v>
      </c>
      <c r="I211" s="23">
        <f t="shared" si="13"/>
        <v>20000</v>
      </c>
      <c r="J211" s="49">
        <f t="shared" si="14"/>
        <v>6</v>
      </c>
      <c r="K211" s="75">
        <f t="shared" si="15"/>
        <v>1.0081747217201478E-3</v>
      </c>
    </row>
    <row r="212" spans="2:11">
      <c r="B212" s="19">
        <f>Tiers!B211</f>
        <v>208</v>
      </c>
      <c r="C212" s="20" t="str">
        <f>Tiers!X211</f>
        <v>main-5|main-26|main-1|wild-17||||||</v>
      </c>
      <c r="D212" s="83">
        <f>Tiers!C211</f>
        <v>25.2</v>
      </c>
      <c r="E212" s="121">
        <v>109</v>
      </c>
      <c r="F212" s="47">
        <v>2000000</v>
      </c>
      <c r="G212" s="6">
        <f t="shared" si="12"/>
        <v>2746.7999999999997</v>
      </c>
      <c r="H212" s="24" t="str">
        <f>'Data Analysis'!BK210 &amp; " | " &amp; 'Data Analysis'!BL210</f>
        <v>Big Win | Combo Win</v>
      </c>
      <c r="I212" s="23">
        <f t="shared" si="13"/>
        <v>18348.623853211007</v>
      </c>
      <c r="J212" s="49">
        <f t="shared" si="14"/>
        <v>6</v>
      </c>
      <c r="K212" s="75">
        <f t="shared" si="15"/>
        <v>1.7307839535130635E-3</v>
      </c>
    </row>
    <row r="213" spans="2:11">
      <c r="B213" s="19">
        <f>Tiers!B212</f>
        <v>209</v>
      </c>
      <c r="C213" s="20" t="str">
        <f>Tiers!X212</f>
        <v>main-5|main-25|main-19|wild-11||||||</v>
      </c>
      <c r="D213" s="83">
        <f>Tiers!C212</f>
        <v>17</v>
      </c>
      <c r="E213" s="121">
        <v>100</v>
      </c>
      <c r="F213" s="47">
        <v>2000000</v>
      </c>
      <c r="G213" s="6">
        <f t="shared" si="12"/>
        <v>1700</v>
      </c>
      <c r="H213" s="24" t="str">
        <f>'Data Analysis'!BK211 &amp; " | " &amp; 'Data Analysis'!BL211</f>
        <v>Big Win | Combo Win</v>
      </c>
      <c r="I213" s="23">
        <f t="shared" si="13"/>
        <v>20000</v>
      </c>
      <c r="J213" s="49">
        <f t="shared" si="14"/>
        <v>6</v>
      </c>
      <c r="K213" s="75">
        <f t="shared" si="15"/>
        <v>1.0711856418276569E-3</v>
      </c>
    </row>
    <row r="214" spans="2:11">
      <c r="B214" s="19">
        <f>Tiers!B213</f>
        <v>210</v>
      </c>
      <c r="C214" s="20" t="str">
        <f>Tiers!X213</f>
        <v>main-4|main-19|main-5|wild-2||||||</v>
      </c>
      <c r="D214" s="83">
        <f>Tiers!C213</f>
        <v>12.5</v>
      </c>
      <c r="E214" s="121">
        <v>100</v>
      </c>
      <c r="F214" s="47">
        <v>2000000</v>
      </c>
      <c r="G214" s="6">
        <f t="shared" si="12"/>
        <v>1250</v>
      </c>
      <c r="H214" s="24" t="str">
        <f>'Data Analysis'!BK212 &amp; " | " &amp; 'Data Analysis'!BL212</f>
        <v>Big Win | Combo Win</v>
      </c>
      <c r="I214" s="23">
        <f t="shared" si="13"/>
        <v>20000</v>
      </c>
      <c r="J214" s="49">
        <f t="shared" si="14"/>
        <v>6</v>
      </c>
      <c r="K214" s="75">
        <f t="shared" si="15"/>
        <v>7.8763650134386538E-4</v>
      </c>
    </row>
    <row r="215" spans="2:11">
      <c r="B215" s="19">
        <f>Tiers!B214</f>
        <v>211</v>
      </c>
      <c r="C215" s="20" t="str">
        <f>Tiers!X214</f>
        <v>main-0|main-27|main-2|wild-3||||||</v>
      </c>
      <c r="D215" s="83">
        <f>Tiers!C214</f>
        <v>21.6</v>
      </c>
      <c r="E215" s="121">
        <v>31</v>
      </c>
      <c r="F215" s="47">
        <v>2000000</v>
      </c>
      <c r="G215" s="6">
        <f t="shared" si="12"/>
        <v>669.6</v>
      </c>
      <c r="H215" s="24" t="str">
        <f>'Data Analysis'!BK213 &amp; " | " &amp; 'Data Analysis'!BL213</f>
        <v>Big Win | Combo Win</v>
      </c>
      <c r="I215" s="23">
        <f t="shared" si="13"/>
        <v>64516.129032258068</v>
      </c>
      <c r="J215" s="49">
        <f t="shared" si="14"/>
        <v>6</v>
      </c>
      <c r="K215" s="75">
        <f t="shared" si="15"/>
        <v>4.2192112103988185E-4</v>
      </c>
    </row>
    <row r="216" spans="2:11">
      <c r="B216" s="19">
        <f>Tiers!B215</f>
        <v>212</v>
      </c>
      <c r="C216" s="20" t="str">
        <f>Tiers!X215</f>
        <v>main-4|main-14|main-15|wild-4||||||</v>
      </c>
      <c r="D216" s="83">
        <f>Tiers!C215</f>
        <v>34</v>
      </c>
      <c r="E216" s="121">
        <v>50</v>
      </c>
      <c r="F216" s="47">
        <v>2000000</v>
      </c>
      <c r="G216" s="6">
        <f t="shared" si="12"/>
        <v>1700</v>
      </c>
      <c r="H216" s="24" t="str">
        <f>'Data Analysis'!BK214 &amp; " | " &amp; 'Data Analysis'!BL214</f>
        <v>Big Win | Combo Win</v>
      </c>
      <c r="I216" s="23">
        <f t="shared" si="13"/>
        <v>40000</v>
      </c>
      <c r="J216" s="49">
        <f t="shared" si="14"/>
        <v>6</v>
      </c>
      <c r="K216" s="75">
        <f t="shared" si="15"/>
        <v>1.0711856418276569E-3</v>
      </c>
    </row>
    <row r="217" spans="2:11">
      <c r="B217" s="19">
        <f>Tiers!B216</f>
        <v>213</v>
      </c>
      <c r="C217" s="20" t="str">
        <f>Tiers!X216</f>
        <v>main-4|main-28|main-3|wild-5||||||</v>
      </c>
      <c r="D217" s="83">
        <f>Tiers!C216</f>
        <v>108</v>
      </c>
      <c r="E217" s="121">
        <v>3</v>
      </c>
      <c r="F217" s="47">
        <v>2000000</v>
      </c>
      <c r="G217" s="6">
        <f t="shared" si="12"/>
        <v>324</v>
      </c>
      <c r="H217" s="24" t="str">
        <f>'Data Analysis'!BK215 &amp; " | " &amp; 'Data Analysis'!BL215</f>
        <v>Huge Win | Combo Win</v>
      </c>
      <c r="I217" s="23">
        <f t="shared" si="13"/>
        <v>666666.66666666663</v>
      </c>
      <c r="J217" s="49">
        <f t="shared" si="14"/>
        <v>6</v>
      </c>
      <c r="K217" s="75">
        <f t="shared" si="15"/>
        <v>2.0415538114832991E-4</v>
      </c>
    </row>
    <row r="218" spans="2:11">
      <c r="B218" s="19">
        <f>Tiers!B217</f>
        <v>214</v>
      </c>
      <c r="C218" s="20" t="str">
        <f>Tiers!X217</f>
        <v>main-4|main-0|main-1|main-18|wild-6|||||</v>
      </c>
      <c r="D218" s="83">
        <f>Tiers!C217</f>
        <v>15.3</v>
      </c>
      <c r="E218" s="121">
        <v>16</v>
      </c>
      <c r="F218" s="47">
        <v>2000000</v>
      </c>
      <c r="G218" s="6">
        <f t="shared" si="12"/>
        <v>244.8</v>
      </c>
      <c r="H218" s="24" t="str">
        <f>'Data Analysis'!BK216 &amp; " | " &amp; 'Data Analysis'!BL216</f>
        <v>Big Win | Combo Win</v>
      </c>
      <c r="I218" s="23">
        <f t="shared" si="13"/>
        <v>125000</v>
      </c>
      <c r="J218" s="49">
        <f t="shared" si="14"/>
        <v>6</v>
      </c>
      <c r="K218" s="75">
        <f t="shared" si="15"/>
        <v>1.542507324231826E-4</v>
      </c>
    </row>
    <row r="219" spans="2:11">
      <c r="B219" s="19">
        <f>Tiers!B218</f>
        <v>215</v>
      </c>
      <c r="C219" s="20" t="str">
        <f>Tiers!X218</f>
        <v>main-0|main-4|main-0|main-19|wild-7|||||</v>
      </c>
      <c r="D219" s="83">
        <f>Tiers!C218</f>
        <v>27.2</v>
      </c>
      <c r="E219" s="121">
        <v>8</v>
      </c>
      <c r="F219" s="47">
        <v>2000000</v>
      </c>
      <c r="G219" s="6">
        <f t="shared" si="12"/>
        <v>217.6</v>
      </c>
      <c r="H219" s="24" t="str">
        <f>'Data Analysis'!BK217 &amp; " | " &amp; 'Data Analysis'!BL217</f>
        <v>Big Win | Combo Win</v>
      </c>
      <c r="I219" s="23">
        <f t="shared" si="13"/>
        <v>250000</v>
      </c>
      <c r="J219" s="49">
        <f t="shared" si="14"/>
        <v>6</v>
      </c>
      <c r="K219" s="75">
        <f t="shared" si="15"/>
        <v>1.3711176215394009E-4</v>
      </c>
    </row>
    <row r="220" spans="2:11">
      <c r="B220" s="19">
        <f>Tiers!B219</f>
        <v>216</v>
      </c>
      <c r="C220" s="20" t="str">
        <f>Tiers!X219</f>
        <v>main-0|main-13|main-26|main-18|wild-8|||||</v>
      </c>
      <c r="D220" s="83">
        <f>Tiers!C219</f>
        <v>48.1</v>
      </c>
      <c r="E220" s="121">
        <v>5</v>
      </c>
      <c r="F220" s="47">
        <v>2000000</v>
      </c>
      <c r="G220" s="6">
        <f t="shared" si="12"/>
        <v>240.5</v>
      </c>
      <c r="H220" s="24" t="str">
        <f>'Data Analysis'!BK218 &amp; " | " &amp; 'Data Analysis'!BL218</f>
        <v>Big Win | Combo Win</v>
      </c>
      <c r="I220" s="23">
        <f t="shared" si="13"/>
        <v>400000</v>
      </c>
      <c r="J220" s="49">
        <f t="shared" si="14"/>
        <v>6</v>
      </c>
      <c r="K220" s="75">
        <f t="shared" si="15"/>
        <v>1.515412628585597E-4</v>
      </c>
    </row>
    <row r="221" spans="2:11">
      <c r="B221" s="19">
        <f>Tiers!B220</f>
        <v>217</v>
      </c>
      <c r="C221" s="20" t="str">
        <f>Tiers!X220</f>
        <v>main-5|main-13|main-25|main-0|wild-18|||||</v>
      </c>
      <c r="D221" s="83">
        <f>Tiers!C220</f>
        <v>18.100000000000001</v>
      </c>
      <c r="E221" s="121">
        <v>50</v>
      </c>
      <c r="F221" s="47">
        <v>2000000</v>
      </c>
      <c r="G221" s="6">
        <f t="shared" si="12"/>
        <v>905.00000000000011</v>
      </c>
      <c r="H221" s="24" t="str">
        <f>'Data Analysis'!BK219 &amp; " | " &amp; 'Data Analysis'!BL219</f>
        <v>Big Win | Combo Win</v>
      </c>
      <c r="I221" s="23">
        <f t="shared" si="13"/>
        <v>40000</v>
      </c>
      <c r="J221" s="49">
        <f t="shared" si="14"/>
        <v>6</v>
      </c>
      <c r="K221" s="75">
        <f t="shared" si="15"/>
        <v>5.7024882697295862E-4</v>
      </c>
    </row>
    <row r="222" spans="2:11">
      <c r="B222" s="19">
        <f>Tiers!B221</f>
        <v>218</v>
      </c>
      <c r="C222" s="20" t="str">
        <f>Tiers!X221</f>
        <v>main-18|main-5|main-13|main-3|wild-11|||||</v>
      </c>
      <c r="D222" s="83">
        <f>Tiers!C221</f>
        <v>16</v>
      </c>
      <c r="E222" s="121">
        <v>80</v>
      </c>
      <c r="F222" s="47">
        <v>2000000</v>
      </c>
      <c r="G222" s="6">
        <f t="shared" si="12"/>
        <v>1280</v>
      </c>
      <c r="H222" s="24" t="str">
        <f>'Data Analysis'!BK220 &amp; " | " &amp; 'Data Analysis'!BL220</f>
        <v>Big Win | Combo Win</v>
      </c>
      <c r="I222" s="23">
        <f t="shared" si="13"/>
        <v>25000</v>
      </c>
      <c r="J222" s="49">
        <f t="shared" si="14"/>
        <v>6</v>
      </c>
      <c r="K222" s="75">
        <f t="shared" si="15"/>
        <v>8.0653977737611812E-4</v>
      </c>
    </row>
    <row r="223" spans="2:11">
      <c r="B223" s="19">
        <f>Tiers!B222</f>
        <v>219</v>
      </c>
      <c r="C223" s="20" t="str">
        <f>Tiers!X222</f>
        <v>main-3|main-19|main-13|main-26|wild-12|||||</v>
      </c>
      <c r="D223" s="83">
        <f>Tiers!C222</f>
        <v>24</v>
      </c>
      <c r="E223" s="121">
        <v>23</v>
      </c>
      <c r="F223" s="47">
        <v>2000000</v>
      </c>
      <c r="G223" s="6">
        <f t="shared" si="12"/>
        <v>552</v>
      </c>
      <c r="H223" s="24" t="str">
        <f>'Data Analysis'!BK221 &amp; " | " &amp; 'Data Analysis'!BL221</f>
        <v>Big Win | Combo Win</v>
      </c>
      <c r="I223" s="23">
        <f t="shared" si="13"/>
        <v>86956.521739130432</v>
      </c>
      <c r="J223" s="49">
        <f t="shared" si="14"/>
        <v>6</v>
      </c>
      <c r="K223" s="75">
        <f t="shared" si="15"/>
        <v>3.4782027899345094E-4</v>
      </c>
    </row>
    <row r="224" spans="2:11" ht="13.95" customHeight="1">
      <c r="B224" s="19">
        <f>Tiers!B223</f>
        <v>220</v>
      </c>
      <c r="C224" s="20" t="str">
        <f>Tiers!X223</f>
        <v>main-19|main-4|main-1|main-15|wild-13|||||</v>
      </c>
      <c r="D224" s="83">
        <f>Tiers!C223</f>
        <v>32.200000000000003</v>
      </c>
      <c r="E224" s="121">
        <v>50</v>
      </c>
      <c r="F224" s="47">
        <v>2000000</v>
      </c>
      <c r="G224" s="6">
        <f t="shared" si="12"/>
        <v>1610.0000000000002</v>
      </c>
      <c r="H224" s="24" t="str">
        <f>'Data Analysis'!BK222 &amp; " | " &amp; 'Data Analysis'!BL222</f>
        <v>Big Win | Combo Win</v>
      </c>
      <c r="I224" s="23">
        <f t="shared" si="13"/>
        <v>40000</v>
      </c>
      <c r="J224" s="49">
        <f t="shared" si="14"/>
        <v>6</v>
      </c>
      <c r="K224" s="75">
        <f t="shared" si="15"/>
        <v>1.0144758137308988E-3</v>
      </c>
    </row>
    <row r="225" spans="2:11" ht="13.95" customHeight="1">
      <c r="B225" s="19">
        <f>Tiers!B224</f>
        <v>221</v>
      </c>
      <c r="C225" s="20" t="str">
        <f>Tiers!X224</f>
        <v>main-5|main-3|main-5|main-15|wild-14|||||</v>
      </c>
      <c r="D225" s="83">
        <f>Tiers!C224</f>
        <v>33</v>
      </c>
      <c r="E225" s="121">
        <v>50</v>
      </c>
      <c r="F225" s="47">
        <v>2000000</v>
      </c>
      <c r="G225" s="6">
        <f t="shared" si="12"/>
        <v>1650</v>
      </c>
      <c r="H225" s="24" t="str">
        <f>'Data Analysis'!BK223 &amp; " | " &amp; 'Data Analysis'!BL223</f>
        <v>Big Win | Combo Win</v>
      </c>
      <c r="I225" s="23">
        <f t="shared" si="13"/>
        <v>40000</v>
      </c>
      <c r="J225" s="49">
        <f t="shared" si="14"/>
        <v>6</v>
      </c>
      <c r="K225" s="75">
        <f t="shared" si="15"/>
        <v>1.0396801817739024E-3</v>
      </c>
    </row>
    <row r="226" spans="2:11" ht="13.95" customHeight="1">
      <c r="B226" s="19">
        <f>Tiers!B225</f>
        <v>222</v>
      </c>
      <c r="C226" s="20" t="str">
        <f>Tiers!X225</f>
        <v>main-4|main-18|main-28|main-0|wild-15|||||</v>
      </c>
      <c r="D226" s="83">
        <f>Tiers!C225</f>
        <v>108.1</v>
      </c>
      <c r="E226" s="121">
        <v>2</v>
      </c>
      <c r="F226" s="47">
        <v>2000000</v>
      </c>
      <c r="G226" s="6">
        <f t="shared" si="12"/>
        <v>216.2</v>
      </c>
      <c r="H226" s="24" t="str">
        <f>'Data Analysis'!BK224 &amp; " | " &amp; 'Data Analysis'!BL224</f>
        <v>Huge Win | Combo Win</v>
      </c>
      <c r="I226" s="23">
        <f t="shared" si="13"/>
        <v>1000000</v>
      </c>
      <c r="J226" s="49">
        <f t="shared" si="14"/>
        <v>6</v>
      </c>
      <c r="K226" s="75">
        <f t="shared" si="15"/>
        <v>1.3622960927243494E-4</v>
      </c>
    </row>
    <row r="227" spans="2:11" ht="13.95" customHeight="1">
      <c r="B227" s="19">
        <f>Tiers!B226</f>
        <v>223</v>
      </c>
      <c r="C227" s="20" t="str">
        <f>Tiers!X226</f>
        <v>main-19|main-3|main-1|main-18|main-4|wild-15||||</v>
      </c>
      <c r="D227" s="83">
        <f>Tiers!C226</f>
        <v>14.2</v>
      </c>
      <c r="E227" s="121">
        <v>50</v>
      </c>
      <c r="F227" s="47">
        <v>2000000</v>
      </c>
      <c r="G227" s="6">
        <f t="shared" si="12"/>
        <v>710</v>
      </c>
      <c r="H227" s="24" t="str">
        <f>'Data Analysis'!BK225 &amp; " | " &amp; 'Data Analysis'!BL225</f>
        <v>Big Win | Combo Win</v>
      </c>
      <c r="I227" s="23">
        <f t="shared" si="13"/>
        <v>40000</v>
      </c>
      <c r="J227" s="49">
        <f t="shared" si="14"/>
        <v>6</v>
      </c>
      <c r="K227" s="75">
        <f t="shared" si="15"/>
        <v>4.4737753276331556E-4</v>
      </c>
    </row>
    <row r="228" spans="2:11" ht="13.95" customHeight="1">
      <c r="B228" s="19">
        <f>Tiers!B227</f>
        <v>224</v>
      </c>
      <c r="C228" s="20" t="str">
        <f>Tiers!X227</f>
        <v>main-26|main-0|main-3|main-18|main-18|wild-16||||</v>
      </c>
      <c r="D228" s="83">
        <f>Tiers!C227</f>
        <v>22.1</v>
      </c>
      <c r="E228" s="121">
        <v>94</v>
      </c>
      <c r="F228" s="47">
        <v>2000000</v>
      </c>
      <c r="G228" s="6">
        <f t="shared" si="12"/>
        <v>2077.4</v>
      </c>
      <c r="H228" s="24" t="str">
        <f>'Data Analysis'!BK226 &amp; " | " &amp; 'Data Analysis'!BL226</f>
        <v>Big Win | Combo Win</v>
      </c>
      <c r="I228" s="23">
        <f t="shared" si="13"/>
        <v>21276.59574468085</v>
      </c>
      <c r="J228" s="49">
        <f t="shared" si="14"/>
        <v>6</v>
      </c>
      <c r="K228" s="75">
        <f t="shared" si="15"/>
        <v>1.3089888543133968E-3</v>
      </c>
    </row>
    <row r="229" spans="2:11" ht="13.95" customHeight="1">
      <c r="B229" s="19">
        <f>Tiers!B228</f>
        <v>225</v>
      </c>
      <c r="C229" s="20" t="str">
        <f>Tiers!X228</f>
        <v>main-4|main-2|main-5|main-3|main-3|wild-17||||</v>
      </c>
      <c r="D229" s="83">
        <f>Tiers!C228</f>
        <v>19.5</v>
      </c>
      <c r="E229" s="121">
        <v>10</v>
      </c>
      <c r="F229" s="47">
        <v>2000000</v>
      </c>
      <c r="G229" s="6">
        <f t="shared" si="12"/>
        <v>195</v>
      </c>
      <c r="H229" s="24" t="str">
        <f>'Data Analysis'!BK227 &amp; " | " &amp; 'Data Analysis'!BL227</f>
        <v>Big Win | Combo Win</v>
      </c>
      <c r="I229" s="23">
        <f t="shared" si="13"/>
        <v>200000</v>
      </c>
      <c r="J229" s="49">
        <f t="shared" si="14"/>
        <v>6</v>
      </c>
      <c r="K229" s="75">
        <f t="shared" si="15"/>
        <v>1.2287129420964301E-4</v>
      </c>
    </row>
    <row r="230" spans="2:11" ht="13.95" customHeight="1">
      <c r="B230" s="19">
        <f>Tiers!B229</f>
        <v>226</v>
      </c>
      <c r="C230" s="20" t="str">
        <f>Tiers!X229</f>
        <v>main-5|main-0|main-4|main-4|main-18|wild-19||||</v>
      </c>
      <c r="D230" s="83">
        <f>Tiers!C229</f>
        <v>17.100000000000001</v>
      </c>
      <c r="E230" s="121">
        <v>50</v>
      </c>
      <c r="F230" s="47">
        <v>2000000</v>
      </c>
      <c r="G230" s="6">
        <f t="shared" si="12"/>
        <v>855.00000000000011</v>
      </c>
      <c r="H230" s="24" t="str">
        <f>'Data Analysis'!BK228 &amp; " | " &amp; 'Data Analysis'!BL228</f>
        <v>Big Win | Combo Win</v>
      </c>
      <c r="I230" s="23">
        <f t="shared" si="13"/>
        <v>40000</v>
      </c>
      <c r="J230" s="49">
        <f t="shared" si="14"/>
        <v>6</v>
      </c>
      <c r="K230" s="75">
        <f t="shared" si="15"/>
        <v>5.3874336691920395E-4</v>
      </c>
    </row>
    <row r="231" spans="2:11" ht="13.95" customHeight="1">
      <c r="B231" s="19">
        <f>Tiers!B230</f>
        <v>227</v>
      </c>
      <c r="C231" s="20" t="str">
        <f>Tiers!X230</f>
        <v>main-5|main-3|main-18|main-0|main-26|wild-20||||</v>
      </c>
      <c r="D231" s="83">
        <f>Tiers!C230</f>
        <v>29.1</v>
      </c>
      <c r="E231" s="121">
        <v>50</v>
      </c>
      <c r="F231" s="47">
        <v>2000000</v>
      </c>
      <c r="G231" s="6">
        <f t="shared" si="12"/>
        <v>1455</v>
      </c>
      <c r="H231" s="24" t="str">
        <f>'Data Analysis'!BK229 &amp; " | " &amp; 'Data Analysis'!BL229</f>
        <v>Big Win | Combo Win</v>
      </c>
      <c r="I231" s="23">
        <f t="shared" si="13"/>
        <v>40000</v>
      </c>
      <c r="J231" s="49">
        <f t="shared" si="14"/>
        <v>6</v>
      </c>
      <c r="K231" s="75">
        <f t="shared" si="15"/>
        <v>9.1680888756425936E-4</v>
      </c>
    </row>
    <row r="232" spans="2:11" ht="13.95" customHeight="1">
      <c r="B232" s="19">
        <f>Tiers!B231</f>
        <v>228</v>
      </c>
      <c r="C232" s="20" t="str">
        <f>Tiers!X231</f>
        <v>main-3|main-1|main-4|main-26|main-26|wild-21||||</v>
      </c>
      <c r="D232" s="83">
        <f>Tiers!C231</f>
        <v>43.2</v>
      </c>
      <c r="E232" s="121">
        <v>50</v>
      </c>
      <c r="F232" s="47">
        <v>2000000</v>
      </c>
      <c r="G232" s="6">
        <f t="shared" si="12"/>
        <v>2160</v>
      </c>
      <c r="H232" s="24" t="str">
        <f>'Data Analysis'!BK230 &amp; " | " &amp; 'Data Analysis'!BL230</f>
        <v>Big Win | Combo Win</v>
      </c>
      <c r="I232" s="23">
        <f t="shared" si="13"/>
        <v>40000</v>
      </c>
      <c r="J232" s="49">
        <f t="shared" si="14"/>
        <v>6</v>
      </c>
      <c r="K232" s="75">
        <f t="shared" si="15"/>
        <v>1.3610358743221995E-3</v>
      </c>
    </row>
    <row r="233" spans="2:11" ht="13.95" customHeight="1">
      <c r="B233" s="19">
        <f>Tiers!B232</f>
        <v>229</v>
      </c>
      <c r="C233" s="20" t="str">
        <f>Tiers!X232</f>
        <v>main-26|main-4|main-4|main-0|main-26|wild-21||||</v>
      </c>
      <c r="D233" s="83">
        <f>Tiers!C232</f>
        <v>44.1</v>
      </c>
      <c r="E233" s="121">
        <v>20</v>
      </c>
      <c r="F233" s="47">
        <v>2000000</v>
      </c>
      <c r="G233" s="6">
        <f t="shared" si="12"/>
        <v>882</v>
      </c>
      <c r="H233" s="24" t="str">
        <f>'Data Analysis'!BK231 &amp; " | " &amp; 'Data Analysis'!BL231</f>
        <v>Big Win | Combo Win</v>
      </c>
      <c r="I233" s="23">
        <f t="shared" si="13"/>
        <v>100000</v>
      </c>
      <c r="J233" s="49">
        <f t="shared" si="14"/>
        <v>6</v>
      </c>
      <c r="K233" s="75">
        <f t="shared" si="15"/>
        <v>5.5575631534823138E-4</v>
      </c>
    </row>
    <row r="234" spans="2:11" ht="13.95" customHeight="1">
      <c r="B234" s="19">
        <f>Tiers!B233</f>
        <v>230</v>
      </c>
      <c r="C234" s="20" t="str">
        <f>Tiers!X233</f>
        <v>main-20|main-4|main-1|main-26|main-5|wild-0||||</v>
      </c>
      <c r="D234" s="83">
        <f>Tiers!C233</f>
        <v>27.3</v>
      </c>
      <c r="E234" s="121">
        <v>5</v>
      </c>
      <c r="F234" s="47">
        <v>2000000</v>
      </c>
      <c r="G234" s="6">
        <f t="shared" si="12"/>
        <v>136.5</v>
      </c>
      <c r="H234" s="24" t="str">
        <f>'Data Analysis'!BK232 &amp; " | " &amp; 'Data Analysis'!BL232</f>
        <v>Big Win | Combo Win</v>
      </c>
      <c r="I234" s="23">
        <f t="shared" si="13"/>
        <v>400000</v>
      </c>
      <c r="J234" s="49">
        <f t="shared" si="14"/>
        <v>6</v>
      </c>
      <c r="K234" s="75">
        <f t="shared" si="15"/>
        <v>8.6009905946750096E-5</v>
      </c>
    </row>
    <row r="235" spans="2:11" ht="13.95" customHeight="1">
      <c r="B235" s="19">
        <f>Tiers!B234</f>
        <v>231</v>
      </c>
      <c r="C235" s="20" t="str">
        <f>Tiers!X234</f>
        <v>main-21|main-5|main-2|main-19|main-19|wild-0||||</v>
      </c>
      <c r="D235" s="83">
        <f>Tiers!C234</f>
        <v>35.6</v>
      </c>
      <c r="E235" s="121">
        <v>50</v>
      </c>
      <c r="F235" s="47">
        <v>2000000</v>
      </c>
      <c r="G235" s="6">
        <f t="shared" si="12"/>
        <v>1780</v>
      </c>
      <c r="H235" s="24" t="str">
        <f>'Data Analysis'!BK233 &amp; " | " &amp; 'Data Analysis'!BL233</f>
        <v>Big Win | Combo Win</v>
      </c>
      <c r="I235" s="23">
        <f t="shared" si="13"/>
        <v>40000</v>
      </c>
      <c r="J235" s="49">
        <f t="shared" si="14"/>
        <v>6</v>
      </c>
      <c r="K235" s="75">
        <f t="shared" si="15"/>
        <v>1.1215943779136644E-3</v>
      </c>
    </row>
    <row r="236" spans="2:11" ht="13.95" customHeight="1">
      <c r="B236" s="19">
        <f>Tiers!B235</f>
        <v>232</v>
      </c>
      <c r="C236" s="20" t="str">
        <f>Tiers!X235</f>
        <v>main-27|main-5|main-5|main-19|main-3|wild-18||||</v>
      </c>
      <c r="D236" s="83">
        <f>Tiers!C235</f>
        <v>39</v>
      </c>
      <c r="E236" s="121">
        <v>15</v>
      </c>
      <c r="F236" s="47">
        <v>2000000</v>
      </c>
      <c r="G236" s="6">
        <f t="shared" si="12"/>
        <v>585</v>
      </c>
      <c r="H236" s="24" t="str">
        <f>'Data Analysis'!BK234 &amp; " | " &amp; 'Data Analysis'!BL234</f>
        <v>Big Win | Combo Win</v>
      </c>
      <c r="I236" s="23">
        <f t="shared" si="13"/>
        <v>133333.33333333334</v>
      </c>
      <c r="J236" s="49">
        <f t="shared" si="14"/>
        <v>6</v>
      </c>
      <c r="K236" s="75">
        <f t="shared" si="15"/>
        <v>3.6861388262892899E-4</v>
      </c>
    </row>
    <row r="237" spans="2:11" ht="13.95" customHeight="1">
      <c r="B237" s="19">
        <f>Tiers!B236</f>
        <v>233</v>
      </c>
      <c r="C237" s="20" t="str">
        <f>Tiers!X236</f>
        <v>main-0|freeplayA-11||||||||</v>
      </c>
      <c r="D237" s="83">
        <f>Tiers!C236</f>
        <v>3.1</v>
      </c>
      <c r="E237" s="121">
        <v>100</v>
      </c>
      <c r="F237" s="47">
        <v>2000000</v>
      </c>
      <c r="G237" s="6">
        <f t="shared" si="12"/>
        <v>310</v>
      </c>
      <c r="H237" s="24" t="str">
        <f>'Data Analysis'!BK235 &amp; " | " &amp; 'Data Analysis'!BL235</f>
        <v>Standard Win | Free Plays A</v>
      </c>
      <c r="I237" s="23">
        <f t="shared" si="13"/>
        <v>20000</v>
      </c>
      <c r="J237" s="49">
        <f t="shared" si="14"/>
        <v>6</v>
      </c>
      <c r="K237" s="75">
        <f t="shared" si="15"/>
        <v>1.9533385233327862E-4</v>
      </c>
    </row>
    <row r="238" spans="2:11" ht="13.95" customHeight="1">
      <c r="B238" s="19">
        <f>Tiers!B237</f>
        <v>234</v>
      </c>
      <c r="C238" s="20" t="str">
        <f>Tiers!X237</f>
        <v>main-4|freeplayA-12||||||||</v>
      </c>
      <c r="D238" s="83">
        <f>Tiers!C237</f>
        <v>2.2000000000000002</v>
      </c>
      <c r="E238" s="121">
        <v>27</v>
      </c>
      <c r="F238" s="47">
        <v>2000000</v>
      </c>
      <c r="G238" s="6">
        <f t="shared" si="12"/>
        <v>59.400000000000006</v>
      </c>
      <c r="H238" s="24" t="str">
        <f>'Data Analysis'!BK236 &amp; " | " &amp; 'Data Analysis'!BL236</f>
        <v>Standard Win | Free Plays A</v>
      </c>
      <c r="I238" s="23">
        <f t="shared" si="13"/>
        <v>74074.074074074073</v>
      </c>
      <c r="J238" s="49">
        <f t="shared" si="14"/>
        <v>6</v>
      </c>
      <c r="K238" s="75">
        <f t="shared" si="15"/>
        <v>3.7428486543860486E-5</v>
      </c>
    </row>
    <row r="239" spans="2:11" ht="13.95" customHeight="1">
      <c r="B239" s="19">
        <f>Tiers!B238</f>
        <v>235</v>
      </c>
      <c r="C239" s="20" t="str">
        <f>Tiers!X238</f>
        <v>main-5|freeplayA-13||||||||</v>
      </c>
      <c r="D239" s="83">
        <f>Tiers!C238</f>
        <v>8</v>
      </c>
      <c r="E239" s="121">
        <v>15</v>
      </c>
      <c r="F239" s="47">
        <v>2000000</v>
      </c>
      <c r="G239" s="6">
        <f t="shared" si="12"/>
        <v>120</v>
      </c>
      <c r="H239" s="24" t="str">
        <f>'Data Analysis'!BK237 &amp; " | " &amp; 'Data Analysis'!BL237</f>
        <v>Standard Win | Free Plays A</v>
      </c>
      <c r="I239" s="23">
        <f t="shared" si="13"/>
        <v>133333.33333333334</v>
      </c>
      <c r="J239" s="49">
        <f t="shared" si="14"/>
        <v>6</v>
      </c>
      <c r="K239" s="75">
        <f t="shared" si="15"/>
        <v>7.5613104129011074E-5</v>
      </c>
    </row>
    <row r="240" spans="2:11" ht="13.95" customHeight="1">
      <c r="B240" s="19">
        <f>Tiers!B239</f>
        <v>236</v>
      </c>
      <c r="C240" s="20" t="str">
        <f>Tiers!X239</f>
        <v>main-14|freeplayA-14||||||||</v>
      </c>
      <c r="D240" s="83">
        <f>Tiers!C239</f>
        <v>13</v>
      </c>
      <c r="E240" s="121">
        <v>5</v>
      </c>
      <c r="F240" s="47">
        <v>2000000</v>
      </c>
      <c r="G240" s="6">
        <f t="shared" si="12"/>
        <v>65</v>
      </c>
      <c r="H240" s="24" t="str">
        <f>'Data Analysis'!BK238 &amp; " | " &amp; 'Data Analysis'!BL238</f>
        <v>Big Win | Free Plays A</v>
      </c>
      <c r="I240" s="23">
        <f t="shared" si="13"/>
        <v>400000</v>
      </c>
      <c r="J240" s="49">
        <f t="shared" si="14"/>
        <v>6</v>
      </c>
      <c r="K240" s="75">
        <f t="shared" si="15"/>
        <v>4.0957098069881E-5</v>
      </c>
    </row>
    <row r="241" spans="2:11" ht="13.95" customHeight="1">
      <c r="B241" s="19">
        <f>Tiers!B240</f>
        <v>237</v>
      </c>
      <c r="C241" s="20" t="str">
        <f>Tiers!X240</f>
        <v>main-18|freeplayA-15||||||||</v>
      </c>
      <c r="D241" s="83">
        <f>Tiers!C240</f>
        <v>4</v>
      </c>
      <c r="E241" s="121">
        <v>10</v>
      </c>
      <c r="F241" s="47">
        <v>2000000</v>
      </c>
      <c r="G241" s="6">
        <f t="shared" si="12"/>
        <v>40</v>
      </c>
      <c r="H241" s="24" t="str">
        <f>'Data Analysis'!BK239 &amp; " | " &amp; 'Data Analysis'!BL239</f>
        <v>Standard Win | Free Plays A</v>
      </c>
      <c r="I241" s="23">
        <f t="shared" si="13"/>
        <v>200000</v>
      </c>
      <c r="J241" s="49">
        <f t="shared" si="14"/>
        <v>6</v>
      </c>
      <c r="K241" s="75">
        <f t="shared" si="15"/>
        <v>2.5204368043003691E-5</v>
      </c>
    </row>
    <row r="242" spans="2:11" ht="13.95" customHeight="1">
      <c r="B242" s="19">
        <f>Tiers!B241</f>
        <v>238</v>
      </c>
      <c r="C242" s="20" t="str">
        <f>Tiers!X241</f>
        <v>main-0|wild-11|freeplayA-14|||||||</v>
      </c>
      <c r="D242" s="83">
        <f>Tiers!C241</f>
        <v>5.0999999999999996</v>
      </c>
      <c r="E242" s="121">
        <v>10</v>
      </c>
      <c r="F242" s="47">
        <v>2000000</v>
      </c>
      <c r="G242" s="6">
        <f t="shared" si="12"/>
        <v>51</v>
      </c>
      <c r="H242" s="24" t="str">
        <f>'Data Analysis'!BK240 &amp; " | " &amp; 'Data Analysis'!BL240</f>
        <v>Standard Win | Free Plays A</v>
      </c>
      <c r="I242" s="23">
        <f t="shared" si="13"/>
        <v>200000</v>
      </c>
      <c r="J242" s="49">
        <f t="shared" si="14"/>
        <v>6</v>
      </c>
      <c r="K242" s="75">
        <f t="shared" si="15"/>
        <v>3.2135569254829706E-5</v>
      </c>
    </row>
    <row r="243" spans="2:11" ht="13.95" customHeight="1">
      <c r="B243" s="19">
        <f>Tiers!B242</f>
        <v>239</v>
      </c>
      <c r="C243" s="20" t="str">
        <f>Tiers!X242</f>
        <v>main-1|wild-12|freeplayA-17|||||||</v>
      </c>
      <c r="D243" s="83">
        <f>Tiers!C242</f>
        <v>6.2</v>
      </c>
      <c r="E243" s="121">
        <v>5</v>
      </c>
      <c r="F243" s="47">
        <v>2000000</v>
      </c>
      <c r="G243" s="6">
        <f t="shared" si="12"/>
        <v>31</v>
      </c>
      <c r="H243" s="24" t="str">
        <f>'Data Analysis'!BK241 &amp; " | " &amp; 'Data Analysis'!BL241</f>
        <v>Standard Win | Free Plays A</v>
      </c>
      <c r="I243" s="23">
        <f t="shared" si="13"/>
        <v>400000</v>
      </c>
      <c r="J243" s="49">
        <f t="shared" si="14"/>
        <v>6</v>
      </c>
      <c r="K243" s="75">
        <f t="shared" si="15"/>
        <v>1.953338523332786E-5</v>
      </c>
    </row>
    <row r="244" spans="2:11" ht="13.95" customHeight="1">
      <c r="B244" s="19">
        <f>Tiers!B243</f>
        <v>240</v>
      </c>
      <c r="C244" s="20" t="str">
        <f>Tiers!X243</f>
        <v>main-0|main-0|freeplayA-24|||||||</v>
      </c>
      <c r="D244" s="83">
        <f>Tiers!C243</f>
        <v>11.399999999999999</v>
      </c>
      <c r="E244" s="121">
        <v>20</v>
      </c>
      <c r="F244" s="47">
        <v>2000000</v>
      </c>
      <c r="G244" s="6">
        <f t="shared" si="12"/>
        <v>227.99999999999997</v>
      </c>
      <c r="H244" s="24" t="str">
        <f>'Data Analysis'!BK242 &amp; " | " &amp; 'Data Analysis'!BL242</f>
        <v>Big Win | Free Plays A</v>
      </c>
      <c r="I244" s="23">
        <f t="shared" si="13"/>
        <v>100000</v>
      </c>
      <c r="J244" s="49">
        <f t="shared" si="14"/>
        <v>6</v>
      </c>
      <c r="K244" s="75">
        <f t="shared" si="15"/>
        <v>1.4366489784512103E-4</v>
      </c>
    </row>
    <row r="245" spans="2:11" ht="13.95" customHeight="1">
      <c r="B245" s="19">
        <f>Tiers!B244</f>
        <v>241</v>
      </c>
      <c r="C245" s="20" t="str">
        <f>Tiers!X244</f>
        <v>main-0|main-1|freeplayA-25|||||||</v>
      </c>
      <c r="D245" s="83">
        <f>Tiers!C244</f>
        <v>5.3</v>
      </c>
      <c r="E245" s="121">
        <v>20</v>
      </c>
      <c r="F245" s="47">
        <v>2000000</v>
      </c>
      <c r="G245" s="6">
        <f t="shared" si="12"/>
        <v>106</v>
      </c>
      <c r="H245" s="24" t="str">
        <f>'Data Analysis'!BK243 &amp; " | " &amp; 'Data Analysis'!BL243</f>
        <v>Standard Win | Free Plays A</v>
      </c>
      <c r="I245" s="23">
        <f t="shared" si="13"/>
        <v>100000</v>
      </c>
      <c r="J245" s="49">
        <f t="shared" si="14"/>
        <v>6</v>
      </c>
      <c r="K245" s="75">
        <f t="shared" si="15"/>
        <v>6.679157531395978E-5</v>
      </c>
    </row>
    <row r="246" spans="2:11" ht="13.95" customHeight="1">
      <c r="B246" s="19">
        <f>Tiers!B245</f>
        <v>242</v>
      </c>
      <c r="C246" s="20" t="str">
        <f>Tiers!X245</f>
        <v>main-4|wild-15|freeplayA-26|||||||</v>
      </c>
      <c r="D246" s="83">
        <f>Tiers!C245</f>
        <v>10</v>
      </c>
      <c r="E246" s="121">
        <v>10</v>
      </c>
      <c r="F246" s="47">
        <v>2000000</v>
      </c>
      <c r="G246" s="6">
        <f t="shared" si="12"/>
        <v>100</v>
      </c>
      <c r="H246" s="24" t="str">
        <f>'Data Analysis'!BK244 &amp; " | " &amp; 'Data Analysis'!BL244</f>
        <v>Big Win | Free Plays A</v>
      </c>
      <c r="I246" s="23">
        <f t="shared" si="13"/>
        <v>200000</v>
      </c>
      <c r="J246" s="49">
        <f t="shared" si="14"/>
        <v>6</v>
      </c>
      <c r="K246" s="75">
        <f t="shared" si="15"/>
        <v>6.3010920107509235E-5</v>
      </c>
    </row>
    <row r="247" spans="2:11" ht="13.95" customHeight="1">
      <c r="B247" s="19">
        <f>Tiers!B246</f>
        <v>243</v>
      </c>
      <c r="C247" s="20" t="str">
        <f>Tiers!X246</f>
        <v>main-5|wild-16|freeplayA-6|||||||</v>
      </c>
      <c r="D247" s="83">
        <f>Tiers!C246</f>
        <v>15</v>
      </c>
      <c r="E247" s="121">
        <v>10</v>
      </c>
      <c r="F247" s="47">
        <v>2000000</v>
      </c>
      <c r="G247" s="6">
        <f t="shared" si="12"/>
        <v>150</v>
      </c>
      <c r="H247" s="24" t="str">
        <f>'Data Analysis'!BK245 &amp; " | " &amp; 'Data Analysis'!BL245</f>
        <v>Big Win | Free Plays A</v>
      </c>
      <c r="I247" s="23">
        <f t="shared" si="13"/>
        <v>200000</v>
      </c>
      <c r="J247" s="49">
        <f t="shared" si="14"/>
        <v>6</v>
      </c>
      <c r="K247" s="75">
        <f t="shared" si="15"/>
        <v>9.4516380161263852E-5</v>
      </c>
    </row>
    <row r="248" spans="2:11" ht="13.95" customHeight="1">
      <c r="B248" s="19">
        <f>Tiers!B247</f>
        <v>244</v>
      </c>
      <c r="C248" s="20" t="str">
        <f>Tiers!X247</f>
        <v>main-0|main-2|wild-11|freeplayA-0||||||</v>
      </c>
      <c r="D248" s="83">
        <f>Tiers!C247</f>
        <v>3.3</v>
      </c>
      <c r="E248" s="121">
        <v>50</v>
      </c>
      <c r="F248" s="47">
        <v>2000000</v>
      </c>
      <c r="G248" s="6">
        <f t="shared" si="12"/>
        <v>165</v>
      </c>
      <c r="H248" s="24" t="str">
        <f>'Data Analysis'!BK246 &amp; " | " &amp; 'Data Analysis'!BL246</f>
        <v>Standard Win | Free Plays A</v>
      </c>
      <c r="I248" s="23">
        <f t="shared" si="13"/>
        <v>40000</v>
      </c>
      <c r="J248" s="49">
        <f t="shared" si="14"/>
        <v>6</v>
      </c>
      <c r="K248" s="75">
        <f t="shared" si="15"/>
        <v>1.0396801817739023E-4</v>
      </c>
    </row>
    <row r="249" spans="2:11" ht="13.95" customHeight="1">
      <c r="B249" s="19">
        <f>Tiers!B248</f>
        <v>245</v>
      </c>
      <c r="C249" s="20" t="str">
        <f>Tiers!X248</f>
        <v>main-1|main-2|wild-12|freeplayA-1||||||</v>
      </c>
      <c r="D249" s="83">
        <f>Tiers!C248</f>
        <v>6.7</v>
      </c>
      <c r="E249" s="121">
        <v>50</v>
      </c>
      <c r="F249" s="47">
        <v>2000000</v>
      </c>
      <c r="G249" s="6">
        <f t="shared" si="12"/>
        <v>335</v>
      </c>
      <c r="H249" s="24" t="str">
        <f>'Data Analysis'!BK247 &amp; " | " &amp; 'Data Analysis'!BL247</f>
        <v>Standard Win | Free Plays A</v>
      </c>
      <c r="I249" s="23">
        <f t="shared" si="13"/>
        <v>40000</v>
      </c>
      <c r="J249" s="49">
        <f t="shared" si="14"/>
        <v>6</v>
      </c>
      <c r="K249" s="75">
        <f t="shared" si="15"/>
        <v>2.1108658236015593E-4</v>
      </c>
    </row>
    <row r="250" spans="2:11" ht="13.95" customHeight="1">
      <c r="B250" s="19">
        <f>Tiers!B249</f>
        <v>246</v>
      </c>
      <c r="C250" s="20" t="str">
        <f>Tiers!X249</f>
        <v>main-3|main-0|wild-13|freeplayA-2||||||</v>
      </c>
      <c r="D250" s="83">
        <f>Tiers!C249</f>
        <v>6.6</v>
      </c>
      <c r="E250" s="121">
        <v>100</v>
      </c>
      <c r="F250" s="47">
        <v>2000000</v>
      </c>
      <c r="G250" s="6">
        <f t="shared" si="12"/>
        <v>660</v>
      </c>
      <c r="H250" s="24" t="str">
        <f>'Data Analysis'!BK248 &amp; " | " &amp; 'Data Analysis'!BL248</f>
        <v>Standard Win | Free Plays A</v>
      </c>
      <c r="I250" s="23">
        <f t="shared" si="13"/>
        <v>20000</v>
      </c>
      <c r="J250" s="49">
        <f t="shared" si="14"/>
        <v>6</v>
      </c>
      <c r="K250" s="75">
        <f t="shared" si="15"/>
        <v>4.1587207270956094E-4</v>
      </c>
    </row>
    <row r="251" spans="2:11" ht="13.95" customHeight="1">
      <c r="B251" s="19">
        <f>Tiers!B250</f>
        <v>247</v>
      </c>
      <c r="C251" s="20" t="str">
        <f>Tiers!X250</f>
        <v>main-18|main-19|main-5|freeplayA-3||||||</v>
      </c>
      <c r="D251" s="83">
        <f>Tiers!C250</f>
        <v>13.1</v>
      </c>
      <c r="E251" s="121">
        <v>100</v>
      </c>
      <c r="F251" s="47">
        <v>2000000</v>
      </c>
      <c r="G251" s="6">
        <f t="shared" si="12"/>
        <v>1310</v>
      </c>
      <c r="H251" s="24" t="str">
        <f>'Data Analysis'!BK249 &amp; " | " &amp; 'Data Analysis'!BL249</f>
        <v>Big Win | Free Plays A</v>
      </c>
      <c r="I251" s="23">
        <f t="shared" si="13"/>
        <v>20000</v>
      </c>
      <c r="J251" s="49">
        <f t="shared" si="14"/>
        <v>6</v>
      </c>
      <c r="K251" s="75">
        <f t="shared" si="15"/>
        <v>8.2544305340837097E-4</v>
      </c>
    </row>
    <row r="252" spans="2:11" ht="13.95" customHeight="1">
      <c r="B252" s="19">
        <f>Tiers!B251</f>
        <v>248</v>
      </c>
      <c r="C252" s="20" t="str">
        <f>Tiers!X251</f>
        <v>main-3|main-20|main-4|freeplayA-4||||||</v>
      </c>
      <c r="D252" s="83">
        <f>Tiers!C251</f>
        <v>13.7</v>
      </c>
      <c r="E252" s="121">
        <v>100</v>
      </c>
      <c r="F252" s="47">
        <v>2000000</v>
      </c>
      <c r="G252" s="6">
        <f t="shared" si="12"/>
        <v>1370</v>
      </c>
      <c r="H252" s="24" t="str">
        <f>'Data Analysis'!BK250 &amp; " | " &amp; 'Data Analysis'!BL250</f>
        <v>Big Win | Free Plays A</v>
      </c>
      <c r="I252" s="23">
        <f t="shared" si="13"/>
        <v>20000</v>
      </c>
      <c r="J252" s="49">
        <f t="shared" si="14"/>
        <v>6</v>
      </c>
      <c r="K252" s="75">
        <f t="shared" si="15"/>
        <v>8.6324960547287644E-4</v>
      </c>
    </row>
    <row r="253" spans="2:11" ht="13.95" customHeight="1">
      <c r="B253" s="19">
        <f>Tiers!B252</f>
        <v>249</v>
      </c>
      <c r="C253" s="20" t="str">
        <f>Tiers!X252</f>
        <v>main-5|main-25|wild-13|freeplayA-5||||||</v>
      </c>
      <c r="D253" s="83">
        <f>Tiers!C252</f>
        <v>20</v>
      </c>
      <c r="E253" s="121">
        <v>20</v>
      </c>
      <c r="F253" s="47">
        <v>2000000</v>
      </c>
      <c r="G253" s="6">
        <f t="shared" si="12"/>
        <v>400</v>
      </c>
      <c r="H253" s="24" t="str">
        <f>'Data Analysis'!BK251 &amp; " | " &amp; 'Data Analysis'!BL251</f>
        <v>Big Win | Free Plays A</v>
      </c>
      <c r="I253" s="23">
        <f t="shared" si="13"/>
        <v>100000</v>
      </c>
      <c r="J253" s="49">
        <f t="shared" si="14"/>
        <v>6</v>
      </c>
      <c r="K253" s="75">
        <f t="shared" si="15"/>
        <v>2.5204368043003694E-4</v>
      </c>
    </row>
    <row r="254" spans="2:11" ht="13.95" customHeight="1">
      <c r="B254" s="19">
        <f>Tiers!B253</f>
        <v>250</v>
      </c>
      <c r="C254" s="20" t="str">
        <f>Tiers!X253</f>
        <v>main-5|main-26|wild-14|freeplayA-24||||||</v>
      </c>
      <c r="D254" s="83">
        <f>Tiers!C253</f>
        <v>28.2</v>
      </c>
      <c r="E254" s="121">
        <v>10</v>
      </c>
      <c r="F254" s="47">
        <v>2000000</v>
      </c>
      <c r="G254" s="6">
        <f t="shared" si="12"/>
        <v>282</v>
      </c>
      <c r="H254" s="24" t="str">
        <f>'Data Analysis'!BK252 &amp; " | " &amp; 'Data Analysis'!BL252</f>
        <v>Big Win | Free Plays A</v>
      </c>
      <c r="I254" s="23">
        <f t="shared" si="13"/>
        <v>200000</v>
      </c>
      <c r="J254" s="49">
        <f t="shared" si="14"/>
        <v>6</v>
      </c>
      <c r="K254" s="75">
        <f t="shared" si="15"/>
        <v>1.7769079470317603E-4</v>
      </c>
    </row>
    <row r="255" spans="2:11" ht="13.95" customHeight="1">
      <c r="B255" s="19">
        <f>Tiers!B254</f>
        <v>251</v>
      </c>
      <c r="C255" s="20" t="str">
        <f>Tiers!X254</f>
        <v>main-3|main-5|main-19|freeplayA-8||||||</v>
      </c>
      <c r="D255" s="83">
        <f>Tiers!C254</f>
        <v>11.2</v>
      </c>
      <c r="E255" s="121">
        <v>20</v>
      </c>
      <c r="F255" s="47">
        <v>2000000</v>
      </c>
      <c r="G255" s="6">
        <f t="shared" si="12"/>
        <v>224</v>
      </c>
      <c r="H255" s="24" t="str">
        <f>'Data Analysis'!BK253 &amp; " | " &amp; 'Data Analysis'!BL253</f>
        <v>Big Win | Free Plays A</v>
      </c>
      <c r="I255" s="23">
        <f t="shared" si="13"/>
        <v>100000</v>
      </c>
      <c r="J255" s="49">
        <f t="shared" si="14"/>
        <v>6</v>
      </c>
      <c r="K255" s="75">
        <f t="shared" si="15"/>
        <v>1.4114446104082068E-4</v>
      </c>
    </row>
    <row r="256" spans="2:11" ht="13.95" customHeight="1">
      <c r="B256" s="19">
        <f>Tiers!B255</f>
        <v>252</v>
      </c>
      <c r="C256" s="20" t="str">
        <f>Tiers!X255</f>
        <v>main-5|main-26|main-1|freeplayA-9||||||</v>
      </c>
      <c r="D256" s="83">
        <f>Tiers!C255</f>
        <v>18.2</v>
      </c>
      <c r="E256" s="121">
        <v>20</v>
      </c>
      <c r="F256" s="47">
        <v>2000000</v>
      </c>
      <c r="G256" s="6">
        <f t="shared" si="12"/>
        <v>364</v>
      </c>
      <c r="H256" s="24" t="str">
        <f>'Data Analysis'!BK254 &amp; " | " &amp; 'Data Analysis'!BL254</f>
        <v>Big Win | Free Plays A</v>
      </c>
      <c r="I256" s="23">
        <f t="shared" si="13"/>
        <v>100000</v>
      </c>
      <c r="J256" s="49">
        <f t="shared" si="14"/>
        <v>6</v>
      </c>
      <c r="K256" s="75">
        <f t="shared" si="15"/>
        <v>2.2935974919133362E-4</v>
      </c>
    </row>
    <row r="257" spans="2:11" ht="13.95" customHeight="1">
      <c r="B257" s="19">
        <f>Tiers!B256</f>
        <v>253</v>
      </c>
      <c r="C257" s="20" t="str">
        <f>Tiers!X256</f>
        <v>main-5|main-25|main-19|freeplayA-10||||||</v>
      </c>
      <c r="D257" s="83">
        <f>Tiers!C256</f>
        <v>20</v>
      </c>
      <c r="E257" s="121">
        <v>20</v>
      </c>
      <c r="F257" s="47">
        <v>2000000</v>
      </c>
      <c r="G257" s="6">
        <f t="shared" si="12"/>
        <v>400</v>
      </c>
      <c r="H257" s="24" t="str">
        <f>'Data Analysis'!BK255 &amp; " | " &amp; 'Data Analysis'!BL255</f>
        <v>Big Win | Free Plays A</v>
      </c>
      <c r="I257" s="23">
        <f t="shared" si="13"/>
        <v>100000</v>
      </c>
      <c r="J257" s="49">
        <f t="shared" si="14"/>
        <v>6</v>
      </c>
      <c r="K257" s="75">
        <f t="shared" si="15"/>
        <v>2.5204368043003694E-4</v>
      </c>
    </row>
    <row r="258" spans="2:11" ht="13.95" customHeight="1">
      <c r="B258" s="19">
        <f>Tiers!B257</f>
        <v>254</v>
      </c>
      <c r="C258" s="20" t="str">
        <f>Tiers!X257</f>
        <v>main-4|main-19|main-5|freeplayA-11||||||</v>
      </c>
      <c r="D258" s="83">
        <f>Tiers!C257</f>
        <v>15</v>
      </c>
      <c r="E258" s="121">
        <v>20</v>
      </c>
      <c r="F258" s="47">
        <v>2000000</v>
      </c>
      <c r="G258" s="6">
        <f t="shared" si="12"/>
        <v>300</v>
      </c>
      <c r="H258" s="24" t="str">
        <f>'Data Analysis'!BK256 &amp; " | " &amp; 'Data Analysis'!BL256</f>
        <v>Big Win | Free Plays A</v>
      </c>
      <c r="I258" s="23">
        <f t="shared" si="13"/>
        <v>100000</v>
      </c>
      <c r="J258" s="49">
        <f t="shared" si="14"/>
        <v>6</v>
      </c>
      <c r="K258" s="75">
        <f t="shared" si="15"/>
        <v>1.890327603225277E-4</v>
      </c>
    </row>
    <row r="259" spans="2:11" ht="13.95" customHeight="1">
      <c r="B259" s="19">
        <f>Tiers!B258</f>
        <v>255</v>
      </c>
      <c r="C259" s="20" t="str">
        <f>Tiers!X258</f>
        <v>main-0|main-27|main-2|freeplayA-12||||||</v>
      </c>
      <c r="D259" s="83">
        <f>Tiers!C258</f>
        <v>20.8</v>
      </c>
      <c r="E259" s="121">
        <v>20</v>
      </c>
      <c r="F259" s="47">
        <v>2000000</v>
      </c>
      <c r="G259" s="6">
        <f t="shared" si="12"/>
        <v>416</v>
      </c>
      <c r="H259" s="24" t="str">
        <f>'Data Analysis'!BK257 &amp; " | " &amp; 'Data Analysis'!BL257</f>
        <v>Big Win | Free Plays A</v>
      </c>
      <c r="I259" s="23">
        <f t="shared" si="13"/>
        <v>100000</v>
      </c>
      <c r="J259" s="49">
        <f t="shared" si="14"/>
        <v>6</v>
      </c>
      <c r="K259" s="75">
        <f t="shared" si="15"/>
        <v>2.6212542764723841E-4</v>
      </c>
    </row>
    <row r="260" spans="2:11" ht="13.95" customHeight="1">
      <c r="B260" s="19">
        <f>Tiers!B259</f>
        <v>256</v>
      </c>
      <c r="C260" s="20" t="str">
        <f>Tiers!X259</f>
        <v>main-4|main-14|main-15|freeplayA-13||||||</v>
      </c>
      <c r="D260" s="83">
        <f>Tiers!C259</f>
        <v>35</v>
      </c>
      <c r="E260" s="121">
        <v>2</v>
      </c>
      <c r="F260" s="47">
        <v>2000000</v>
      </c>
      <c r="G260" s="6">
        <f t="shared" ref="G260:G323" si="16">E260*D260</f>
        <v>70</v>
      </c>
      <c r="H260" s="24" t="str">
        <f>'Data Analysis'!BK258 &amp; " | " &amp; 'Data Analysis'!BL258</f>
        <v>Big Win | Free Plays A</v>
      </c>
      <c r="I260" s="23">
        <f t="shared" ref="I260:I323" si="17">F260/E260</f>
        <v>1000000</v>
      </c>
      <c r="J260" s="49">
        <f t="shared" ref="J260:J323" si="18">ROUND(IF(D260=0,($N$17*0.3),((((N$17*0.7)-(N$19*N$18)))*(E260/$N$14)+$N$19)),0)</f>
        <v>6</v>
      </c>
      <c r="K260" s="75">
        <f t="shared" si="15"/>
        <v>4.4107644075256463E-5</v>
      </c>
    </row>
    <row r="261" spans="2:11" ht="13.95" customHeight="1">
      <c r="B261" s="19">
        <f>Tiers!B260</f>
        <v>257</v>
      </c>
      <c r="C261" s="20" t="str">
        <f>Tiers!X260</f>
        <v>main-4|main-28|main-3|freeplayA-14||||||</v>
      </c>
      <c r="D261" s="83">
        <f>Tiers!C260</f>
        <v>106</v>
      </c>
      <c r="E261" s="121">
        <v>2</v>
      </c>
      <c r="F261" s="47">
        <v>2000000</v>
      </c>
      <c r="G261" s="6">
        <f t="shared" si="16"/>
        <v>212</v>
      </c>
      <c r="H261" s="24" t="str">
        <f>'Data Analysis'!BK259 &amp; " | " &amp; 'Data Analysis'!BL259</f>
        <v>Huge Win | Free Plays A</v>
      </c>
      <c r="I261" s="23">
        <f t="shared" si="17"/>
        <v>1000000</v>
      </c>
      <c r="J261" s="49">
        <f t="shared" si="18"/>
        <v>6</v>
      </c>
      <c r="K261" s="75">
        <f t="shared" ref="K261:K324" si="19">G261/N$9</f>
        <v>1.3358315062791956E-4</v>
      </c>
    </row>
    <row r="262" spans="2:11" ht="13.95" customHeight="1">
      <c r="B262" s="19">
        <f>Tiers!B261</f>
        <v>258</v>
      </c>
      <c r="C262" s="20" t="str">
        <f>Tiers!X261</f>
        <v>main-1|main-25|main-18|wild-2|freeplayA-5|||||</v>
      </c>
      <c r="D262" s="83">
        <f>Tiers!C261</f>
        <v>13.7</v>
      </c>
      <c r="E262" s="121">
        <v>100</v>
      </c>
      <c r="F262" s="47">
        <v>2000000</v>
      </c>
      <c r="G262" s="6">
        <f t="shared" si="16"/>
        <v>1370</v>
      </c>
      <c r="H262" s="24" t="str">
        <f>'Data Analysis'!BK260 &amp; " | " &amp; 'Data Analysis'!BL260</f>
        <v>Big Win | Free Plays A</v>
      </c>
      <c r="I262" s="23">
        <f t="shared" si="17"/>
        <v>20000</v>
      </c>
      <c r="J262" s="49">
        <f t="shared" si="18"/>
        <v>6</v>
      </c>
      <c r="K262" s="75">
        <f t="shared" si="19"/>
        <v>8.6324960547287644E-4</v>
      </c>
    </row>
    <row r="263" spans="2:11" ht="13.95" customHeight="1">
      <c r="B263" s="19">
        <f>Tiers!B262</f>
        <v>259</v>
      </c>
      <c r="C263" s="20" t="str">
        <f>Tiers!X262</f>
        <v>main-2|main-19|main-3|wild-3|freeplayA-24|||||</v>
      </c>
      <c r="D263" s="83">
        <f>Tiers!C262</f>
        <v>18.7</v>
      </c>
      <c r="E263" s="121">
        <v>10</v>
      </c>
      <c r="F263" s="47">
        <v>2000000</v>
      </c>
      <c r="G263" s="6">
        <f t="shared" si="16"/>
        <v>187</v>
      </c>
      <c r="H263" s="24" t="str">
        <f>'Data Analysis'!BK261 &amp; " | " &amp; 'Data Analysis'!BL261</f>
        <v>Big Win | Free Plays A</v>
      </c>
      <c r="I263" s="23">
        <f t="shared" si="17"/>
        <v>200000</v>
      </c>
      <c r="J263" s="49">
        <f t="shared" si="18"/>
        <v>6</v>
      </c>
      <c r="K263" s="75">
        <f t="shared" si="19"/>
        <v>1.1783042060104226E-4</v>
      </c>
    </row>
    <row r="264" spans="2:11" ht="13.95" customHeight="1">
      <c r="B264" s="19">
        <f>Tiers!B263</f>
        <v>260</v>
      </c>
      <c r="C264" s="20" t="str">
        <f>Tiers!X263</f>
        <v>main-4|main-0|main-1|main-18|freeplayA-8|||||</v>
      </c>
      <c r="D264" s="83">
        <f>Tiers!C263</f>
        <v>5.5000000000000009</v>
      </c>
      <c r="E264" s="121">
        <v>100</v>
      </c>
      <c r="F264" s="47">
        <v>2000000</v>
      </c>
      <c r="G264" s="6">
        <f t="shared" si="16"/>
        <v>550.00000000000011</v>
      </c>
      <c r="H264" s="24" t="str">
        <f>'Data Analysis'!BK262 &amp; " | " &amp; 'Data Analysis'!BL262</f>
        <v>Standard Win | Free Plays A</v>
      </c>
      <c r="I264" s="23">
        <f t="shared" si="17"/>
        <v>20000</v>
      </c>
      <c r="J264" s="49">
        <f t="shared" si="18"/>
        <v>6</v>
      </c>
      <c r="K264" s="75">
        <f t="shared" si="19"/>
        <v>3.4656006059130085E-4</v>
      </c>
    </row>
    <row r="265" spans="2:11" ht="13.95" customHeight="1">
      <c r="B265" s="19">
        <f>Tiers!B264</f>
        <v>261</v>
      </c>
      <c r="C265" s="20" t="str">
        <f>Tiers!X264</f>
        <v>main-0|main-4|main-0|main-19|freeplayA-9|||||</v>
      </c>
      <c r="D265" s="83">
        <f>Tiers!C264</f>
        <v>10.199999999999999</v>
      </c>
      <c r="E265" s="121">
        <v>10</v>
      </c>
      <c r="F265" s="47">
        <v>2000000</v>
      </c>
      <c r="G265" s="6">
        <f t="shared" si="16"/>
        <v>102</v>
      </c>
      <c r="H265" s="24" t="str">
        <f>'Data Analysis'!BK263 &amp; " | " &amp; 'Data Analysis'!BL263</f>
        <v>Big Win | Free Plays A</v>
      </c>
      <c r="I265" s="23">
        <f t="shared" si="17"/>
        <v>200000</v>
      </c>
      <c r="J265" s="49">
        <f t="shared" si="18"/>
        <v>6</v>
      </c>
      <c r="K265" s="75">
        <f t="shared" si="19"/>
        <v>6.4271138509659412E-5</v>
      </c>
    </row>
    <row r="266" spans="2:11" ht="13.95" customHeight="1">
      <c r="B266" s="19">
        <f>Tiers!B265</f>
        <v>262</v>
      </c>
      <c r="C266" s="20" t="str">
        <f>Tiers!X265</f>
        <v>main-0|main-13|main-26|main-18|freeplayA-10|||||</v>
      </c>
      <c r="D266" s="83">
        <f>Tiers!C265</f>
        <v>23.1</v>
      </c>
      <c r="E266" s="121">
        <v>10</v>
      </c>
      <c r="F266" s="47">
        <v>2000000</v>
      </c>
      <c r="G266" s="6">
        <f t="shared" si="16"/>
        <v>231</v>
      </c>
      <c r="H266" s="24" t="str">
        <f>'Data Analysis'!BK264 &amp; " | " &amp; 'Data Analysis'!BL264</f>
        <v>Big Win | Free Plays A</v>
      </c>
      <c r="I266" s="23">
        <f t="shared" si="17"/>
        <v>200000</v>
      </c>
      <c r="J266" s="49">
        <f t="shared" si="18"/>
        <v>6</v>
      </c>
      <c r="K266" s="75">
        <f t="shared" si="19"/>
        <v>1.4555522544834634E-4</v>
      </c>
    </row>
    <row r="267" spans="2:11" ht="13.95" customHeight="1">
      <c r="B267" s="19">
        <f>Tiers!B266</f>
        <v>263</v>
      </c>
      <c r="C267" s="20" t="str">
        <f>Tiers!X266</f>
        <v>main-5|main-13|main-25|main-0|freeplayA-11|||||</v>
      </c>
      <c r="D267" s="83">
        <f>Tiers!C266</f>
        <v>18.100000000000001</v>
      </c>
      <c r="E267" s="121">
        <v>10</v>
      </c>
      <c r="F267" s="47">
        <v>2000000</v>
      </c>
      <c r="G267" s="6">
        <f t="shared" si="16"/>
        <v>181</v>
      </c>
      <c r="H267" s="24" t="str">
        <f>'Data Analysis'!BK265 &amp; " | " &amp; 'Data Analysis'!BL265</f>
        <v>Big Win | Free Plays A</v>
      </c>
      <c r="I267" s="23">
        <f t="shared" si="17"/>
        <v>200000</v>
      </c>
      <c r="J267" s="49">
        <f t="shared" si="18"/>
        <v>6</v>
      </c>
      <c r="K267" s="75">
        <f t="shared" si="19"/>
        <v>1.1404976539459171E-4</v>
      </c>
    </row>
    <row r="268" spans="2:11" ht="13.95" customHeight="1">
      <c r="B268" s="19">
        <f>Tiers!B267</f>
        <v>264</v>
      </c>
      <c r="C268" s="20" t="str">
        <f>Tiers!X267</f>
        <v>main-0|main-27|main-2|wild-3|freeplayA-25|||||</v>
      </c>
      <c r="D268" s="83">
        <f>Tiers!C267</f>
        <v>26.6</v>
      </c>
      <c r="E268" s="121">
        <v>5</v>
      </c>
      <c r="F268" s="47">
        <v>2000000</v>
      </c>
      <c r="G268" s="6">
        <f t="shared" si="16"/>
        <v>133</v>
      </c>
      <c r="H268" s="24" t="str">
        <f>'Data Analysis'!BK266 &amp; " | " &amp; 'Data Analysis'!BL266</f>
        <v>Big Win | Free Plays A</v>
      </c>
      <c r="I268" s="23">
        <f t="shared" si="17"/>
        <v>400000</v>
      </c>
      <c r="J268" s="49">
        <f t="shared" si="18"/>
        <v>6</v>
      </c>
      <c r="K268" s="75">
        <f t="shared" si="19"/>
        <v>8.3804523742987279E-5</v>
      </c>
    </row>
    <row r="269" spans="2:11" ht="13.95" customHeight="1">
      <c r="B269" s="19">
        <f>Tiers!B268</f>
        <v>265</v>
      </c>
      <c r="C269" s="20" t="str">
        <f>Tiers!X268</f>
        <v>main-4|main-14|main-15|wild-4|freeplayA-26|||||</v>
      </c>
      <c r="D269" s="83">
        <f>Tiers!C268</f>
        <v>39</v>
      </c>
      <c r="E269" s="121">
        <v>2</v>
      </c>
      <c r="F269" s="47">
        <v>2000000</v>
      </c>
      <c r="G269" s="6">
        <f t="shared" si="16"/>
        <v>78</v>
      </c>
      <c r="H269" s="24" t="str">
        <f>'Data Analysis'!BK267 &amp; " | " &amp; 'Data Analysis'!BL267</f>
        <v>Big Win | Free Plays A</v>
      </c>
      <c r="I269" s="23">
        <f t="shared" si="17"/>
        <v>1000000</v>
      </c>
      <c r="J269" s="49">
        <f t="shared" si="18"/>
        <v>6</v>
      </c>
      <c r="K269" s="75">
        <f t="shared" si="19"/>
        <v>4.9148517683857199E-5</v>
      </c>
    </row>
    <row r="270" spans="2:11" ht="13.95" customHeight="1">
      <c r="B270" s="19">
        <f>Tiers!B269</f>
        <v>266</v>
      </c>
      <c r="C270" s="20" t="str">
        <f>Tiers!X269</f>
        <v>main-26|bonusA-3||||||||</v>
      </c>
      <c r="D270" s="83">
        <f>Tiers!C269</f>
        <v>20</v>
      </c>
      <c r="E270" s="121">
        <v>5</v>
      </c>
      <c r="F270" s="47">
        <v>2000000</v>
      </c>
      <c r="G270" s="6">
        <f t="shared" si="16"/>
        <v>100</v>
      </c>
      <c r="H270" s="24" t="str">
        <f>'Data Analysis'!BK268 &amp; " | " &amp; 'Data Analysis'!BL268</f>
        <v>Big Win | Bonus Game A</v>
      </c>
      <c r="I270" s="23">
        <f t="shared" si="17"/>
        <v>400000</v>
      </c>
      <c r="J270" s="49">
        <f t="shared" si="18"/>
        <v>6</v>
      </c>
      <c r="K270" s="75">
        <f t="shared" si="19"/>
        <v>6.3010920107509235E-5</v>
      </c>
    </row>
    <row r="271" spans="2:11" ht="13.95" customHeight="1">
      <c r="B271" s="19">
        <f>Tiers!B270</f>
        <v>267</v>
      </c>
      <c r="C271" s="20" t="str">
        <f>Tiers!X270</f>
        <v>main-25|bonusA-4||||||||</v>
      </c>
      <c r="D271" s="83">
        <f>Tiers!C270</f>
        <v>17</v>
      </c>
      <c r="E271" s="121">
        <v>5</v>
      </c>
      <c r="F271" s="47">
        <v>2000000</v>
      </c>
      <c r="G271" s="6">
        <f t="shared" si="16"/>
        <v>85</v>
      </c>
      <c r="H271" s="24" t="str">
        <f>'Data Analysis'!BK269 &amp; " | " &amp; 'Data Analysis'!BL269</f>
        <v>Big Win | Bonus Game A</v>
      </c>
      <c r="I271" s="23">
        <f t="shared" si="17"/>
        <v>400000</v>
      </c>
      <c r="J271" s="49">
        <f t="shared" si="18"/>
        <v>6</v>
      </c>
      <c r="K271" s="75">
        <f t="shared" si="19"/>
        <v>5.3559282091382846E-5</v>
      </c>
    </row>
    <row r="272" spans="2:11" ht="13.95" customHeight="1">
      <c r="B272" s="19">
        <f>Tiers!B271</f>
        <v>268</v>
      </c>
      <c r="C272" s="20" t="str">
        <f>Tiers!X271</f>
        <v>main-19|bonusA-5||||||||</v>
      </c>
      <c r="D272" s="83">
        <f>Tiers!C271</f>
        <v>20</v>
      </c>
      <c r="E272" s="121">
        <v>10</v>
      </c>
      <c r="F272" s="47">
        <v>2000000</v>
      </c>
      <c r="G272" s="6">
        <f t="shared" si="16"/>
        <v>200</v>
      </c>
      <c r="H272" s="24" t="str">
        <f>'Data Analysis'!BK270 &amp; " | " &amp; 'Data Analysis'!BL270</f>
        <v>Big Win | Bonus Game A</v>
      </c>
      <c r="I272" s="23">
        <f t="shared" si="17"/>
        <v>200000</v>
      </c>
      <c r="J272" s="49">
        <f t="shared" si="18"/>
        <v>6</v>
      </c>
      <c r="K272" s="75">
        <f t="shared" si="19"/>
        <v>1.2602184021501847E-4</v>
      </c>
    </row>
    <row r="273" spans="2:11" ht="13.95" customHeight="1">
      <c r="B273" s="19">
        <f>Tiers!B272</f>
        <v>269</v>
      </c>
      <c r="C273" s="20" t="str">
        <f>Tiers!X272</f>
        <v>main-27|bonusA-4||||||||</v>
      </c>
      <c r="D273" s="83">
        <f>Tiers!C272</f>
        <v>32</v>
      </c>
      <c r="E273" s="121">
        <v>5</v>
      </c>
      <c r="F273" s="47">
        <v>2000000</v>
      </c>
      <c r="G273" s="6">
        <f t="shared" si="16"/>
        <v>160</v>
      </c>
      <c r="H273" s="24" t="str">
        <f>'Data Analysis'!BK271 &amp; " | " &amp; 'Data Analysis'!BL271</f>
        <v>Big Win | Bonus Game A</v>
      </c>
      <c r="I273" s="23">
        <f t="shared" si="17"/>
        <v>400000</v>
      </c>
      <c r="J273" s="49">
        <f t="shared" si="18"/>
        <v>6</v>
      </c>
      <c r="K273" s="75">
        <f t="shared" si="19"/>
        <v>1.0081747217201476E-4</v>
      </c>
    </row>
    <row r="274" spans="2:11" ht="13.95" customHeight="1">
      <c r="B274" s="19">
        <f>Tiers!B273</f>
        <v>270</v>
      </c>
      <c r="C274" s="20" t="str">
        <f>Tiers!X273</f>
        <v>main-14|bonusA-4||||||||</v>
      </c>
      <c r="D274" s="83">
        <f>Tiers!C273</f>
        <v>22</v>
      </c>
      <c r="E274" s="121">
        <v>12</v>
      </c>
      <c r="F274" s="47">
        <v>2000000</v>
      </c>
      <c r="G274" s="6">
        <f t="shared" si="16"/>
        <v>264</v>
      </c>
      <c r="H274" s="24" t="str">
        <f>'Data Analysis'!BK272 &amp; " | " &amp; 'Data Analysis'!BL272</f>
        <v>Big Win | Bonus Game A</v>
      </c>
      <c r="I274" s="23">
        <f t="shared" si="17"/>
        <v>166666.66666666666</v>
      </c>
      <c r="J274" s="49">
        <f t="shared" si="18"/>
        <v>6</v>
      </c>
      <c r="K274" s="75">
        <f t="shared" si="19"/>
        <v>1.6634882908382438E-4</v>
      </c>
    </row>
    <row r="275" spans="2:11" ht="13.95" customHeight="1">
      <c r="B275" s="19">
        <f>Tiers!B274</f>
        <v>271</v>
      </c>
      <c r="C275" s="20" t="str">
        <f>Tiers!X274</f>
        <v>main-28|bonusA-5||||||||</v>
      </c>
      <c r="D275" s="83">
        <f>Tiers!C274</f>
        <v>115</v>
      </c>
      <c r="E275" s="121">
        <v>5</v>
      </c>
      <c r="F275" s="47">
        <v>2000000</v>
      </c>
      <c r="G275" s="6">
        <f t="shared" si="16"/>
        <v>575</v>
      </c>
      <c r="H275" s="24" t="str">
        <f>'Data Analysis'!BK273 &amp; " | " &amp; 'Data Analysis'!BL273</f>
        <v>Huge Win | Bonus Game A</v>
      </c>
      <c r="I275" s="23">
        <f t="shared" si="17"/>
        <v>400000</v>
      </c>
      <c r="J275" s="49">
        <f t="shared" si="18"/>
        <v>6</v>
      </c>
      <c r="K275" s="75">
        <f t="shared" si="19"/>
        <v>3.6231279061817807E-4</v>
      </c>
    </row>
    <row r="276" spans="2:11" ht="13.95" customHeight="1">
      <c r="B276" s="19">
        <f>Tiers!B275</f>
        <v>272</v>
      </c>
      <c r="C276" s="20" t="str">
        <f>Tiers!X275</f>
        <v>main-25|bonusA-6||||||||</v>
      </c>
      <c r="D276" s="83">
        <f>Tiers!C275</f>
        <v>25</v>
      </c>
      <c r="E276" s="121">
        <v>5</v>
      </c>
      <c r="F276" s="47">
        <v>2000000</v>
      </c>
      <c r="G276" s="6">
        <f t="shared" si="16"/>
        <v>125</v>
      </c>
      <c r="H276" s="24" t="str">
        <f>'Data Analysis'!BK274 &amp; " | " &amp; 'Data Analysis'!BL274</f>
        <v>Big Win | Bonus Game A</v>
      </c>
      <c r="I276" s="23">
        <f t="shared" si="17"/>
        <v>400000</v>
      </c>
      <c r="J276" s="49">
        <f t="shared" si="18"/>
        <v>6</v>
      </c>
      <c r="K276" s="75">
        <f t="shared" si="19"/>
        <v>7.8763650134386543E-5</v>
      </c>
    </row>
    <row r="277" spans="2:11" ht="13.95" customHeight="1">
      <c r="B277" s="19">
        <f>Tiers!B276</f>
        <v>273</v>
      </c>
      <c r="C277" s="20" t="str">
        <f>Tiers!X276</f>
        <v>main-13|bonusA-3||||||||</v>
      </c>
      <c r="D277" s="83">
        <f>Tiers!C276</f>
        <v>15</v>
      </c>
      <c r="E277" s="121">
        <v>13</v>
      </c>
      <c r="F277" s="47">
        <v>2000000</v>
      </c>
      <c r="G277" s="6">
        <f t="shared" si="16"/>
        <v>195</v>
      </c>
      <c r="H277" s="24" t="str">
        <f>'Data Analysis'!BK275 &amp; " | " &amp; 'Data Analysis'!BL275</f>
        <v>Big Win | Bonus Game A</v>
      </c>
      <c r="I277" s="23">
        <f t="shared" si="17"/>
        <v>153846.15384615384</v>
      </c>
      <c r="J277" s="49">
        <f t="shared" si="18"/>
        <v>6</v>
      </c>
      <c r="K277" s="75">
        <f t="shared" si="19"/>
        <v>1.2287129420964301E-4</v>
      </c>
    </row>
    <row r="278" spans="2:11" ht="13.95" customHeight="1">
      <c r="B278" s="19">
        <f>Tiers!B277</f>
        <v>274</v>
      </c>
      <c r="C278" s="20" t="str">
        <f>Tiers!X277</f>
        <v>main-0|wild-12|bonusA-5|||||||</v>
      </c>
      <c r="D278" s="83">
        <f>Tiers!C277</f>
        <v>18.100000000000001</v>
      </c>
      <c r="E278" s="121">
        <v>7</v>
      </c>
      <c r="F278" s="47">
        <v>2000000</v>
      </c>
      <c r="G278" s="6">
        <f t="shared" si="16"/>
        <v>126.70000000000002</v>
      </c>
      <c r="H278" s="24" t="str">
        <f>'Data Analysis'!BK276 &amp; " | " &amp; 'Data Analysis'!BL276</f>
        <v>Big Win | Bonus Game A</v>
      </c>
      <c r="I278" s="23">
        <f t="shared" si="17"/>
        <v>285714.28571428574</v>
      </c>
      <c r="J278" s="49">
        <f t="shared" si="18"/>
        <v>6</v>
      </c>
      <c r="K278" s="75">
        <f t="shared" si="19"/>
        <v>7.9834835776214209E-5</v>
      </c>
    </row>
    <row r="279" spans="2:11" ht="13.95" customHeight="1">
      <c r="B279" s="19">
        <f>Tiers!B278</f>
        <v>275</v>
      </c>
      <c r="C279" s="20" t="str">
        <f>Tiers!X278</f>
        <v>main-4|wild-13|bonusA-6|||||||</v>
      </c>
      <c r="D279" s="83">
        <f>Tiers!C278</f>
        <v>27</v>
      </c>
      <c r="E279" s="121">
        <v>20</v>
      </c>
      <c r="F279" s="47">
        <v>2000000</v>
      </c>
      <c r="G279" s="6">
        <f t="shared" si="16"/>
        <v>540</v>
      </c>
      <c r="H279" s="24" t="str">
        <f>'Data Analysis'!BK277 &amp; " | " &amp; 'Data Analysis'!BL277</f>
        <v>Big Win | Bonus Game A</v>
      </c>
      <c r="I279" s="23">
        <f t="shared" si="17"/>
        <v>100000</v>
      </c>
      <c r="J279" s="49">
        <f t="shared" si="18"/>
        <v>6</v>
      </c>
      <c r="K279" s="75">
        <f t="shared" si="19"/>
        <v>3.4025896858054988E-4</v>
      </c>
    </row>
    <row r="280" spans="2:11" ht="13.95" customHeight="1">
      <c r="B280" s="19">
        <f>Tiers!B279</f>
        <v>276</v>
      </c>
      <c r="C280" s="20" t="str">
        <f>Tiers!X279</f>
        <v>main-3|main-20|bonusA-4|||||||</v>
      </c>
      <c r="D280" s="83">
        <f>Tiers!C279</f>
        <v>23</v>
      </c>
      <c r="E280" s="121">
        <v>9</v>
      </c>
      <c r="F280" s="47">
        <v>2000000</v>
      </c>
      <c r="G280" s="6">
        <f t="shared" si="16"/>
        <v>207</v>
      </c>
      <c r="H280" s="24" t="str">
        <f>'Data Analysis'!BK278 &amp; " | " &amp; 'Data Analysis'!BL278</f>
        <v>Big Win | Bonus Game A</v>
      </c>
      <c r="I280" s="23">
        <f t="shared" si="17"/>
        <v>222222.22222222222</v>
      </c>
      <c r="J280" s="49">
        <f t="shared" si="18"/>
        <v>6</v>
      </c>
      <c r="K280" s="75">
        <f t="shared" si="19"/>
        <v>1.304326046225441E-4</v>
      </c>
    </row>
    <row r="281" spans="2:11">
      <c r="B281" s="19">
        <f>Tiers!B280</f>
        <v>277</v>
      </c>
      <c r="C281" s="20" t="str">
        <f>Tiers!X280</f>
        <v>main-4|main-5|bonusA-4|||||||</v>
      </c>
      <c r="D281" s="83">
        <f>Tiers!C280</f>
        <v>19</v>
      </c>
      <c r="E281" s="121">
        <v>9</v>
      </c>
      <c r="F281" s="47">
        <v>2000000</v>
      </c>
      <c r="G281" s="6">
        <f t="shared" si="16"/>
        <v>171</v>
      </c>
      <c r="H281" s="24" t="str">
        <f>'Data Analysis'!BK279 &amp; " | " &amp; 'Data Analysis'!BL279</f>
        <v>Big Win | Bonus Game A</v>
      </c>
      <c r="I281" s="23">
        <f t="shared" si="17"/>
        <v>222222.22222222222</v>
      </c>
      <c r="J281" s="49">
        <f t="shared" si="18"/>
        <v>6</v>
      </c>
      <c r="K281" s="75">
        <f t="shared" si="19"/>
        <v>1.0774867338384079E-4</v>
      </c>
    </row>
    <row r="282" spans="2:11" ht="13.95" customHeight="1">
      <c r="B282" s="19">
        <f>Tiers!B281</f>
        <v>278</v>
      </c>
      <c r="C282" s="20" t="str">
        <f>Tiers!X281</f>
        <v>main-4|wild-9|bonusA-5|||||||</v>
      </c>
      <c r="D282" s="83">
        <f>Tiers!C281</f>
        <v>57</v>
      </c>
      <c r="E282" s="121">
        <v>2</v>
      </c>
      <c r="F282" s="47">
        <v>2000000</v>
      </c>
      <c r="G282" s="6">
        <f t="shared" si="16"/>
        <v>114</v>
      </c>
      <c r="H282" s="24" t="str">
        <f>'Data Analysis'!BK280 &amp; " | " &amp; 'Data Analysis'!BL280</f>
        <v>Huge Win | Bonus Game A</v>
      </c>
      <c r="I282" s="23">
        <f t="shared" si="17"/>
        <v>1000000</v>
      </c>
      <c r="J282" s="49">
        <f t="shared" si="18"/>
        <v>6</v>
      </c>
      <c r="K282" s="75">
        <f t="shared" si="19"/>
        <v>7.1832448922560529E-5</v>
      </c>
    </row>
    <row r="283" spans="2:11">
      <c r="B283" s="19">
        <f>Tiers!B282</f>
        <v>279</v>
      </c>
      <c r="C283" s="20" t="str">
        <f>Tiers!X282</f>
        <v>main-5|wild-2|bonusA-6|||||||</v>
      </c>
      <c r="D283" s="83">
        <f>Tiers!C282</f>
        <v>25.5</v>
      </c>
      <c r="E283" s="121">
        <v>10</v>
      </c>
      <c r="F283" s="47">
        <v>2000000</v>
      </c>
      <c r="G283" s="6">
        <f t="shared" si="16"/>
        <v>255</v>
      </c>
      <c r="H283" s="24" t="str">
        <f>'Data Analysis'!BK281 &amp; " | " &amp; 'Data Analysis'!BL281</f>
        <v>Big Win | Bonus Game A</v>
      </c>
      <c r="I283" s="23">
        <f t="shared" si="17"/>
        <v>200000</v>
      </c>
      <c r="J283" s="49">
        <f t="shared" si="18"/>
        <v>6</v>
      </c>
      <c r="K283" s="75">
        <f t="shared" si="19"/>
        <v>1.6067784627414854E-4</v>
      </c>
    </row>
    <row r="284" spans="2:11" ht="13.95" customHeight="1">
      <c r="B284" s="19">
        <f>Tiers!B283</f>
        <v>280</v>
      </c>
      <c r="C284" s="20" t="str">
        <f>Tiers!X283</f>
        <v>main-3|main-0|wild-13|bonusA-2||||||</v>
      </c>
      <c r="D284" s="83">
        <f>Tiers!C283</f>
        <v>14.1</v>
      </c>
      <c r="E284" s="121">
        <v>10</v>
      </c>
      <c r="F284" s="47">
        <v>2000000</v>
      </c>
      <c r="G284" s="6">
        <f t="shared" si="16"/>
        <v>141</v>
      </c>
      <c r="H284" s="24" t="str">
        <f>'Data Analysis'!BK282 &amp; " | " &amp; 'Data Analysis'!BL282</f>
        <v>Big Win | Bonus Game A</v>
      </c>
      <c r="I284" s="23">
        <f t="shared" si="17"/>
        <v>200000</v>
      </c>
      <c r="J284" s="49">
        <f t="shared" si="18"/>
        <v>6</v>
      </c>
      <c r="K284" s="75">
        <f t="shared" si="19"/>
        <v>8.8845397351588015E-5</v>
      </c>
    </row>
    <row r="285" spans="2:11">
      <c r="B285" s="19">
        <f>Tiers!B284</f>
        <v>281</v>
      </c>
      <c r="C285" s="20" t="str">
        <f>Tiers!X284</f>
        <v>main-3|main-1|wild-15|bonusA-5||||||</v>
      </c>
      <c r="D285" s="83">
        <f>Tiers!C284</f>
        <v>19.2</v>
      </c>
      <c r="E285" s="121">
        <v>10</v>
      </c>
      <c r="F285" s="47">
        <v>2000000</v>
      </c>
      <c r="G285" s="6">
        <f t="shared" si="16"/>
        <v>192</v>
      </c>
      <c r="H285" s="24" t="str">
        <f>'Data Analysis'!BK283 &amp; " | " &amp; 'Data Analysis'!BL283</f>
        <v>Big Win | Bonus Game A</v>
      </c>
      <c r="I285" s="23">
        <f t="shared" si="17"/>
        <v>200000</v>
      </c>
      <c r="J285" s="49">
        <f t="shared" si="18"/>
        <v>6</v>
      </c>
      <c r="K285" s="75">
        <f t="shared" si="19"/>
        <v>1.2098096660641772E-4</v>
      </c>
    </row>
    <row r="286" spans="2:11" ht="13.95" customHeight="1">
      <c r="B286" s="19">
        <f>Tiers!B285</f>
        <v>282</v>
      </c>
      <c r="C286" s="20" t="str">
        <f>Tiers!X285</f>
        <v>main-1|main-5|wild-16|bonusA-6||||||</v>
      </c>
      <c r="D286" s="83">
        <f>Tiers!C285</f>
        <v>30.2</v>
      </c>
      <c r="E286" s="121">
        <v>9</v>
      </c>
      <c r="F286" s="47">
        <v>2000000</v>
      </c>
      <c r="G286" s="6">
        <f t="shared" si="16"/>
        <v>271.8</v>
      </c>
      <c r="H286" s="24" t="str">
        <f>'Data Analysis'!BK284 &amp; " | " &amp; 'Data Analysis'!BL284</f>
        <v>Big Win | Bonus Game A</v>
      </c>
      <c r="I286" s="23">
        <f t="shared" si="17"/>
        <v>222222.22222222222</v>
      </c>
      <c r="J286" s="49">
        <f t="shared" si="18"/>
        <v>6</v>
      </c>
      <c r="K286" s="75">
        <f t="shared" si="19"/>
        <v>1.7126368085221009E-4</v>
      </c>
    </row>
    <row r="287" spans="2:11">
      <c r="B287" s="19">
        <f>Tiers!B286</f>
        <v>283</v>
      </c>
      <c r="C287" s="20" t="str">
        <f>Tiers!X286</f>
        <v>main-4|main-19|wild-17|bonusA-4||||||</v>
      </c>
      <c r="D287" s="83">
        <f>Tiers!C286</f>
        <v>29</v>
      </c>
      <c r="E287" s="121">
        <v>13</v>
      </c>
      <c r="F287" s="47">
        <v>2000000</v>
      </c>
      <c r="G287" s="6">
        <f t="shared" si="16"/>
        <v>377</v>
      </c>
      <c r="H287" s="24" t="str">
        <f>'Data Analysis'!BK285 &amp; " | " &amp; 'Data Analysis'!BL285</f>
        <v>Big Win | Bonus Game A</v>
      </c>
      <c r="I287" s="23">
        <f t="shared" si="17"/>
        <v>153846.15384615384</v>
      </c>
      <c r="J287" s="49">
        <f t="shared" si="18"/>
        <v>6</v>
      </c>
      <c r="K287" s="75">
        <f t="shared" si="19"/>
        <v>2.3755116880530981E-4</v>
      </c>
    </row>
    <row r="288" spans="2:11" ht="13.95" customHeight="1">
      <c r="B288" s="19">
        <f>Tiers!B287</f>
        <v>284</v>
      </c>
      <c r="C288" s="20" t="str">
        <f>Tiers!X287</f>
        <v>main-3|main-20|main-4|bonusA-4||||||</v>
      </c>
      <c r="D288" s="83">
        <f>Tiers!C287</f>
        <v>25</v>
      </c>
      <c r="E288" s="121">
        <v>9</v>
      </c>
      <c r="F288" s="47">
        <v>2000000</v>
      </c>
      <c r="G288" s="6">
        <f t="shared" si="16"/>
        <v>225</v>
      </c>
      <c r="H288" s="24" t="str">
        <f>'Data Analysis'!BK286 &amp; " | " &amp; 'Data Analysis'!BL286</f>
        <v>Big Win | Bonus Game A</v>
      </c>
      <c r="I288" s="23">
        <f t="shared" si="17"/>
        <v>222222.22222222222</v>
      </c>
      <c r="J288" s="49">
        <f t="shared" si="18"/>
        <v>6</v>
      </c>
      <c r="K288" s="75">
        <f t="shared" si="19"/>
        <v>1.4177457024189578E-4</v>
      </c>
    </row>
    <row r="289" spans="2:11">
      <c r="B289" s="19">
        <f>Tiers!B288</f>
        <v>285</v>
      </c>
      <c r="C289" s="20" t="str">
        <f>Tiers!X288</f>
        <v>main-3|main-20|wild-11|bonusA-5||||||</v>
      </c>
      <c r="D289" s="83">
        <f>Tiers!C288</f>
        <v>28</v>
      </c>
      <c r="E289" s="121">
        <v>9</v>
      </c>
      <c r="F289" s="47">
        <v>2000000</v>
      </c>
      <c r="G289" s="6">
        <f t="shared" si="16"/>
        <v>252</v>
      </c>
      <c r="H289" s="24" t="str">
        <f>'Data Analysis'!BK287 &amp; " | " &amp; 'Data Analysis'!BL287</f>
        <v>Big Win | Bonus Game A</v>
      </c>
      <c r="I289" s="23">
        <f t="shared" si="17"/>
        <v>222222.22222222222</v>
      </c>
      <c r="J289" s="49">
        <f t="shared" si="18"/>
        <v>6</v>
      </c>
      <c r="K289" s="75">
        <f t="shared" si="19"/>
        <v>1.5878751867092326E-4</v>
      </c>
    </row>
    <row r="290" spans="2:11" ht="13.95" customHeight="1">
      <c r="B290" s="19">
        <f>Tiers!B289</f>
        <v>286</v>
      </c>
      <c r="C290" s="20" t="str">
        <f>Tiers!X289</f>
        <v>main-4|main-5|wild-12|bonusA-5||||||</v>
      </c>
      <c r="D290" s="83">
        <f>Tiers!C289</f>
        <v>25</v>
      </c>
      <c r="E290" s="121">
        <v>9</v>
      </c>
      <c r="F290" s="47">
        <v>2000000</v>
      </c>
      <c r="G290" s="6">
        <f t="shared" si="16"/>
        <v>225</v>
      </c>
      <c r="H290" s="24" t="str">
        <f>'Data Analysis'!BK288 &amp; " | " &amp; 'Data Analysis'!BL288</f>
        <v>Big Win | Bonus Game A</v>
      </c>
      <c r="I290" s="23">
        <f t="shared" si="17"/>
        <v>222222.22222222222</v>
      </c>
      <c r="J290" s="49">
        <f t="shared" si="18"/>
        <v>6</v>
      </c>
      <c r="K290" s="75">
        <f t="shared" si="19"/>
        <v>1.4177457024189578E-4</v>
      </c>
    </row>
    <row r="291" spans="2:11">
      <c r="B291" s="19">
        <f>Tiers!B290</f>
        <v>287</v>
      </c>
      <c r="C291" s="20" t="str">
        <f>Tiers!X290</f>
        <v>main-5|main-25|wild-13|bonusA-3||||||</v>
      </c>
      <c r="D291" s="83">
        <f>Tiers!C290</f>
        <v>25</v>
      </c>
      <c r="E291" s="121">
        <v>9</v>
      </c>
      <c r="F291" s="47">
        <v>2000000</v>
      </c>
      <c r="G291" s="6">
        <f t="shared" si="16"/>
        <v>225</v>
      </c>
      <c r="H291" s="24" t="str">
        <f>'Data Analysis'!BK289 &amp; " | " &amp; 'Data Analysis'!BL289</f>
        <v>Big Win | Bonus Game A</v>
      </c>
      <c r="I291" s="23">
        <f t="shared" si="17"/>
        <v>222222.22222222222</v>
      </c>
      <c r="J291" s="49">
        <f t="shared" si="18"/>
        <v>6</v>
      </c>
      <c r="K291" s="75">
        <f t="shared" si="19"/>
        <v>1.4177457024189578E-4</v>
      </c>
    </row>
    <row r="292" spans="2:11" ht="13.95" customHeight="1">
      <c r="B292" s="19">
        <f>Tiers!B291</f>
        <v>288</v>
      </c>
      <c r="C292" s="20" t="str">
        <f>Tiers!X291</f>
        <v>main-5|main-26|wild-14|bonusA-4||||||</v>
      </c>
      <c r="D292" s="83">
        <f>Tiers!C291</f>
        <v>29</v>
      </c>
      <c r="E292" s="121">
        <v>12</v>
      </c>
      <c r="F292" s="47">
        <v>2000000</v>
      </c>
      <c r="G292" s="6">
        <f t="shared" si="16"/>
        <v>348</v>
      </c>
      <c r="H292" s="24" t="str">
        <f>'Data Analysis'!BK290 &amp; " | " &amp; 'Data Analysis'!BL290</f>
        <v>Big Win | Bonus Game A</v>
      </c>
      <c r="I292" s="23">
        <f t="shared" si="17"/>
        <v>166666.66666666666</v>
      </c>
      <c r="J292" s="49">
        <f t="shared" si="18"/>
        <v>6</v>
      </c>
      <c r="K292" s="75">
        <f t="shared" si="19"/>
        <v>2.1927800197413212E-4</v>
      </c>
    </row>
    <row r="293" spans="2:11">
      <c r="B293" s="19">
        <f>Tiers!B292</f>
        <v>289</v>
      </c>
      <c r="C293" s="20" t="str">
        <f>Tiers!X292</f>
        <v>main-4|main-0|main-20|bonusA-5||||||</v>
      </c>
      <c r="D293" s="83">
        <f>Tiers!C292</f>
        <v>27.1</v>
      </c>
      <c r="E293" s="121">
        <v>7</v>
      </c>
      <c r="F293" s="47">
        <v>2000000</v>
      </c>
      <c r="G293" s="6">
        <f t="shared" si="16"/>
        <v>189.70000000000002</v>
      </c>
      <c r="H293" s="24" t="str">
        <f>'Data Analysis'!BK291 &amp; " | " &amp; 'Data Analysis'!BL291</f>
        <v>Big Win | Bonus Game A</v>
      </c>
      <c r="I293" s="23">
        <f t="shared" si="17"/>
        <v>285714.28571428574</v>
      </c>
      <c r="J293" s="49">
        <f t="shared" si="18"/>
        <v>6</v>
      </c>
      <c r="K293" s="75">
        <f t="shared" si="19"/>
        <v>1.1953171544394502E-4</v>
      </c>
    </row>
    <row r="294" spans="2:11" ht="13.95" customHeight="1">
      <c r="B294" s="19">
        <f>Tiers!B293</f>
        <v>290</v>
      </c>
      <c r="C294" s="20" t="str">
        <f>Tiers!X293</f>
        <v>main-11|main-25|main-5|bonusA-4||||||</v>
      </c>
      <c r="D294" s="83">
        <f>Tiers!C293</f>
        <v>24</v>
      </c>
      <c r="E294" s="121">
        <v>9</v>
      </c>
      <c r="F294" s="47">
        <v>2000000</v>
      </c>
      <c r="G294" s="6">
        <f t="shared" si="16"/>
        <v>216</v>
      </c>
      <c r="H294" s="24" t="str">
        <f>'Data Analysis'!BK292 &amp; " | " &amp; 'Data Analysis'!BL292</f>
        <v>Big Win | Bonus Game A</v>
      </c>
      <c r="I294" s="23">
        <f t="shared" si="17"/>
        <v>222222.22222222222</v>
      </c>
      <c r="J294" s="49">
        <f t="shared" si="18"/>
        <v>6</v>
      </c>
      <c r="K294" s="75">
        <f t="shared" si="19"/>
        <v>1.3610358743221994E-4</v>
      </c>
    </row>
    <row r="295" spans="2:11">
      <c r="B295" s="19">
        <f>Tiers!B294</f>
        <v>291</v>
      </c>
      <c r="C295" s="20" t="str">
        <f>Tiers!X294</f>
        <v>main-18|main-19|main-5|bonusA-3||||||</v>
      </c>
      <c r="D295" s="83">
        <f>Tiers!C294</f>
        <v>23</v>
      </c>
      <c r="E295" s="121">
        <v>23</v>
      </c>
      <c r="F295" s="47">
        <v>2000000</v>
      </c>
      <c r="G295" s="6">
        <f t="shared" si="16"/>
        <v>529</v>
      </c>
      <c r="H295" s="24" t="str">
        <f>'Data Analysis'!BK293 &amp; " | " &amp; 'Data Analysis'!BL293</f>
        <v>Big Win | Bonus Game A</v>
      </c>
      <c r="I295" s="23">
        <f t="shared" si="17"/>
        <v>86956.521739130432</v>
      </c>
      <c r="J295" s="49">
        <f t="shared" si="18"/>
        <v>6</v>
      </c>
      <c r="K295" s="75">
        <f t="shared" si="19"/>
        <v>3.3332776736872381E-4</v>
      </c>
    </row>
    <row r="296" spans="2:11" ht="13.95" customHeight="1">
      <c r="B296" s="19">
        <f>Tiers!B295</f>
        <v>292</v>
      </c>
      <c r="C296" s="20" t="str">
        <f>Tiers!X295</f>
        <v>main-2|main-19|main-3|bonusA-4||||||</v>
      </c>
      <c r="D296" s="83">
        <f>Tiers!C295</f>
        <v>18.5</v>
      </c>
      <c r="E296" s="121">
        <v>20</v>
      </c>
      <c r="F296" s="47">
        <v>2000000</v>
      </c>
      <c r="G296" s="6">
        <f t="shared" si="16"/>
        <v>370</v>
      </c>
      <c r="H296" s="24" t="str">
        <f>'Data Analysis'!BK294 &amp; " | " &amp; 'Data Analysis'!BL294</f>
        <v>Big Win | Bonus Game A</v>
      </c>
      <c r="I296" s="23">
        <f t="shared" si="17"/>
        <v>100000</v>
      </c>
      <c r="J296" s="49">
        <f t="shared" si="18"/>
        <v>6</v>
      </c>
      <c r="K296" s="75">
        <f t="shared" si="19"/>
        <v>2.3314040439778415E-4</v>
      </c>
    </row>
    <row r="297" spans="2:11">
      <c r="B297" s="19">
        <f>Tiers!B296</f>
        <v>293</v>
      </c>
      <c r="C297" s="20" t="str">
        <f>Tiers!X296</f>
        <v>main-18|main-19|main-5|wild-13|bonusA-3|||||</v>
      </c>
      <c r="D297" s="83">
        <f>Tiers!C296</f>
        <v>28</v>
      </c>
      <c r="E297" s="121">
        <v>20</v>
      </c>
      <c r="F297" s="47">
        <v>2000000</v>
      </c>
      <c r="G297" s="6">
        <f t="shared" si="16"/>
        <v>560</v>
      </c>
      <c r="H297" s="24" t="str">
        <f>'Data Analysis'!BK295 &amp; " | " &amp; 'Data Analysis'!BL295</f>
        <v>Big Win | Bonus Game A</v>
      </c>
      <c r="I297" s="23">
        <f t="shared" si="17"/>
        <v>100000</v>
      </c>
      <c r="J297" s="49">
        <f t="shared" si="18"/>
        <v>6</v>
      </c>
      <c r="K297" s="75">
        <f t="shared" si="19"/>
        <v>3.528611526020517E-4</v>
      </c>
    </row>
    <row r="298" spans="2:11" ht="13.95" customHeight="1">
      <c r="B298" s="19">
        <f>Tiers!B297</f>
        <v>294</v>
      </c>
      <c r="C298" s="20" t="str">
        <f>Tiers!X297</f>
        <v>main-3|main-20|main-4|wild-15|bonusA-4|||||</v>
      </c>
      <c r="D298" s="83">
        <f>Tiers!C297</f>
        <v>28</v>
      </c>
      <c r="E298" s="121">
        <v>5</v>
      </c>
      <c r="F298" s="47">
        <v>2000000</v>
      </c>
      <c r="G298" s="6">
        <f t="shared" si="16"/>
        <v>140</v>
      </c>
      <c r="H298" s="24" t="str">
        <f>'Data Analysis'!BK296 &amp; " | " &amp; 'Data Analysis'!BL296</f>
        <v>Big Win | Bonus Game A</v>
      </c>
      <c r="I298" s="23">
        <f t="shared" si="17"/>
        <v>400000</v>
      </c>
      <c r="J298" s="49">
        <f t="shared" si="18"/>
        <v>6</v>
      </c>
      <c r="K298" s="75">
        <f t="shared" si="19"/>
        <v>8.8215288150512926E-5</v>
      </c>
    </row>
    <row r="299" spans="2:11">
      <c r="B299" s="19">
        <f>Tiers!B298</f>
        <v>295</v>
      </c>
      <c r="C299" s="20" t="str">
        <f>Tiers!X298</f>
        <v>main-4|main-0|main-1|main-18|bonusA-5|||||</v>
      </c>
      <c r="D299" s="83">
        <f>Tiers!C298</f>
        <v>20.3</v>
      </c>
      <c r="E299" s="121">
        <v>8</v>
      </c>
      <c r="F299" s="47">
        <v>2000000</v>
      </c>
      <c r="G299" s="6">
        <f t="shared" si="16"/>
        <v>162.4</v>
      </c>
      <c r="H299" s="24" t="str">
        <f>'Data Analysis'!BK297 &amp; " | " &amp; 'Data Analysis'!BL297</f>
        <v>Big Win | Bonus Game A</v>
      </c>
      <c r="I299" s="23">
        <f t="shared" si="17"/>
        <v>250000</v>
      </c>
      <c r="J299" s="49">
        <f t="shared" si="18"/>
        <v>6</v>
      </c>
      <c r="K299" s="75">
        <f t="shared" si="19"/>
        <v>1.0232973425459499E-4</v>
      </c>
    </row>
    <row r="300" spans="2:11" ht="13.95" customHeight="1">
      <c r="B300" s="19">
        <f>Tiers!B299</f>
        <v>296</v>
      </c>
      <c r="C300" s="20" t="str">
        <f>Tiers!X299</f>
        <v>main-0|main-4|main-0|main-19|bonusA-4|||||</v>
      </c>
      <c r="D300" s="83">
        <f>Tiers!C299</f>
        <v>19.2</v>
      </c>
      <c r="E300" s="121">
        <v>8</v>
      </c>
      <c r="F300" s="47">
        <v>2000000</v>
      </c>
      <c r="G300" s="6">
        <f t="shared" si="16"/>
        <v>153.6</v>
      </c>
      <c r="H300" s="24" t="str">
        <f>'Data Analysis'!BK298 &amp; " | " &amp; 'Data Analysis'!BL298</f>
        <v>Big Win | Bonus Game A</v>
      </c>
      <c r="I300" s="23">
        <f t="shared" si="17"/>
        <v>250000</v>
      </c>
      <c r="J300" s="49">
        <f t="shared" si="18"/>
        <v>6</v>
      </c>
      <c r="K300" s="75">
        <f t="shared" si="19"/>
        <v>9.6784773285134182E-5</v>
      </c>
    </row>
    <row r="301" spans="2:11">
      <c r="B301" s="19">
        <f>Tiers!B300</f>
        <v>297</v>
      </c>
      <c r="C301" s="20" t="str">
        <f>Tiers!X300</f>
        <v>main-0|main-13|main-26|main-18|bonusA-4|||||</v>
      </c>
      <c r="D301" s="83">
        <f>Tiers!C300</f>
        <v>30.1</v>
      </c>
      <c r="E301" s="121">
        <v>9</v>
      </c>
      <c r="F301" s="47">
        <v>2000000</v>
      </c>
      <c r="G301" s="6">
        <f t="shared" si="16"/>
        <v>270.90000000000003</v>
      </c>
      <c r="H301" s="24" t="str">
        <f>'Data Analysis'!BK299 &amp; " | " &amp; 'Data Analysis'!BL299</f>
        <v>Big Win | Bonus Game A</v>
      </c>
      <c r="I301" s="23">
        <f t="shared" si="17"/>
        <v>222222.22222222222</v>
      </c>
      <c r="J301" s="49">
        <f t="shared" si="18"/>
        <v>6</v>
      </c>
      <c r="K301" s="75">
        <f t="shared" si="19"/>
        <v>1.7069658257124254E-4</v>
      </c>
    </row>
    <row r="302" spans="2:11" ht="13.95" customHeight="1">
      <c r="B302" s="19">
        <f>Tiers!B301</f>
        <v>298</v>
      </c>
      <c r="C302" s="20" t="str">
        <f>Tiers!X301</f>
        <v>main-5|main-13|main-25|main-0|bonusA-5|||||</v>
      </c>
      <c r="D302" s="83">
        <f>Tiers!C301</f>
        <v>30.1</v>
      </c>
      <c r="E302" s="121">
        <v>9</v>
      </c>
      <c r="F302" s="47">
        <v>2000000</v>
      </c>
      <c r="G302" s="6">
        <f t="shared" si="16"/>
        <v>270.90000000000003</v>
      </c>
      <c r="H302" s="24" t="str">
        <f>'Data Analysis'!BK300 &amp; " | " &amp; 'Data Analysis'!BL300</f>
        <v>Big Win | Bonus Game A</v>
      </c>
      <c r="I302" s="23">
        <f t="shared" si="17"/>
        <v>222222.22222222222</v>
      </c>
      <c r="J302" s="49">
        <f t="shared" si="18"/>
        <v>6</v>
      </c>
      <c r="K302" s="75">
        <f t="shared" si="19"/>
        <v>1.7069658257124254E-4</v>
      </c>
    </row>
    <row r="303" spans="2:11" ht="13.95" customHeight="1">
      <c r="B303" s="19">
        <f>Tiers!B302</f>
        <v>299</v>
      </c>
      <c r="C303" s="20" t="str">
        <f>Tiers!X302</f>
        <v>main-5|main-25|main-19|wild-11|bonusA-6|||||</v>
      </c>
      <c r="D303" s="83">
        <f>Tiers!C302</f>
        <v>37</v>
      </c>
      <c r="E303" s="121">
        <v>10</v>
      </c>
      <c r="F303" s="47">
        <v>2000000</v>
      </c>
      <c r="G303" s="6">
        <f t="shared" si="16"/>
        <v>370</v>
      </c>
      <c r="H303" s="24" t="str">
        <f>'Data Analysis'!BK301 &amp; " | " &amp; 'Data Analysis'!BL301</f>
        <v>Big Win | Bonus Game A</v>
      </c>
      <c r="I303" s="23">
        <f t="shared" si="17"/>
        <v>200000</v>
      </c>
      <c r="J303" s="49">
        <f t="shared" si="18"/>
        <v>6</v>
      </c>
      <c r="K303" s="75">
        <f t="shared" si="19"/>
        <v>2.3314040439778415E-4</v>
      </c>
    </row>
    <row r="304" spans="2:11" ht="13.95" customHeight="1">
      <c r="B304" s="19">
        <f>Tiers!B303</f>
        <v>300</v>
      </c>
      <c r="C304" s="20" t="str">
        <f>Tiers!X303</f>
        <v>main-4|main-19|main-5|wild-2|bonusA-3|||||</v>
      </c>
      <c r="D304" s="83">
        <f>Tiers!C303</f>
        <v>22.5</v>
      </c>
      <c r="E304" s="121">
        <v>10</v>
      </c>
      <c r="F304" s="47">
        <v>2000000</v>
      </c>
      <c r="G304" s="6">
        <f t="shared" si="16"/>
        <v>225</v>
      </c>
      <c r="H304" s="24" t="str">
        <f>'Data Analysis'!BK302 &amp; " | " &amp; 'Data Analysis'!BL302</f>
        <v>Big Win | Bonus Game A</v>
      </c>
      <c r="I304" s="23">
        <f t="shared" si="17"/>
        <v>200000</v>
      </c>
      <c r="J304" s="49">
        <f t="shared" si="18"/>
        <v>6</v>
      </c>
      <c r="K304" s="75">
        <f t="shared" si="19"/>
        <v>1.4177457024189578E-4</v>
      </c>
    </row>
    <row r="305" spans="2:11" ht="13.95" customHeight="1">
      <c r="B305" s="19">
        <f>Tiers!B304</f>
        <v>301</v>
      </c>
      <c r="C305" s="20" t="str">
        <f>Tiers!X304</f>
        <v>main-26|bonusB-3||||||||</v>
      </c>
      <c r="D305" s="83">
        <f>Tiers!C304</f>
        <v>20</v>
      </c>
      <c r="E305" s="121">
        <v>5</v>
      </c>
      <c r="F305" s="47">
        <v>2000000</v>
      </c>
      <c r="G305" s="6">
        <f t="shared" si="16"/>
        <v>100</v>
      </c>
      <c r="H305" s="24" t="str">
        <f>'Data Analysis'!BK303 &amp; " | " &amp; 'Data Analysis'!BL303</f>
        <v>Big Win | Bonus Game B</v>
      </c>
      <c r="I305" s="23">
        <f t="shared" si="17"/>
        <v>400000</v>
      </c>
      <c r="J305" s="49">
        <f t="shared" si="18"/>
        <v>6</v>
      </c>
      <c r="K305" s="75">
        <f t="shared" si="19"/>
        <v>6.3010920107509235E-5</v>
      </c>
    </row>
    <row r="306" spans="2:11" ht="13.95" customHeight="1">
      <c r="B306" s="19">
        <f>Tiers!B305</f>
        <v>302</v>
      </c>
      <c r="C306" s="20" t="str">
        <f>Tiers!X305</f>
        <v>main-25|bonusB-4||||||||</v>
      </c>
      <c r="D306" s="83">
        <f>Tiers!C305</f>
        <v>17</v>
      </c>
      <c r="E306" s="121">
        <v>5</v>
      </c>
      <c r="F306" s="47">
        <v>2000000</v>
      </c>
      <c r="G306" s="6">
        <f t="shared" si="16"/>
        <v>85</v>
      </c>
      <c r="H306" s="24" t="str">
        <f>'Data Analysis'!BK304 &amp; " | " &amp; 'Data Analysis'!BL304</f>
        <v>Big Win | Bonus Game B</v>
      </c>
      <c r="I306" s="23">
        <f t="shared" si="17"/>
        <v>400000</v>
      </c>
      <c r="J306" s="49">
        <f t="shared" si="18"/>
        <v>6</v>
      </c>
      <c r="K306" s="75">
        <f t="shared" si="19"/>
        <v>5.3559282091382846E-5</v>
      </c>
    </row>
    <row r="307" spans="2:11" ht="13.95" customHeight="1">
      <c r="B307" s="19">
        <f>Tiers!B306</f>
        <v>303</v>
      </c>
      <c r="C307" s="20" t="str">
        <f>Tiers!X306</f>
        <v>main-19|bonusB-5||||||||</v>
      </c>
      <c r="D307" s="83">
        <f>Tiers!C306</f>
        <v>20</v>
      </c>
      <c r="E307" s="121">
        <v>10</v>
      </c>
      <c r="F307" s="47">
        <v>2000000</v>
      </c>
      <c r="G307" s="6">
        <f t="shared" si="16"/>
        <v>200</v>
      </c>
      <c r="H307" s="24" t="str">
        <f>'Data Analysis'!BK305 &amp; " | " &amp; 'Data Analysis'!BL305</f>
        <v>Big Win | Bonus Game B</v>
      </c>
      <c r="I307" s="23">
        <f t="shared" si="17"/>
        <v>200000</v>
      </c>
      <c r="J307" s="49">
        <f t="shared" si="18"/>
        <v>6</v>
      </c>
      <c r="K307" s="75">
        <f t="shared" si="19"/>
        <v>1.2602184021501847E-4</v>
      </c>
    </row>
    <row r="308" spans="2:11" ht="13.95" customHeight="1">
      <c r="B308" s="19">
        <f>Tiers!B307</f>
        <v>304</v>
      </c>
      <c r="C308" s="20" t="str">
        <f>Tiers!X307</f>
        <v>main-27|bonusB-4||||||||</v>
      </c>
      <c r="D308" s="83">
        <f>Tiers!C307</f>
        <v>32</v>
      </c>
      <c r="E308" s="121">
        <v>5</v>
      </c>
      <c r="F308" s="47">
        <v>2000000</v>
      </c>
      <c r="G308" s="6">
        <f t="shared" si="16"/>
        <v>160</v>
      </c>
      <c r="H308" s="24" t="str">
        <f>'Data Analysis'!BK306 &amp; " | " &amp; 'Data Analysis'!BL306</f>
        <v>Big Win | Bonus Game B</v>
      </c>
      <c r="I308" s="23">
        <f t="shared" si="17"/>
        <v>400000</v>
      </c>
      <c r="J308" s="49">
        <f t="shared" si="18"/>
        <v>6</v>
      </c>
      <c r="K308" s="75">
        <f t="shared" si="19"/>
        <v>1.0081747217201476E-4</v>
      </c>
    </row>
    <row r="309" spans="2:11" ht="13.95" customHeight="1">
      <c r="B309" s="19">
        <f>Tiers!B308</f>
        <v>305</v>
      </c>
      <c r="C309" s="20" t="str">
        <f>Tiers!X308</f>
        <v>main-14|bonusB-4||||||||</v>
      </c>
      <c r="D309" s="83">
        <f>Tiers!C308</f>
        <v>22</v>
      </c>
      <c r="E309" s="121">
        <v>12</v>
      </c>
      <c r="F309" s="47">
        <v>2000000</v>
      </c>
      <c r="G309" s="6">
        <f t="shared" si="16"/>
        <v>264</v>
      </c>
      <c r="H309" s="24" t="str">
        <f>'Data Analysis'!BK307 &amp; " | " &amp; 'Data Analysis'!BL307</f>
        <v>Big Win | Bonus Game B</v>
      </c>
      <c r="I309" s="23">
        <f t="shared" si="17"/>
        <v>166666.66666666666</v>
      </c>
      <c r="J309" s="49">
        <f t="shared" si="18"/>
        <v>6</v>
      </c>
      <c r="K309" s="75">
        <f t="shared" si="19"/>
        <v>1.6634882908382438E-4</v>
      </c>
    </row>
    <row r="310" spans="2:11" ht="13.95" customHeight="1">
      <c r="B310" s="19">
        <f>Tiers!B309</f>
        <v>306</v>
      </c>
      <c r="C310" s="20" t="str">
        <f>Tiers!X309</f>
        <v>main-28|bonusB-5||||||||</v>
      </c>
      <c r="D310" s="83">
        <f>Tiers!C309</f>
        <v>115</v>
      </c>
      <c r="E310" s="121">
        <v>5</v>
      </c>
      <c r="F310" s="47">
        <v>2000000</v>
      </c>
      <c r="G310" s="6">
        <f t="shared" si="16"/>
        <v>575</v>
      </c>
      <c r="H310" s="24" t="str">
        <f>'Data Analysis'!BK308 &amp; " | " &amp; 'Data Analysis'!BL308</f>
        <v>Huge Win | Bonus Game B</v>
      </c>
      <c r="I310" s="23">
        <f t="shared" si="17"/>
        <v>400000</v>
      </c>
      <c r="J310" s="49">
        <f t="shared" si="18"/>
        <v>6</v>
      </c>
      <c r="K310" s="75">
        <f t="shared" si="19"/>
        <v>3.6231279061817807E-4</v>
      </c>
    </row>
    <row r="311" spans="2:11" ht="13.95" customHeight="1">
      <c r="B311" s="19">
        <f>Tiers!B310</f>
        <v>307</v>
      </c>
      <c r="C311" s="20" t="str">
        <f>Tiers!X310</f>
        <v>main-25|bonusB-6||||||||</v>
      </c>
      <c r="D311" s="83">
        <f>Tiers!C310</f>
        <v>25</v>
      </c>
      <c r="E311" s="121">
        <v>5</v>
      </c>
      <c r="F311" s="47">
        <v>2000000</v>
      </c>
      <c r="G311" s="6">
        <f t="shared" si="16"/>
        <v>125</v>
      </c>
      <c r="H311" s="24" t="str">
        <f>'Data Analysis'!BK309 &amp; " | " &amp; 'Data Analysis'!BL309</f>
        <v>Big Win | Bonus Game B</v>
      </c>
      <c r="I311" s="23">
        <f t="shared" si="17"/>
        <v>400000</v>
      </c>
      <c r="J311" s="49">
        <f t="shared" si="18"/>
        <v>6</v>
      </c>
      <c r="K311" s="75">
        <f t="shared" si="19"/>
        <v>7.8763650134386543E-5</v>
      </c>
    </row>
    <row r="312" spans="2:11" ht="13.95" customHeight="1">
      <c r="B312" s="19">
        <f>Tiers!B311</f>
        <v>308</v>
      </c>
      <c r="C312" s="20" t="str">
        <f>Tiers!X311</f>
        <v>main-13|bonusB-3||||||||</v>
      </c>
      <c r="D312" s="83">
        <f>Tiers!C311</f>
        <v>15</v>
      </c>
      <c r="E312" s="121">
        <v>13</v>
      </c>
      <c r="F312" s="47">
        <v>2000000</v>
      </c>
      <c r="G312" s="6">
        <f t="shared" si="16"/>
        <v>195</v>
      </c>
      <c r="H312" s="24" t="str">
        <f>'Data Analysis'!BK310 &amp; " | " &amp; 'Data Analysis'!BL310</f>
        <v>Big Win | Bonus Game B</v>
      </c>
      <c r="I312" s="23">
        <f t="shared" si="17"/>
        <v>153846.15384615384</v>
      </c>
      <c r="J312" s="49">
        <f t="shared" si="18"/>
        <v>6</v>
      </c>
      <c r="K312" s="75">
        <f t="shared" si="19"/>
        <v>1.2287129420964301E-4</v>
      </c>
    </row>
    <row r="313" spans="2:11" ht="13.95" customHeight="1">
      <c r="B313" s="19">
        <f>Tiers!B312</f>
        <v>309</v>
      </c>
      <c r="C313" s="20" t="str">
        <f>Tiers!X312</f>
        <v>main-0|wild-12|bonusB-5|||||||</v>
      </c>
      <c r="D313" s="83">
        <f>Tiers!C312</f>
        <v>18.100000000000001</v>
      </c>
      <c r="E313" s="121">
        <v>7</v>
      </c>
      <c r="F313" s="47">
        <v>2000000</v>
      </c>
      <c r="G313" s="6">
        <f t="shared" si="16"/>
        <v>126.70000000000002</v>
      </c>
      <c r="H313" s="24" t="str">
        <f>'Data Analysis'!BK311 &amp; " | " &amp; 'Data Analysis'!BL311</f>
        <v>Big Win | Bonus Game B</v>
      </c>
      <c r="I313" s="23">
        <f t="shared" si="17"/>
        <v>285714.28571428574</v>
      </c>
      <c r="J313" s="49">
        <f t="shared" si="18"/>
        <v>6</v>
      </c>
      <c r="K313" s="75">
        <f t="shared" si="19"/>
        <v>7.9834835776214209E-5</v>
      </c>
    </row>
    <row r="314" spans="2:11" ht="13.95" customHeight="1">
      <c r="B314" s="19">
        <f>Tiers!B313</f>
        <v>310</v>
      </c>
      <c r="C314" s="20" t="str">
        <f>Tiers!X313</f>
        <v>main-4|wild-13|bonusB-6|||||||</v>
      </c>
      <c r="D314" s="83">
        <f>Tiers!C313</f>
        <v>27</v>
      </c>
      <c r="E314" s="121">
        <v>20</v>
      </c>
      <c r="F314" s="47">
        <v>2000000</v>
      </c>
      <c r="G314" s="6">
        <f t="shared" si="16"/>
        <v>540</v>
      </c>
      <c r="H314" s="24" t="str">
        <f>'Data Analysis'!BK312 &amp; " | " &amp; 'Data Analysis'!BL312</f>
        <v>Big Win | Bonus Game B</v>
      </c>
      <c r="I314" s="23">
        <f t="shared" si="17"/>
        <v>100000</v>
      </c>
      <c r="J314" s="49">
        <f t="shared" si="18"/>
        <v>6</v>
      </c>
      <c r="K314" s="75">
        <f t="shared" si="19"/>
        <v>3.4025896858054988E-4</v>
      </c>
    </row>
    <row r="315" spans="2:11" ht="13.95" customHeight="1">
      <c r="B315" s="19">
        <f>Tiers!B314</f>
        <v>311</v>
      </c>
      <c r="C315" s="20" t="str">
        <f>Tiers!X314</f>
        <v>main-3|main-20|bonusB-4|||||||</v>
      </c>
      <c r="D315" s="83">
        <f>Tiers!C314</f>
        <v>23</v>
      </c>
      <c r="E315" s="121">
        <v>9</v>
      </c>
      <c r="F315" s="47">
        <v>2000000</v>
      </c>
      <c r="G315" s="6">
        <f t="shared" si="16"/>
        <v>207</v>
      </c>
      <c r="H315" s="24" t="str">
        <f>'Data Analysis'!BK313 &amp; " | " &amp; 'Data Analysis'!BL313</f>
        <v>Big Win | Bonus Game B</v>
      </c>
      <c r="I315" s="23">
        <f t="shared" si="17"/>
        <v>222222.22222222222</v>
      </c>
      <c r="J315" s="49">
        <f t="shared" si="18"/>
        <v>6</v>
      </c>
      <c r="K315" s="75">
        <f t="shared" si="19"/>
        <v>1.304326046225441E-4</v>
      </c>
    </row>
    <row r="316" spans="2:11" ht="13.95" customHeight="1">
      <c r="B316" s="19">
        <f>Tiers!B315</f>
        <v>312</v>
      </c>
      <c r="C316" s="20" t="str">
        <f>Tiers!X315</f>
        <v>main-4|main-5|bonusB-4|||||||</v>
      </c>
      <c r="D316" s="83">
        <f>Tiers!C315</f>
        <v>19</v>
      </c>
      <c r="E316" s="121">
        <v>9</v>
      </c>
      <c r="F316" s="47">
        <v>2000000</v>
      </c>
      <c r="G316" s="6">
        <f t="shared" si="16"/>
        <v>171</v>
      </c>
      <c r="H316" s="24" t="str">
        <f>'Data Analysis'!BK314 &amp; " | " &amp; 'Data Analysis'!BL314</f>
        <v>Big Win | Bonus Game B</v>
      </c>
      <c r="I316" s="23">
        <f t="shared" si="17"/>
        <v>222222.22222222222</v>
      </c>
      <c r="J316" s="49">
        <f t="shared" si="18"/>
        <v>6</v>
      </c>
      <c r="K316" s="75">
        <f t="shared" si="19"/>
        <v>1.0774867338384079E-4</v>
      </c>
    </row>
    <row r="317" spans="2:11" ht="13.95" customHeight="1">
      <c r="B317" s="19">
        <f>Tiers!B316</f>
        <v>313</v>
      </c>
      <c r="C317" s="20" t="str">
        <f>Tiers!X316</f>
        <v>main-4|wild-9|bonusB-5|||||||</v>
      </c>
      <c r="D317" s="83">
        <f>Tiers!C316</f>
        <v>57</v>
      </c>
      <c r="E317" s="121">
        <v>2</v>
      </c>
      <c r="F317" s="47">
        <v>2000000</v>
      </c>
      <c r="G317" s="6">
        <f t="shared" si="16"/>
        <v>114</v>
      </c>
      <c r="H317" s="24" t="str">
        <f>'Data Analysis'!BK315 &amp; " | " &amp; 'Data Analysis'!BL315</f>
        <v>Huge Win | Bonus Game B</v>
      </c>
      <c r="I317" s="23">
        <f t="shared" si="17"/>
        <v>1000000</v>
      </c>
      <c r="J317" s="49">
        <f t="shared" si="18"/>
        <v>6</v>
      </c>
      <c r="K317" s="75">
        <f t="shared" si="19"/>
        <v>7.1832448922560529E-5</v>
      </c>
    </row>
    <row r="318" spans="2:11" ht="13.95" customHeight="1">
      <c r="B318" s="19">
        <f>Tiers!B317</f>
        <v>314</v>
      </c>
      <c r="C318" s="20" t="str">
        <f>Tiers!X317</f>
        <v>main-5|wild-2|bonusB-6|||||||</v>
      </c>
      <c r="D318" s="83">
        <f>Tiers!C317</f>
        <v>25.5</v>
      </c>
      <c r="E318" s="121">
        <v>10</v>
      </c>
      <c r="F318" s="47">
        <v>2000000</v>
      </c>
      <c r="G318" s="6">
        <f t="shared" si="16"/>
        <v>255</v>
      </c>
      <c r="H318" s="24" t="str">
        <f>'Data Analysis'!BK316 &amp; " | " &amp; 'Data Analysis'!BL316</f>
        <v>Big Win | Bonus Game B</v>
      </c>
      <c r="I318" s="23">
        <f t="shared" si="17"/>
        <v>200000</v>
      </c>
      <c r="J318" s="49">
        <f t="shared" si="18"/>
        <v>6</v>
      </c>
      <c r="K318" s="75">
        <f t="shared" si="19"/>
        <v>1.6067784627414854E-4</v>
      </c>
    </row>
    <row r="319" spans="2:11" ht="13.95" customHeight="1">
      <c r="B319" s="19">
        <f>Tiers!B318</f>
        <v>315</v>
      </c>
      <c r="C319" s="20" t="str">
        <f>Tiers!X318</f>
        <v>main-3|main-0|wild-13|bonusB-2||||||</v>
      </c>
      <c r="D319" s="83">
        <f>Tiers!C318</f>
        <v>14.1</v>
      </c>
      <c r="E319" s="121">
        <v>10</v>
      </c>
      <c r="F319" s="47">
        <v>2000000</v>
      </c>
      <c r="G319" s="6">
        <f t="shared" si="16"/>
        <v>141</v>
      </c>
      <c r="H319" s="24" t="str">
        <f>'Data Analysis'!BK317 &amp; " | " &amp; 'Data Analysis'!BL317</f>
        <v>Big Win | Bonus Game B</v>
      </c>
      <c r="I319" s="23">
        <f t="shared" si="17"/>
        <v>200000</v>
      </c>
      <c r="J319" s="49">
        <f t="shared" si="18"/>
        <v>6</v>
      </c>
      <c r="K319" s="75">
        <f t="shared" si="19"/>
        <v>8.8845397351588015E-5</v>
      </c>
    </row>
    <row r="320" spans="2:11" ht="13.95" customHeight="1">
      <c r="B320" s="19">
        <f>Tiers!B319</f>
        <v>316</v>
      </c>
      <c r="C320" s="20" t="str">
        <f>Tiers!X319</f>
        <v>main-3|main-1|wild-15|bonusB-5||||||</v>
      </c>
      <c r="D320" s="83">
        <f>Tiers!C319</f>
        <v>19.2</v>
      </c>
      <c r="E320" s="121">
        <v>10</v>
      </c>
      <c r="F320" s="47">
        <v>2000000</v>
      </c>
      <c r="G320" s="6">
        <f t="shared" si="16"/>
        <v>192</v>
      </c>
      <c r="H320" s="24" t="str">
        <f>'Data Analysis'!BK318 &amp; " | " &amp; 'Data Analysis'!BL318</f>
        <v>Big Win | Bonus Game B</v>
      </c>
      <c r="I320" s="23">
        <f t="shared" si="17"/>
        <v>200000</v>
      </c>
      <c r="J320" s="49">
        <f t="shared" si="18"/>
        <v>6</v>
      </c>
      <c r="K320" s="75">
        <f t="shared" si="19"/>
        <v>1.2098096660641772E-4</v>
      </c>
    </row>
    <row r="321" spans="2:11" ht="13.95" customHeight="1">
      <c r="B321" s="19">
        <f>Tiers!B320</f>
        <v>317</v>
      </c>
      <c r="C321" s="20" t="str">
        <f>Tiers!X320</f>
        <v>main-1|main-5|wild-16|bonusB-6||||||</v>
      </c>
      <c r="D321" s="83">
        <f>Tiers!C320</f>
        <v>30.2</v>
      </c>
      <c r="E321" s="121">
        <v>9</v>
      </c>
      <c r="F321" s="47">
        <v>2000000</v>
      </c>
      <c r="G321" s="6">
        <f t="shared" si="16"/>
        <v>271.8</v>
      </c>
      <c r="H321" s="24" t="str">
        <f>'Data Analysis'!BK319 &amp; " | " &amp; 'Data Analysis'!BL319</f>
        <v>Big Win | Bonus Game B</v>
      </c>
      <c r="I321" s="23">
        <f t="shared" si="17"/>
        <v>222222.22222222222</v>
      </c>
      <c r="J321" s="49">
        <f t="shared" si="18"/>
        <v>6</v>
      </c>
      <c r="K321" s="75">
        <f t="shared" si="19"/>
        <v>1.7126368085221009E-4</v>
      </c>
    </row>
    <row r="322" spans="2:11" ht="13.95" customHeight="1">
      <c r="B322" s="19">
        <f>Tiers!B321</f>
        <v>318</v>
      </c>
      <c r="C322" s="20" t="str">
        <f>Tiers!X321</f>
        <v>main-4|main-19|wild-17|bonusB-4||||||</v>
      </c>
      <c r="D322" s="83">
        <f>Tiers!C321</f>
        <v>29</v>
      </c>
      <c r="E322" s="121">
        <v>13</v>
      </c>
      <c r="F322" s="47">
        <v>2000000</v>
      </c>
      <c r="G322" s="6">
        <f t="shared" si="16"/>
        <v>377</v>
      </c>
      <c r="H322" s="24" t="str">
        <f>'Data Analysis'!BK320 &amp; " | " &amp; 'Data Analysis'!BL320</f>
        <v>Big Win | Bonus Game B</v>
      </c>
      <c r="I322" s="23">
        <f t="shared" si="17"/>
        <v>153846.15384615384</v>
      </c>
      <c r="J322" s="49">
        <f t="shared" si="18"/>
        <v>6</v>
      </c>
      <c r="K322" s="75">
        <f t="shared" si="19"/>
        <v>2.3755116880530981E-4</v>
      </c>
    </row>
    <row r="323" spans="2:11" ht="13.95" customHeight="1">
      <c r="B323" s="19">
        <f>Tiers!B322</f>
        <v>319</v>
      </c>
      <c r="C323" s="20" t="str">
        <f>Tiers!X322</f>
        <v>main-3|main-20|main-4|bonusB-4||||||</v>
      </c>
      <c r="D323" s="83">
        <f>Tiers!C322</f>
        <v>25</v>
      </c>
      <c r="E323" s="121">
        <v>9</v>
      </c>
      <c r="F323" s="47">
        <v>2000000</v>
      </c>
      <c r="G323" s="6">
        <f t="shared" si="16"/>
        <v>225</v>
      </c>
      <c r="H323" s="24" t="str">
        <f>'Data Analysis'!BK321 &amp; " | " &amp; 'Data Analysis'!BL321</f>
        <v>Big Win | Bonus Game B</v>
      </c>
      <c r="I323" s="23">
        <f t="shared" si="17"/>
        <v>222222.22222222222</v>
      </c>
      <c r="J323" s="49">
        <f t="shared" si="18"/>
        <v>6</v>
      </c>
      <c r="K323" s="75">
        <f t="shared" si="19"/>
        <v>1.4177457024189578E-4</v>
      </c>
    </row>
    <row r="324" spans="2:11" ht="13.95" customHeight="1">
      <c r="B324" s="19">
        <f>Tiers!B323</f>
        <v>320</v>
      </c>
      <c r="C324" s="20" t="str">
        <f>Tiers!X323</f>
        <v>main-3|main-20|wild-11|bonusB-5||||||</v>
      </c>
      <c r="D324" s="83">
        <f>Tiers!C323</f>
        <v>28</v>
      </c>
      <c r="E324" s="121">
        <v>9</v>
      </c>
      <c r="F324" s="47">
        <v>2000000</v>
      </c>
      <c r="G324" s="6">
        <f t="shared" ref="G324:G387" si="20">E324*D324</f>
        <v>252</v>
      </c>
      <c r="H324" s="24" t="str">
        <f>'Data Analysis'!BK322 &amp; " | " &amp; 'Data Analysis'!BL322</f>
        <v>Big Win | Bonus Game B</v>
      </c>
      <c r="I324" s="23">
        <f t="shared" ref="I324:I387" si="21">F324/E324</f>
        <v>222222.22222222222</v>
      </c>
      <c r="J324" s="49">
        <f t="shared" ref="J324:J387" si="22">ROUND(IF(D324=0,($N$17*0.3),((((N$17*0.7)-(N$19*N$18)))*(E324/$N$14)+$N$19)),0)</f>
        <v>6</v>
      </c>
      <c r="K324" s="75">
        <f t="shared" si="19"/>
        <v>1.5878751867092326E-4</v>
      </c>
    </row>
    <row r="325" spans="2:11" ht="13.95" customHeight="1">
      <c r="B325" s="19">
        <f>Tiers!B324</f>
        <v>321</v>
      </c>
      <c r="C325" s="20" t="str">
        <f>Tiers!X324</f>
        <v>main-4|main-5|wild-12|bonusB-5||||||</v>
      </c>
      <c r="D325" s="83">
        <f>Tiers!C324</f>
        <v>25</v>
      </c>
      <c r="E325" s="121">
        <v>9</v>
      </c>
      <c r="F325" s="47">
        <v>2000000</v>
      </c>
      <c r="G325" s="6">
        <f t="shared" si="20"/>
        <v>225</v>
      </c>
      <c r="H325" s="24" t="str">
        <f>'Data Analysis'!BK323 &amp; " | " &amp; 'Data Analysis'!BL323</f>
        <v>Big Win | Bonus Game B</v>
      </c>
      <c r="I325" s="23">
        <f t="shared" si="21"/>
        <v>222222.22222222222</v>
      </c>
      <c r="J325" s="49">
        <f t="shared" si="22"/>
        <v>6</v>
      </c>
      <c r="K325" s="75">
        <f t="shared" ref="K325:K388" si="23">G325/N$9</f>
        <v>1.4177457024189578E-4</v>
      </c>
    </row>
    <row r="326" spans="2:11" ht="13.95" customHeight="1">
      <c r="B326" s="19">
        <f>Tiers!B325</f>
        <v>322</v>
      </c>
      <c r="C326" s="20" t="str">
        <f>Tiers!X325</f>
        <v>main-5|main-25|wild-13|bonusB-3||||||</v>
      </c>
      <c r="D326" s="83">
        <f>Tiers!C325</f>
        <v>25</v>
      </c>
      <c r="E326" s="121">
        <v>9</v>
      </c>
      <c r="F326" s="47">
        <v>2000000</v>
      </c>
      <c r="G326" s="6">
        <f t="shared" si="20"/>
        <v>225</v>
      </c>
      <c r="H326" s="24" t="str">
        <f>'Data Analysis'!BK324 &amp; " | " &amp; 'Data Analysis'!BL324</f>
        <v>Big Win | Bonus Game B</v>
      </c>
      <c r="I326" s="23">
        <f t="shared" si="21"/>
        <v>222222.22222222222</v>
      </c>
      <c r="J326" s="49">
        <f t="shared" si="22"/>
        <v>6</v>
      </c>
      <c r="K326" s="75">
        <f t="shared" si="23"/>
        <v>1.4177457024189578E-4</v>
      </c>
    </row>
    <row r="327" spans="2:11" ht="13.95" customHeight="1">
      <c r="B327" s="19">
        <f>Tiers!B326</f>
        <v>323</v>
      </c>
      <c r="C327" s="20" t="str">
        <f>Tiers!X326</f>
        <v>main-5|main-26|wild-14|bonusB-4||||||</v>
      </c>
      <c r="D327" s="83">
        <f>Tiers!C326</f>
        <v>29</v>
      </c>
      <c r="E327" s="121">
        <v>12</v>
      </c>
      <c r="F327" s="47">
        <v>2000000</v>
      </c>
      <c r="G327" s="6">
        <f t="shared" si="20"/>
        <v>348</v>
      </c>
      <c r="H327" s="24" t="str">
        <f>'Data Analysis'!BK325 &amp; " | " &amp; 'Data Analysis'!BL325</f>
        <v>Big Win | Bonus Game B</v>
      </c>
      <c r="I327" s="23">
        <f t="shared" si="21"/>
        <v>166666.66666666666</v>
      </c>
      <c r="J327" s="49">
        <f t="shared" si="22"/>
        <v>6</v>
      </c>
      <c r="K327" s="75">
        <f t="shared" si="23"/>
        <v>2.1927800197413212E-4</v>
      </c>
    </row>
    <row r="328" spans="2:11" ht="13.95" customHeight="1">
      <c r="B328" s="19">
        <f>Tiers!B327</f>
        <v>324</v>
      </c>
      <c r="C328" s="20" t="str">
        <f>Tiers!X327</f>
        <v>main-4|main-0|main-20|bonusB-5||||||</v>
      </c>
      <c r="D328" s="83">
        <f>Tiers!C327</f>
        <v>27.1</v>
      </c>
      <c r="E328" s="121">
        <v>7</v>
      </c>
      <c r="F328" s="47">
        <v>2000000</v>
      </c>
      <c r="G328" s="6">
        <f t="shared" si="20"/>
        <v>189.70000000000002</v>
      </c>
      <c r="H328" s="24" t="str">
        <f>'Data Analysis'!BK326 &amp; " | " &amp; 'Data Analysis'!BL326</f>
        <v>Big Win | Bonus Game B</v>
      </c>
      <c r="I328" s="23">
        <f t="shared" si="21"/>
        <v>285714.28571428574</v>
      </c>
      <c r="J328" s="49">
        <f t="shared" si="22"/>
        <v>6</v>
      </c>
      <c r="K328" s="75">
        <f t="shared" si="23"/>
        <v>1.1953171544394502E-4</v>
      </c>
    </row>
    <row r="329" spans="2:11" ht="13.95" customHeight="1">
      <c r="B329" s="19">
        <f>Tiers!B328</f>
        <v>325</v>
      </c>
      <c r="C329" s="20" t="str">
        <f>Tiers!X328</f>
        <v>main-11|main-25|main-5|bonusB-4||||||</v>
      </c>
      <c r="D329" s="83">
        <f>Tiers!C328</f>
        <v>24</v>
      </c>
      <c r="E329" s="121">
        <v>9</v>
      </c>
      <c r="F329" s="47">
        <v>2000000</v>
      </c>
      <c r="G329" s="6">
        <f t="shared" si="20"/>
        <v>216</v>
      </c>
      <c r="H329" s="24" t="str">
        <f>'Data Analysis'!BK327 &amp; " | " &amp; 'Data Analysis'!BL327</f>
        <v>Big Win | Bonus Game B</v>
      </c>
      <c r="I329" s="23">
        <f t="shared" si="21"/>
        <v>222222.22222222222</v>
      </c>
      <c r="J329" s="49">
        <f t="shared" si="22"/>
        <v>6</v>
      </c>
      <c r="K329" s="75">
        <f t="shared" si="23"/>
        <v>1.3610358743221994E-4</v>
      </c>
    </row>
    <row r="330" spans="2:11" ht="13.95" customHeight="1">
      <c r="B330" s="19">
        <f>Tiers!B329</f>
        <v>326</v>
      </c>
      <c r="C330" s="20" t="str">
        <f>Tiers!X329</f>
        <v>main-18|main-19|main-5|bonusB-3||||||</v>
      </c>
      <c r="D330" s="83">
        <f>Tiers!C329</f>
        <v>23</v>
      </c>
      <c r="E330" s="121">
        <v>23</v>
      </c>
      <c r="F330" s="47">
        <v>2000000</v>
      </c>
      <c r="G330" s="6">
        <f t="shared" si="20"/>
        <v>529</v>
      </c>
      <c r="H330" s="24" t="str">
        <f>'Data Analysis'!BK328 &amp; " | " &amp; 'Data Analysis'!BL328</f>
        <v>Big Win | Bonus Game B</v>
      </c>
      <c r="I330" s="23">
        <f t="shared" si="21"/>
        <v>86956.521739130432</v>
      </c>
      <c r="J330" s="49">
        <f t="shared" si="22"/>
        <v>6</v>
      </c>
      <c r="K330" s="75">
        <f t="shared" si="23"/>
        <v>3.3332776736872381E-4</v>
      </c>
    </row>
    <row r="331" spans="2:11" ht="13.95" customHeight="1">
      <c r="B331" s="19">
        <f>Tiers!B330</f>
        <v>327</v>
      </c>
      <c r="C331" s="20" t="str">
        <f>Tiers!X330</f>
        <v>main-2|main-19|main-3|bonusB-4||||||</v>
      </c>
      <c r="D331" s="83">
        <f>Tiers!C330</f>
        <v>18.5</v>
      </c>
      <c r="E331" s="121">
        <v>20</v>
      </c>
      <c r="F331" s="47">
        <v>2000000</v>
      </c>
      <c r="G331" s="6">
        <f t="shared" si="20"/>
        <v>370</v>
      </c>
      <c r="H331" s="24" t="str">
        <f>'Data Analysis'!BK329 &amp; " | " &amp; 'Data Analysis'!BL329</f>
        <v>Big Win | Bonus Game B</v>
      </c>
      <c r="I331" s="23">
        <f t="shared" si="21"/>
        <v>100000</v>
      </c>
      <c r="J331" s="49">
        <f t="shared" si="22"/>
        <v>6</v>
      </c>
      <c r="K331" s="75">
        <f t="shared" si="23"/>
        <v>2.3314040439778415E-4</v>
      </c>
    </row>
    <row r="332" spans="2:11" ht="13.95" customHeight="1">
      <c r="B332" s="19">
        <f>Tiers!B331</f>
        <v>328</v>
      </c>
      <c r="C332" s="20" t="str">
        <f>Tiers!X331</f>
        <v>main-18|main-19|main-5|wild-13|bonusB-3|||||</v>
      </c>
      <c r="D332" s="83">
        <f>Tiers!C331</f>
        <v>28</v>
      </c>
      <c r="E332" s="121">
        <v>20</v>
      </c>
      <c r="F332" s="47">
        <v>2000000</v>
      </c>
      <c r="G332" s="6">
        <f t="shared" si="20"/>
        <v>560</v>
      </c>
      <c r="H332" s="24" t="str">
        <f>'Data Analysis'!BK330 &amp; " | " &amp; 'Data Analysis'!BL330</f>
        <v>Big Win | Bonus Game B</v>
      </c>
      <c r="I332" s="23">
        <f t="shared" si="21"/>
        <v>100000</v>
      </c>
      <c r="J332" s="49">
        <f t="shared" si="22"/>
        <v>6</v>
      </c>
      <c r="K332" s="75">
        <f t="shared" si="23"/>
        <v>3.528611526020517E-4</v>
      </c>
    </row>
    <row r="333" spans="2:11" ht="13.95" customHeight="1">
      <c r="B333" s="19">
        <f>Tiers!B332</f>
        <v>329</v>
      </c>
      <c r="C333" s="20" t="str">
        <f>Tiers!X332</f>
        <v>main-3|main-20|main-4|wild-15|bonusB-4|||||</v>
      </c>
      <c r="D333" s="83">
        <f>Tiers!C332</f>
        <v>28</v>
      </c>
      <c r="E333" s="121">
        <v>5</v>
      </c>
      <c r="F333" s="47">
        <v>2000000</v>
      </c>
      <c r="G333" s="6">
        <f t="shared" si="20"/>
        <v>140</v>
      </c>
      <c r="H333" s="24" t="str">
        <f>'Data Analysis'!BK331 &amp; " | " &amp; 'Data Analysis'!BL331</f>
        <v>Big Win | Bonus Game B</v>
      </c>
      <c r="I333" s="23">
        <f t="shared" si="21"/>
        <v>400000</v>
      </c>
      <c r="J333" s="49">
        <f t="shared" si="22"/>
        <v>6</v>
      </c>
      <c r="K333" s="75">
        <f t="shared" si="23"/>
        <v>8.8215288150512926E-5</v>
      </c>
    </row>
    <row r="334" spans="2:11" ht="13.95" customHeight="1">
      <c r="B334" s="19">
        <f>Tiers!B333</f>
        <v>330</v>
      </c>
      <c r="C334" s="20" t="str">
        <f>Tiers!X333</f>
        <v>main-4|main-0|main-1|main-18|bonusB-5|||||</v>
      </c>
      <c r="D334" s="83">
        <f>Tiers!C333</f>
        <v>20.3</v>
      </c>
      <c r="E334" s="121">
        <v>8</v>
      </c>
      <c r="F334" s="47">
        <v>2000000</v>
      </c>
      <c r="G334" s="6">
        <f t="shared" si="20"/>
        <v>162.4</v>
      </c>
      <c r="H334" s="24" t="str">
        <f>'Data Analysis'!BK332 &amp; " | " &amp; 'Data Analysis'!BL332</f>
        <v>Big Win | Bonus Game B</v>
      </c>
      <c r="I334" s="23">
        <f t="shared" si="21"/>
        <v>250000</v>
      </c>
      <c r="J334" s="49">
        <f t="shared" si="22"/>
        <v>6</v>
      </c>
      <c r="K334" s="75">
        <f t="shared" si="23"/>
        <v>1.0232973425459499E-4</v>
      </c>
    </row>
    <row r="335" spans="2:11" ht="13.95" customHeight="1">
      <c r="B335" s="19">
        <f>Tiers!B334</f>
        <v>331</v>
      </c>
      <c r="C335" s="20" t="str">
        <f>Tiers!X334</f>
        <v>main-0|main-4|main-0|main-19|bonusB-4|||||</v>
      </c>
      <c r="D335" s="83">
        <f>Tiers!C334</f>
        <v>19.2</v>
      </c>
      <c r="E335" s="121">
        <v>8</v>
      </c>
      <c r="F335" s="47">
        <v>2000000</v>
      </c>
      <c r="G335" s="6">
        <f t="shared" si="20"/>
        <v>153.6</v>
      </c>
      <c r="H335" s="24" t="str">
        <f>'Data Analysis'!BK333 &amp; " | " &amp; 'Data Analysis'!BL333</f>
        <v>Big Win | Bonus Game B</v>
      </c>
      <c r="I335" s="23">
        <f t="shared" si="21"/>
        <v>250000</v>
      </c>
      <c r="J335" s="49">
        <f t="shared" si="22"/>
        <v>6</v>
      </c>
      <c r="K335" s="75">
        <f t="shared" si="23"/>
        <v>9.6784773285134182E-5</v>
      </c>
    </row>
    <row r="336" spans="2:11" ht="13.95" customHeight="1">
      <c r="B336" s="19">
        <f>Tiers!B335</f>
        <v>332</v>
      </c>
      <c r="C336" s="20" t="str">
        <f>Tiers!X335</f>
        <v>main-0|main-13|main-26|main-18|bonusB-4|||||</v>
      </c>
      <c r="D336" s="83">
        <f>Tiers!C335</f>
        <v>30.1</v>
      </c>
      <c r="E336" s="121">
        <v>9</v>
      </c>
      <c r="F336" s="47">
        <v>2000000</v>
      </c>
      <c r="G336" s="6">
        <f t="shared" si="20"/>
        <v>270.90000000000003</v>
      </c>
      <c r="H336" s="24" t="str">
        <f>'Data Analysis'!BK334 &amp; " | " &amp; 'Data Analysis'!BL334</f>
        <v>Big Win | Bonus Game B</v>
      </c>
      <c r="I336" s="23">
        <f t="shared" si="21"/>
        <v>222222.22222222222</v>
      </c>
      <c r="J336" s="49">
        <f t="shared" si="22"/>
        <v>6</v>
      </c>
      <c r="K336" s="75">
        <f t="shared" si="23"/>
        <v>1.7069658257124254E-4</v>
      </c>
    </row>
    <row r="337" spans="2:11" ht="13.95" customHeight="1">
      <c r="B337" s="19">
        <f>Tiers!B336</f>
        <v>333</v>
      </c>
      <c r="C337" s="20" t="str">
        <f>Tiers!X336</f>
        <v>main-5|main-13|main-25|main-0|bonusB-5|||||</v>
      </c>
      <c r="D337" s="83">
        <f>Tiers!C336</f>
        <v>30.1</v>
      </c>
      <c r="E337" s="121">
        <v>9</v>
      </c>
      <c r="F337" s="47">
        <v>2000000</v>
      </c>
      <c r="G337" s="6">
        <f t="shared" si="20"/>
        <v>270.90000000000003</v>
      </c>
      <c r="H337" s="24" t="str">
        <f>'Data Analysis'!BK335 &amp; " | " &amp; 'Data Analysis'!BL335</f>
        <v>Big Win | Bonus Game B</v>
      </c>
      <c r="I337" s="23">
        <f t="shared" si="21"/>
        <v>222222.22222222222</v>
      </c>
      <c r="J337" s="49">
        <f t="shared" si="22"/>
        <v>6</v>
      </c>
      <c r="K337" s="75">
        <f t="shared" si="23"/>
        <v>1.7069658257124254E-4</v>
      </c>
    </row>
    <row r="338" spans="2:11" ht="13.95" customHeight="1">
      <c r="B338" s="19">
        <f>Tiers!B337</f>
        <v>334</v>
      </c>
      <c r="C338" s="20" t="str">
        <f>Tiers!X337</f>
        <v>main-5|main-25|main-19|wild-11|bonusB-6|||||</v>
      </c>
      <c r="D338" s="83">
        <f>Tiers!C337</f>
        <v>37</v>
      </c>
      <c r="E338" s="121">
        <v>10</v>
      </c>
      <c r="F338" s="47">
        <v>2000000</v>
      </c>
      <c r="G338" s="6">
        <f t="shared" si="20"/>
        <v>370</v>
      </c>
      <c r="H338" s="24" t="str">
        <f>'Data Analysis'!BK336 &amp; " | " &amp; 'Data Analysis'!BL336</f>
        <v>Big Win | Bonus Game B</v>
      </c>
      <c r="I338" s="23">
        <f t="shared" si="21"/>
        <v>200000</v>
      </c>
      <c r="J338" s="49">
        <f t="shared" si="22"/>
        <v>6</v>
      </c>
      <c r="K338" s="75">
        <f t="shared" si="23"/>
        <v>2.3314040439778415E-4</v>
      </c>
    </row>
    <row r="339" spans="2:11" ht="13.95" customHeight="1">
      <c r="B339" s="19">
        <f>Tiers!B338</f>
        <v>335</v>
      </c>
      <c r="C339" s="20" t="str">
        <f>Tiers!X338</f>
        <v>main-4|main-19|main-5|wild-2|bonusB-3|||||</v>
      </c>
      <c r="D339" s="83">
        <f>Tiers!C338</f>
        <v>22.5</v>
      </c>
      <c r="E339" s="121">
        <v>10</v>
      </c>
      <c r="F339" s="47">
        <v>2000000</v>
      </c>
      <c r="G339" s="6">
        <f t="shared" si="20"/>
        <v>225</v>
      </c>
      <c r="H339" s="24" t="str">
        <f>'Data Analysis'!BK337 &amp; " | " &amp; 'Data Analysis'!BL337</f>
        <v>Big Win | Bonus Game B</v>
      </c>
      <c r="I339" s="23">
        <f t="shared" si="21"/>
        <v>200000</v>
      </c>
      <c r="J339" s="49">
        <f t="shared" si="22"/>
        <v>6</v>
      </c>
      <c r="K339" s="75">
        <f t="shared" si="23"/>
        <v>1.4177457024189578E-4</v>
      </c>
    </row>
    <row r="340" spans="2:11" ht="13.95" customHeight="1">
      <c r="B340" s="19">
        <f>Tiers!B339</f>
        <v>336</v>
      </c>
      <c r="C340" s="20" t="str">
        <f>Tiers!X339</f>
        <v>main-26|bonusC-3||||||||</v>
      </c>
      <c r="D340" s="83">
        <f>Tiers!C339</f>
        <v>20</v>
      </c>
      <c r="E340" s="121">
        <v>5</v>
      </c>
      <c r="F340" s="47">
        <v>2000000</v>
      </c>
      <c r="G340" s="6">
        <f t="shared" si="20"/>
        <v>100</v>
      </c>
      <c r="H340" s="24" t="str">
        <f>'Data Analysis'!BK338 &amp; " | " &amp; 'Data Analysis'!BL338</f>
        <v>Big Win | Bonus Game C</v>
      </c>
      <c r="I340" s="23">
        <f t="shared" si="21"/>
        <v>400000</v>
      </c>
      <c r="J340" s="49">
        <f t="shared" si="22"/>
        <v>6</v>
      </c>
      <c r="K340" s="75">
        <f t="shared" si="23"/>
        <v>6.3010920107509235E-5</v>
      </c>
    </row>
    <row r="341" spans="2:11" ht="13.95" customHeight="1">
      <c r="B341" s="19">
        <f>Tiers!B340</f>
        <v>337</v>
      </c>
      <c r="C341" s="20" t="str">
        <f>Tiers!X340</f>
        <v>main-25|bonusC-4||||||||</v>
      </c>
      <c r="D341" s="83">
        <f>Tiers!C340</f>
        <v>17</v>
      </c>
      <c r="E341" s="121">
        <v>5</v>
      </c>
      <c r="F341" s="47">
        <v>2000000</v>
      </c>
      <c r="G341" s="6">
        <f t="shared" si="20"/>
        <v>85</v>
      </c>
      <c r="H341" s="24" t="str">
        <f>'Data Analysis'!BK339 &amp; " | " &amp; 'Data Analysis'!BL339</f>
        <v>Big Win | Bonus Game C</v>
      </c>
      <c r="I341" s="23">
        <f t="shared" si="21"/>
        <v>400000</v>
      </c>
      <c r="J341" s="49">
        <f t="shared" si="22"/>
        <v>6</v>
      </c>
      <c r="K341" s="75">
        <f t="shared" si="23"/>
        <v>5.3559282091382846E-5</v>
      </c>
    </row>
    <row r="342" spans="2:11" ht="13.95" customHeight="1">
      <c r="B342" s="19">
        <f>Tiers!B341</f>
        <v>338</v>
      </c>
      <c r="C342" s="20" t="str">
        <f>Tiers!X341</f>
        <v>main-19|bonusC-5||||||||</v>
      </c>
      <c r="D342" s="83">
        <f>Tiers!C341</f>
        <v>20</v>
      </c>
      <c r="E342" s="121">
        <v>10</v>
      </c>
      <c r="F342" s="47">
        <v>2000000</v>
      </c>
      <c r="G342" s="6">
        <f t="shared" si="20"/>
        <v>200</v>
      </c>
      <c r="H342" s="24" t="str">
        <f>'Data Analysis'!BK340 &amp; " | " &amp; 'Data Analysis'!BL340</f>
        <v>Big Win | Bonus Game C</v>
      </c>
      <c r="I342" s="23">
        <f t="shared" si="21"/>
        <v>200000</v>
      </c>
      <c r="J342" s="49">
        <f t="shared" si="22"/>
        <v>6</v>
      </c>
      <c r="K342" s="75">
        <f t="shared" si="23"/>
        <v>1.2602184021501847E-4</v>
      </c>
    </row>
    <row r="343" spans="2:11" ht="13.95" customHeight="1">
      <c r="B343" s="19">
        <f>Tiers!B342</f>
        <v>339</v>
      </c>
      <c r="C343" s="20" t="str">
        <f>Tiers!X342</f>
        <v>main-27|bonusC-4||||||||</v>
      </c>
      <c r="D343" s="83">
        <f>Tiers!C342</f>
        <v>32</v>
      </c>
      <c r="E343" s="121">
        <v>5</v>
      </c>
      <c r="F343" s="47">
        <v>2000000</v>
      </c>
      <c r="G343" s="6">
        <f t="shared" si="20"/>
        <v>160</v>
      </c>
      <c r="H343" s="24" t="str">
        <f>'Data Analysis'!BK341 &amp; " | " &amp; 'Data Analysis'!BL341</f>
        <v>Big Win | Bonus Game C</v>
      </c>
      <c r="I343" s="23">
        <f t="shared" si="21"/>
        <v>400000</v>
      </c>
      <c r="J343" s="49">
        <f t="shared" si="22"/>
        <v>6</v>
      </c>
      <c r="K343" s="75">
        <f t="shared" si="23"/>
        <v>1.0081747217201476E-4</v>
      </c>
    </row>
    <row r="344" spans="2:11" ht="13.95" customHeight="1">
      <c r="B344" s="19">
        <f>Tiers!B343</f>
        <v>340</v>
      </c>
      <c r="C344" s="20" t="str">
        <f>Tiers!X343</f>
        <v>main-14|bonusC-4||||||||</v>
      </c>
      <c r="D344" s="83">
        <f>Tiers!C343</f>
        <v>22</v>
      </c>
      <c r="E344" s="121">
        <v>12</v>
      </c>
      <c r="F344" s="47">
        <v>2000000</v>
      </c>
      <c r="G344" s="6">
        <f t="shared" si="20"/>
        <v>264</v>
      </c>
      <c r="H344" s="24" t="str">
        <f>'Data Analysis'!BK342 &amp; " | " &amp; 'Data Analysis'!BL342</f>
        <v>Big Win | Bonus Game C</v>
      </c>
      <c r="I344" s="23">
        <f t="shared" si="21"/>
        <v>166666.66666666666</v>
      </c>
      <c r="J344" s="49">
        <f t="shared" si="22"/>
        <v>6</v>
      </c>
      <c r="K344" s="75">
        <f t="shared" si="23"/>
        <v>1.6634882908382438E-4</v>
      </c>
    </row>
    <row r="345" spans="2:11" ht="13.95" customHeight="1">
      <c r="B345" s="19">
        <f>Tiers!B344</f>
        <v>341</v>
      </c>
      <c r="C345" s="20" t="str">
        <f>Tiers!X344</f>
        <v>main-28|bonusC-5||||||||</v>
      </c>
      <c r="D345" s="83">
        <f>Tiers!C344</f>
        <v>115</v>
      </c>
      <c r="E345" s="121">
        <v>5</v>
      </c>
      <c r="F345" s="47">
        <v>2000000</v>
      </c>
      <c r="G345" s="6">
        <f t="shared" si="20"/>
        <v>575</v>
      </c>
      <c r="H345" s="24" t="str">
        <f>'Data Analysis'!BK343 &amp; " | " &amp; 'Data Analysis'!BL343</f>
        <v>Huge Win | Bonus Game C</v>
      </c>
      <c r="I345" s="23">
        <f t="shared" si="21"/>
        <v>400000</v>
      </c>
      <c r="J345" s="49">
        <f t="shared" si="22"/>
        <v>6</v>
      </c>
      <c r="K345" s="75">
        <f t="shared" si="23"/>
        <v>3.6231279061817807E-4</v>
      </c>
    </row>
    <row r="346" spans="2:11" ht="13.95" customHeight="1">
      <c r="B346" s="19">
        <f>Tiers!B345</f>
        <v>342</v>
      </c>
      <c r="C346" s="20" t="str">
        <f>Tiers!X345</f>
        <v>main-25|bonusC-6||||||||</v>
      </c>
      <c r="D346" s="83">
        <f>Tiers!C345</f>
        <v>25</v>
      </c>
      <c r="E346" s="121">
        <v>5</v>
      </c>
      <c r="F346" s="47">
        <v>2000000</v>
      </c>
      <c r="G346" s="6">
        <f t="shared" si="20"/>
        <v>125</v>
      </c>
      <c r="H346" s="24" t="str">
        <f>'Data Analysis'!BK344 &amp; " | " &amp; 'Data Analysis'!BL344</f>
        <v>Big Win | Bonus Game C</v>
      </c>
      <c r="I346" s="23">
        <f t="shared" si="21"/>
        <v>400000</v>
      </c>
      <c r="J346" s="49">
        <f t="shared" si="22"/>
        <v>6</v>
      </c>
      <c r="K346" s="75">
        <f t="shared" si="23"/>
        <v>7.8763650134386543E-5</v>
      </c>
    </row>
    <row r="347" spans="2:11" ht="13.95" customHeight="1">
      <c r="B347" s="19">
        <f>Tiers!B346</f>
        <v>343</v>
      </c>
      <c r="C347" s="20" t="str">
        <f>Tiers!X346</f>
        <v>main-13|bonusC-3||||||||</v>
      </c>
      <c r="D347" s="83">
        <f>Tiers!C346</f>
        <v>15</v>
      </c>
      <c r="E347" s="121">
        <v>13</v>
      </c>
      <c r="F347" s="47">
        <v>2000000</v>
      </c>
      <c r="G347" s="6">
        <f t="shared" si="20"/>
        <v>195</v>
      </c>
      <c r="H347" s="24" t="str">
        <f>'Data Analysis'!BK345 &amp; " | " &amp; 'Data Analysis'!BL345</f>
        <v>Big Win | Bonus Game C</v>
      </c>
      <c r="I347" s="23">
        <f t="shared" si="21"/>
        <v>153846.15384615384</v>
      </c>
      <c r="J347" s="49">
        <f t="shared" si="22"/>
        <v>6</v>
      </c>
      <c r="K347" s="75">
        <f t="shared" si="23"/>
        <v>1.2287129420964301E-4</v>
      </c>
    </row>
    <row r="348" spans="2:11" ht="13.95" customHeight="1">
      <c r="B348" s="19">
        <f>Tiers!B347</f>
        <v>344</v>
      </c>
      <c r="C348" s="20" t="str">
        <f>Tiers!X347</f>
        <v>main-0|wild-12|bonusC-5|||||||</v>
      </c>
      <c r="D348" s="83">
        <f>Tiers!C347</f>
        <v>18.100000000000001</v>
      </c>
      <c r="E348" s="121">
        <v>7</v>
      </c>
      <c r="F348" s="47">
        <v>2000000</v>
      </c>
      <c r="G348" s="6">
        <f t="shared" si="20"/>
        <v>126.70000000000002</v>
      </c>
      <c r="H348" s="24" t="str">
        <f>'Data Analysis'!BK346 &amp; " | " &amp; 'Data Analysis'!BL346</f>
        <v>Big Win | Bonus Game C</v>
      </c>
      <c r="I348" s="23">
        <f t="shared" si="21"/>
        <v>285714.28571428574</v>
      </c>
      <c r="J348" s="49">
        <f t="shared" si="22"/>
        <v>6</v>
      </c>
      <c r="K348" s="75">
        <f t="shared" si="23"/>
        <v>7.9834835776214209E-5</v>
      </c>
    </row>
    <row r="349" spans="2:11" ht="13.95" customHeight="1">
      <c r="B349" s="19">
        <f>Tiers!B348</f>
        <v>345</v>
      </c>
      <c r="C349" s="20" t="str">
        <f>Tiers!X348</f>
        <v>main-4|wild-13|bonusC-6|||||||</v>
      </c>
      <c r="D349" s="83">
        <f>Tiers!C348</f>
        <v>27</v>
      </c>
      <c r="E349" s="121">
        <v>20</v>
      </c>
      <c r="F349" s="47">
        <v>2000000</v>
      </c>
      <c r="G349" s="6">
        <f t="shared" si="20"/>
        <v>540</v>
      </c>
      <c r="H349" s="24" t="str">
        <f>'Data Analysis'!BK347 &amp; " | " &amp; 'Data Analysis'!BL347</f>
        <v>Big Win | Bonus Game C</v>
      </c>
      <c r="I349" s="23">
        <f t="shared" si="21"/>
        <v>100000</v>
      </c>
      <c r="J349" s="49">
        <f t="shared" si="22"/>
        <v>6</v>
      </c>
      <c r="K349" s="75">
        <f t="shared" si="23"/>
        <v>3.4025896858054988E-4</v>
      </c>
    </row>
    <row r="350" spans="2:11" ht="13.95" customHeight="1">
      <c r="B350" s="19">
        <f>Tiers!B349</f>
        <v>346</v>
      </c>
      <c r="C350" s="20" t="str">
        <f>Tiers!X349</f>
        <v>main-3|main-20|bonusC-4|||||||</v>
      </c>
      <c r="D350" s="83">
        <f>Tiers!C349</f>
        <v>23</v>
      </c>
      <c r="E350" s="121">
        <v>9</v>
      </c>
      <c r="F350" s="47">
        <v>2000000</v>
      </c>
      <c r="G350" s="6">
        <f t="shared" si="20"/>
        <v>207</v>
      </c>
      <c r="H350" s="24" t="str">
        <f>'Data Analysis'!BK348 &amp; " | " &amp; 'Data Analysis'!BL348</f>
        <v>Big Win | Bonus Game C</v>
      </c>
      <c r="I350" s="23">
        <f t="shared" si="21"/>
        <v>222222.22222222222</v>
      </c>
      <c r="J350" s="49">
        <f t="shared" si="22"/>
        <v>6</v>
      </c>
      <c r="K350" s="75">
        <f t="shared" si="23"/>
        <v>1.304326046225441E-4</v>
      </c>
    </row>
    <row r="351" spans="2:11" ht="13.95" customHeight="1">
      <c r="B351" s="19">
        <f>Tiers!B350</f>
        <v>347</v>
      </c>
      <c r="C351" s="20" t="str">
        <f>Tiers!X350</f>
        <v>main-4|main-5|bonusC-4|||||||</v>
      </c>
      <c r="D351" s="83">
        <f>Tiers!C350</f>
        <v>19</v>
      </c>
      <c r="E351" s="121">
        <v>9</v>
      </c>
      <c r="F351" s="47">
        <v>2000000</v>
      </c>
      <c r="G351" s="6">
        <f t="shared" si="20"/>
        <v>171</v>
      </c>
      <c r="H351" s="24" t="str">
        <f>'Data Analysis'!BK349 &amp; " | " &amp; 'Data Analysis'!BL349</f>
        <v>Big Win | Bonus Game C</v>
      </c>
      <c r="I351" s="23">
        <f t="shared" si="21"/>
        <v>222222.22222222222</v>
      </c>
      <c r="J351" s="49">
        <f t="shared" si="22"/>
        <v>6</v>
      </c>
      <c r="K351" s="75">
        <f t="shared" si="23"/>
        <v>1.0774867338384079E-4</v>
      </c>
    </row>
    <row r="352" spans="2:11" ht="13.95" customHeight="1">
      <c r="B352" s="19">
        <f>Tiers!B351</f>
        <v>348</v>
      </c>
      <c r="C352" s="20" t="str">
        <f>Tiers!X351</f>
        <v>main-4|wild-9|bonusC-5|||||||</v>
      </c>
      <c r="D352" s="83">
        <f>Tiers!C351</f>
        <v>57</v>
      </c>
      <c r="E352" s="121">
        <v>2</v>
      </c>
      <c r="F352" s="47">
        <v>2000000</v>
      </c>
      <c r="G352" s="6">
        <f t="shared" si="20"/>
        <v>114</v>
      </c>
      <c r="H352" s="24" t="str">
        <f>'Data Analysis'!BK350 &amp; " | " &amp; 'Data Analysis'!BL350</f>
        <v>Huge Win | Bonus Game C</v>
      </c>
      <c r="I352" s="23">
        <f t="shared" si="21"/>
        <v>1000000</v>
      </c>
      <c r="J352" s="49">
        <f t="shared" si="22"/>
        <v>6</v>
      </c>
      <c r="K352" s="75">
        <f t="shared" si="23"/>
        <v>7.1832448922560529E-5</v>
      </c>
    </row>
    <row r="353" spans="2:11" ht="13.95" customHeight="1">
      <c r="B353" s="19">
        <f>Tiers!B352</f>
        <v>349</v>
      </c>
      <c r="C353" s="20" t="str">
        <f>Tiers!X352</f>
        <v>main-5|wild-2|bonusC-6|||||||</v>
      </c>
      <c r="D353" s="83">
        <f>Tiers!C352</f>
        <v>25.5</v>
      </c>
      <c r="E353" s="121">
        <v>10</v>
      </c>
      <c r="F353" s="47">
        <v>2000000</v>
      </c>
      <c r="G353" s="6">
        <f t="shared" si="20"/>
        <v>255</v>
      </c>
      <c r="H353" s="24" t="str">
        <f>'Data Analysis'!BK351 &amp; " | " &amp; 'Data Analysis'!BL351</f>
        <v>Big Win | Bonus Game C</v>
      </c>
      <c r="I353" s="23">
        <f t="shared" si="21"/>
        <v>200000</v>
      </c>
      <c r="J353" s="49">
        <f t="shared" si="22"/>
        <v>6</v>
      </c>
      <c r="K353" s="75">
        <f t="shared" si="23"/>
        <v>1.6067784627414854E-4</v>
      </c>
    </row>
    <row r="354" spans="2:11" ht="13.95" customHeight="1">
      <c r="B354" s="19">
        <f>Tiers!B353</f>
        <v>350</v>
      </c>
      <c r="C354" s="20" t="str">
        <f>Tiers!X353</f>
        <v>main-3|main-0|wild-13|bonusC-2||||||</v>
      </c>
      <c r="D354" s="83">
        <f>Tiers!C353</f>
        <v>14.1</v>
      </c>
      <c r="E354" s="121">
        <v>10</v>
      </c>
      <c r="F354" s="47">
        <v>2000000</v>
      </c>
      <c r="G354" s="6">
        <f t="shared" si="20"/>
        <v>141</v>
      </c>
      <c r="H354" s="24" t="str">
        <f>'Data Analysis'!BK352 &amp; " | " &amp; 'Data Analysis'!BL352</f>
        <v>Big Win | Bonus Game C</v>
      </c>
      <c r="I354" s="23">
        <f t="shared" si="21"/>
        <v>200000</v>
      </c>
      <c r="J354" s="49">
        <f t="shared" si="22"/>
        <v>6</v>
      </c>
      <c r="K354" s="75">
        <f t="shared" si="23"/>
        <v>8.8845397351588015E-5</v>
      </c>
    </row>
    <row r="355" spans="2:11" ht="13.95" customHeight="1">
      <c r="B355" s="19">
        <f>Tiers!B354</f>
        <v>351</v>
      </c>
      <c r="C355" s="20" t="str">
        <f>Tiers!X354</f>
        <v>main-3|main-1|wild-15|bonusC-5||||||</v>
      </c>
      <c r="D355" s="83">
        <f>Tiers!C354</f>
        <v>19.2</v>
      </c>
      <c r="E355" s="121">
        <v>10</v>
      </c>
      <c r="F355" s="47">
        <v>2000000</v>
      </c>
      <c r="G355" s="6">
        <f t="shared" si="20"/>
        <v>192</v>
      </c>
      <c r="H355" s="24" t="str">
        <f>'Data Analysis'!BK353 &amp; " | " &amp; 'Data Analysis'!BL353</f>
        <v>Big Win | Bonus Game C</v>
      </c>
      <c r="I355" s="23">
        <f t="shared" si="21"/>
        <v>200000</v>
      </c>
      <c r="J355" s="49">
        <f t="shared" si="22"/>
        <v>6</v>
      </c>
      <c r="K355" s="75">
        <f t="shared" si="23"/>
        <v>1.2098096660641772E-4</v>
      </c>
    </row>
    <row r="356" spans="2:11" ht="13.95" customHeight="1">
      <c r="B356" s="19">
        <f>Tiers!B355</f>
        <v>352</v>
      </c>
      <c r="C356" s="20" t="str">
        <f>Tiers!X355</f>
        <v>main-1|main-5|wild-16|bonusC-6||||||</v>
      </c>
      <c r="D356" s="83">
        <f>Tiers!C355</f>
        <v>30.2</v>
      </c>
      <c r="E356" s="121">
        <v>9</v>
      </c>
      <c r="F356" s="47">
        <v>2000000</v>
      </c>
      <c r="G356" s="6">
        <f t="shared" si="20"/>
        <v>271.8</v>
      </c>
      <c r="H356" s="24" t="str">
        <f>'Data Analysis'!BK354 &amp; " | " &amp; 'Data Analysis'!BL354</f>
        <v>Big Win | Bonus Game C</v>
      </c>
      <c r="I356" s="23">
        <f t="shared" si="21"/>
        <v>222222.22222222222</v>
      </c>
      <c r="J356" s="49">
        <f t="shared" si="22"/>
        <v>6</v>
      </c>
      <c r="K356" s="75">
        <f t="shared" si="23"/>
        <v>1.7126368085221009E-4</v>
      </c>
    </row>
    <row r="357" spans="2:11" ht="13.95" customHeight="1">
      <c r="B357" s="19">
        <f>Tiers!B356</f>
        <v>353</v>
      </c>
      <c r="C357" s="20" t="str">
        <f>Tiers!X356</f>
        <v>main-4|main-19|wild-17|bonusC-4||||||</v>
      </c>
      <c r="D357" s="83">
        <f>Tiers!C356</f>
        <v>29</v>
      </c>
      <c r="E357" s="121">
        <v>13</v>
      </c>
      <c r="F357" s="47">
        <v>2000000</v>
      </c>
      <c r="G357" s="6">
        <f t="shared" si="20"/>
        <v>377</v>
      </c>
      <c r="H357" s="24" t="str">
        <f>'Data Analysis'!BK355 &amp; " | " &amp; 'Data Analysis'!BL355</f>
        <v>Big Win | Bonus Game C</v>
      </c>
      <c r="I357" s="23">
        <f t="shared" si="21"/>
        <v>153846.15384615384</v>
      </c>
      <c r="J357" s="49">
        <f t="shared" si="22"/>
        <v>6</v>
      </c>
      <c r="K357" s="75">
        <f t="shared" si="23"/>
        <v>2.3755116880530981E-4</v>
      </c>
    </row>
    <row r="358" spans="2:11" ht="13.95" customHeight="1">
      <c r="B358" s="19">
        <f>Tiers!B357</f>
        <v>354</v>
      </c>
      <c r="C358" s="20" t="str">
        <f>Tiers!X357</f>
        <v>main-3|main-20|main-4|bonusC-4||||||</v>
      </c>
      <c r="D358" s="83">
        <f>Tiers!C357</f>
        <v>25</v>
      </c>
      <c r="E358" s="121">
        <v>9</v>
      </c>
      <c r="F358" s="47">
        <v>2000000</v>
      </c>
      <c r="G358" s="6">
        <f t="shared" si="20"/>
        <v>225</v>
      </c>
      <c r="H358" s="24" t="str">
        <f>'Data Analysis'!BK356 &amp; " | " &amp; 'Data Analysis'!BL356</f>
        <v>Big Win | Bonus Game C</v>
      </c>
      <c r="I358" s="23">
        <f t="shared" si="21"/>
        <v>222222.22222222222</v>
      </c>
      <c r="J358" s="49">
        <f t="shared" si="22"/>
        <v>6</v>
      </c>
      <c r="K358" s="75">
        <f t="shared" si="23"/>
        <v>1.4177457024189578E-4</v>
      </c>
    </row>
    <row r="359" spans="2:11" ht="13.95" customHeight="1">
      <c r="B359" s="19">
        <f>Tiers!B358</f>
        <v>355</v>
      </c>
      <c r="C359" s="20" t="str">
        <f>Tiers!X358</f>
        <v>main-3|main-20|wild-11|bonusC-5||||||</v>
      </c>
      <c r="D359" s="83">
        <f>Tiers!C358</f>
        <v>28</v>
      </c>
      <c r="E359" s="121">
        <v>9</v>
      </c>
      <c r="F359" s="47">
        <v>2000000</v>
      </c>
      <c r="G359" s="6">
        <f t="shared" si="20"/>
        <v>252</v>
      </c>
      <c r="H359" s="24" t="str">
        <f>'Data Analysis'!BK357 &amp; " | " &amp; 'Data Analysis'!BL357</f>
        <v>Big Win | Bonus Game C</v>
      </c>
      <c r="I359" s="23">
        <f t="shared" si="21"/>
        <v>222222.22222222222</v>
      </c>
      <c r="J359" s="49">
        <f t="shared" si="22"/>
        <v>6</v>
      </c>
      <c r="K359" s="75">
        <f t="shared" si="23"/>
        <v>1.5878751867092326E-4</v>
      </c>
    </row>
    <row r="360" spans="2:11" ht="13.95" customHeight="1">
      <c r="B360" s="19">
        <f>Tiers!B359</f>
        <v>356</v>
      </c>
      <c r="C360" s="20" t="str">
        <f>Tiers!X359</f>
        <v>main-4|main-5|wild-12|bonusC-5||||||</v>
      </c>
      <c r="D360" s="83">
        <f>Tiers!C359</f>
        <v>25</v>
      </c>
      <c r="E360" s="121">
        <v>9</v>
      </c>
      <c r="F360" s="47">
        <v>2000000</v>
      </c>
      <c r="G360" s="6">
        <f t="shared" si="20"/>
        <v>225</v>
      </c>
      <c r="H360" s="24" t="str">
        <f>'Data Analysis'!BK358 &amp; " | " &amp; 'Data Analysis'!BL358</f>
        <v>Big Win | Bonus Game C</v>
      </c>
      <c r="I360" s="23">
        <f t="shared" si="21"/>
        <v>222222.22222222222</v>
      </c>
      <c r="J360" s="49">
        <f t="shared" si="22"/>
        <v>6</v>
      </c>
      <c r="K360" s="75">
        <f t="shared" si="23"/>
        <v>1.4177457024189578E-4</v>
      </c>
    </row>
    <row r="361" spans="2:11" ht="13.95" customHeight="1">
      <c r="B361" s="19">
        <f>Tiers!B360</f>
        <v>357</v>
      </c>
      <c r="C361" s="20" t="str">
        <f>Tiers!X360</f>
        <v>main-5|main-25|wild-13|bonusC-3||||||</v>
      </c>
      <c r="D361" s="83">
        <f>Tiers!C360</f>
        <v>25</v>
      </c>
      <c r="E361" s="121">
        <v>9</v>
      </c>
      <c r="F361" s="47">
        <v>2000000</v>
      </c>
      <c r="G361" s="6">
        <f t="shared" si="20"/>
        <v>225</v>
      </c>
      <c r="H361" s="24" t="str">
        <f>'Data Analysis'!BK359 &amp; " | " &amp; 'Data Analysis'!BL359</f>
        <v>Big Win | Bonus Game C</v>
      </c>
      <c r="I361" s="23">
        <f t="shared" si="21"/>
        <v>222222.22222222222</v>
      </c>
      <c r="J361" s="49">
        <f t="shared" si="22"/>
        <v>6</v>
      </c>
      <c r="K361" s="75">
        <f t="shared" si="23"/>
        <v>1.4177457024189578E-4</v>
      </c>
    </row>
    <row r="362" spans="2:11" ht="13.95" customHeight="1">
      <c r="B362" s="19">
        <f>Tiers!B361</f>
        <v>358</v>
      </c>
      <c r="C362" s="20" t="str">
        <f>Tiers!X361</f>
        <v>main-5|main-26|wild-14|bonusC-4||||||</v>
      </c>
      <c r="D362" s="83">
        <f>Tiers!C361</f>
        <v>29</v>
      </c>
      <c r="E362" s="121">
        <v>12</v>
      </c>
      <c r="F362" s="47">
        <v>2000000</v>
      </c>
      <c r="G362" s="6">
        <f t="shared" si="20"/>
        <v>348</v>
      </c>
      <c r="H362" s="24" t="str">
        <f>'Data Analysis'!BK360 &amp; " | " &amp; 'Data Analysis'!BL360</f>
        <v>Big Win | Bonus Game C</v>
      </c>
      <c r="I362" s="23">
        <f t="shared" si="21"/>
        <v>166666.66666666666</v>
      </c>
      <c r="J362" s="49">
        <f t="shared" si="22"/>
        <v>6</v>
      </c>
      <c r="K362" s="75">
        <f t="shared" si="23"/>
        <v>2.1927800197413212E-4</v>
      </c>
    </row>
    <row r="363" spans="2:11" ht="13.95" customHeight="1">
      <c r="B363" s="19">
        <f>Tiers!B362</f>
        <v>359</v>
      </c>
      <c r="C363" s="20" t="str">
        <f>Tiers!X362</f>
        <v>main-4|main-0|main-20|bonusC-5||||||</v>
      </c>
      <c r="D363" s="83">
        <f>Tiers!C362</f>
        <v>27.1</v>
      </c>
      <c r="E363" s="121">
        <v>7</v>
      </c>
      <c r="F363" s="47">
        <v>2000000</v>
      </c>
      <c r="G363" s="6">
        <f t="shared" si="20"/>
        <v>189.70000000000002</v>
      </c>
      <c r="H363" s="24" t="str">
        <f>'Data Analysis'!BK361 &amp; " | " &amp; 'Data Analysis'!BL361</f>
        <v>Big Win | Bonus Game C</v>
      </c>
      <c r="I363" s="23">
        <f t="shared" si="21"/>
        <v>285714.28571428574</v>
      </c>
      <c r="J363" s="49">
        <f t="shared" si="22"/>
        <v>6</v>
      </c>
      <c r="K363" s="75">
        <f t="shared" si="23"/>
        <v>1.1953171544394502E-4</v>
      </c>
    </row>
    <row r="364" spans="2:11" ht="13.95" customHeight="1">
      <c r="B364" s="19">
        <f>Tiers!B363</f>
        <v>360</v>
      </c>
      <c r="C364" s="20" t="str">
        <f>Tiers!X363</f>
        <v>main-11|main-25|main-5|bonusC-4||||||</v>
      </c>
      <c r="D364" s="83">
        <f>Tiers!C363</f>
        <v>24</v>
      </c>
      <c r="E364" s="121">
        <v>9</v>
      </c>
      <c r="F364" s="47">
        <v>2000000</v>
      </c>
      <c r="G364" s="6">
        <f t="shared" si="20"/>
        <v>216</v>
      </c>
      <c r="H364" s="24" t="str">
        <f>'Data Analysis'!BK362 &amp; " | " &amp; 'Data Analysis'!BL362</f>
        <v>Big Win | Bonus Game C</v>
      </c>
      <c r="I364" s="23">
        <f t="shared" si="21"/>
        <v>222222.22222222222</v>
      </c>
      <c r="J364" s="49">
        <f t="shared" si="22"/>
        <v>6</v>
      </c>
      <c r="K364" s="75">
        <f t="shared" si="23"/>
        <v>1.3610358743221994E-4</v>
      </c>
    </row>
    <row r="365" spans="2:11" ht="13.95" customHeight="1">
      <c r="B365" s="19">
        <f>Tiers!B364</f>
        <v>361</v>
      </c>
      <c r="C365" s="20" t="str">
        <f>Tiers!X364</f>
        <v>main-18|main-19|main-5|bonusC-3||||||</v>
      </c>
      <c r="D365" s="83">
        <f>Tiers!C364</f>
        <v>23</v>
      </c>
      <c r="E365" s="121">
        <v>23</v>
      </c>
      <c r="F365" s="47">
        <v>2000000</v>
      </c>
      <c r="G365" s="6">
        <f t="shared" si="20"/>
        <v>529</v>
      </c>
      <c r="H365" s="24" t="str">
        <f>'Data Analysis'!BK363 &amp; " | " &amp; 'Data Analysis'!BL363</f>
        <v>Big Win | Bonus Game C</v>
      </c>
      <c r="I365" s="23">
        <f t="shared" si="21"/>
        <v>86956.521739130432</v>
      </c>
      <c r="J365" s="49">
        <f t="shared" si="22"/>
        <v>6</v>
      </c>
      <c r="K365" s="75">
        <f t="shared" si="23"/>
        <v>3.3332776736872381E-4</v>
      </c>
    </row>
    <row r="366" spans="2:11" ht="13.95" customHeight="1">
      <c r="B366" s="19">
        <f>Tiers!B365</f>
        <v>362</v>
      </c>
      <c r="C366" s="20" t="str">
        <f>Tiers!X365</f>
        <v>main-2|main-19|main-3|bonusC-4||||||</v>
      </c>
      <c r="D366" s="83">
        <f>Tiers!C365</f>
        <v>18.5</v>
      </c>
      <c r="E366" s="121">
        <v>20</v>
      </c>
      <c r="F366" s="47">
        <v>2000000</v>
      </c>
      <c r="G366" s="6">
        <f t="shared" si="20"/>
        <v>370</v>
      </c>
      <c r="H366" s="24" t="str">
        <f>'Data Analysis'!BK364 &amp; " | " &amp; 'Data Analysis'!BL364</f>
        <v>Big Win | Bonus Game C</v>
      </c>
      <c r="I366" s="23">
        <f t="shared" si="21"/>
        <v>100000</v>
      </c>
      <c r="J366" s="49">
        <f t="shared" si="22"/>
        <v>6</v>
      </c>
      <c r="K366" s="75">
        <f t="shared" si="23"/>
        <v>2.3314040439778415E-4</v>
      </c>
    </row>
    <row r="367" spans="2:11" ht="13.95" customHeight="1">
      <c r="B367" s="19">
        <f>Tiers!B366</f>
        <v>363</v>
      </c>
      <c r="C367" s="20" t="str">
        <f>Tiers!X366</f>
        <v>main-18|main-19|main-5|wild-13|bonusC-3|||||</v>
      </c>
      <c r="D367" s="83">
        <f>Tiers!C366</f>
        <v>28</v>
      </c>
      <c r="E367" s="121">
        <v>20</v>
      </c>
      <c r="F367" s="47">
        <v>2000000</v>
      </c>
      <c r="G367" s="6">
        <f t="shared" si="20"/>
        <v>560</v>
      </c>
      <c r="H367" s="24" t="str">
        <f>'Data Analysis'!BK365 &amp; " | " &amp; 'Data Analysis'!BL365</f>
        <v>Big Win | Bonus Game C</v>
      </c>
      <c r="I367" s="23">
        <f t="shared" si="21"/>
        <v>100000</v>
      </c>
      <c r="J367" s="49">
        <f t="shared" si="22"/>
        <v>6</v>
      </c>
      <c r="K367" s="75">
        <f t="shared" si="23"/>
        <v>3.528611526020517E-4</v>
      </c>
    </row>
    <row r="368" spans="2:11" ht="13.95" customHeight="1">
      <c r="B368" s="19">
        <f>Tiers!B367</f>
        <v>364</v>
      </c>
      <c r="C368" s="20" t="str">
        <f>Tiers!X367</f>
        <v>main-3|main-20|main-4|wild-15|bonusC-4|||||</v>
      </c>
      <c r="D368" s="83">
        <f>Tiers!C367</f>
        <v>28</v>
      </c>
      <c r="E368" s="121">
        <v>10</v>
      </c>
      <c r="F368" s="47">
        <v>2000000</v>
      </c>
      <c r="G368" s="6">
        <f t="shared" si="20"/>
        <v>280</v>
      </c>
      <c r="H368" s="24" t="str">
        <f>'Data Analysis'!BK366 &amp; " | " &amp; 'Data Analysis'!BL366</f>
        <v>Big Win | Bonus Game C</v>
      </c>
      <c r="I368" s="23">
        <f t="shared" si="21"/>
        <v>200000</v>
      </c>
      <c r="J368" s="49">
        <f t="shared" si="22"/>
        <v>6</v>
      </c>
      <c r="K368" s="75">
        <f t="shared" si="23"/>
        <v>1.7643057630102585E-4</v>
      </c>
    </row>
    <row r="369" spans="2:11" ht="13.95" customHeight="1">
      <c r="B369" s="19">
        <f>Tiers!B368</f>
        <v>365</v>
      </c>
      <c r="C369" s="20" t="str">
        <f>Tiers!X368</f>
        <v>main-4|main-0|main-1|main-18|bonusC-5|||||</v>
      </c>
      <c r="D369" s="83">
        <f>Tiers!C368</f>
        <v>20.3</v>
      </c>
      <c r="E369" s="121">
        <v>10</v>
      </c>
      <c r="F369" s="47">
        <v>2000000</v>
      </c>
      <c r="G369" s="6">
        <f t="shared" si="20"/>
        <v>203</v>
      </c>
      <c r="H369" s="24" t="str">
        <f>'Data Analysis'!BK367 &amp; " | " &amp; 'Data Analysis'!BL367</f>
        <v>Big Win | Bonus Game C</v>
      </c>
      <c r="I369" s="23">
        <f t="shared" si="21"/>
        <v>200000</v>
      </c>
      <c r="J369" s="49">
        <f t="shared" si="22"/>
        <v>6</v>
      </c>
      <c r="K369" s="75">
        <f t="shared" si="23"/>
        <v>1.2791216781824375E-4</v>
      </c>
    </row>
    <row r="370" spans="2:11" ht="13.95" customHeight="1">
      <c r="B370" s="19">
        <f>Tiers!B369</f>
        <v>366</v>
      </c>
      <c r="C370" s="20" t="str">
        <f>Tiers!X369</f>
        <v>main-0|main-4|main-0|main-19|bonusC-4|||||</v>
      </c>
      <c r="D370" s="83">
        <f>Tiers!C369</f>
        <v>19.2</v>
      </c>
      <c r="E370" s="121">
        <v>10</v>
      </c>
      <c r="F370" s="47">
        <v>2000000</v>
      </c>
      <c r="G370" s="6">
        <f t="shared" si="20"/>
        <v>192</v>
      </c>
      <c r="H370" s="24" t="str">
        <f>'Data Analysis'!BK368 &amp; " | " &amp; 'Data Analysis'!BL368</f>
        <v>Big Win | Bonus Game C</v>
      </c>
      <c r="I370" s="23">
        <f t="shared" si="21"/>
        <v>200000</v>
      </c>
      <c r="J370" s="49">
        <f t="shared" si="22"/>
        <v>6</v>
      </c>
      <c r="K370" s="75">
        <f t="shared" si="23"/>
        <v>1.2098096660641772E-4</v>
      </c>
    </row>
    <row r="371" spans="2:11" ht="13.95" customHeight="1">
      <c r="B371" s="19">
        <f>Tiers!B370</f>
        <v>367</v>
      </c>
      <c r="C371" s="20" t="str">
        <f>Tiers!X370</f>
        <v>main-0|main-13|main-26|main-18|bonusC-4|||||</v>
      </c>
      <c r="D371" s="83">
        <f>Tiers!C370</f>
        <v>30.1</v>
      </c>
      <c r="E371" s="121">
        <v>10</v>
      </c>
      <c r="F371" s="47">
        <v>2000000</v>
      </c>
      <c r="G371" s="6">
        <f t="shared" si="20"/>
        <v>301</v>
      </c>
      <c r="H371" s="24" t="str">
        <f>'Data Analysis'!BK369 &amp; " | " &amp; 'Data Analysis'!BL369</f>
        <v>Big Win | Bonus Game C</v>
      </c>
      <c r="I371" s="23">
        <f t="shared" si="21"/>
        <v>200000</v>
      </c>
      <c r="J371" s="49">
        <f t="shared" si="22"/>
        <v>6</v>
      </c>
      <c r="K371" s="75">
        <f t="shared" si="23"/>
        <v>1.8966286952360278E-4</v>
      </c>
    </row>
    <row r="372" spans="2:11" ht="13.95" customHeight="1">
      <c r="B372" s="19">
        <f>Tiers!B371</f>
        <v>368</v>
      </c>
      <c r="C372" s="20" t="str">
        <f>Tiers!X371</f>
        <v>main-5|main-13|main-25|main-0|bonusC-5|||||</v>
      </c>
      <c r="D372" s="83">
        <f>Tiers!C371</f>
        <v>30.1</v>
      </c>
      <c r="E372" s="121">
        <v>10</v>
      </c>
      <c r="F372" s="47">
        <v>2000000</v>
      </c>
      <c r="G372" s="6">
        <f t="shared" si="20"/>
        <v>301</v>
      </c>
      <c r="H372" s="24" t="str">
        <f>'Data Analysis'!BK370 &amp; " | " &amp; 'Data Analysis'!BL370</f>
        <v>Big Win | Bonus Game C</v>
      </c>
      <c r="I372" s="23">
        <f t="shared" si="21"/>
        <v>200000</v>
      </c>
      <c r="J372" s="49">
        <f t="shared" si="22"/>
        <v>6</v>
      </c>
      <c r="K372" s="75">
        <f t="shared" si="23"/>
        <v>1.8966286952360278E-4</v>
      </c>
    </row>
    <row r="373" spans="2:11" ht="13.95" customHeight="1">
      <c r="B373" s="19">
        <f>Tiers!B372</f>
        <v>369</v>
      </c>
      <c r="C373" s="20" t="str">
        <f>Tiers!X372</f>
        <v>main-5|main-25|main-19|wild-11|bonusC-6|||||</v>
      </c>
      <c r="D373" s="83">
        <f>Tiers!C372</f>
        <v>37</v>
      </c>
      <c r="E373" s="121">
        <v>10</v>
      </c>
      <c r="F373" s="47">
        <v>2000000</v>
      </c>
      <c r="G373" s="6">
        <f t="shared" si="20"/>
        <v>370</v>
      </c>
      <c r="H373" s="24" t="str">
        <f>'Data Analysis'!BK371 &amp; " | " &amp; 'Data Analysis'!BL371</f>
        <v>Big Win | Bonus Game C</v>
      </c>
      <c r="I373" s="23">
        <f t="shared" si="21"/>
        <v>200000</v>
      </c>
      <c r="J373" s="49">
        <f t="shared" si="22"/>
        <v>6</v>
      </c>
      <c r="K373" s="75">
        <f t="shared" si="23"/>
        <v>2.3314040439778415E-4</v>
      </c>
    </row>
    <row r="374" spans="2:11" ht="13.95" customHeight="1">
      <c r="B374" s="19">
        <f>Tiers!B373</f>
        <v>370</v>
      </c>
      <c r="C374" s="20" t="str">
        <f>Tiers!X373</f>
        <v>main-4|main-19|main-5|wild-2|bonusC-3|||||</v>
      </c>
      <c r="D374" s="83">
        <f>Tiers!C373</f>
        <v>22.5</v>
      </c>
      <c r="E374" s="121">
        <v>10</v>
      </c>
      <c r="F374" s="47">
        <v>2000000</v>
      </c>
      <c r="G374" s="6">
        <f t="shared" si="20"/>
        <v>225</v>
      </c>
      <c r="H374" s="24" t="str">
        <f>'Data Analysis'!BK372 &amp; " | " &amp; 'Data Analysis'!BL372</f>
        <v>Big Win | Bonus Game C</v>
      </c>
      <c r="I374" s="23">
        <f t="shared" si="21"/>
        <v>200000</v>
      </c>
      <c r="J374" s="49">
        <f t="shared" si="22"/>
        <v>6</v>
      </c>
      <c r="K374" s="75">
        <f t="shared" si="23"/>
        <v>1.4177457024189578E-4</v>
      </c>
    </row>
    <row r="375" spans="2:11" ht="13.95" customHeight="1">
      <c r="B375" s="19">
        <f>Tiers!B374</f>
        <v>371</v>
      </c>
      <c r="C375" s="217" t="str">
        <f>Tiers!X374</f>
        <v>instantA-0|||||||||</v>
      </c>
      <c r="D375" s="83">
        <f>Tiers!C374</f>
        <v>3</v>
      </c>
      <c r="E375" s="121">
        <v>1500</v>
      </c>
      <c r="F375" s="47">
        <v>2000000</v>
      </c>
      <c r="G375" s="6">
        <f t="shared" si="20"/>
        <v>4500</v>
      </c>
      <c r="H375" s="24" t="str">
        <f>'Data Analysis'!BK373 &amp; " | " &amp; 'Data Analysis'!BL373</f>
        <v>Standard Win | Instant Prize A</v>
      </c>
      <c r="I375" s="23">
        <f t="shared" si="21"/>
        <v>1333.3333333333333</v>
      </c>
      <c r="J375" s="49">
        <f t="shared" si="22"/>
        <v>11</v>
      </c>
      <c r="K375" s="75">
        <f t="shared" si="23"/>
        <v>2.8354914048379152E-3</v>
      </c>
    </row>
    <row r="376" spans="2:11" ht="13.95" customHeight="1">
      <c r="B376" s="19">
        <f>Tiers!B375</f>
        <v>372</v>
      </c>
      <c r="C376" s="217" t="str">
        <f>Tiers!X375</f>
        <v>instantA-1|||||||||</v>
      </c>
      <c r="D376" s="83">
        <f>Tiers!C375</f>
        <v>5</v>
      </c>
      <c r="E376" s="121">
        <v>1300</v>
      </c>
      <c r="F376" s="47">
        <v>2000000</v>
      </c>
      <c r="G376" s="6">
        <f t="shared" si="20"/>
        <v>6500</v>
      </c>
      <c r="H376" s="24" t="str">
        <f>'Data Analysis'!BK374 &amp; " | " &amp; 'Data Analysis'!BL374</f>
        <v>Standard Win | Instant Prize A</v>
      </c>
      <c r="I376" s="23">
        <f t="shared" si="21"/>
        <v>1538.4615384615386</v>
      </c>
      <c r="J376" s="49">
        <f t="shared" si="22"/>
        <v>10</v>
      </c>
      <c r="K376" s="75">
        <f t="shared" si="23"/>
        <v>4.0957098069880999E-3</v>
      </c>
    </row>
    <row r="377" spans="2:11" ht="13.95" customHeight="1">
      <c r="B377" s="19">
        <f>Tiers!B376</f>
        <v>373</v>
      </c>
      <c r="C377" s="217" t="str">
        <f>Tiers!X376</f>
        <v>instantA-2|||||||||</v>
      </c>
      <c r="D377" s="83">
        <f>Tiers!C376</f>
        <v>8</v>
      </c>
      <c r="E377" s="121">
        <v>800</v>
      </c>
      <c r="F377" s="47">
        <v>2000000</v>
      </c>
      <c r="G377" s="6">
        <f t="shared" si="20"/>
        <v>6400</v>
      </c>
      <c r="H377" s="24" t="str">
        <f>'Data Analysis'!BK375 &amp; " | " &amp; 'Data Analysis'!BL375</f>
        <v>Standard Win | Instant Prize A</v>
      </c>
      <c r="I377" s="23">
        <f t="shared" si="21"/>
        <v>2500</v>
      </c>
      <c r="J377" s="49">
        <f t="shared" si="22"/>
        <v>9</v>
      </c>
      <c r="K377" s="75">
        <f t="shared" si="23"/>
        <v>4.032698886880591E-3</v>
      </c>
    </row>
    <row r="378" spans="2:11" ht="13.95" customHeight="1">
      <c r="B378" s="19">
        <f>Tiers!B377</f>
        <v>374</v>
      </c>
      <c r="C378" s="217" t="str">
        <f>Tiers!X377</f>
        <v>instantA-3|||||||||</v>
      </c>
      <c r="D378" s="83">
        <f>Tiers!C377</f>
        <v>10</v>
      </c>
      <c r="E378" s="121">
        <v>500</v>
      </c>
      <c r="F378" s="47">
        <v>2000000</v>
      </c>
      <c r="G378" s="6">
        <f t="shared" si="20"/>
        <v>5000</v>
      </c>
      <c r="H378" s="24" t="str">
        <f>'Data Analysis'!BK376 &amp; " | " &amp; 'Data Analysis'!BL376</f>
        <v>Big Win | Instant Prize A</v>
      </c>
      <c r="I378" s="23">
        <f t="shared" si="21"/>
        <v>4000</v>
      </c>
      <c r="J378" s="49">
        <f t="shared" si="22"/>
        <v>8</v>
      </c>
      <c r="K378" s="75">
        <f t="shared" si="23"/>
        <v>3.1505460053754615E-3</v>
      </c>
    </row>
    <row r="379" spans="2:11" ht="13.95" customHeight="1">
      <c r="B379" s="19">
        <f>Tiers!B378</f>
        <v>375</v>
      </c>
      <c r="C379" s="217" t="str">
        <f>Tiers!X378</f>
        <v>instantA-4|||||||||</v>
      </c>
      <c r="D379" s="83">
        <f>Tiers!C378</f>
        <v>20</v>
      </c>
      <c r="E379" s="121">
        <v>200</v>
      </c>
      <c r="F379" s="47">
        <v>2000000</v>
      </c>
      <c r="G379" s="6">
        <f t="shared" si="20"/>
        <v>4000</v>
      </c>
      <c r="H379" s="24" t="str">
        <f>'Data Analysis'!BK377 &amp; " | " &amp; 'Data Analysis'!BL377</f>
        <v>Big Win | Instant Prize A</v>
      </c>
      <c r="I379" s="23">
        <f t="shared" si="21"/>
        <v>10000</v>
      </c>
      <c r="J379" s="49">
        <f t="shared" si="22"/>
        <v>7</v>
      </c>
      <c r="K379" s="75">
        <f t="shared" si="23"/>
        <v>2.5204368043003694E-3</v>
      </c>
    </row>
    <row r="380" spans="2:11" ht="13.95" customHeight="1">
      <c r="B380" s="19">
        <f>Tiers!B379</f>
        <v>376</v>
      </c>
      <c r="C380" s="119" t="str">
        <f>Tiers!X379</f>
        <v>bonusA-0|||||||||</v>
      </c>
      <c r="D380" s="83">
        <f>Tiers!C379</f>
        <v>3</v>
      </c>
      <c r="E380" s="121">
        <v>5</v>
      </c>
      <c r="F380" s="47">
        <v>2000000</v>
      </c>
      <c r="G380" s="6">
        <f t="shared" si="20"/>
        <v>15</v>
      </c>
      <c r="H380" s="24" t="str">
        <f>'Data Analysis'!BK378 &amp; " | " &amp; 'Data Analysis'!BL378</f>
        <v>Standard Win | Bonus Game A</v>
      </c>
      <c r="I380" s="23">
        <f t="shared" si="21"/>
        <v>400000</v>
      </c>
      <c r="J380" s="49">
        <f t="shared" si="22"/>
        <v>6</v>
      </c>
      <c r="K380" s="75">
        <f t="shared" si="23"/>
        <v>9.4516380161263842E-6</v>
      </c>
    </row>
    <row r="381" spans="2:11" ht="13.95" customHeight="1">
      <c r="B381" s="19">
        <f>Tiers!B380</f>
        <v>377</v>
      </c>
      <c r="C381" s="119" t="str">
        <f>Tiers!X380</f>
        <v>bonusA-1|||||||||</v>
      </c>
      <c r="D381" s="83">
        <f>Tiers!C380</f>
        <v>5</v>
      </c>
      <c r="E381" s="121">
        <v>50</v>
      </c>
      <c r="F381" s="47">
        <v>2000000</v>
      </c>
      <c r="G381" s="6">
        <f t="shared" si="20"/>
        <v>250</v>
      </c>
      <c r="H381" s="24" t="str">
        <f>'Data Analysis'!BK379 &amp; " | " &amp; 'Data Analysis'!BL379</f>
        <v>Standard Win | Bonus Game A</v>
      </c>
      <c r="I381" s="23">
        <f t="shared" si="21"/>
        <v>40000</v>
      </c>
      <c r="J381" s="49">
        <f t="shared" si="22"/>
        <v>6</v>
      </c>
      <c r="K381" s="75">
        <f t="shared" si="23"/>
        <v>1.5752730026877309E-4</v>
      </c>
    </row>
    <row r="382" spans="2:11" ht="13.95" customHeight="1">
      <c r="B382" s="19">
        <f>Tiers!B381</f>
        <v>378</v>
      </c>
      <c r="C382" s="119" t="str">
        <f>Tiers!X381</f>
        <v>bonusA-2|||||||||</v>
      </c>
      <c r="D382" s="83">
        <f>Tiers!C381</f>
        <v>8</v>
      </c>
      <c r="E382" s="121">
        <v>500</v>
      </c>
      <c r="F382" s="47">
        <v>2000000</v>
      </c>
      <c r="G382" s="6">
        <f t="shared" si="20"/>
        <v>4000</v>
      </c>
      <c r="H382" s="24" t="str">
        <f>'Data Analysis'!BK380 &amp; " | " &amp; 'Data Analysis'!BL380</f>
        <v>Standard Win | Bonus Game A</v>
      </c>
      <c r="I382" s="23">
        <f t="shared" si="21"/>
        <v>4000</v>
      </c>
      <c r="J382" s="49">
        <f t="shared" si="22"/>
        <v>8</v>
      </c>
      <c r="K382" s="75">
        <f t="shared" si="23"/>
        <v>2.5204368043003694E-3</v>
      </c>
    </row>
    <row r="383" spans="2:11" ht="13.95" customHeight="1">
      <c r="B383" s="19">
        <f>Tiers!B382</f>
        <v>379</v>
      </c>
      <c r="C383" s="119" t="str">
        <f>Tiers!X382</f>
        <v>bonusA-3|||||||||</v>
      </c>
      <c r="D383" s="83">
        <f>Tiers!C382</f>
        <v>10</v>
      </c>
      <c r="E383" s="121">
        <v>1100</v>
      </c>
      <c r="F383" s="47">
        <v>2000000</v>
      </c>
      <c r="G383" s="6">
        <f t="shared" si="20"/>
        <v>11000</v>
      </c>
      <c r="H383" s="24" t="str">
        <f>'Data Analysis'!BK381 &amp; " | " &amp; 'Data Analysis'!BL381</f>
        <v>Big Win | Bonus Game A</v>
      </c>
      <c r="I383" s="23">
        <f t="shared" si="21"/>
        <v>1818.1818181818182</v>
      </c>
      <c r="J383" s="49">
        <f t="shared" si="22"/>
        <v>10</v>
      </c>
      <c r="K383" s="75">
        <f t="shared" si="23"/>
        <v>6.9312012118260156E-3</v>
      </c>
    </row>
    <row r="384" spans="2:11" ht="13.95" customHeight="1">
      <c r="B384" s="19">
        <f>Tiers!B383</f>
        <v>380</v>
      </c>
      <c r="C384" s="119" t="str">
        <f>Tiers!X383</f>
        <v>bonusA-4|||||||||</v>
      </c>
      <c r="D384" s="83">
        <f>Tiers!C383</f>
        <v>12</v>
      </c>
      <c r="E384" s="121">
        <v>1000</v>
      </c>
      <c r="F384" s="47">
        <v>2000000</v>
      </c>
      <c r="G384" s="6">
        <f t="shared" si="20"/>
        <v>12000</v>
      </c>
      <c r="H384" s="24" t="str">
        <f>'Data Analysis'!BK382 &amp; " | " &amp; 'Data Analysis'!BL382</f>
        <v>Big Win | Bonus Game A</v>
      </c>
      <c r="I384" s="23">
        <f t="shared" si="21"/>
        <v>2000</v>
      </c>
      <c r="J384" s="49">
        <f t="shared" si="22"/>
        <v>9</v>
      </c>
      <c r="K384" s="75">
        <f t="shared" si="23"/>
        <v>7.5613104129011082E-3</v>
      </c>
    </row>
    <row r="385" spans="2:11" ht="13.95" customHeight="1">
      <c r="B385" s="19">
        <f>Tiers!B384</f>
        <v>381</v>
      </c>
      <c r="C385" s="119" t="str">
        <f>Tiers!X384</f>
        <v>bonusA-5|||||||||</v>
      </c>
      <c r="D385" s="83">
        <f>Tiers!C384</f>
        <v>15</v>
      </c>
      <c r="E385" s="121">
        <v>2000</v>
      </c>
      <c r="F385" s="47">
        <v>2000000</v>
      </c>
      <c r="G385" s="6">
        <f t="shared" si="20"/>
        <v>30000</v>
      </c>
      <c r="H385" s="24" t="str">
        <f>'Data Analysis'!BK383 &amp; " | " &amp; 'Data Analysis'!BL383</f>
        <v>Big Win | Bonus Game A</v>
      </c>
      <c r="I385" s="23">
        <f t="shared" si="21"/>
        <v>1000</v>
      </c>
      <c r="J385" s="49">
        <f t="shared" si="22"/>
        <v>13</v>
      </c>
      <c r="K385" s="75">
        <f t="shared" si="23"/>
        <v>1.890327603225277E-2</v>
      </c>
    </row>
    <row r="386" spans="2:11" ht="13.95" customHeight="1">
      <c r="B386" s="19">
        <f>Tiers!B385</f>
        <v>382</v>
      </c>
      <c r="C386" s="119" t="str">
        <f>Tiers!X385</f>
        <v>bonusA-6|||||||||</v>
      </c>
      <c r="D386" s="83">
        <f>Tiers!C385</f>
        <v>20</v>
      </c>
      <c r="E386" s="121">
        <v>3000</v>
      </c>
      <c r="F386" s="47">
        <v>2000000</v>
      </c>
      <c r="G386" s="6">
        <f t="shared" si="20"/>
        <v>60000</v>
      </c>
      <c r="H386" s="24" t="str">
        <f>'Data Analysis'!BK384 &amp; " | " &amp; 'Data Analysis'!BL384</f>
        <v>Big Win | Bonus Game A</v>
      </c>
      <c r="I386" s="23">
        <f t="shared" si="21"/>
        <v>666.66666666666663</v>
      </c>
      <c r="J386" s="49">
        <f t="shared" si="22"/>
        <v>16</v>
      </c>
      <c r="K386" s="75">
        <f t="shared" si="23"/>
        <v>3.780655206450554E-2</v>
      </c>
    </row>
    <row r="387" spans="2:11" ht="13.95" customHeight="1">
      <c r="B387" s="19">
        <f>Tiers!B386</f>
        <v>383</v>
      </c>
      <c r="C387" s="119" t="str">
        <f>Tiers!X386</f>
        <v>bonusA-7|||||||||</v>
      </c>
      <c r="D387" s="83">
        <f>Tiers!C386</f>
        <v>25</v>
      </c>
      <c r="E387" s="121">
        <v>3250</v>
      </c>
      <c r="F387" s="47">
        <v>2000000</v>
      </c>
      <c r="G387" s="6">
        <f t="shared" si="20"/>
        <v>81250</v>
      </c>
      <c r="H387" s="24" t="str">
        <f>'Data Analysis'!BK385 &amp; " | " &amp; 'Data Analysis'!BL385</f>
        <v>Big Win | Bonus Game A</v>
      </c>
      <c r="I387" s="23">
        <f t="shared" si="21"/>
        <v>615.38461538461536</v>
      </c>
      <c r="J387" s="49">
        <f t="shared" si="22"/>
        <v>17</v>
      </c>
      <c r="K387" s="75">
        <f t="shared" si="23"/>
        <v>5.1196372587351248E-2</v>
      </c>
    </row>
    <row r="388" spans="2:11" ht="13.95" customHeight="1">
      <c r="B388" s="19">
        <f>Tiers!B387</f>
        <v>384</v>
      </c>
      <c r="C388" s="119" t="str">
        <f>Tiers!X387</f>
        <v>bonusA-8|||||||||</v>
      </c>
      <c r="D388" s="83">
        <f>Tiers!C387</f>
        <v>30</v>
      </c>
      <c r="E388" s="121">
        <v>2000</v>
      </c>
      <c r="F388" s="47">
        <v>2000000</v>
      </c>
      <c r="G388" s="6">
        <f t="shared" ref="G388:G410" si="24">E388*D388</f>
        <v>60000</v>
      </c>
      <c r="H388" s="24" t="str">
        <f>'Data Analysis'!BK386 &amp; " | " &amp; 'Data Analysis'!BL386</f>
        <v>Big Win | Bonus Game A</v>
      </c>
      <c r="I388" s="23">
        <f t="shared" ref="I388:I410" si="25">F388/E388</f>
        <v>1000</v>
      </c>
      <c r="J388" s="49">
        <f t="shared" ref="J388:J410" si="26">ROUND(IF(D388=0,($N$17*0.3),((((N$17*0.7)-(N$19*N$18)))*(E388/$N$14)+$N$19)),0)</f>
        <v>13</v>
      </c>
      <c r="K388" s="75">
        <f t="shared" si="23"/>
        <v>3.780655206450554E-2</v>
      </c>
    </row>
    <row r="389" spans="2:11" ht="13.95" customHeight="1">
      <c r="B389" s="19">
        <f>Tiers!B388</f>
        <v>385</v>
      </c>
      <c r="C389" s="119" t="str">
        <f>Tiers!X388</f>
        <v>bonusA-9|||||||||</v>
      </c>
      <c r="D389" s="83">
        <f>Tiers!C388</f>
        <v>50</v>
      </c>
      <c r="E389" s="121">
        <v>500</v>
      </c>
      <c r="F389" s="47">
        <v>2000000</v>
      </c>
      <c r="G389" s="6">
        <f t="shared" si="24"/>
        <v>25000</v>
      </c>
      <c r="H389" s="24" t="str">
        <f>'Data Analysis'!BK387 &amp; " | " &amp; 'Data Analysis'!BL387</f>
        <v>Huge Win | Bonus Game A</v>
      </c>
      <c r="I389" s="23">
        <f t="shared" si="25"/>
        <v>4000</v>
      </c>
      <c r="J389" s="49">
        <f t="shared" si="26"/>
        <v>8</v>
      </c>
      <c r="K389" s="75">
        <f t="shared" ref="K389:K410" si="27">G389/N$9</f>
        <v>1.5752730026877309E-2</v>
      </c>
    </row>
    <row r="390" spans="2:11" ht="13.95" customHeight="1">
      <c r="B390" s="19">
        <f>Tiers!B389</f>
        <v>386</v>
      </c>
      <c r="C390" s="119" t="str">
        <f>Tiers!X389</f>
        <v>bonusA-10|||||||||</v>
      </c>
      <c r="D390" s="83">
        <f>Tiers!C389</f>
        <v>100</v>
      </c>
      <c r="E390" s="121">
        <v>50</v>
      </c>
      <c r="F390" s="47">
        <v>2000000</v>
      </c>
      <c r="G390" s="6">
        <f t="shared" si="24"/>
        <v>5000</v>
      </c>
      <c r="H390" s="24" t="str">
        <f>'Data Analysis'!BK388 &amp; " | " &amp; 'Data Analysis'!BL388</f>
        <v>Huge Win | Bonus Game A</v>
      </c>
      <c r="I390" s="23">
        <f t="shared" si="25"/>
        <v>40000</v>
      </c>
      <c r="J390" s="49">
        <f t="shared" si="26"/>
        <v>6</v>
      </c>
      <c r="K390" s="75">
        <f t="shared" si="27"/>
        <v>3.1505460053754615E-3</v>
      </c>
    </row>
    <row r="391" spans="2:11" ht="13.95" customHeight="1">
      <c r="B391" s="19">
        <f>Tiers!B390</f>
        <v>387</v>
      </c>
      <c r="C391" s="212" t="str">
        <f>Tiers!X390</f>
        <v>bonusB-0|||||||||</v>
      </c>
      <c r="D391" s="83">
        <f>Tiers!C390</f>
        <v>3</v>
      </c>
      <c r="E391" s="121">
        <v>5</v>
      </c>
      <c r="F391" s="47">
        <v>2000000</v>
      </c>
      <c r="G391" s="6">
        <f t="shared" si="24"/>
        <v>15</v>
      </c>
      <c r="H391" s="24" t="str">
        <f>'Data Analysis'!BK389 &amp; " | " &amp; 'Data Analysis'!BL389</f>
        <v>Standard Win | Bonus Game B</v>
      </c>
      <c r="I391" s="23">
        <f t="shared" si="25"/>
        <v>400000</v>
      </c>
      <c r="J391" s="49">
        <f t="shared" si="26"/>
        <v>6</v>
      </c>
      <c r="K391" s="75">
        <f t="shared" si="27"/>
        <v>9.4516380161263842E-6</v>
      </c>
    </row>
    <row r="392" spans="2:11" ht="13.95" customHeight="1">
      <c r="B392" s="19">
        <f>Tiers!B391</f>
        <v>388</v>
      </c>
      <c r="C392" s="212" t="str">
        <f>Tiers!X391</f>
        <v>bonusB-1|||||||||</v>
      </c>
      <c r="D392" s="83">
        <f>Tiers!C391</f>
        <v>5</v>
      </c>
      <c r="E392" s="121">
        <v>50</v>
      </c>
      <c r="F392" s="47">
        <v>2000000</v>
      </c>
      <c r="G392" s="6">
        <f t="shared" si="24"/>
        <v>250</v>
      </c>
      <c r="H392" s="24" t="str">
        <f>'Data Analysis'!BK390 &amp; " | " &amp; 'Data Analysis'!BL390</f>
        <v>Standard Win | Bonus Game B</v>
      </c>
      <c r="I392" s="23">
        <f t="shared" si="25"/>
        <v>40000</v>
      </c>
      <c r="J392" s="49">
        <f t="shared" si="26"/>
        <v>6</v>
      </c>
      <c r="K392" s="75">
        <f t="shared" si="27"/>
        <v>1.5752730026877309E-4</v>
      </c>
    </row>
    <row r="393" spans="2:11" ht="13.95" customHeight="1">
      <c r="B393" s="19">
        <f>Tiers!B392</f>
        <v>389</v>
      </c>
      <c r="C393" s="212" t="str">
        <f>Tiers!X392</f>
        <v>bonusB-2|||||||||</v>
      </c>
      <c r="D393" s="83">
        <f>Tiers!C392</f>
        <v>8</v>
      </c>
      <c r="E393" s="121">
        <v>500</v>
      </c>
      <c r="F393" s="47">
        <v>2000000</v>
      </c>
      <c r="G393" s="6">
        <f t="shared" si="24"/>
        <v>4000</v>
      </c>
      <c r="H393" s="24" t="str">
        <f>'Data Analysis'!BK391 &amp; " | " &amp; 'Data Analysis'!BL391</f>
        <v>Standard Win | Bonus Game B</v>
      </c>
      <c r="I393" s="23">
        <f t="shared" si="25"/>
        <v>4000</v>
      </c>
      <c r="J393" s="49">
        <f t="shared" si="26"/>
        <v>8</v>
      </c>
      <c r="K393" s="75">
        <f t="shared" si="27"/>
        <v>2.5204368043003694E-3</v>
      </c>
    </row>
    <row r="394" spans="2:11" ht="13.95" customHeight="1">
      <c r="B394" s="19">
        <f>Tiers!B393</f>
        <v>390</v>
      </c>
      <c r="C394" s="212" t="str">
        <f>Tiers!X393</f>
        <v>bonusB-3|||||||||</v>
      </c>
      <c r="D394" s="83">
        <f>Tiers!C393</f>
        <v>10</v>
      </c>
      <c r="E394" s="121">
        <v>1100</v>
      </c>
      <c r="F394" s="47">
        <v>2000000</v>
      </c>
      <c r="G394" s="6">
        <f t="shared" si="24"/>
        <v>11000</v>
      </c>
      <c r="H394" s="24" t="str">
        <f>'Data Analysis'!BK392 &amp; " | " &amp; 'Data Analysis'!BL392</f>
        <v>Big Win | Bonus Game B</v>
      </c>
      <c r="I394" s="23">
        <f t="shared" si="25"/>
        <v>1818.1818181818182</v>
      </c>
      <c r="J394" s="49">
        <f t="shared" si="26"/>
        <v>10</v>
      </c>
      <c r="K394" s="75">
        <f t="shared" si="27"/>
        <v>6.9312012118260156E-3</v>
      </c>
    </row>
    <row r="395" spans="2:11" ht="13.95" customHeight="1">
      <c r="B395" s="19">
        <f>Tiers!B394</f>
        <v>391</v>
      </c>
      <c r="C395" s="212" t="str">
        <f>Tiers!X394</f>
        <v>bonusB-4|||||||||</v>
      </c>
      <c r="D395" s="83">
        <f>Tiers!C394</f>
        <v>12</v>
      </c>
      <c r="E395" s="121">
        <v>1000</v>
      </c>
      <c r="F395" s="47">
        <v>2000000</v>
      </c>
      <c r="G395" s="6">
        <f t="shared" si="24"/>
        <v>12000</v>
      </c>
      <c r="H395" s="24" t="str">
        <f>'Data Analysis'!BK393 &amp; " | " &amp; 'Data Analysis'!BL393</f>
        <v>Big Win | Bonus Game B</v>
      </c>
      <c r="I395" s="23">
        <f t="shared" si="25"/>
        <v>2000</v>
      </c>
      <c r="J395" s="49">
        <f t="shared" si="26"/>
        <v>9</v>
      </c>
      <c r="K395" s="75">
        <f t="shared" si="27"/>
        <v>7.5613104129011082E-3</v>
      </c>
    </row>
    <row r="396" spans="2:11" ht="13.95" customHeight="1">
      <c r="B396" s="19">
        <f>Tiers!B395</f>
        <v>392</v>
      </c>
      <c r="C396" s="212" t="str">
        <f>Tiers!X395</f>
        <v>bonusB-5|||||||||</v>
      </c>
      <c r="D396" s="83">
        <f>Tiers!C395</f>
        <v>15</v>
      </c>
      <c r="E396" s="121">
        <v>2000</v>
      </c>
      <c r="F396" s="47">
        <v>2000000</v>
      </c>
      <c r="G396" s="6">
        <f t="shared" si="24"/>
        <v>30000</v>
      </c>
      <c r="H396" s="24" t="str">
        <f>'Data Analysis'!BK394 &amp; " | " &amp; 'Data Analysis'!BL394</f>
        <v>Big Win | Bonus Game B</v>
      </c>
      <c r="I396" s="23">
        <f t="shared" si="25"/>
        <v>1000</v>
      </c>
      <c r="J396" s="49">
        <f t="shared" si="26"/>
        <v>13</v>
      </c>
      <c r="K396" s="75">
        <f t="shared" si="27"/>
        <v>1.890327603225277E-2</v>
      </c>
    </row>
    <row r="397" spans="2:11" ht="13.95" customHeight="1">
      <c r="B397" s="19">
        <f>Tiers!B396</f>
        <v>393</v>
      </c>
      <c r="C397" s="212" t="str">
        <f>Tiers!X396</f>
        <v>bonusB-6|||||||||</v>
      </c>
      <c r="D397" s="83">
        <f>Tiers!C396</f>
        <v>20</v>
      </c>
      <c r="E397" s="121">
        <v>3000</v>
      </c>
      <c r="F397" s="47">
        <v>2000000</v>
      </c>
      <c r="G397" s="6">
        <f t="shared" si="24"/>
        <v>60000</v>
      </c>
      <c r="H397" s="24" t="str">
        <f>'Data Analysis'!BK395 &amp; " | " &amp; 'Data Analysis'!BL395</f>
        <v>Big Win | Bonus Game B</v>
      </c>
      <c r="I397" s="23">
        <f t="shared" si="25"/>
        <v>666.66666666666663</v>
      </c>
      <c r="J397" s="49">
        <f t="shared" si="26"/>
        <v>16</v>
      </c>
      <c r="K397" s="75">
        <f t="shared" si="27"/>
        <v>3.780655206450554E-2</v>
      </c>
    </row>
    <row r="398" spans="2:11" ht="13.95" customHeight="1">
      <c r="B398" s="19">
        <f>Tiers!B397</f>
        <v>394</v>
      </c>
      <c r="C398" s="212" t="str">
        <f>Tiers!X397</f>
        <v>bonusB-7|||||||||</v>
      </c>
      <c r="D398" s="83">
        <f>Tiers!C397</f>
        <v>25</v>
      </c>
      <c r="E398" s="121">
        <v>3250</v>
      </c>
      <c r="F398" s="47">
        <v>2000000</v>
      </c>
      <c r="G398" s="6">
        <f t="shared" si="24"/>
        <v>81250</v>
      </c>
      <c r="H398" s="24" t="str">
        <f>'Data Analysis'!BK396 &amp; " | " &amp; 'Data Analysis'!BL396</f>
        <v>Big Win | Bonus Game B</v>
      </c>
      <c r="I398" s="23">
        <f t="shared" si="25"/>
        <v>615.38461538461536</v>
      </c>
      <c r="J398" s="49">
        <f t="shared" si="26"/>
        <v>17</v>
      </c>
      <c r="K398" s="75">
        <f t="shared" si="27"/>
        <v>5.1196372587351248E-2</v>
      </c>
    </row>
    <row r="399" spans="2:11" ht="13.95" customHeight="1">
      <c r="B399" s="19">
        <f>Tiers!B398</f>
        <v>395</v>
      </c>
      <c r="C399" s="212" t="str">
        <f>Tiers!X398</f>
        <v>bonusB-8|||||||||</v>
      </c>
      <c r="D399" s="83">
        <f>Tiers!C398</f>
        <v>30</v>
      </c>
      <c r="E399" s="121">
        <v>2000</v>
      </c>
      <c r="F399" s="47">
        <v>2000000</v>
      </c>
      <c r="G399" s="6">
        <f t="shared" si="24"/>
        <v>60000</v>
      </c>
      <c r="H399" s="24" t="str">
        <f>'Data Analysis'!BK397 &amp; " | " &amp; 'Data Analysis'!BL397</f>
        <v>Big Win | Bonus Game B</v>
      </c>
      <c r="I399" s="23">
        <f t="shared" si="25"/>
        <v>1000</v>
      </c>
      <c r="J399" s="49">
        <f t="shared" si="26"/>
        <v>13</v>
      </c>
      <c r="K399" s="75">
        <f t="shared" si="27"/>
        <v>3.780655206450554E-2</v>
      </c>
    </row>
    <row r="400" spans="2:11" ht="13.95" customHeight="1">
      <c r="B400" s="19">
        <f>Tiers!B399</f>
        <v>396</v>
      </c>
      <c r="C400" s="212" t="str">
        <f>Tiers!X399</f>
        <v>bonusB-9|||||||||</v>
      </c>
      <c r="D400" s="83">
        <f>Tiers!C399</f>
        <v>50</v>
      </c>
      <c r="E400" s="121">
        <v>500</v>
      </c>
      <c r="F400" s="47">
        <v>2000000</v>
      </c>
      <c r="G400" s="6">
        <f t="shared" si="24"/>
        <v>25000</v>
      </c>
      <c r="H400" s="24" t="str">
        <f>'Data Analysis'!BK398 &amp; " | " &amp; 'Data Analysis'!BL398</f>
        <v>Huge Win | Bonus Game B</v>
      </c>
      <c r="I400" s="23">
        <f t="shared" si="25"/>
        <v>4000</v>
      </c>
      <c r="J400" s="49">
        <f t="shared" si="26"/>
        <v>8</v>
      </c>
      <c r="K400" s="75">
        <f t="shared" si="27"/>
        <v>1.5752730026877309E-2</v>
      </c>
    </row>
    <row r="401" spans="2:11" ht="13.95" customHeight="1">
      <c r="B401" s="19">
        <f>Tiers!B400</f>
        <v>397</v>
      </c>
      <c r="C401" s="212" t="str">
        <f>Tiers!X400</f>
        <v>bonusB-10|||||||||</v>
      </c>
      <c r="D401" s="83">
        <f>Tiers!C400</f>
        <v>100</v>
      </c>
      <c r="E401" s="121">
        <v>50</v>
      </c>
      <c r="F401" s="47">
        <v>2000000</v>
      </c>
      <c r="G401" s="6">
        <f t="shared" si="24"/>
        <v>5000</v>
      </c>
      <c r="H401" s="24" t="str">
        <f>'Data Analysis'!BK399 &amp; " | " &amp; 'Data Analysis'!BL399</f>
        <v>Huge Win | Bonus Game B</v>
      </c>
      <c r="I401" s="23">
        <f t="shared" si="25"/>
        <v>40000</v>
      </c>
      <c r="J401" s="49">
        <f t="shared" si="26"/>
        <v>6</v>
      </c>
      <c r="K401" s="75">
        <f t="shared" si="27"/>
        <v>3.1505460053754615E-3</v>
      </c>
    </row>
    <row r="402" spans="2:11" ht="13.95" customHeight="1">
      <c r="B402" s="19">
        <f>Tiers!B401</f>
        <v>398</v>
      </c>
      <c r="C402" s="224" t="str">
        <f>Tiers!X401</f>
        <v>bonusC-0|||||||||</v>
      </c>
      <c r="D402" s="83">
        <f>Tiers!C401</f>
        <v>3</v>
      </c>
      <c r="E402" s="121">
        <v>3000</v>
      </c>
      <c r="F402" s="47">
        <v>2000000</v>
      </c>
      <c r="G402" s="6">
        <f t="shared" si="24"/>
        <v>9000</v>
      </c>
      <c r="H402" s="24" t="str">
        <f>'Data Analysis'!BK400 &amp; " | " &amp; 'Data Analysis'!BL400</f>
        <v>Standard Win | Bonus Game C</v>
      </c>
      <c r="I402" s="23">
        <f t="shared" si="25"/>
        <v>666.66666666666663</v>
      </c>
      <c r="J402" s="49">
        <f t="shared" si="26"/>
        <v>16</v>
      </c>
      <c r="K402" s="75">
        <f t="shared" si="27"/>
        <v>5.6709828096758305E-3</v>
      </c>
    </row>
    <row r="403" spans="2:11" ht="13.95" customHeight="1">
      <c r="B403" s="19">
        <f>Tiers!B402</f>
        <v>399</v>
      </c>
      <c r="C403" s="224" t="str">
        <f>Tiers!X402</f>
        <v>bonusC-1|||||||||</v>
      </c>
      <c r="D403" s="83">
        <f>Tiers!C402</f>
        <v>5</v>
      </c>
      <c r="E403" s="121">
        <v>7700</v>
      </c>
      <c r="F403" s="47">
        <v>2000000</v>
      </c>
      <c r="G403" s="6">
        <f t="shared" si="24"/>
        <v>38500</v>
      </c>
      <c r="H403" s="24" t="str">
        <f>'Data Analysis'!BK401 &amp; " | " &amp; 'Data Analysis'!BL401</f>
        <v>Standard Win | Bonus Game C</v>
      </c>
      <c r="I403" s="23">
        <f t="shared" si="25"/>
        <v>259.74025974025972</v>
      </c>
      <c r="J403" s="49">
        <f t="shared" si="26"/>
        <v>32</v>
      </c>
      <c r="K403" s="75">
        <f t="shared" si="27"/>
        <v>2.4259204241391056E-2</v>
      </c>
    </row>
    <row r="404" spans="2:11" ht="13.95" customHeight="1">
      <c r="B404" s="19">
        <f>Tiers!B403</f>
        <v>400</v>
      </c>
      <c r="C404" s="224" t="str">
        <f>Tiers!X403</f>
        <v>bonusC-2|||||||||</v>
      </c>
      <c r="D404" s="83">
        <f>Tiers!C403</f>
        <v>8</v>
      </c>
      <c r="E404" s="121">
        <v>8500</v>
      </c>
      <c r="F404" s="47">
        <v>2000000</v>
      </c>
      <c r="G404" s="6">
        <f t="shared" si="24"/>
        <v>68000</v>
      </c>
      <c r="H404" s="24" t="str">
        <f>'Data Analysis'!BK402 &amp; " | " &amp; 'Data Analysis'!BL402</f>
        <v>Standard Win | Bonus Game C</v>
      </c>
      <c r="I404" s="23">
        <f t="shared" si="25"/>
        <v>235.29411764705881</v>
      </c>
      <c r="J404" s="49">
        <f t="shared" si="26"/>
        <v>35</v>
      </c>
      <c r="K404" s="75">
        <f t="shared" si="27"/>
        <v>4.2847425673106281E-2</v>
      </c>
    </row>
    <row r="405" spans="2:11" ht="13.95" customHeight="1">
      <c r="B405" s="19">
        <f>Tiers!B404</f>
        <v>401</v>
      </c>
      <c r="C405" s="224" t="str">
        <f>Tiers!X404</f>
        <v>bonusC-3|||||||||</v>
      </c>
      <c r="D405" s="83">
        <f>Tiers!C404</f>
        <v>10</v>
      </c>
      <c r="E405" s="121">
        <v>8500</v>
      </c>
      <c r="F405" s="47">
        <v>2000000</v>
      </c>
      <c r="G405" s="6">
        <f t="shared" si="24"/>
        <v>85000</v>
      </c>
      <c r="H405" s="24" t="str">
        <f>'Data Analysis'!BK403 &amp; " | " &amp; 'Data Analysis'!BL403</f>
        <v>Big Win | Bonus Game C</v>
      </c>
      <c r="I405" s="23">
        <f t="shared" si="25"/>
        <v>235.29411764705881</v>
      </c>
      <c r="J405" s="49">
        <f t="shared" si="26"/>
        <v>35</v>
      </c>
      <c r="K405" s="75">
        <f t="shared" si="27"/>
        <v>5.3559282091382845E-2</v>
      </c>
    </row>
    <row r="406" spans="2:11" ht="13.95" customHeight="1">
      <c r="B406" s="19">
        <f>Tiers!B405</f>
        <v>402</v>
      </c>
      <c r="C406" s="224" t="str">
        <f>Tiers!X405</f>
        <v>bonusC-4|||||||||</v>
      </c>
      <c r="D406" s="83">
        <f>Tiers!C405</f>
        <v>12</v>
      </c>
      <c r="E406" s="121">
        <v>7000</v>
      </c>
      <c r="F406" s="47">
        <v>2000000</v>
      </c>
      <c r="G406" s="6">
        <f t="shared" si="24"/>
        <v>84000</v>
      </c>
      <c r="H406" s="24" t="str">
        <f>'Data Analysis'!BK404 &amp; " | " &amp; 'Data Analysis'!BL404</f>
        <v>Big Win | Bonus Game C</v>
      </c>
      <c r="I406" s="23">
        <f t="shared" si="25"/>
        <v>285.71428571428572</v>
      </c>
      <c r="J406" s="49">
        <f t="shared" si="26"/>
        <v>30</v>
      </c>
      <c r="K406" s="75">
        <f t="shared" si="27"/>
        <v>5.2929172890307755E-2</v>
      </c>
    </row>
    <row r="407" spans="2:11" ht="13.95" customHeight="1">
      <c r="B407" s="19">
        <f>Tiers!B406</f>
        <v>403</v>
      </c>
      <c r="C407" s="224" t="str">
        <f>Tiers!X406</f>
        <v>bonusC-5|||||||||</v>
      </c>
      <c r="D407" s="83">
        <f>Tiers!C406</f>
        <v>15</v>
      </c>
      <c r="E407" s="121">
        <v>6000</v>
      </c>
      <c r="F407" s="47">
        <v>2000000</v>
      </c>
      <c r="G407" s="6">
        <f t="shared" si="24"/>
        <v>90000</v>
      </c>
      <c r="H407" s="24" t="str">
        <f>'Data Analysis'!BK405 &amp; " | " &amp; 'Data Analysis'!BL405</f>
        <v>Big Win | Bonus Game C</v>
      </c>
      <c r="I407" s="23">
        <f t="shared" si="25"/>
        <v>333.33333333333331</v>
      </c>
      <c r="J407" s="49">
        <f t="shared" si="26"/>
        <v>27</v>
      </c>
      <c r="K407" s="75">
        <f t="shared" si="27"/>
        <v>5.6709828096758307E-2</v>
      </c>
    </row>
    <row r="408" spans="2:11" ht="13.95" customHeight="1">
      <c r="B408" s="19">
        <f>Tiers!B407</f>
        <v>404</v>
      </c>
      <c r="C408" s="224" t="str">
        <f>Tiers!X407</f>
        <v>bonusC-6|||||||||</v>
      </c>
      <c r="D408" s="83">
        <f>Tiers!C407</f>
        <v>20</v>
      </c>
      <c r="E408" s="121">
        <v>3000</v>
      </c>
      <c r="F408" s="47">
        <v>2000000</v>
      </c>
      <c r="G408" s="6">
        <f t="shared" si="24"/>
        <v>60000</v>
      </c>
      <c r="H408" s="24" t="str">
        <f>'Data Analysis'!BK406 &amp; " | " &amp; 'Data Analysis'!BL406</f>
        <v>Big Win | Bonus Game C</v>
      </c>
      <c r="I408" s="23">
        <f t="shared" si="25"/>
        <v>666.66666666666663</v>
      </c>
      <c r="J408" s="49">
        <f t="shared" si="26"/>
        <v>16</v>
      </c>
      <c r="K408" s="75">
        <f t="shared" si="27"/>
        <v>3.780655206450554E-2</v>
      </c>
    </row>
    <row r="409" spans="2:11" ht="13.95" customHeight="1">
      <c r="B409" s="19">
        <f>Tiers!B408</f>
        <v>405</v>
      </c>
      <c r="C409" s="224" t="str">
        <f>Tiers!X408</f>
        <v>bonusC-7|||||||||</v>
      </c>
      <c r="D409" s="83">
        <f>Tiers!C408</f>
        <v>100</v>
      </c>
      <c r="E409" s="121">
        <v>50</v>
      </c>
      <c r="F409" s="47">
        <v>2000000</v>
      </c>
      <c r="G409" s="6">
        <f t="shared" si="24"/>
        <v>5000</v>
      </c>
      <c r="H409" s="24" t="str">
        <f>'Data Analysis'!BK407 &amp; " | " &amp; 'Data Analysis'!BL407</f>
        <v>Huge Win | Bonus Game C</v>
      </c>
      <c r="I409" s="23">
        <f t="shared" si="25"/>
        <v>40000</v>
      </c>
      <c r="J409" s="49">
        <f t="shared" si="26"/>
        <v>6</v>
      </c>
      <c r="K409" s="75">
        <f t="shared" si="27"/>
        <v>3.1505460053754615E-3</v>
      </c>
    </row>
    <row r="410" spans="2:11" s="10" customFormat="1" ht="13.95" customHeight="1" thickBot="1">
      <c r="B410" s="43">
        <f>Tiers!B409</f>
        <v>406</v>
      </c>
      <c r="C410" s="225" t="str">
        <f>Tiers!X409</f>
        <v>bonusC-8|||||||||</v>
      </c>
      <c r="D410" s="102">
        <f>Tiers!C409</f>
        <v>500</v>
      </c>
      <c r="E410" s="122">
        <v>1</v>
      </c>
      <c r="F410" s="123">
        <v>2000000</v>
      </c>
      <c r="G410" s="129">
        <f t="shared" si="24"/>
        <v>500</v>
      </c>
      <c r="H410" s="226" t="str">
        <f>'Data Analysis'!BK408 &amp; " | " &amp; 'Data Analysis'!BL408</f>
        <v>Huge Win | Bonus Game C</v>
      </c>
      <c r="I410" s="85">
        <f t="shared" si="25"/>
        <v>2000000</v>
      </c>
      <c r="J410" s="74">
        <f t="shared" si="26"/>
        <v>6</v>
      </c>
      <c r="K410" s="76">
        <f t="shared" si="27"/>
        <v>3.1505460053754617E-4</v>
      </c>
    </row>
    <row r="411" spans="2:11">
      <c r="E411" s="127">
        <f>SUM(E4:E410)</f>
        <v>2000000</v>
      </c>
      <c r="F411" s="128"/>
      <c r="G411" s="127">
        <f>SUM(G4:G410)</f>
        <v>1587026.5</v>
      </c>
      <c r="J411" s="49"/>
      <c r="K411" s="109">
        <f>SUM(K4:K410)</f>
        <v>0.99999999999999944</v>
      </c>
    </row>
    <row r="419" spans="3:3">
      <c r="C419" s="121"/>
    </row>
    <row r="420" spans="3:3">
      <c r="C420" s="121"/>
    </row>
    <row r="421" spans="3:3">
      <c r="C421" s="121"/>
    </row>
    <row r="422" spans="3:3">
      <c r="C422" s="121"/>
    </row>
    <row r="423" spans="3:3">
      <c r="C423" s="121"/>
    </row>
    <row r="424" spans="3:3">
      <c r="C424" s="121"/>
    </row>
    <row r="425" spans="3:3">
      <c r="C425" s="121"/>
    </row>
    <row r="426" spans="3:3">
      <c r="C426" s="121"/>
    </row>
    <row r="427" spans="3:3">
      <c r="C427" s="121"/>
    </row>
    <row r="428" spans="3:3">
      <c r="C428" s="121"/>
    </row>
    <row r="429" spans="3:3">
      <c r="C429" s="121"/>
    </row>
  </sheetData>
  <autoFilter ref="B3:K335" xr:uid="{00000000-0009-0000-0000-000000000000}"/>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W32"/>
  <sheetViews>
    <sheetView workbookViewId="0"/>
  </sheetViews>
  <sheetFormatPr defaultRowHeight="13.2"/>
  <cols>
    <col min="2" max="2" width="20.88671875" customWidth="1"/>
    <col min="3" max="3" width="27.109375" customWidth="1"/>
    <col min="4" max="4" width="16.44140625" customWidth="1"/>
    <col min="5" max="5" width="13.44140625" bestFit="1" customWidth="1"/>
    <col min="6" max="6" width="12.44140625" bestFit="1" customWidth="1"/>
    <col min="7" max="7" width="14.77734375" customWidth="1"/>
    <col min="8" max="8" width="14.6640625" bestFit="1" customWidth="1"/>
    <col min="9" max="9" width="11.6640625" bestFit="1" customWidth="1"/>
    <col min="10" max="10" width="14.33203125" customWidth="1"/>
    <col min="11" max="11" width="14.44140625" customWidth="1"/>
    <col min="13" max="23" width="13.109375" customWidth="1"/>
  </cols>
  <sheetData>
    <row r="2" spans="2:23">
      <c r="B2" s="130" t="s">
        <v>190</v>
      </c>
      <c r="C2" s="131">
        <v>150000000</v>
      </c>
      <c r="D2" s="4"/>
      <c r="E2" t="s">
        <v>191</v>
      </c>
      <c r="H2" s="132"/>
      <c r="I2" s="133"/>
      <c r="J2" s="133"/>
      <c r="K2" s="134"/>
    </row>
    <row r="3" spans="2:23">
      <c r="B3" s="130" t="s">
        <v>192</v>
      </c>
      <c r="C3" s="135">
        <v>1</v>
      </c>
      <c r="D3" s="136"/>
      <c r="E3" s="137" t="s">
        <v>193</v>
      </c>
      <c r="F3" s="138" t="s">
        <v>194</v>
      </c>
      <c r="G3" s="132" t="s">
        <v>195</v>
      </c>
      <c r="H3" s="132"/>
      <c r="I3" s="133"/>
      <c r="J3" s="133"/>
      <c r="K3" s="134"/>
    </row>
    <row r="4" spans="2:23">
      <c r="B4" s="130" t="s">
        <v>196</v>
      </c>
      <c r="C4" s="139">
        <f>C2*C3</f>
        <v>150000000</v>
      </c>
      <c r="D4" s="4"/>
      <c r="E4" t="s">
        <v>197</v>
      </c>
      <c r="F4" s="137">
        <f>N11</f>
        <v>225000</v>
      </c>
      <c r="G4" s="137">
        <f>N12</f>
        <v>225000</v>
      </c>
      <c r="H4" s="132"/>
      <c r="I4" s="133"/>
      <c r="J4" s="133"/>
      <c r="K4" s="134"/>
    </row>
    <row r="5" spans="2:23">
      <c r="B5" s="130" t="s">
        <v>198</v>
      </c>
      <c r="C5" s="140">
        <f>C3*C6</f>
        <v>0.03</v>
      </c>
      <c r="D5" s="141"/>
      <c r="E5" t="s">
        <v>199</v>
      </c>
      <c r="F5" s="218">
        <f>K18*100</f>
        <v>1.35</v>
      </c>
      <c r="G5" s="218">
        <f>K19*100</f>
        <v>1.35</v>
      </c>
      <c r="H5" s="132"/>
      <c r="I5" s="133"/>
      <c r="J5" s="133"/>
      <c r="K5" s="134"/>
    </row>
    <row r="6" spans="2:23">
      <c r="B6" s="130" t="s">
        <v>200</v>
      </c>
      <c r="C6" s="142">
        <f>W15</f>
        <v>0.03</v>
      </c>
      <c r="D6" s="143"/>
      <c r="E6" s="144"/>
      <c r="F6" s="137"/>
      <c r="G6" s="138"/>
      <c r="H6" s="132"/>
      <c r="I6" s="133"/>
      <c r="J6" s="133"/>
      <c r="K6" s="134"/>
    </row>
    <row r="7" spans="2:23">
      <c r="B7" s="130" t="s">
        <v>201</v>
      </c>
      <c r="C7" s="131">
        <v>450000</v>
      </c>
      <c r="D7" s="4"/>
      <c r="E7" s="144"/>
      <c r="F7" s="137"/>
      <c r="G7" s="138"/>
      <c r="H7" s="132"/>
      <c r="I7" s="133"/>
      <c r="J7" s="133"/>
      <c r="K7" s="134"/>
    </row>
    <row r="8" spans="2:23">
      <c r="B8" s="145"/>
      <c r="C8" s="19"/>
      <c r="D8" s="19"/>
      <c r="E8" s="144"/>
      <c r="F8" s="137"/>
      <c r="G8" s="138"/>
      <c r="H8" s="132"/>
      <c r="I8" s="133"/>
      <c r="J8" s="133"/>
      <c r="K8" s="134"/>
    </row>
    <row r="9" spans="2:23" ht="13.8" customHeight="1" thickBot="1">
      <c r="B9" s="146" t="s">
        <v>202</v>
      </c>
      <c r="C9" s="19"/>
      <c r="D9" s="19"/>
      <c r="E9" s="144"/>
      <c r="F9" s="137"/>
      <c r="G9" s="138"/>
      <c r="H9" s="132"/>
      <c r="I9" s="133"/>
      <c r="J9" s="133"/>
      <c r="K9" s="147">
        <f>C6-C21</f>
        <v>2.9999999999999992E-3</v>
      </c>
      <c r="M9" s="133" t="s">
        <v>203</v>
      </c>
    </row>
    <row r="10" spans="2:23" ht="13.8" customHeight="1" thickBot="1">
      <c r="B10" s="130" t="s">
        <v>204</v>
      </c>
      <c r="C10" s="130" t="s">
        <v>205</v>
      </c>
      <c r="D10" s="130" t="s">
        <v>206</v>
      </c>
      <c r="E10" s="148" t="s">
        <v>2</v>
      </c>
      <c r="F10" s="149" t="s">
        <v>207</v>
      </c>
      <c r="G10" s="150" t="s">
        <v>208</v>
      </c>
      <c r="H10" s="151" t="s">
        <v>209</v>
      </c>
      <c r="I10" s="151" t="s">
        <v>210</v>
      </c>
      <c r="J10" s="151" t="s">
        <v>211</v>
      </c>
      <c r="K10" s="151" t="s">
        <v>198</v>
      </c>
      <c r="M10" s="152" t="s">
        <v>212</v>
      </c>
      <c r="N10" s="153" t="s">
        <v>202</v>
      </c>
      <c r="O10" s="153" t="s">
        <v>213</v>
      </c>
      <c r="P10" s="153" t="s">
        <v>214</v>
      </c>
      <c r="Q10" s="154" t="s">
        <v>208</v>
      </c>
      <c r="R10" s="155" t="s">
        <v>215</v>
      </c>
      <c r="S10" s="155" t="s">
        <v>210</v>
      </c>
      <c r="T10" s="153" t="s">
        <v>216</v>
      </c>
      <c r="U10" s="153" t="s">
        <v>217</v>
      </c>
      <c r="V10" s="153" t="s">
        <v>218</v>
      </c>
      <c r="W10" s="156" t="s">
        <v>219</v>
      </c>
    </row>
    <row r="11" spans="2:23">
      <c r="B11" s="7">
        <v>1</v>
      </c>
      <c r="C11" s="157" t="s">
        <v>194</v>
      </c>
      <c r="D11" s="157" t="s">
        <v>220</v>
      </c>
      <c r="E11" s="158">
        <f>N11</f>
        <v>225000</v>
      </c>
      <c r="F11" s="159">
        <f>C3*M11</f>
        <v>1</v>
      </c>
      <c r="G11" s="158">
        <f>C2</f>
        <v>150000000</v>
      </c>
      <c r="H11" s="158">
        <f>G11/F11</f>
        <v>150000000</v>
      </c>
      <c r="I11" s="158">
        <f>E11*F11</f>
        <v>225000</v>
      </c>
      <c r="J11" s="160">
        <f>I11/I14</f>
        <v>0.5</v>
      </c>
      <c r="K11" s="161">
        <f>S15*J11*C3</f>
        <v>1.5E-3</v>
      </c>
      <c r="M11" s="162">
        <v>1</v>
      </c>
      <c r="N11" s="163">
        <v>225000</v>
      </c>
      <c r="O11" s="163">
        <v>2250000</v>
      </c>
      <c r="P11" s="164">
        <v>4</v>
      </c>
      <c r="Q11" s="165">
        <f>C2</f>
        <v>150000000</v>
      </c>
      <c r="R11" s="165">
        <f>Q11/F11</f>
        <v>150000000</v>
      </c>
      <c r="S11" s="165">
        <f>M11*E11</f>
        <v>225000</v>
      </c>
      <c r="T11" s="165">
        <f>O11-N11</f>
        <v>2025000</v>
      </c>
      <c r="U11" s="165">
        <f>T11*M11</f>
        <v>2025000</v>
      </c>
      <c r="V11" s="166">
        <f>U11/U14</f>
        <v>0.5</v>
      </c>
      <c r="W11" s="167">
        <f>O11*M11</f>
        <v>2250000</v>
      </c>
    </row>
    <row r="12" spans="2:23">
      <c r="B12" s="7">
        <v>2</v>
      </c>
      <c r="C12" s="157" t="s">
        <v>195</v>
      </c>
      <c r="D12" s="157" t="s">
        <v>221</v>
      </c>
      <c r="E12" s="158">
        <f>N12</f>
        <v>225000</v>
      </c>
      <c r="F12" s="159">
        <f>C3*M12</f>
        <v>1</v>
      </c>
      <c r="G12" s="158">
        <f>C2</f>
        <v>150000000</v>
      </c>
      <c r="H12" s="158">
        <f>G12/F12</f>
        <v>150000000</v>
      </c>
      <c r="I12" s="158">
        <f>E12*F12</f>
        <v>225000</v>
      </c>
      <c r="J12" s="160">
        <f>I12/I14</f>
        <v>0.5</v>
      </c>
      <c r="K12" s="161">
        <f>S15*J12*C3</f>
        <v>1.5E-3</v>
      </c>
      <c r="M12" s="168">
        <v>1</v>
      </c>
      <c r="N12" s="169">
        <v>225000</v>
      </c>
      <c r="O12" s="169">
        <v>2250000</v>
      </c>
      <c r="P12" s="170">
        <v>4</v>
      </c>
      <c r="Q12" s="127">
        <f>C2</f>
        <v>150000000</v>
      </c>
      <c r="R12" s="127">
        <f>Q12/F12</f>
        <v>150000000</v>
      </c>
      <c r="S12" s="127">
        <f>M12*E12</f>
        <v>225000</v>
      </c>
      <c r="T12" s="127">
        <f>O12-N12</f>
        <v>2025000</v>
      </c>
      <c r="U12" s="127">
        <f>T12*M12</f>
        <v>2025000</v>
      </c>
      <c r="V12" s="171">
        <f>U12/U14</f>
        <v>0.5</v>
      </c>
      <c r="W12" s="172">
        <f>O12*M12</f>
        <v>2250000</v>
      </c>
    </row>
    <row r="13" spans="2:23" ht="13.8" customHeight="1" thickBot="1">
      <c r="B13" s="7"/>
      <c r="C13" s="157"/>
      <c r="D13" s="157"/>
      <c r="E13" s="158"/>
      <c r="F13" s="159"/>
      <c r="G13" s="158"/>
      <c r="H13" s="158"/>
      <c r="I13" s="158"/>
      <c r="J13" s="160"/>
      <c r="K13" s="161"/>
      <c r="M13" s="173"/>
      <c r="N13" s="174"/>
      <c r="O13" s="174"/>
      <c r="P13" s="175"/>
      <c r="Q13" s="176"/>
      <c r="R13" s="176"/>
      <c r="S13" s="176"/>
      <c r="T13" s="176"/>
      <c r="U13" s="176"/>
      <c r="V13" s="177"/>
      <c r="W13" s="178"/>
    </row>
    <row r="14" spans="2:23">
      <c r="B14" s="130" t="s">
        <v>222</v>
      </c>
      <c r="C14" s="147">
        <f>I14/C4</f>
        <v>3.0000000000000001E-3</v>
      </c>
      <c r="D14" s="147"/>
      <c r="E14" s="179"/>
      <c r="F14" s="180">
        <f>SUM(F11:F13)</f>
        <v>2</v>
      </c>
      <c r="G14" s="150"/>
      <c r="H14" s="181">
        <f>C2/F14</f>
        <v>75000000</v>
      </c>
      <c r="I14" s="180">
        <f>SUM(I11:I13)</f>
        <v>450000</v>
      </c>
      <c r="J14" s="151">
        <f>SUM(J11:J13)</f>
        <v>1</v>
      </c>
      <c r="K14" s="182">
        <f>SUM(K11:K13)</f>
        <v>3.0000000000000001E-3</v>
      </c>
      <c r="M14" s="183">
        <f>SUM(M11:M13)</f>
        <v>2</v>
      </c>
      <c r="N14" s="184"/>
      <c r="O14" s="184"/>
      <c r="P14" s="1"/>
      <c r="Q14" s="185"/>
      <c r="R14" s="186"/>
      <c r="S14" s="186">
        <f>SUM(S11:S13)</f>
        <v>450000</v>
      </c>
      <c r="T14" s="127"/>
      <c r="U14" s="186">
        <f>SUM(U11:U13)</f>
        <v>4050000</v>
      </c>
      <c r="V14" s="186">
        <f>SUM(V11:V13)</f>
        <v>1</v>
      </c>
      <c r="W14" s="127">
        <f>SUM(W11:W13)</f>
        <v>4500000</v>
      </c>
    </row>
    <row r="15" spans="2:23">
      <c r="B15" s="145"/>
      <c r="C15" s="19"/>
      <c r="D15" s="19"/>
      <c r="E15" s="144"/>
      <c r="F15" s="137"/>
      <c r="G15" s="138"/>
      <c r="H15" s="132"/>
      <c r="I15" s="133"/>
      <c r="J15" s="133"/>
      <c r="K15" s="134"/>
      <c r="M15" s="187"/>
      <c r="N15" s="5"/>
      <c r="O15" s="184"/>
      <c r="P15" s="184"/>
      <c r="Q15" s="1"/>
      <c r="R15" s="1"/>
      <c r="S15" s="188">
        <f>S14/C2</f>
        <v>3.0000000000000001E-3</v>
      </c>
      <c r="T15" s="184"/>
      <c r="U15" s="188">
        <f>U14/C2</f>
        <v>2.7E-2</v>
      </c>
      <c r="V15" s="184"/>
      <c r="W15" s="189">
        <f>W14/C2</f>
        <v>0.03</v>
      </c>
    </row>
    <row r="16" spans="2:23">
      <c r="B16" s="146" t="s">
        <v>223</v>
      </c>
      <c r="C16" s="19"/>
      <c r="D16" s="19"/>
      <c r="E16" s="144"/>
      <c r="F16" s="137"/>
      <c r="G16" s="138"/>
      <c r="H16" s="132"/>
      <c r="I16" s="133"/>
      <c r="J16" s="133"/>
      <c r="K16" s="147">
        <f>C6-C14</f>
        <v>2.7E-2</v>
      </c>
      <c r="M16" s="145"/>
      <c r="N16" s="83"/>
      <c r="O16" s="144"/>
      <c r="P16" s="18"/>
      <c r="Q16" s="137"/>
      <c r="R16" s="138"/>
      <c r="S16" s="18"/>
      <c r="U16" s="18"/>
    </row>
    <row r="17" spans="2:20">
      <c r="B17" s="130" t="s">
        <v>204</v>
      </c>
      <c r="C17" s="130" t="s">
        <v>205</v>
      </c>
      <c r="D17" s="130" t="s">
        <v>206</v>
      </c>
      <c r="E17" s="148" t="s">
        <v>224</v>
      </c>
      <c r="F17" s="149" t="s">
        <v>207</v>
      </c>
      <c r="G17" s="150" t="s">
        <v>208</v>
      </c>
      <c r="H17" s="151" t="s">
        <v>209</v>
      </c>
      <c r="I17" s="151" t="s">
        <v>210</v>
      </c>
      <c r="J17" s="151" t="s">
        <v>211</v>
      </c>
      <c r="K17" s="151" t="s">
        <v>198</v>
      </c>
      <c r="M17" s="145"/>
      <c r="N17" s="143"/>
      <c r="O17" s="144"/>
      <c r="P17" s="137"/>
      <c r="Q17" s="138"/>
      <c r="R17" s="134"/>
      <c r="S17" s="133"/>
      <c r="T17" s="134"/>
    </row>
    <row r="18" spans="2:20">
      <c r="B18" s="7">
        <v>1</v>
      </c>
      <c r="C18" s="157" t="s">
        <v>194</v>
      </c>
      <c r="D18" s="157" t="s">
        <v>220</v>
      </c>
      <c r="E18" s="158">
        <f>K18*H18</f>
        <v>2025000</v>
      </c>
      <c r="F18" s="159">
        <f>C3*M11</f>
        <v>1</v>
      </c>
      <c r="G18" s="158">
        <f>C2</f>
        <v>150000000</v>
      </c>
      <c r="H18" s="158">
        <f>G18/F18</f>
        <v>150000000</v>
      </c>
      <c r="I18" s="158">
        <f>E18*F18</f>
        <v>2025000</v>
      </c>
      <c r="J18" s="160">
        <f>V11</f>
        <v>0.5</v>
      </c>
      <c r="K18" s="161">
        <f>U15*J18*C3</f>
        <v>1.35E-2</v>
      </c>
      <c r="M18" s="145"/>
      <c r="N18" s="143"/>
      <c r="O18" s="144"/>
      <c r="P18" s="137"/>
      <c r="Q18" s="138"/>
      <c r="R18" s="134"/>
      <c r="S18" s="133"/>
      <c r="T18" s="134"/>
    </row>
    <row r="19" spans="2:20">
      <c r="B19" s="7">
        <v>2</v>
      </c>
      <c r="C19" s="157" t="s">
        <v>195</v>
      </c>
      <c r="D19" s="157" t="s">
        <v>221</v>
      </c>
      <c r="E19" s="158">
        <f>K19*H19</f>
        <v>2025000</v>
      </c>
      <c r="F19" s="159">
        <f>C3*M12</f>
        <v>1</v>
      </c>
      <c r="G19" s="158">
        <f>C2</f>
        <v>150000000</v>
      </c>
      <c r="H19" s="158">
        <f>G19/F19</f>
        <v>150000000</v>
      </c>
      <c r="I19" s="158">
        <f>E19*F19</f>
        <v>2025000</v>
      </c>
      <c r="J19" s="160">
        <f>V12</f>
        <v>0.5</v>
      </c>
      <c r="K19" s="161">
        <f>U15*J19*C3</f>
        <v>1.35E-2</v>
      </c>
      <c r="M19" s="145"/>
      <c r="N19" s="190"/>
    </row>
    <row r="20" spans="2:20">
      <c r="B20" s="7"/>
      <c r="C20" s="157"/>
      <c r="D20" s="157"/>
      <c r="E20" s="158"/>
      <c r="F20" s="159"/>
      <c r="G20" s="158"/>
      <c r="H20" s="158"/>
      <c r="I20" s="158"/>
      <c r="J20" s="160"/>
      <c r="K20" s="161"/>
      <c r="M20" s="145"/>
      <c r="N20" s="143"/>
    </row>
    <row r="21" spans="2:20">
      <c r="B21" s="130" t="s">
        <v>222</v>
      </c>
      <c r="C21" s="147">
        <f>I21/C4</f>
        <v>2.7E-2</v>
      </c>
      <c r="D21" s="147"/>
      <c r="E21" s="179"/>
      <c r="F21" s="149"/>
      <c r="G21" s="150"/>
      <c r="H21" s="191"/>
      <c r="I21" s="151">
        <f>SUM(I18:I20)</f>
        <v>4050000</v>
      </c>
      <c r="J21" s="151">
        <f>SUM(J18:J20)</f>
        <v>1</v>
      </c>
      <c r="K21" s="182">
        <f>SUM(K18:K20)</f>
        <v>2.7E-2</v>
      </c>
    </row>
    <row r="22" spans="2:20">
      <c r="B22" s="19"/>
      <c r="C22" s="20"/>
      <c r="D22" s="20"/>
      <c r="E22" s="21"/>
      <c r="F22" s="49"/>
      <c r="G22" s="49"/>
      <c r="H22" s="49"/>
      <c r="I22" s="24"/>
      <c r="J22" s="49"/>
      <c r="K22" s="75"/>
    </row>
    <row r="23" spans="2:20">
      <c r="B23" s="19"/>
      <c r="C23" s="20"/>
      <c r="D23" s="20"/>
      <c r="E23" s="21"/>
      <c r="F23" s="49"/>
      <c r="G23" s="49"/>
      <c r="H23" s="49"/>
      <c r="I23" s="24"/>
      <c r="J23" s="49"/>
      <c r="K23" s="75"/>
    </row>
    <row r="24" spans="2:20">
      <c r="B24" s="146" t="s">
        <v>225</v>
      </c>
      <c r="C24" s="19"/>
      <c r="D24" s="19"/>
      <c r="E24" s="21"/>
      <c r="F24" s="49"/>
      <c r="G24" s="49"/>
      <c r="H24" s="49"/>
      <c r="I24" s="24"/>
      <c r="J24" s="49"/>
      <c r="K24" s="75"/>
    </row>
    <row r="25" spans="2:20">
      <c r="B25" s="192" t="s">
        <v>226</v>
      </c>
      <c r="C25" s="193">
        <f>C2/F14</f>
        <v>75000000</v>
      </c>
      <c r="D25" s="137"/>
      <c r="E25" s="21"/>
      <c r="F25" s="49"/>
      <c r="G25" s="49"/>
      <c r="H25" s="49"/>
      <c r="I25" s="24"/>
      <c r="J25" s="49"/>
      <c r="K25" s="75"/>
    </row>
    <row r="26" spans="2:20">
      <c r="B26" s="192" t="s">
        <v>227</v>
      </c>
      <c r="C26" s="193">
        <f>1/((1/C25) + (1/Frequency!N15))</f>
        <v>3.8950135958046239</v>
      </c>
      <c r="D26" s="137"/>
      <c r="E26" s="21"/>
      <c r="F26" s="49"/>
      <c r="G26" s="49"/>
      <c r="H26" s="49"/>
      <c r="I26" s="24"/>
      <c r="J26" s="49"/>
      <c r="K26" s="75"/>
    </row>
    <row r="27" spans="2:20">
      <c r="B27" s="192" t="s">
        <v>228</v>
      </c>
      <c r="C27" s="193">
        <f>Frequency!N6-(F14/(G12/Frequency!N6)+Frequency!N14)</f>
        <v>1486522.9733333334</v>
      </c>
      <c r="D27" s="137"/>
      <c r="E27" s="21"/>
      <c r="F27" s="49"/>
      <c r="G27" s="49"/>
      <c r="H27" s="49"/>
      <c r="I27" s="24"/>
      <c r="J27" s="49"/>
      <c r="K27" s="75"/>
    </row>
    <row r="28" spans="2:20">
      <c r="B28" s="192" t="s">
        <v>229</v>
      </c>
      <c r="C28" s="193">
        <f>Frequency!N6</f>
        <v>2000000</v>
      </c>
      <c r="D28" s="137"/>
      <c r="E28" s="21"/>
      <c r="F28" s="49"/>
      <c r="G28" s="49"/>
      <c r="H28" s="49"/>
      <c r="I28" s="24"/>
      <c r="J28" s="49"/>
      <c r="K28" s="75"/>
    </row>
    <row r="29" spans="2:20">
      <c r="B29" s="192" t="s">
        <v>230</v>
      </c>
      <c r="C29" s="194">
        <f>Frequency!N11</f>
        <v>0.79351324999999995</v>
      </c>
      <c r="D29" s="195"/>
      <c r="E29" s="21"/>
      <c r="F29" s="49"/>
      <c r="G29" s="49"/>
      <c r="H29" s="49"/>
      <c r="I29" s="24"/>
      <c r="J29" s="49"/>
      <c r="K29" s="75"/>
    </row>
    <row r="30" spans="2:20">
      <c r="B30" s="192" t="s">
        <v>231</v>
      </c>
      <c r="C30" s="194">
        <f>C14</f>
        <v>3.0000000000000001E-3</v>
      </c>
      <c r="D30" s="195"/>
      <c r="E30" s="21"/>
      <c r="F30" s="49"/>
      <c r="G30" s="49"/>
      <c r="H30" s="49"/>
      <c r="I30" s="24"/>
      <c r="J30" s="49"/>
      <c r="K30" s="75"/>
    </row>
    <row r="31" spans="2:20">
      <c r="B31" s="192" t="s">
        <v>232</v>
      </c>
      <c r="C31" s="194">
        <f>C21</f>
        <v>2.7E-2</v>
      </c>
      <c r="D31" s="195"/>
      <c r="E31" s="21"/>
      <c r="F31" s="49"/>
      <c r="G31" s="49"/>
      <c r="H31" s="49"/>
      <c r="I31" s="24"/>
      <c r="J31" s="49"/>
      <c r="K31" s="75"/>
    </row>
    <row r="32" spans="2:20">
      <c r="B32" s="192" t="s">
        <v>233</v>
      </c>
      <c r="C32" s="194">
        <f>C29+C30+C31</f>
        <v>0.82351324999999997</v>
      </c>
      <c r="D32" s="195"/>
      <c r="E32" s="21"/>
      <c r="F32" s="49"/>
      <c r="G32" s="49"/>
      <c r="H32" s="49"/>
      <c r="I32" s="24"/>
      <c r="J32" s="49"/>
      <c r="K32" s="7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79998168889431442"/>
  </sheetPr>
  <dimension ref="A1:X443"/>
  <sheetViews>
    <sheetView workbookViewId="0"/>
  </sheetViews>
  <sheetFormatPr defaultRowHeight="13.2"/>
  <cols>
    <col min="2" max="2" width="16" customWidth="1"/>
    <col min="3" max="3" width="50.6640625" customWidth="1"/>
    <col min="4" max="4" width="13.88671875" bestFit="1" customWidth="1"/>
    <col min="5" max="5" width="12.21875" bestFit="1" customWidth="1"/>
    <col min="6" max="6" width="19.5546875" customWidth="1"/>
    <col min="7" max="7" width="14.109375" bestFit="1" customWidth="1"/>
    <col min="8" max="9" width="12.6640625" customWidth="1"/>
    <col min="10" max="10" width="13.33203125" customWidth="1"/>
    <col min="11" max="11" width="16.6640625" customWidth="1"/>
    <col min="12" max="12" width="35.33203125" bestFit="1" customWidth="1"/>
    <col min="13" max="13" width="16.33203125" customWidth="1"/>
    <col min="15" max="15" width="10.77734375" customWidth="1"/>
    <col min="17" max="17" width="10.109375" customWidth="1"/>
    <col min="18" max="18" width="12.5546875" customWidth="1"/>
    <col min="21" max="21" width="11.88671875" customWidth="1"/>
    <col min="22" max="22" width="12" customWidth="1"/>
    <col min="24" max="24" width="11.6640625" customWidth="1"/>
  </cols>
  <sheetData>
    <row r="1" spans="1:24">
      <c r="A1" s="228"/>
      <c r="B1" s="228"/>
      <c r="C1" s="228"/>
      <c r="D1" s="228"/>
      <c r="E1" s="228"/>
      <c r="F1" s="228"/>
      <c r="G1" s="228"/>
      <c r="H1" s="228"/>
      <c r="I1" s="228"/>
      <c r="J1" s="228"/>
      <c r="K1" s="228"/>
      <c r="L1" s="228"/>
      <c r="M1" s="228"/>
      <c r="N1" s="228"/>
      <c r="O1" s="228"/>
      <c r="P1" s="228"/>
      <c r="Q1" s="228"/>
      <c r="R1" s="228"/>
      <c r="S1" s="228"/>
      <c r="T1" s="228"/>
      <c r="U1" s="228"/>
      <c r="V1" s="228"/>
      <c r="W1" s="228"/>
      <c r="X1" s="228"/>
    </row>
    <row r="2" spans="1:24" ht="16.2" customHeight="1">
      <c r="A2" s="228"/>
      <c r="B2" s="299" t="s">
        <v>234</v>
      </c>
      <c r="C2" s="298" t="s">
        <v>235</v>
      </c>
      <c r="D2" s="298" t="s">
        <v>236</v>
      </c>
      <c r="E2" s="298" t="s">
        <v>237</v>
      </c>
      <c r="F2" s="302" t="s">
        <v>238</v>
      </c>
      <c r="G2" s="304" t="s">
        <v>239</v>
      </c>
      <c r="H2" s="296" t="s">
        <v>240</v>
      </c>
      <c r="I2" s="298" t="s">
        <v>241</v>
      </c>
      <c r="J2" s="303" t="s">
        <v>242</v>
      </c>
      <c r="K2" s="228"/>
      <c r="L2" s="100" t="s">
        <v>161</v>
      </c>
      <c r="M2" s="100"/>
      <c r="N2" s="100"/>
      <c r="O2" s="100"/>
      <c r="P2" s="228"/>
      <c r="Q2" s="228"/>
      <c r="R2" s="228"/>
      <c r="S2" s="228"/>
      <c r="T2" s="228"/>
      <c r="U2" s="228"/>
      <c r="V2" s="228"/>
      <c r="W2" s="228"/>
      <c r="X2" s="228"/>
    </row>
    <row r="3" spans="1:24" ht="16.8" customHeight="1" thickBot="1">
      <c r="A3" s="228"/>
      <c r="B3" s="297"/>
      <c r="C3" s="297"/>
      <c r="D3" s="297"/>
      <c r="E3" s="297"/>
      <c r="F3" s="297"/>
      <c r="G3" s="297"/>
      <c r="H3" s="297"/>
      <c r="I3" s="297"/>
      <c r="J3" s="297"/>
      <c r="K3" s="228"/>
      <c r="L3" s="100" t="s">
        <v>171</v>
      </c>
      <c r="M3" s="100"/>
      <c r="N3" s="100"/>
      <c r="O3" s="100"/>
      <c r="P3" s="228"/>
      <c r="Q3" s="228"/>
      <c r="R3" s="228"/>
      <c r="S3" s="228"/>
      <c r="T3" s="228"/>
      <c r="U3" s="228"/>
      <c r="V3" s="228"/>
      <c r="W3" s="228"/>
      <c r="X3" s="228"/>
    </row>
    <row r="4" spans="1:24" ht="16.2" customHeight="1">
      <c r="A4" s="228"/>
      <c r="B4" s="19">
        <v>1</v>
      </c>
      <c r="C4" s="20" t="s">
        <v>243</v>
      </c>
      <c r="D4" s="83">
        <v>1000</v>
      </c>
      <c r="E4" s="229">
        <f t="shared" ref="E4:E67" si="0">D4*$M$7</f>
        <v>1000</v>
      </c>
      <c r="F4" s="230">
        <v>1</v>
      </c>
      <c r="G4" s="4">
        <f t="shared" ref="G4:G67" si="1">$M$6/F4</f>
        <v>2000000</v>
      </c>
      <c r="H4" s="231">
        <f t="shared" ref="H4:H67" si="2">F4*E4</f>
        <v>1000</v>
      </c>
      <c r="I4" s="143">
        <f t="shared" ref="I4:I67" si="3">H4/$M$9</f>
        <v>5.9523809523809529E-4</v>
      </c>
      <c r="J4" s="75">
        <f t="shared" ref="J4:J67" si="4">H4/$M$8</f>
        <v>5.0000000000000001E-4</v>
      </c>
      <c r="K4" s="228"/>
      <c r="L4" s="100" t="s">
        <v>173</v>
      </c>
      <c r="M4" s="100"/>
      <c r="N4" s="100"/>
      <c r="O4" s="100"/>
      <c r="P4" s="228"/>
      <c r="Q4" s="228"/>
      <c r="R4" s="228"/>
      <c r="S4" s="228"/>
      <c r="T4" s="228"/>
      <c r="U4" s="228"/>
      <c r="V4" s="228"/>
      <c r="W4" s="228"/>
      <c r="X4" s="228"/>
    </row>
    <row r="5" spans="1:24" ht="16.2" customHeight="1">
      <c r="A5" s="228"/>
      <c r="B5" s="19">
        <v>2</v>
      </c>
      <c r="C5" s="20" t="s">
        <v>244</v>
      </c>
      <c r="D5" s="83">
        <v>500</v>
      </c>
      <c r="E5" s="229">
        <f t="shared" si="0"/>
        <v>500</v>
      </c>
      <c r="F5" s="230">
        <v>1</v>
      </c>
      <c r="G5" s="4">
        <f t="shared" si="1"/>
        <v>2000000</v>
      </c>
      <c r="H5" s="231">
        <f t="shared" si="2"/>
        <v>500</v>
      </c>
      <c r="I5" s="143">
        <f t="shared" si="3"/>
        <v>2.9761904761904765E-4</v>
      </c>
      <c r="J5" s="75">
        <f t="shared" si="4"/>
        <v>2.5000000000000001E-4</v>
      </c>
      <c r="K5" s="228"/>
      <c r="L5" s="100"/>
      <c r="M5" s="100"/>
      <c r="N5" s="100"/>
      <c r="O5" s="100"/>
      <c r="P5" s="228"/>
      <c r="Q5" s="228"/>
      <c r="R5" s="228"/>
      <c r="S5" s="228"/>
      <c r="T5" s="228"/>
      <c r="U5" s="228"/>
      <c r="V5" s="228"/>
      <c r="W5" s="228"/>
      <c r="X5" s="228"/>
    </row>
    <row r="6" spans="1:24" ht="16.2" customHeight="1">
      <c r="A6" s="228"/>
      <c r="B6" s="19">
        <v>3</v>
      </c>
      <c r="C6" s="20" t="s">
        <v>245</v>
      </c>
      <c r="D6" s="83">
        <v>200</v>
      </c>
      <c r="E6" s="229">
        <f t="shared" si="0"/>
        <v>200</v>
      </c>
      <c r="F6" s="230">
        <v>1</v>
      </c>
      <c r="G6" s="4">
        <f t="shared" si="1"/>
        <v>2000000</v>
      </c>
      <c r="H6" s="231">
        <f t="shared" si="2"/>
        <v>200</v>
      </c>
      <c r="I6" s="143">
        <f t="shared" si="3"/>
        <v>1.1904761904761906E-4</v>
      </c>
      <c r="J6" s="75">
        <f t="shared" si="4"/>
        <v>1E-4</v>
      </c>
      <c r="K6" s="228"/>
      <c r="L6" s="100" t="s">
        <v>174</v>
      </c>
      <c r="M6" s="100">
        <v>2000000</v>
      </c>
      <c r="N6" s="100"/>
      <c r="O6" s="100"/>
      <c r="P6" s="228"/>
      <c r="Q6" s="228"/>
      <c r="R6" s="228"/>
      <c r="S6" s="228"/>
      <c r="T6" s="228"/>
      <c r="U6" s="228"/>
      <c r="V6" s="228"/>
      <c r="W6" s="228"/>
      <c r="X6" s="228"/>
    </row>
    <row r="7" spans="1:24" ht="16.2" customHeight="1">
      <c r="A7" s="228"/>
      <c r="B7" s="19">
        <v>4</v>
      </c>
      <c r="C7" s="20" t="s">
        <v>246</v>
      </c>
      <c r="D7" s="83">
        <v>200</v>
      </c>
      <c r="E7" s="229">
        <f t="shared" si="0"/>
        <v>200</v>
      </c>
      <c r="F7" s="230">
        <v>2</v>
      </c>
      <c r="G7" s="4">
        <f t="shared" si="1"/>
        <v>1000000</v>
      </c>
      <c r="H7" s="231">
        <f t="shared" si="2"/>
        <v>400</v>
      </c>
      <c r="I7" s="143">
        <f t="shared" si="3"/>
        <v>2.3809523809523812E-4</v>
      </c>
      <c r="J7" s="75">
        <f t="shared" si="4"/>
        <v>2.0000000000000001E-4</v>
      </c>
      <c r="K7" s="228"/>
      <c r="L7" s="100" t="s">
        <v>175</v>
      </c>
      <c r="M7" s="100">
        <v>1</v>
      </c>
      <c r="N7" s="100"/>
      <c r="O7" s="100"/>
      <c r="P7" s="228"/>
      <c r="Q7" s="228"/>
      <c r="R7" s="228"/>
      <c r="S7" s="228"/>
      <c r="T7" s="228"/>
      <c r="U7" s="228"/>
      <c r="V7" s="228"/>
      <c r="W7" s="228"/>
      <c r="X7" s="228"/>
    </row>
    <row r="8" spans="1:24" ht="16.2" customHeight="1">
      <c r="A8" s="228"/>
      <c r="B8" s="19">
        <v>5</v>
      </c>
      <c r="C8" s="20" t="s">
        <v>247</v>
      </c>
      <c r="D8" s="83">
        <v>123.7</v>
      </c>
      <c r="E8" s="229">
        <f t="shared" si="0"/>
        <v>123.7</v>
      </c>
      <c r="F8" s="230">
        <v>2</v>
      </c>
      <c r="G8" s="4">
        <f t="shared" si="1"/>
        <v>1000000</v>
      </c>
      <c r="H8" s="231">
        <f t="shared" si="2"/>
        <v>247.4</v>
      </c>
      <c r="I8" s="143">
        <f t="shared" si="3"/>
        <v>1.4726190476190479E-4</v>
      </c>
      <c r="J8" s="75">
        <f t="shared" si="4"/>
        <v>1.237E-4</v>
      </c>
      <c r="K8" s="228"/>
      <c r="L8" s="100" t="s">
        <v>176</v>
      </c>
      <c r="M8" s="100">
        <f>M7*M6</f>
        <v>2000000</v>
      </c>
      <c r="N8" s="100"/>
      <c r="O8" s="100"/>
      <c r="P8" s="228"/>
      <c r="Q8" s="228"/>
      <c r="R8" s="228"/>
      <c r="S8" s="228"/>
      <c r="T8" s="228"/>
      <c r="U8" s="228"/>
      <c r="V8" s="228"/>
      <c r="W8" s="228"/>
      <c r="X8" s="228"/>
    </row>
    <row r="9" spans="1:24" ht="16.2" customHeight="1">
      <c r="A9" s="228"/>
      <c r="B9" s="19">
        <v>6</v>
      </c>
      <c r="C9" s="20" t="s">
        <v>248</v>
      </c>
      <c r="D9" s="83">
        <v>115</v>
      </c>
      <c r="E9" s="229">
        <f t="shared" si="0"/>
        <v>115</v>
      </c>
      <c r="F9" s="230">
        <v>5</v>
      </c>
      <c r="G9" s="4">
        <f t="shared" si="1"/>
        <v>400000</v>
      </c>
      <c r="H9" s="231">
        <f t="shared" si="2"/>
        <v>575</v>
      </c>
      <c r="I9" s="143">
        <f t="shared" si="3"/>
        <v>3.4226190476190484E-4</v>
      </c>
      <c r="J9" s="75">
        <f t="shared" si="4"/>
        <v>2.875E-4</v>
      </c>
      <c r="K9" s="228"/>
      <c r="L9" s="100" t="s">
        <v>177</v>
      </c>
      <c r="M9" s="100">
        <f>H411</f>
        <v>1679999.9999999998</v>
      </c>
      <c r="N9" s="100"/>
      <c r="O9" s="100"/>
      <c r="P9" s="228"/>
      <c r="Q9" s="228"/>
      <c r="R9" s="228"/>
      <c r="S9" s="228"/>
      <c r="T9" s="228"/>
      <c r="U9" s="228"/>
      <c r="V9" s="228"/>
      <c r="W9" s="228"/>
      <c r="X9" s="228"/>
    </row>
    <row r="10" spans="1:24" ht="16.2" customHeight="1">
      <c r="A10" s="228"/>
      <c r="B10" s="19">
        <v>7</v>
      </c>
      <c r="C10" s="20" t="s">
        <v>249</v>
      </c>
      <c r="D10" s="83">
        <v>115</v>
      </c>
      <c r="E10" s="229">
        <f t="shared" si="0"/>
        <v>115</v>
      </c>
      <c r="F10" s="230">
        <v>5</v>
      </c>
      <c r="G10" s="4">
        <f t="shared" si="1"/>
        <v>400000</v>
      </c>
      <c r="H10" s="231">
        <f t="shared" si="2"/>
        <v>575</v>
      </c>
      <c r="I10" s="143">
        <f t="shared" si="3"/>
        <v>3.4226190476190484E-4</v>
      </c>
      <c r="J10" s="75">
        <f t="shared" si="4"/>
        <v>2.875E-4</v>
      </c>
      <c r="K10" s="228"/>
      <c r="L10" s="100" t="s">
        <v>250</v>
      </c>
      <c r="M10" s="100">
        <v>0.84</v>
      </c>
      <c r="N10" s="100"/>
      <c r="O10" s="100"/>
      <c r="P10" s="228"/>
      <c r="Q10" s="228"/>
      <c r="R10" s="228"/>
      <c r="S10" s="228"/>
      <c r="T10" s="228"/>
      <c r="U10" s="228"/>
      <c r="V10" s="228"/>
      <c r="W10" s="228"/>
      <c r="X10" s="228"/>
    </row>
    <row r="11" spans="1:24" ht="16.2" customHeight="1">
      <c r="A11" s="228"/>
      <c r="B11" s="19">
        <v>8</v>
      </c>
      <c r="C11" s="20" t="s">
        <v>251</v>
      </c>
      <c r="D11" s="83">
        <v>115</v>
      </c>
      <c r="E11" s="229">
        <f t="shared" si="0"/>
        <v>115</v>
      </c>
      <c r="F11" s="230">
        <v>5</v>
      </c>
      <c r="G11" s="4">
        <f t="shared" si="1"/>
        <v>400000</v>
      </c>
      <c r="H11" s="231">
        <f t="shared" si="2"/>
        <v>575</v>
      </c>
      <c r="I11" s="143">
        <f t="shared" si="3"/>
        <v>3.4226190476190484E-4</v>
      </c>
      <c r="J11" s="75">
        <f t="shared" si="4"/>
        <v>2.875E-4</v>
      </c>
      <c r="K11" s="228"/>
      <c r="L11" s="100" t="s">
        <v>252</v>
      </c>
      <c r="M11" s="100">
        <f>M9/M8</f>
        <v>0.83999999999999986</v>
      </c>
      <c r="N11" s="100"/>
      <c r="O11" s="100"/>
      <c r="P11" s="228"/>
      <c r="Q11" s="228"/>
      <c r="R11" s="228"/>
      <c r="S11" s="228"/>
      <c r="T11" s="228"/>
      <c r="U11" s="228"/>
      <c r="V11" s="228"/>
      <c r="W11" s="228"/>
      <c r="X11" s="228"/>
    </row>
    <row r="12" spans="1:24" ht="16.2" customHeight="1">
      <c r="A12" s="228"/>
      <c r="B12" s="19">
        <v>9</v>
      </c>
      <c r="C12" s="20" t="s">
        <v>253</v>
      </c>
      <c r="D12" s="83">
        <v>108.1</v>
      </c>
      <c r="E12" s="229">
        <f t="shared" si="0"/>
        <v>108.1</v>
      </c>
      <c r="F12" s="230">
        <v>2</v>
      </c>
      <c r="G12" s="4">
        <f t="shared" si="1"/>
        <v>1000000</v>
      </c>
      <c r="H12" s="231">
        <f t="shared" si="2"/>
        <v>216.2</v>
      </c>
      <c r="I12" s="143">
        <f t="shared" si="3"/>
        <v>1.286904761904762E-4</v>
      </c>
      <c r="J12" s="75">
        <f t="shared" si="4"/>
        <v>1.081E-4</v>
      </c>
      <c r="K12" s="228"/>
      <c r="L12" s="100" t="s">
        <v>180</v>
      </c>
      <c r="M12" s="100">
        <v>0.03</v>
      </c>
      <c r="N12" s="100"/>
      <c r="O12" s="100"/>
      <c r="P12" s="228"/>
      <c r="Q12" s="228"/>
      <c r="R12" s="228"/>
      <c r="S12" s="228"/>
      <c r="T12" s="228"/>
      <c r="U12" s="228"/>
      <c r="V12" s="228"/>
      <c r="W12" s="228"/>
      <c r="X12" s="228"/>
    </row>
    <row r="13" spans="1:24" ht="16.2" customHeight="1">
      <c r="A13" s="228"/>
      <c r="B13" s="19">
        <v>10</v>
      </c>
      <c r="C13" s="20" t="s">
        <v>254</v>
      </c>
      <c r="D13" s="83">
        <v>108</v>
      </c>
      <c r="E13" s="229">
        <f t="shared" si="0"/>
        <v>108</v>
      </c>
      <c r="F13" s="230">
        <v>3</v>
      </c>
      <c r="G13" s="4">
        <f t="shared" si="1"/>
        <v>666666.66666666663</v>
      </c>
      <c r="H13" s="231">
        <f t="shared" si="2"/>
        <v>324</v>
      </c>
      <c r="I13" s="143">
        <f t="shared" si="3"/>
        <v>1.9285714285714289E-4</v>
      </c>
      <c r="J13" s="75">
        <f t="shared" si="4"/>
        <v>1.6200000000000001E-4</v>
      </c>
      <c r="K13" s="228"/>
      <c r="L13" s="100" t="s">
        <v>255</v>
      </c>
      <c r="M13" s="100">
        <f>M12+M11</f>
        <v>0.86999999999999988</v>
      </c>
      <c r="N13" s="100"/>
      <c r="O13" s="100"/>
      <c r="P13" s="228"/>
      <c r="Q13" s="228"/>
      <c r="R13" s="228"/>
      <c r="S13" s="228"/>
      <c r="T13" s="228"/>
      <c r="U13" s="228"/>
      <c r="V13" s="228"/>
      <c r="W13" s="228"/>
      <c r="X13" s="228"/>
    </row>
    <row r="14" spans="1:24" ht="16.2" customHeight="1">
      <c r="A14" s="228"/>
      <c r="B14" s="19">
        <v>11</v>
      </c>
      <c r="C14" s="20" t="s">
        <v>256</v>
      </c>
      <c r="D14" s="83">
        <v>105.1</v>
      </c>
      <c r="E14" s="229">
        <f t="shared" si="0"/>
        <v>105.1</v>
      </c>
      <c r="F14" s="230">
        <v>2</v>
      </c>
      <c r="G14" s="4">
        <f t="shared" si="1"/>
        <v>1000000</v>
      </c>
      <c r="H14" s="231">
        <f t="shared" si="2"/>
        <v>210.2</v>
      </c>
      <c r="I14" s="143">
        <f t="shared" si="3"/>
        <v>1.2511904761904763E-4</v>
      </c>
      <c r="J14" s="75">
        <f t="shared" si="4"/>
        <v>1.0509999999999999E-4</v>
      </c>
      <c r="K14" s="228"/>
      <c r="L14" s="100" t="s">
        <v>257</v>
      </c>
      <c r="M14" s="100">
        <f>SUM(F4:F409)</f>
        <v>513477</v>
      </c>
      <c r="N14" s="100"/>
      <c r="O14" s="100"/>
      <c r="P14" s="228"/>
      <c r="Q14" s="228"/>
      <c r="R14" s="228"/>
      <c r="S14" s="228"/>
      <c r="T14" s="228"/>
      <c r="U14" s="228"/>
      <c r="V14" s="228"/>
      <c r="W14" s="228"/>
      <c r="X14" s="228"/>
    </row>
    <row r="15" spans="1:24" ht="16.2" customHeight="1">
      <c r="A15" s="228"/>
      <c r="B15" s="19">
        <v>12</v>
      </c>
      <c r="C15" s="20" t="s">
        <v>258</v>
      </c>
      <c r="D15" s="83">
        <v>103</v>
      </c>
      <c r="E15" s="229">
        <f t="shared" si="0"/>
        <v>103</v>
      </c>
      <c r="F15" s="230">
        <v>2</v>
      </c>
      <c r="G15" s="4">
        <f t="shared" si="1"/>
        <v>1000000</v>
      </c>
      <c r="H15" s="231">
        <f t="shared" si="2"/>
        <v>206</v>
      </c>
      <c r="I15" s="143">
        <f t="shared" si="3"/>
        <v>1.2261904761904765E-4</v>
      </c>
      <c r="J15" s="75">
        <f t="shared" si="4"/>
        <v>1.03E-4</v>
      </c>
      <c r="K15" s="228"/>
      <c r="L15" s="100" t="s">
        <v>183</v>
      </c>
      <c r="M15" s="100">
        <f>M6/M14</f>
        <v>3.8950137980863797</v>
      </c>
      <c r="N15" s="100"/>
      <c r="O15" s="100"/>
      <c r="P15" s="228"/>
      <c r="Q15" s="228"/>
      <c r="R15" s="228"/>
      <c r="S15" s="228"/>
      <c r="T15" s="228"/>
      <c r="U15" s="228"/>
      <c r="V15" s="228"/>
      <c r="W15" s="228"/>
      <c r="X15" s="228"/>
    </row>
    <row r="16" spans="1:24" ht="16.2" customHeight="1">
      <c r="A16" s="228"/>
      <c r="B16" s="19">
        <v>13</v>
      </c>
      <c r="C16" s="20" t="s">
        <v>259</v>
      </c>
      <c r="D16" s="83">
        <v>100</v>
      </c>
      <c r="E16" s="229">
        <f t="shared" si="0"/>
        <v>100</v>
      </c>
      <c r="F16" s="230">
        <v>2</v>
      </c>
      <c r="G16" s="4">
        <f t="shared" si="1"/>
        <v>1000000</v>
      </c>
      <c r="H16" s="231">
        <f t="shared" si="2"/>
        <v>200</v>
      </c>
      <c r="I16" s="143">
        <f t="shared" si="3"/>
        <v>1.1904761904761906E-4</v>
      </c>
      <c r="J16" s="75">
        <f t="shared" si="4"/>
        <v>1E-4</v>
      </c>
      <c r="K16" s="228"/>
      <c r="L16" s="100"/>
      <c r="M16" s="100"/>
      <c r="N16" s="100"/>
      <c r="O16" s="100"/>
      <c r="P16" s="228"/>
      <c r="Q16" s="228"/>
      <c r="R16" s="228"/>
      <c r="S16" s="228"/>
      <c r="T16" s="228"/>
      <c r="U16" s="228"/>
      <c r="V16" s="228"/>
      <c r="W16" s="228"/>
      <c r="X16" s="228"/>
    </row>
    <row r="17" spans="1:24" ht="16.2" customHeight="1">
      <c r="A17" s="228"/>
      <c r="B17" s="19">
        <v>14</v>
      </c>
      <c r="C17" s="20" t="s">
        <v>260</v>
      </c>
      <c r="D17" s="83">
        <v>100</v>
      </c>
      <c r="E17" s="229">
        <f t="shared" si="0"/>
        <v>100</v>
      </c>
      <c r="F17" s="230">
        <v>2</v>
      </c>
      <c r="G17" s="4">
        <f t="shared" si="1"/>
        <v>1000000</v>
      </c>
      <c r="H17" s="231">
        <f t="shared" si="2"/>
        <v>200</v>
      </c>
      <c r="I17" s="143">
        <f t="shared" si="3"/>
        <v>1.1904761904761906E-4</v>
      </c>
      <c r="J17" s="75">
        <f t="shared" si="4"/>
        <v>1E-4</v>
      </c>
      <c r="K17" s="228"/>
      <c r="L17" s="300" t="s">
        <v>261</v>
      </c>
      <c r="M17" s="301"/>
      <c r="N17" s="301"/>
      <c r="O17" s="301"/>
      <c r="P17" s="228"/>
      <c r="Q17" s="228"/>
      <c r="R17" s="228"/>
      <c r="S17" s="228"/>
      <c r="T17" s="228"/>
      <c r="U17" s="228"/>
      <c r="V17" s="228"/>
      <c r="W17" s="228"/>
      <c r="X17" s="228"/>
    </row>
    <row r="18" spans="1:24" ht="16.2" customHeight="1">
      <c r="A18" s="228"/>
      <c r="B18" s="19">
        <v>15</v>
      </c>
      <c r="C18" s="20" t="s">
        <v>262</v>
      </c>
      <c r="D18" s="83">
        <v>100</v>
      </c>
      <c r="E18" s="229">
        <f t="shared" si="0"/>
        <v>100</v>
      </c>
      <c r="F18" s="230">
        <v>5</v>
      </c>
      <c r="G18" s="4">
        <f t="shared" si="1"/>
        <v>400000</v>
      </c>
      <c r="H18" s="231">
        <f t="shared" si="2"/>
        <v>500</v>
      </c>
      <c r="I18" s="143">
        <f t="shared" si="3"/>
        <v>2.9761904761904765E-4</v>
      </c>
      <c r="J18" s="75">
        <f t="shared" si="4"/>
        <v>2.5000000000000001E-4</v>
      </c>
      <c r="K18" s="228"/>
      <c r="L18" s="301"/>
      <c r="M18" s="301"/>
      <c r="N18" s="301"/>
      <c r="O18" s="301"/>
      <c r="P18" s="228"/>
      <c r="Q18" s="228"/>
      <c r="R18" s="228"/>
      <c r="S18" s="228"/>
      <c r="T18" s="228"/>
      <c r="U18" s="228"/>
      <c r="V18" s="228"/>
      <c r="W18" s="228"/>
      <c r="X18" s="228"/>
    </row>
    <row r="19" spans="1:24" ht="16.2" customHeight="1">
      <c r="A19" s="228"/>
      <c r="B19" s="19">
        <v>16</v>
      </c>
      <c r="C19" s="20" t="s">
        <v>263</v>
      </c>
      <c r="D19" s="83">
        <v>100</v>
      </c>
      <c r="E19" s="229">
        <f t="shared" si="0"/>
        <v>100</v>
      </c>
      <c r="F19" s="230">
        <v>50</v>
      </c>
      <c r="G19" s="4">
        <f t="shared" si="1"/>
        <v>40000</v>
      </c>
      <c r="H19" s="231">
        <f t="shared" si="2"/>
        <v>5000</v>
      </c>
      <c r="I19" s="143">
        <f t="shared" si="3"/>
        <v>2.9761904761904765E-3</v>
      </c>
      <c r="J19" s="75">
        <f t="shared" si="4"/>
        <v>2.5000000000000001E-3</v>
      </c>
      <c r="K19" s="228"/>
      <c r="L19" s="301"/>
      <c r="M19" s="301"/>
      <c r="N19" s="301"/>
      <c r="O19" s="301"/>
      <c r="P19" s="228"/>
      <c r="Q19" s="228"/>
      <c r="R19" s="228"/>
      <c r="S19" s="228"/>
      <c r="T19" s="228"/>
      <c r="U19" s="228"/>
      <c r="V19" s="228"/>
      <c r="W19" s="228"/>
      <c r="X19" s="228"/>
    </row>
    <row r="20" spans="1:24" ht="16.2" customHeight="1">
      <c r="A20" s="228"/>
      <c r="B20" s="19">
        <v>17</v>
      </c>
      <c r="C20" s="20" t="s">
        <v>264</v>
      </c>
      <c r="D20" s="83">
        <v>100</v>
      </c>
      <c r="E20" s="229">
        <f t="shared" si="0"/>
        <v>100</v>
      </c>
      <c r="F20" s="230">
        <v>50</v>
      </c>
      <c r="G20" s="4">
        <f t="shared" si="1"/>
        <v>40000</v>
      </c>
      <c r="H20" s="231">
        <f t="shared" si="2"/>
        <v>5000</v>
      </c>
      <c r="I20" s="143">
        <f t="shared" si="3"/>
        <v>2.9761904761904765E-3</v>
      </c>
      <c r="J20" s="75">
        <f t="shared" si="4"/>
        <v>2.5000000000000001E-3</v>
      </c>
      <c r="K20" s="228"/>
      <c r="L20" s="301"/>
      <c r="M20" s="301"/>
      <c r="N20" s="301"/>
      <c r="O20" s="301"/>
      <c r="P20" s="228"/>
      <c r="Q20" s="228"/>
      <c r="R20" s="228"/>
      <c r="S20" s="228"/>
      <c r="T20" s="228"/>
      <c r="U20" s="228"/>
      <c r="V20" s="228"/>
      <c r="W20" s="228"/>
      <c r="X20" s="228"/>
    </row>
    <row r="21" spans="1:24" ht="16.2" customHeight="1">
      <c r="A21" s="228"/>
      <c r="B21" s="19">
        <v>18</v>
      </c>
      <c r="C21" s="20" t="s">
        <v>265</v>
      </c>
      <c r="D21" s="83">
        <v>100</v>
      </c>
      <c r="E21" s="229">
        <f t="shared" si="0"/>
        <v>100</v>
      </c>
      <c r="F21" s="230">
        <v>50</v>
      </c>
      <c r="G21" s="4">
        <f t="shared" si="1"/>
        <v>40000</v>
      </c>
      <c r="H21" s="231">
        <f t="shared" si="2"/>
        <v>5000</v>
      </c>
      <c r="I21" s="143">
        <f t="shared" si="3"/>
        <v>2.9761904761904765E-3</v>
      </c>
      <c r="J21" s="75">
        <f t="shared" si="4"/>
        <v>2.5000000000000001E-3</v>
      </c>
      <c r="K21" s="228"/>
      <c r="L21" s="301"/>
      <c r="M21" s="301"/>
      <c r="N21" s="301"/>
      <c r="O21" s="301"/>
      <c r="P21" s="228"/>
      <c r="Q21" s="228"/>
      <c r="R21" s="228"/>
      <c r="S21" s="228"/>
      <c r="T21" s="228"/>
      <c r="U21" s="228"/>
      <c r="V21" s="228"/>
      <c r="W21" s="228"/>
      <c r="X21" s="228"/>
    </row>
    <row r="22" spans="1:24" ht="16.2" customHeight="1">
      <c r="A22" s="228"/>
      <c r="B22" s="19">
        <v>19</v>
      </c>
      <c r="C22" s="20" t="s">
        <v>266</v>
      </c>
      <c r="D22" s="83">
        <v>60.2</v>
      </c>
      <c r="E22" s="229">
        <f t="shared" si="0"/>
        <v>60.2</v>
      </c>
      <c r="F22" s="230">
        <v>2</v>
      </c>
      <c r="G22" s="4">
        <f t="shared" si="1"/>
        <v>1000000</v>
      </c>
      <c r="H22" s="231">
        <f t="shared" si="2"/>
        <v>120.4</v>
      </c>
      <c r="I22" s="143">
        <f t="shared" si="3"/>
        <v>7.1666666666666683E-5</v>
      </c>
      <c r="J22" s="75">
        <f t="shared" si="4"/>
        <v>6.02E-5</v>
      </c>
      <c r="K22" s="228"/>
      <c r="L22" s="100"/>
      <c r="M22" s="100"/>
      <c r="N22" s="100"/>
      <c r="O22" s="100"/>
      <c r="P22" s="228"/>
      <c r="Q22" s="228"/>
      <c r="R22" s="228"/>
      <c r="S22" s="228"/>
      <c r="T22" s="228"/>
      <c r="U22" s="228"/>
      <c r="V22" s="228"/>
      <c r="W22" s="228"/>
      <c r="X22" s="228"/>
    </row>
    <row r="23" spans="1:24" ht="16.2" customHeight="1">
      <c r="A23" s="228"/>
      <c r="B23" s="19">
        <v>20</v>
      </c>
      <c r="C23" s="20" t="s">
        <v>267</v>
      </c>
      <c r="D23" s="83">
        <v>57</v>
      </c>
      <c r="E23" s="229">
        <f t="shared" si="0"/>
        <v>57</v>
      </c>
      <c r="F23" s="230">
        <v>2</v>
      </c>
      <c r="G23" s="4">
        <f t="shared" si="1"/>
        <v>1000000</v>
      </c>
      <c r="H23" s="231">
        <f t="shared" si="2"/>
        <v>114</v>
      </c>
      <c r="I23" s="143">
        <f t="shared" si="3"/>
        <v>6.7857142857142861E-5</v>
      </c>
      <c r="J23" s="75">
        <f t="shared" si="4"/>
        <v>5.7000000000000003E-5</v>
      </c>
      <c r="K23" s="228"/>
      <c r="L23" s="100"/>
      <c r="M23" s="100"/>
      <c r="N23" s="100"/>
      <c r="O23" s="100"/>
      <c r="P23" s="228"/>
      <c r="Q23" s="228"/>
      <c r="R23" s="228"/>
      <c r="S23" s="228"/>
      <c r="T23" s="228"/>
      <c r="U23" s="228"/>
      <c r="V23" s="228"/>
      <c r="W23" s="228"/>
      <c r="X23" s="228"/>
    </row>
    <row r="24" spans="1:24" ht="16.2" customHeight="1">
      <c r="A24" s="228"/>
      <c r="B24" s="19">
        <v>21</v>
      </c>
      <c r="C24" s="20" t="s">
        <v>268</v>
      </c>
      <c r="D24" s="83">
        <v>57</v>
      </c>
      <c r="E24" s="229">
        <f t="shared" si="0"/>
        <v>57</v>
      </c>
      <c r="F24" s="230">
        <v>2</v>
      </c>
      <c r="G24" s="4">
        <f t="shared" si="1"/>
        <v>1000000</v>
      </c>
      <c r="H24" s="231">
        <f t="shared" si="2"/>
        <v>114</v>
      </c>
      <c r="I24" s="143">
        <f t="shared" si="3"/>
        <v>6.7857142857142861E-5</v>
      </c>
      <c r="J24" s="75">
        <f t="shared" si="4"/>
        <v>5.7000000000000003E-5</v>
      </c>
      <c r="K24" s="228"/>
      <c r="L24" s="100"/>
      <c r="M24" s="100"/>
      <c r="N24" s="100"/>
      <c r="O24" s="100"/>
      <c r="P24" s="228"/>
      <c r="Q24" s="228"/>
      <c r="R24" s="228"/>
      <c r="S24" s="228"/>
      <c r="T24" s="228"/>
      <c r="U24" s="228"/>
      <c r="V24" s="228"/>
      <c r="W24" s="228"/>
      <c r="X24" s="228"/>
    </row>
    <row r="25" spans="1:24" ht="16.2" customHeight="1">
      <c r="A25" s="228"/>
      <c r="B25" s="19">
        <v>22</v>
      </c>
      <c r="C25" s="20" t="s">
        <v>269</v>
      </c>
      <c r="D25" s="83">
        <v>57</v>
      </c>
      <c r="E25" s="229">
        <f t="shared" si="0"/>
        <v>57</v>
      </c>
      <c r="F25" s="230">
        <v>2</v>
      </c>
      <c r="G25" s="4">
        <f t="shared" si="1"/>
        <v>1000000</v>
      </c>
      <c r="H25" s="231">
        <f t="shared" si="2"/>
        <v>114</v>
      </c>
      <c r="I25" s="143">
        <f t="shared" si="3"/>
        <v>6.7857142857142861E-5</v>
      </c>
      <c r="J25" s="75">
        <f t="shared" si="4"/>
        <v>5.7000000000000003E-5</v>
      </c>
      <c r="K25" s="228"/>
      <c r="L25" s="100"/>
      <c r="M25" s="100"/>
      <c r="N25" s="100"/>
      <c r="O25" s="100"/>
      <c r="P25" s="228"/>
      <c r="Q25" s="228"/>
      <c r="R25" s="228"/>
      <c r="S25" s="228"/>
      <c r="T25" s="228"/>
      <c r="U25" s="228"/>
      <c r="V25" s="228"/>
      <c r="W25" s="228"/>
      <c r="X25" s="228"/>
    </row>
    <row r="26" spans="1:24" ht="16.2" customHeight="1">
      <c r="A26" s="228"/>
      <c r="B26" s="19">
        <v>23</v>
      </c>
      <c r="C26" s="20" t="s">
        <v>270</v>
      </c>
      <c r="D26" s="83">
        <v>54.400000000000013</v>
      </c>
      <c r="E26" s="229">
        <f t="shared" si="0"/>
        <v>54.400000000000013</v>
      </c>
      <c r="F26" s="230">
        <v>10</v>
      </c>
      <c r="G26" s="4">
        <f t="shared" si="1"/>
        <v>200000</v>
      </c>
      <c r="H26" s="231">
        <f t="shared" si="2"/>
        <v>544.00000000000011</v>
      </c>
      <c r="I26" s="143">
        <f t="shared" si="3"/>
        <v>3.238095238095239E-4</v>
      </c>
      <c r="J26" s="75">
        <f t="shared" si="4"/>
        <v>2.7200000000000005E-4</v>
      </c>
      <c r="K26" s="228"/>
      <c r="L26" s="100"/>
      <c r="M26" s="100"/>
      <c r="N26" s="100"/>
      <c r="O26" s="100"/>
      <c r="P26" s="228"/>
      <c r="Q26" s="228"/>
      <c r="R26" s="228"/>
      <c r="S26" s="228"/>
      <c r="T26" s="228"/>
      <c r="U26" s="228"/>
      <c r="V26" s="228"/>
      <c r="W26" s="228"/>
      <c r="X26" s="228"/>
    </row>
    <row r="27" spans="1:24" ht="16.2" customHeight="1">
      <c r="A27" s="228"/>
      <c r="B27" s="19">
        <v>24</v>
      </c>
      <c r="C27" s="20" t="s">
        <v>271</v>
      </c>
      <c r="D27" s="83">
        <v>51.7</v>
      </c>
      <c r="E27" s="229">
        <f t="shared" si="0"/>
        <v>51.7</v>
      </c>
      <c r="F27" s="230">
        <v>10</v>
      </c>
      <c r="G27" s="4">
        <f t="shared" si="1"/>
        <v>200000</v>
      </c>
      <c r="H27" s="231">
        <f t="shared" si="2"/>
        <v>517</v>
      </c>
      <c r="I27" s="143">
        <f t="shared" si="3"/>
        <v>3.077380952380953E-4</v>
      </c>
      <c r="J27" s="75">
        <f t="shared" si="4"/>
        <v>2.5849999999999999E-4</v>
      </c>
      <c r="K27" s="228"/>
      <c r="L27" s="100"/>
      <c r="M27" s="100"/>
      <c r="N27" s="100"/>
      <c r="O27" s="100"/>
      <c r="P27" s="228"/>
      <c r="Q27" s="228"/>
      <c r="R27" s="228"/>
      <c r="S27" s="228"/>
      <c r="T27" s="228"/>
      <c r="U27" s="228"/>
      <c r="V27" s="228"/>
      <c r="W27" s="228"/>
      <c r="X27" s="228"/>
    </row>
    <row r="28" spans="1:24" ht="16.2" customHeight="1">
      <c r="A28" s="228"/>
      <c r="B28" s="19">
        <v>25</v>
      </c>
      <c r="C28" s="20" t="s">
        <v>272</v>
      </c>
      <c r="D28" s="83">
        <v>50.5</v>
      </c>
      <c r="E28" s="229">
        <f t="shared" si="0"/>
        <v>50.5</v>
      </c>
      <c r="F28" s="230">
        <v>2</v>
      </c>
      <c r="G28" s="4">
        <f t="shared" si="1"/>
        <v>1000000</v>
      </c>
      <c r="H28" s="231">
        <f t="shared" si="2"/>
        <v>101</v>
      </c>
      <c r="I28" s="143">
        <f t="shared" si="3"/>
        <v>6.0119047619047626E-5</v>
      </c>
      <c r="J28" s="75">
        <f t="shared" si="4"/>
        <v>5.0500000000000001E-5</v>
      </c>
      <c r="K28" s="228"/>
      <c r="L28" s="100"/>
      <c r="M28" s="100"/>
      <c r="N28" s="100"/>
      <c r="O28" s="100"/>
      <c r="P28" s="228"/>
      <c r="Q28" s="228"/>
      <c r="R28" s="228"/>
      <c r="S28" s="228"/>
      <c r="T28" s="228"/>
      <c r="U28" s="228"/>
      <c r="V28" s="228"/>
      <c r="W28" s="228"/>
      <c r="X28" s="228"/>
    </row>
    <row r="29" spans="1:24" ht="16.2" customHeight="1">
      <c r="A29" s="228"/>
      <c r="B29" s="19">
        <v>26</v>
      </c>
      <c r="C29" s="20" t="s">
        <v>273</v>
      </c>
      <c r="D29" s="83">
        <v>50</v>
      </c>
      <c r="E29" s="229">
        <f t="shared" si="0"/>
        <v>50</v>
      </c>
      <c r="F29" s="230">
        <v>500</v>
      </c>
      <c r="G29" s="4">
        <f t="shared" si="1"/>
        <v>4000</v>
      </c>
      <c r="H29" s="231">
        <f t="shared" si="2"/>
        <v>25000</v>
      </c>
      <c r="I29" s="143">
        <f t="shared" si="3"/>
        <v>1.4880952380952384E-2</v>
      </c>
      <c r="J29" s="75">
        <f t="shared" si="4"/>
        <v>1.2500000000000001E-2</v>
      </c>
      <c r="K29" s="228"/>
      <c r="L29" s="100"/>
      <c r="M29" s="100"/>
      <c r="N29" s="100"/>
      <c r="O29" s="100"/>
      <c r="P29" s="228"/>
      <c r="Q29" s="228"/>
      <c r="R29" s="228"/>
      <c r="S29" s="228"/>
      <c r="T29" s="228"/>
      <c r="U29" s="228"/>
      <c r="V29" s="228"/>
      <c r="W29" s="228"/>
      <c r="X29" s="228"/>
    </row>
    <row r="30" spans="1:24" ht="16.2" customHeight="1">
      <c r="A30" s="228"/>
      <c r="B30" s="19">
        <v>27</v>
      </c>
      <c r="C30" s="20" t="s">
        <v>274</v>
      </c>
      <c r="D30" s="83">
        <v>50</v>
      </c>
      <c r="E30" s="229">
        <f t="shared" si="0"/>
        <v>50</v>
      </c>
      <c r="F30" s="230">
        <v>500</v>
      </c>
      <c r="G30" s="4">
        <f t="shared" si="1"/>
        <v>4000</v>
      </c>
      <c r="H30" s="231">
        <f t="shared" si="2"/>
        <v>25000</v>
      </c>
      <c r="I30" s="143">
        <f t="shared" si="3"/>
        <v>1.4880952380952384E-2</v>
      </c>
      <c r="J30" s="75">
        <f t="shared" si="4"/>
        <v>1.2500000000000001E-2</v>
      </c>
      <c r="K30" s="228"/>
      <c r="L30" s="100"/>
      <c r="M30" s="100"/>
      <c r="N30" s="100"/>
      <c r="O30" s="100"/>
      <c r="P30" s="228"/>
      <c r="Q30" s="228"/>
      <c r="R30" s="228"/>
      <c r="S30" s="228"/>
      <c r="T30" s="228"/>
      <c r="U30" s="228"/>
      <c r="V30" s="228"/>
      <c r="W30" s="228"/>
      <c r="X30" s="228"/>
    </row>
    <row r="31" spans="1:24" ht="16.2" customHeight="1">
      <c r="A31" s="228"/>
      <c r="B31" s="19">
        <v>28</v>
      </c>
      <c r="C31" s="20" t="s">
        <v>275</v>
      </c>
      <c r="D31" s="83">
        <v>49.5</v>
      </c>
      <c r="E31" s="229">
        <f t="shared" si="0"/>
        <v>49.5</v>
      </c>
      <c r="F31" s="230">
        <v>10</v>
      </c>
      <c r="G31" s="4">
        <f t="shared" si="1"/>
        <v>200000</v>
      </c>
      <c r="H31" s="231">
        <f t="shared" si="2"/>
        <v>495</v>
      </c>
      <c r="I31" s="143">
        <f t="shared" si="3"/>
        <v>2.946428571428572E-4</v>
      </c>
      <c r="J31" s="75">
        <f t="shared" si="4"/>
        <v>2.475E-4</v>
      </c>
      <c r="K31" s="228"/>
      <c r="L31" s="100"/>
      <c r="M31" s="100"/>
      <c r="N31" s="100"/>
      <c r="O31" s="100"/>
      <c r="P31" s="228"/>
      <c r="Q31" s="228"/>
      <c r="R31" s="228"/>
      <c r="S31" s="228"/>
      <c r="T31" s="228"/>
      <c r="U31" s="228"/>
      <c r="V31" s="228"/>
      <c r="W31" s="228"/>
      <c r="X31" s="228"/>
    </row>
    <row r="32" spans="1:24" ht="16.2" customHeight="1">
      <c r="A32" s="228"/>
      <c r="B32" s="19">
        <v>29</v>
      </c>
      <c r="C32" s="20" t="s">
        <v>276</v>
      </c>
      <c r="D32" s="83">
        <v>49.5</v>
      </c>
      <c r="E32" s="229">
        <f t="shared" si="0"/>
        <v>49.5</v>
      </c>
      <c r="F32" s="230">
        <v>10</v>
      </c>
      <c r="G32" s="4">
        <f t="shared" si="1"/>
        <v>200000</v>
      </c>
      <c r="H32" s="231">
        <f t="shared" si="2"/>
        <v>495</v>
      </c>
      <c r="I32" s="143">
        <f t="shared" si="3"/>
        <v>2.946428571428572E-4</v>
      </c>
      <c r="J32" s="75">
        <f t="shared" si="4"/>
        <v>2.475E-4</v>
      </c>
      <c r="K32" s="228"/>
      <c r="L32" s="100"/>
      <c r="M32" s="100"/>
      <c r="N32" s="100"/>
      <c r="O32" s="100"/>
      <c r="P32" s="228"/>
      <c r="Q32" s="228"/>
      <c r="R32" s="228"/>
      <c r="S32" s="228"/>
      <c r="T32" s="228"/>
      <c r="U32" s="228"/>
      <c r="V32" s="228"/>
      <c r="W32" s="228"/>
      <c r="X32" s="228"/>
    </row>
    <row r="33" spans="1:24" ht="16.2" customHeight="1">
      <c r="A33" s="228"/>
      <c r="B33" s="19">
        <v>30</v>
      </c>
      <c r="C33" s="20" t="s">
        <v>277</v>
      </c>
      <c r="D33" s="83">
        <v>48.1</v>
      </c>
      <c r="E33" s="229">
        <f t="shared" si="0"/>
        <v>48.1</v>
      </c>
      <c r="F33" s="230">
        <v>5</v>
      </c>
      <c r="G33" s="4">
        <f t="shared" si="1"/>
        <v>400000</v>
      </c>
      <c r="H33" s="231">
        <f t="shared" si="2"/>
        <v>240.5</v>
      </c>
      <c r="I33" s="143">
        <f t="shared" si="3"/>
        <v>1.4315476190476193E-4</v>
      </c>
      <c r="J33" s="75">
        <f t="shared" si="4"/>
        <v>1.2025E-4</v>
      </c>
      <c r="K33" s="228"/>
      <c r="L33" s="100"/>
      <c r="M33" s="100"/>
      <c r="N33" s="100"/>
      <c r="O33" s="100"/>
      <c r="P33" s="228"/>
      <c r="Q33" s="228"/>
      <c r="R33" s="228"/>
      <c r="S33" s="228"/>
      <c r="T33" s="228"/>
      <c r="U33" s="228"/>
      <c r="V33" s="228"/>
      <c r="W33" s="228"/>
      <c r="X33" s="228"/>
    </row>
    <row r="34" spans="1:24" ht="16.2" customHeight="1">
      <c r="A34" s="228"/>
      <c r="B34" s="19">
        <v>31</v>
      </c>
      <c r="C34" s="20" t="s">
        <v>278</v>
      </c>
      <c r="D34" s="83">
        <v>45.1</v>
      </c>
      <c r="E34" s="229">
        <f t="shared" si="0"/>
        <v>45.1</v>
      </c>
      <c r="F34" s="230">
        <v>10</v>
      </c>
      <c r="G34" s="4">
        <f t="shared" si="1"/>
        <v>200000</v>
      </c>
      <c r="H34" s="231">
        <f t="shared" si="2"/>
        <v>451</v>
      </c>
      <c r="I34" s="143">
        <f t="shared" si="3"/>
        <v>2.6845238095238099E-4</v>
      </c>
      <c r="J34" s="75">
        <f t="shared" si="4"/>
        <v>2.2550000000000001E-4</v>
      </c>
      <c r="K34" s="228"/>
      <c r="L34" s="100"/>
      <c r="M34" s="100"/>
      <c r="N34" s="100"/>
      <c r="O34" s="100"/>
      <c r="P34" s="228"/>
      <c r="Q34" s="228"/>
      <c r="R34" s="228"/>
      <c r="S34" s="228"/>
      <c r="T34" s="228"/>
      <c r="U34" s="228"/>
      <c r="V34" s="228"/>
      <c r="W34" s="228"/>
      <c r="X34" s="228"/>
    </row>
    <row r="35" spans="1:24" ht="16.2" customHeight="1">
      <c r="A35" s="228"/>
      <c r="B35" s="19">
        <v>32</v>
      </c>
      <c r="C35" s="20" t="s">
        <v>279</v>
      </c>
      <c r="D35" s="83">
        <v>44.1</v>
      </c>
      <c r="E35" s="229">
        <f t="shared" si="0"/>
        <v>44.1</v>
      </c>
      <c r="F35" s="230">
        <v>20</v>
      </c>
      <c r="G35" s="4">
        <f t="shared" si="1"/>
        <v>100000</v>
      </c>
      <c r="H35" s="231">
        <f t="shared" si="2"/>
        <v>882</v>
      </c>
      <c r="I35" s="143">
        <f t="shared" si="3"/>
        <v>5.2500000000000008E-4</v>
      </c>
      <c r="J35" s="75">
        <f t="shared" si="4"/>
        <v>4.4099999999999999E-4</v>
      </c>
      <c r="K35" s="228"/>
      <c r="L35" s="100"/>
      <c r="M35" s="100"/>
      <c r="N35" s="100"/>
      <c r="O35" s="100"/>
      <c r="P35" s="228"/>
      <c r="Q35" s="228"/>
      <c r="R35" s="228"/>
      <c r="S35" s="228"/>
      <c r="T35" s="228"/>
      <c r="U35" s="228"/>
      <c r="V35" s="228"/>
      <c r="W35" s="228"/>
      <c r="X35" s="228"/>
    </row>
    <row r="36" spans="1:24" ht="16.2" customHeight="1">
      <c r="A36" s="228"/>
      <c r="B36" s="19">
        <v>33</v>
      </c>
      <c r="C36" s="20" t="s">
        <v>280</v>
      </c>
      <c r="D36" s="83">
        <v>43.2</v>
      </c>
      <c r="E36" s="229">
        <f t="shared" si="0"/>
        <v>43.2</v>
      </c>
      <c r="F36" s="230">
        <v>50</v>
      </c>
      <c r="G36" s="4">
        <f t="shared" si="1"/>
        <v>40000</v>
      </c>
      <c r="H36" s="231">
        <f t="shared" si="2"/>
        <v>2160</v>
      </c>
      <c r="I36" s="143">
        <f t="shared" si="3"/>
        <v>1.2857142857142859E-3</v>
      </c>
      <c r="J36" s="75">
        <f t="shared" si="4"/>
        <v>1.08E-3</v>
      </c>
      <c r="K36" s="228"/>
      <c r="L36" s="100"/>
      <c r="M36" s="100"/>
      <c r="N36" s="100"/>
      <c r="O36" s="100"/>
      <c r="P36" s="228"/>
      <c r="Q36" s="228"/>
      <c r="R36" s="228"/>
      <c r="S36" s="228"/>
      <c r="T36" s="228"/>
      <c r="U36" s="228"/>
      <c r="V36" s="228"/>
      <c r="W36" s="228"/>
      <c r="X36" s="228"/>
    </row>
    <row r="37" spans="1:24" ht="16.2" customHeight="1">
      <c r="A37" s="228"/>
      <c r="B37" s="19">
        <v>34</v>
      </c>
      <c r="C37" s="20" t="s">
        <v>281</v>
      </c>
      <c r="D37" s="83">
        <v>42.2</v>
      </c>
      <c r="E37" s="229">
        <f t="shared" si="0"/>
        <v>42.2</v>
      </c>
      <c r="F37" s="230">
        <v>10</v>
      </c>
      <c r="G37" s="4">
        <f t="shared" si="1"/>
        <v>200000</v>
      </c>
      <c r="H37" s="231">
        <f t="shared" si="2"/>
        <v>422</v>
      </c>
      <c r="I37" s="143">
        <f t="shared" si="3"/>
        <v>2.5119047619047625E-4</v>
      </c>
      <c r="J37" s="75">
        <f t="shared" si="4"/>
        <v>2.1100000000000001E-4</v>
      </c>
      <c r="K37" s="228"/>
      <c r="L37" s="100"/>
      <c r="M37" s="100"/>
      <c r="N37" s="100"/>
      <c r="O37" s="100"/>
      <c r="P37" s="228"/>
      <c r="Q37" s="228"/>
      <c r="R37" s="228"/>
      <c r="S37" s="228"/>
      <c r="T37" s="228"/>
      <c r="U37" s="228"/>
      <c r="V37" s="228"/>
      <c r="W37" s="228"/>
      <c r="X37" s="228"/>
    </row>
    <row r="38" spans="1:24" ht="16.2" customHeight="1">
      <c r="A38" s="228"/>
      <c r="B38" s="19">
        <v>35</v>
      </c>
      <c r="C38" s="20" t="s">
        <v>282</v>
      </c>
      <c r="D38" s="83">
        <v>42</v>
      </c>
      <c r="E38" s="229">
        <f t="shared" si="0"/>
        <v>42</v>
      </c>
      <c r="F38" s="230">
        <v>2</v>
      </c>
      <c r="G38" s="4">
        <f t="shared" si="1"/>
        <v>1000000</v>
      </c>
      <c r="H38" s="231">
        <f t="shared" si="2"/>
        <v>84</v>
      </c>
      <c r="I38" s="143">
        <f t="shared" si="3"/>
        <v>5.0000000000000009E-5</v>
      </c>
      <c r="J38" s="75">
        <f t="shared" si="4"/>
        <v>4.1999999999999998E-5</v>
      </c>
      <c r="K38" s="228"/>
      <c r="L38" s="100"/>
      <c r="M38" s="100"/>
      <c r="N38" s="100"/>
      <c r="O38" s="100"/>
      <c r="P38" s="228"/>
      <c r="Q38" s="228"/>
      <c r="R38" s="228"/>
      <c r="S38" s="228"/>
      <c r="T38" s="228"/>
      <c r="U38" s="228"/>
      <c r="V38" s="228"/>
      <c r="W38" s="228"/>
      <c r="X38" s="228"/>
    </row>
    <row r="39" spans="1:24" ht="16.2" customHeight="1">
      <c r="A39" s="228"/>
      <c r="B39" s="19">
        <v>36</v>
      </c>
      <c r="C39" s="20" t="s">
        <v>283</v>
      </c>
      <c r="D39" s="83">
        <v>40.799999999999997</v>
      </c>
      <c r="E39" s="229">
        <f t="shared" si="0"/>
        <v>40.799999999999997</v>
      </c>
      <c r="F39" s="230">
        <v>5</v>
      </c>
      <c r="G39" s="4">
        <f t="shared" si="1"/>
        <v>400000</v>
      </c>
      <c r="H39" s="231">
        <f t="shared" si="2"/>
        <v>204</v>
      </c>
      <c r="I39" s="143">
        <f t="shared" si="3"/>
        <v>1.2142857142857144E-4</v>
      </c>
      <c r="J39" s="75">
        <f t="shared" si="4"/>
        <v>1.02E-4</v>
      </c>
      <c r="K39" s="228"/>
      <c r="L39" s="100"/>
      <c r="M39" s="100"/>
      <c r="N39" s="100"/>
      <c r="O39" s="100"/>
      <c r="P39" s="228"/>
      <c r="Q39" s="228"/>
      <c r="R39" s="228"/>
      <c r="S39" s="228"/>
      <c r="T39" s="228"/>
      <c r="U39" s="228"/>
      <c r="V39" s="228"/>
      <c r="W39" s="228"/>
      <c r="X39" s="228"/>
    </row>
    <row r="40" spans="1:24" ht="16.2" customHeight="1">
      <c r="A40" s="228"/>
      <c r="B40" s="19">
        <v>37</v>
      </c>
      <c r="C40" s="20" t="s">
        <v>284</v>
      </c>
      <c r="D40" s="83">
        <v>40</v>
      </c>
      <c r="E40" s="229">
        <f t="shared" si="0"/>
        <v>40</v>
      </c>
      <c r="F40" s="230">
        <v>5</v>
      </c>
      <c r="G40" s="4">
        <f t="shared" si="1"/>
        <v>400000</v>
      </c>
      <c r="H40" s="231">
        <f t="shared" si="2"/>
        <v>200</v>
      </c>
      <c r="I40" s="143">
        <f t="shared" si="3"/>
        <v>1.1904761904761906E-4</v>
      </c>
      <c r="J40" s="75">
        <f t="shared" si="4"/>
        <v>1E-4</v>
      </c>
      <c r="K40" s="228"/>
      <c r="L40" s="100"/>
      <c r="M40" s="100"/>
      <c r="N40" s="100"/>
      <c r="O40" s="100"/>
      <c r="P40" s="228"/>
      <c r="Q40" s="228"/>
      <c r="R40" s="228"/>
      <c r="S40" s="228"/>
      <c r="T40" s="228"/>
      <c r="U40" s="228"/>
      <c r="V40" s="228"/>
      <c r="W40" s="228"/>
      <c r="X40" s="228"/>
    </row>
    <row r="41" spans="1:24" ht="16.2" customHeight="1">
      <c r="A41" s="228"/>
      <c r="B41" s="19">
        <v>38</v>
      </c>
      <c r="C41" s="20" t="s">
        <v>285</v>
      </c>
      <c r="D41" s="83">
        <v>40</v>
      </c>
      <c r="E41" s="229">
        <f t="shared" si="0"/>
        <v>40</v>
      </c>
      <c r="F41" s="230">
        <v>20</v>
      </c>
      <c r="G41" s="4">
        <f t="shared" si="1"/>
        <v>100000</v>
      </c>
      <c r="H41" s="231">
        <f t="shared" si="2"/>
        <v>800</v>
      </c>
      <c r="I41" s="143">
        <f t="shared" si="3"/>
        <v>4.7619047619047624E-4</v>
      </c>
      <c r="J41" s="75">
        <f t="shared" si="4"/>
        <v>4.0000000000000002E-4</v>
      </c>
      <c r="K41" s="228"/>
      <c r="L41" s="100"/>
      <c r="M41" s="100"/>
      <c r="N41" s="100"/>
      <c r="O41" s="100"/>
      <c r="P41" s="228"/>
      <c r="Q41" s="228"/>
      <c r="R41" s="228"/>
      <c r="S41" s="228"/>
      <c r="T41" s="228"/>
      <c r="U41" s="228"/>
      <c r="V41" s="228"/>
      <c r="W41" s="228"/>
      <c r="X41" s="228"/>
    </row>
    <row r="42" spans="1:24" ht="16.2" customHeight="1">
      <c r="A42" s="228"/>
      <c r="B42" s="19">
        <v>39</v>
      </c>
      <c r="C42" s="20" t="s">
        <v>286</v>
      </c>
      <c r="D42" s="83">
        <v>39</v>
      </c>
      <c r="E42" s="229">
        <f t="shared" si="0"/>
        <v>39</v>
      </c>
      <c r="F42" s="230">
        <v>15</v>
      </c>
      <c r="G42" s="4">
        <f t="shared" si="1"/>
        <v>133333.33333333334</v>
      </c>
      <c r="H42" s="231">
        <f t="shared" si="2"/>
        <v>585</v>
      </c>
      <c r="I42" s="143">
        <f t="shared" si="3"/>
        <v>3.4821428571428574E-4</v>
      </c>
      <c r="J42" s="75">
        <f t="shared" si="4"/>
        <v>2.9250000000000001E-4</v>
      </c>
      <c r="K42" s="228"/>
      <c r="L42" s="100"/>
      <c r="M42" s="100"/>
      <c r="N42" s="100"/>
      <c r="O42" s="100"/>
      <c r="P42" s="228"/>
      <c r="Q42" s="228"/>
      <c r="R42" s="228"/>
      <c r="S42" s="228"/>
      <c r="T42" s="228"/>
      <c r="U42" s="228"/>
      <c r="V42" s="228"/>
      <c r="W42" s="228"/>
      <c r="X42" s="228"/>
    </row>
    <row r="43" spans="1:24" ht="16.2" customHeight="1">
      <c r="A43" s="228"/>
      <c r="B43" s="19">
        <v>40</v>
      </c>
      <c r="C43" s="20" t="s">
        <v>287</v>
      </c>
      <c r="D43" s="83">
        <v>37.799999999999997</v>
      </c>
      <c r="E43" s="229">
        <f t="shared" si="0"/>
        <v>37.799999999999997</v>
      </c>
      <c r="F43" s="230">
        <v>10</v>
      </c>
      <c r="G43" s="4">
        <f t="shared" si="1"/>
        <v>200000</v>
      </c>
      <c r="H43" s="231">
        <f t="shared" si="2"/>
        <v>378</v>
      </c>
      <c r="I43" s="143">
        <f t="shared" si="3"/>
        <v>2.2500000000000002E-4</v>
      </c>
      <c r="J43" s="75">
        <f t="shared" si="4"/>
        <v>1.8900000000000001E-4</v>
      </c>
      <c r="K43" s="228"/>
      <c r="L43" s="100"/>
      <c r="M43" s="100"/>
      <c r="N43" s="100"/>
      <c r="O43" s="100"/>
      <c r="P43" s="228"/>
      <c r="Q43" s="228"/>
      <c r="R43" s="228"/>
      <c r="S43" s="228"/>
      <c r="T43" s="228"/>
      <c r="U43" s="228"/>
      <c r="V43" s="228"/>
      <c r="W43" s="228"/>
      <c r="X43" s="228"/>
    </row>
    <row r="44" spans="1:24" ht="16.2" customHeight="1">
      <c r="A44" s="228"/>
      <c r="B44" s="19">
        <v>41</v>
      </c>
      <c r="C44" s="20" t="s">
        <v>288</v>
      </c>
      <c r="D44" s="83">
        <v>37.299999999999997</v>
      </c>
      <c r="E44" s="229">
        <f t="shared" si="0"/>
        <v>37.299999999999997</v>
      </c>
      <c r="F44" s="230">
        <v>20</v>
      </c>
      <c r="G44" s="4">
        <f t="shared" si="1"/>
        <v>100000</v>
      </c>
      <c r="H44" s="231">
        <f t="shared" si="2"/>
        <v>746</v>
      </c>
      <c r="I44" s="143">
        <f t="shared" si="3"/>
        <v>4.4404761904761909E-4</v>
      </c>
      <c r="J44" s="75">
        <f t="shared" si="4"/>
        <v>3.7300000000000001E-4</v>
      </c>
      <c r="K44" s="228"/>
      <c r="L44" s="100"/>
      <c r="M44" s="100"/>
      <c r="N44" s="100"/>
      <c r="O44" s="100"/>
      <c r="P44" s="228"/>
      <c r="Q44" s="228"/>
      <c r="R44" s="228"/>
      <c r="S44" s="228"/>
      <c r="T44" s="228"/>
      <c r="U44" s="228"/>
      <c r="V44" s="228"/>
      <c r="W44" s="228"/>
      <c r="X44" s="228"/>
    </row>
    <row r="45" spans="1:24" ht="16.2" customHeight="1">
      <c r="A45" s="228"/>
      <c r="B45" s="19">
        <v>42</v>
      </c>
      <c r="C45" s="20" t="s">
        <v>289</v>
      </c>
      <c r="D45" s="83">
        <v>37.200000000000003</v>
      </c>
      <c r="E45" s="229">
        <f t="shared" si="0"/>
        <v>37.200000000000003</v>
      </c>
      <c r="F45" s="230">
        <v>10</v>
      </c>
      <c r="G45" s="4">
        <f t="shared" si="1"/>
        <v>200000</v>
      </c>
      <c r="H45" s="231">
        <f t="shared" si="2"/>
        <v>372</v>
      </c>
      <c r="I45" s="143">
        <f t="shared" si="3"/>
        <v>2.2142857142857145E-4</v>
      </c>
      <c r="J45" s="75">
        <f t="shared" si="4"/>
        <v>1.8599999999999999E-4</v>
      </c>
      <c r="K45" s="228"/>
      <c r="L45" s="100"/>
      <c r="M45" s="100"/>
      <c r="N45" s="100"/>
      <c r="O45" s="100"/>
      <c r="P45" s="228"/>
      <c r="Q45" s="228"/>
      <c r="R45" s="228"/>
      <c r="S45" s="228"/>
      <c r="T45" s="228"/>
      <c r="U45" s="228"/>
      <c r="V45" s="228"/>
      <c r="W45" s="228"/>
      <c r="X45" s="228"/>
    </row>
    <row r="46" spans="1:24" ht="16.2" customHeight="1">
      <c r="A46" s="228"/>
      <c r="B46" s="19">
        <v>43</v>
      </c>
      <c r="C46" s="20" t="s">
        <v>290</v>
      </c>
      <c r="D46" s="83">
        <v>37</v>
      </c>
      <c r="E46" s="229">
        <f t="shared" si="0"/>
        <v>37</v>
      </c>
      <c r="F46" s="230">
        <v>10</v>
      </c>
      <c r="G46" s="4">
        <f t="shared" si="1"/>
        <v>200000</v>
      </c>
      <c r="H46" s="231">
        <f t="shared" si="2"/>
        <v>370</v>
      </c>
      <c r="I46" s="143">
        <f t="shared" si="3"/>
        <v>2.2023809523809526E-4</v>
      </c>
      <c r="J46" s="75">
        <f t="shared" si="4"/>
        <v>1.85E-4</v>
      </c>
      <c r="K46" s="228"/>
      <c r="L46" s="100"/>
      <c r="M46" s="100"/>
      <c r="N46" s="100"/>
      <c r="O46" s="100"/>
      <c r="P46" s="228"/>
      <c r="Q46" s="228"/>
      <c r="R46" s="228"/>
      <c r="S46" s="228"/>
      <c r="T46" s="228"/>
      <c r="U46" s="228"/>
      <c r="V46" s="228"/>
      <c r="W46" s="228"/>
      <c r="X46" s="228"/>
    </row>
    <row r="47" spans="1:24" ht="16.2" customHeight="1">
      <c r="A47" s="228"/>
      <c r="B47" s="19">
        <v>44</v>
      </c>
      <c r="C47" s="20" t="s">
        <v>291</v>
      </c>
      <c r="D47" s="83">
        <v>37</v>
      </c>
      <c r="E47" s="229">
        <f t="shared" si="0"/>
        <v>37</v>
      </c>
      <c r="F47" s="230">
        <v>10</v>
      </c>
      <c r="G47" s="4">
        <f t="shared" si="1"/>
        <v>200000</v>
      </c>
      <c r="H47" s="231">
        <f t="shared" si="2"/>
        <v>370</v>
      </c>
      <c r="I47" s="143">
        <f t="shared" si="3"/>
        <v>2.2023809523809526E-4</v>
      </c>
      <c r="J47" s="75">
        <f t="shared" si="4"/>
        <v>1.85E-4</v>
      </c>
      <c r="K47" s="228"/>
      <c r="L47" s="100"/>
      <c r="M47" s="100"/>
      <c r="N47" s="100"/>
      <c r="O47" s="100"/>
      <c r="P47" s="228"/>
      <c r="Q47" s="228"/>
      <c r="R47" s="228"/>
      <c r="S47" s="228"/>
      <c r="T47" s="228"/>
      <c r="U47" s="228"/>
      <c r="V47" s="228"/>
      <c r="W47" s="228"/>
      <c r="X47" s="228"/>
    </row>
    <row r="48" spans="1:24" ht="16.2" customHeight="1">
      <c r="A48" s="228"/>
      <c r="B48" s="19">
        <v>45</v>
      </c>
      <c r="C48" s="20" t="s">
        <v>292</v>
      </c>
      <c r="D48" s="83">
        <v>37</v>
      </c>
      <c r="E48" s="229">
        <f t="shared" si="0"/>
        <v>37</v>
      </c>
      <c r="F48" s="230">
        <v>10</v>
      </c>
      <c r="G48" s="4">
        <f t="shared" si="1"/>
        <v>200000</v>
      </c>
      <c r="H48" s="231">
        <f t="shared" si="2"/>
        <v>370</v>
      </c>
      <c r="I48" s="143">
        <f t="shared" si="3"/>
        <v>2.2023809523809526E-4</v>
      </c>
      <c r="J48" s="75">
        <f t="shared" si="4"/>
        <v>1.85E-4</v>
      </c>
      <c r="K48" s="228"/>
      <c r="L48" s="100"/>
      <c r="M48" s="100"/>
      <c r="N48" s="100"/>
      <c r="O48" s="100"/>
      <c r="P48" s="228"/>
      <c r="Q48" s="228"/>
      <c r="R48" s="228"/>
      <c r="S48" s="228"/>
      <c r="T48" s="228"/>
      <c r="U48" s="228"/>
      <c r="V48" s="228"/>
      <c r="W48" s="228"/>
      <c r="X48" s="228"/>
    </row>
    <row r="49" spans="1:24" ht="16.2" customHeight="1">
      <c r="A49" s="228"/>
      <c r="B49" s="19">
        <v>46</v>
      </c>
      <c r="C49" s="20" t="s">
        <v>293</v>
      </c>
      <c r="D49" s="83">
        <v>36.400000000000013</v>
      </c>
      <c r="E49" s="229">
        <f t="shared" si="0"/>
        <v>36.400000000000013</v>
      </c>
      <c r="F49" s="230">
        <v>25</v>
      </c>
      <c r="G49" s="4">
        <f t="shared" si="1"/>
        <v>80000</v>
      </c>
      <c r="H49" s="231">
        <f t="shared" si="2"/>
        <v>910.00000000000034</v>
      </c>
      <c r="I49" s="143">
        <f t="shared" si="3"/>
        <v>5.4166666666666697E-4</v>
      </c>
      <c r="J49" s="75">
        <f t="shared" si="4"/>
        <v>4.5500000000000016E-4</v>
      </c>
      <c r="K49" s="228"/>
      <c r="L49" s="100"/>
      <c r="M49" s="100"/>
      <c r="N49" s="100"/>
      <c r="O49" s="100"/>
      <c r="P49" s="228"/>
      <c r="Q49" s="228"/>
      <c r="R49" s="228"/>
      <c r="S49" s="228"/>
      <c r="T49" s="228"/>
      <c r="U49" s="228"/>
      <c r="V49" s="228"/>
      <c r="W49" s="228"/>
      <c r="X49" s="228"/>
    </row>
    <row r="50" spans="1:24" ht="16.2" customHeight="1">
      <c r="A50" s="228"/>
      <c r="B50" s="19">
        <v>47</v>
      </c>
      <c r="C50" s="20" t="s">
        <v>294</v>
      </c>
      <c r="D50" s="83">
        <v>36</v>
      </c>
      <c r="E50" s="229">
        <f t="shared" si="0"/>
        <v>36</v>
      </c>
      <c r="F50" s="230">
        <v>10</v>
      </c>
      <c r="G50" s="4">
        <f t="shared" si="1"/>
        <v>200000</v>
      </c>
      <c r="H50" s="231">
        <f t="shared" si="2"/>
        <v>360</v>
      </c>
      <c r="I50" s="143">
        <f t="shared" si="3"/>
        <v>2.1428571428571433E-4</v>
      </c>
      <c r="J50" s="75">
        <f t="shared" si="4"/>
        <v>1.8000000000000001E-4</v>
      </c>
      <c r="K50" s="228"/>
      <c r="L50" s="100"/>
      <c r="M50" s="100"/>
      <c r="N50" s="100"/>
      <c r="O50" s="100"/>
      <c r="P50" s="228"/>
      <c r="Q50" s="228"/>
      <c r="R50" s="228"/>
      <c r="S50" s="228"/>
      <c r="T50" s="228"/>
      <c r="U50" s="228"/>
      <c r="V50" s="228"/>
      <c r="W50" s="228"/>
      <c r="X50" s="228"/>
    </row>
    <row r="51" spans="1:24" ht="16.2" customHeight="1">
      <c r="A51" s="228"/>
      <c r="B51" s="19">
        <v>48</v>
      </c>
      <c r="C51" s="20" t="s">
        <v>295</v>
      </c>
      <c r="D51" s="83">
        <v>35.6</v>
      </c>
      <c r="E51" s="229">
        <f t="shared" si="0"/>
        <v>35.6</v>
      </c>
      <c r="F51" s="230">
        <v>50</v>
      </c>
      <c r="G51" s="4">
        <f t="shared" si="1"/>
        <v>40000</v>
      </c>
      <c r="H51" s="231">
        <f t="shared" si="2"/>
        <v>1780</v>
      </c>
      <c r="I51" s="143">
        <f t="shared" si="3"/>
        <v>1.0595238095238097E-3</v>
      </c>
      <c r="J51" s="75">
        <f t="shared" si="4"/>
        <v>8.8999999999999995E-4</v>
      </c>
      <c r="K51" s="228"/>
      <c r="L51" s="100"/>
      <c r="M51" s="100"/>
      <c r="N51" s="100"/>
      <c r="O51" s="100"/>
      <c r="P51" s="228"/>
      <c r="Q51" s="228"/>
      <c r="R51" s="228"/>
      <c r="S51" s="228"/>
      <c r="T51" s="228"/>
      <c r="U51" s="228"/>
      <c r="V51" s="228"/>
      <c r="W51" s="228"/>
      <c r="X51" s="228"/>
    </row>
    <row r="52" spans="1:24" ht="16.2" customHeight="1">
      <c r="A52" s="228"/>
      <c r="B52" s="19">
        <v>49</v>
      </c>
      <c r="C52" s="20" t="s">
        <v>296</v>
      </c>
      <c r="D52" s="83">
        <v>35.5</v>
      </c>
      <c r="E52" s="229">
        <f t="shared" si="0"/>
        <v>35.5</v>
      </c>
      <c r="F52" s="230">
        <v>10</v>
      </c>
      <c r="G52" s="4">
        <f t="shared" si="1"/>
        <v>200000</v>
      </c>
      <c r="H52" s="231">
        <f t="shared" si="2"/>
        <v>355</v>
      </c>
      <c r="I52" s="143">
        <f t="shared" si="3"/>
        <v>2.1130952380952385E-4</v>
      </c>
      <c r="J52" s="75">
        <f t="shared" si="4"/>
        <v>1.775E-4</v>
      </c>
      <c r="K52" s="228"/>
      <c r="L52" s="100"/>
      <c r="M52" s="100"/>
      <c r="N52" s="100"/>
      <c r="O52" s="100"/>
      <c r="P52" s="228"/>
      <c r="Q52" s="228"/>
      <c r="R52" s="228"/>
      <c r="S52" s="228"/>
      <c r="T52" s="228"/>
      <c r="U52" s="228"/>
      <c r="V52" s="228"/>
      <c r="W52" s="228"/>
      <c r="X52" s="228"/>
    </row>
    <row r="53" spans="1:24" ht="16.2" customHeight="1">
      <c r="A53" s="228"/>
      <c r="B53" s="19">
        <v>50</v>
      </c>
      <c r="C53" s="20" t="s">
        <v>297</v>
      </c>
      <c r="D53" s="83">
        <v>35.4</v>
      </c>
      <c r="E53" s="229">
        <f t="shared" si="0"/>
        <v>35.4</v>
      </c>
      <c r="F53" s="230">
        <v>10</v>
      </c>
      <c r="G53" s="4">
        <f t="shared" si="1"/>
        <v>200000</v>
      </c>
      <c r="H53" s="231">
        <f t="shared" si="2"/>
        <v>354</v>
      </c>
      <c r="I53" s="143">
        <f t="shared" si="3"/>
        <v>2.1071428571428576E-4</v>
      </c>
      <c r="J53" s="75">
        <f t="shared" si="4"/>
        <v>1.7699999999999999E-4</v>
      </c>
      <c r="K53" s="228"/>
      <c r="L53" s="100"/>
      <c r="M53" s="100"/>
      <c r="N53" s="100"/>
      <c r="O53" s="100"/>
      <c r="P53" s="228"/>
      <c r="Q53" s="228"/>
      <c r="R53" s="228"/>
      <c r="S53" s="228"/>
      <c r="T53" s="228"/>
      <c r="U53" s="228"/>
      <c r="V53" s="228"/>
      <c r="W53" s="228"/>
      <c r="X53" s="228"/>
    </row>
    <row r="54" spans="1:24" ht="16.2" customHeight="1">
      <c r="A54" s="228"/>
      <c r="B54" s="19">
        <v>51</v>
      </c>
      <c r="C54" s="20" t="s">
        <v>298</v>
      </c>
      <c r="D54" s="83">
        <v>35.4</v>
      </c>
      <c r="E54" s="229">
        <f t="shared" si="0"/>
        <v>35.4</v>
      </c>
      <c r="F54" s="230">
        <v>10</v>
      </c>
      <c r="G54" s="4">
        <f t="shared" si="1"/>
        <v>200000</v>
      </c>
      <c r="H54" s="231">
        <f t="shared" si="2"/>
        <v>354</v>
      </c>
      <c r="I54" s="143">
        <f t="shared" si="3"/>
        <v>2.1071428571428576E-4</v>
      </c>
      <c r="J54" s="75">
        <f t="shared" si="4"/>
        <v>1.7699999999999999E-4</v>
      </c>
      <c r="K54" s="228"/>
      <c r="L54" s="100"/>
      <c r="M54" s="100"/>
      <c r="N54" s="100"/>
      <c r="O54" s="100"/>
      <c r="P54" s="228"/>
      <c r="Q54" s="228"/>
      <c r="R54" s="228"/>
      <c r="S54" s="228"/>
      <c r="T54" s="228"/>
      <c r="U54" s="228"/>
      <c r="V54" s="228"/>
      <c r="W54" s="228"/>
      <c r="X54" s="228"/>
    </row>
    <row r="55" spans="1:24" ht="16.2" customHeight="1">
      <c r="A55" s="228"/>
      <c r="B55" s="19">
        <v>52</v>
      </c>
      <c r="C55" s="20" t="s">
        <v>299</v>
      </c>
      <c r="D55" s="83">
        <v>35.299999999999997</v>
      </c>
      <c r="E55" s="229">
        <f t="shared" si="0"/>
        <v>35.299999999999997</v>
      </c>
      <c r="F55" s="230">
        <v>10</v>
      </c>
      <c r="G55" s="4">
        <f t="shared" si="1"/>
        <v>200000</v>
      </c>
      <c r="H55" s="231">
        <f t="shared" si="2"/>
        <v>353</v>
      </c>
      <c r="I55" s="143">
        <f t="shared" si="3"/>
        <v>2.1011904761904766E-4</v>
      </c>
      <c r="J55" s="75">
        <f t="shared" si="4"/>
        <v>1.7650000000000001E-4</v>
      </c>
      <c r="K55" s="228"/>
      <c r="L55" s="100"/>
      <c r="M55" s="100"/>
      <c r="N55" s="100"/>
      <c r="O55" s="100"/>
      <c r="P55" s="228"/>
      <c r="Q55" s="228"/>
      <c r="R55" s="228"/>
      <c r="S55" s="228"/>
      <c r="T55" s="228"/>
      <c r="U55" s="228"/>
      <c r="V55" s="228"/>
      <c r="W55" s="228"/>
      <c r="X55" s="228"/>
    </row>
    <row r="56" spans="1:24" ht="16.2" customHeight="1">
      <c r="A56" s="228"/>
      <c r="B56" s="19">
        <v>53</v>
      </c>
      <c r="C56" s="20" t="s">
        <v>300</v>
      </c>
      <c r="D56" s="83">
        <v>35.200000000000003</v>
      </c>
      <c r="E56" s="229">
        <f t="shared" si="0"/>
        <v>35.200000000000003</v>
      </c>
      <c r="F56" s="230">
        <v>10</v>
      </c>
      <c r="G56" s="4">
        <f t="shared" si="1"/>
        <v>200000</v>
      </c>
      <c r="H56" s="231">
        <f t="shared" si="2"/>
        <v>352</v>
      </c>
      <c r="I56" s="143">
        <f t="shared" si="3"/>
        <v>2.0952380952380956E-4</v>
      </c>
      <c r="J56" s="75">
        <f t="shared" si="4"/>
        <v>1.76E-4</v>
      </c>
      <c r="K56" s="228"/>
      <c r="L56" s="100"/>
      <c r="M56" s="100"/>
      <c r="N56" s="100"/>
      <c r="O56" s="100"/>
      <c r="P56" s="228"/>
      <c r="Q56" s="228"/>
      <c r="R56" s="228"/>
      <c r="S56" s="228"/>
      <c r="T56" s="228"/>
      <c r="U56" s="228"/>
      <c r="V56" s="228"/>
      <c r="W56" s="228"/>
      <c r="X56" s="228"/>
    </row>
    <row r="57" spans="1:24" ht="16.2" customHeight="1">
      <c r="A57" s="228"/>
      <c r="B57" s="19">
        <v>54</v>
      </c>
      <c r="C57" s="20" t="s">
        <v>301</v>
      </c>
      <c r="D57" s="83">
        <v>35</v>
      </c>
      <c r="E57" s="229">
        <f t="shared" si="0"/>
        <v>35</v>
      </c>
      <c r="F57" s="230">
        <v>20</v>
      </c>
      <c r="G57" s="4">
        <f t="shared" si="1"/>
        <v>100000</v>
      </c>
      <c r="H57" s="231">
        <f t="shared" si="2"/>
        <v>700</v>
      </c>
      <c r="I57" s="143">
        <f t="shared" si="3"/>
        <v>4.1666666666666675E-4</v>
      </c>
      <c r="J57" s="75">
        <f t="shared" si="4"/>
        <v>3.5E-4</v>
      </c>
      <c r="K57" s="228"/>
      <c r="L57" s="100"/>
      <c r="M57" s="100"/>
      <c r="N57" s="100"/>
      <c r="O57" s="100"/>
      <c r="P57" s="228"/>
      <c r="Q57" s="228"/>
      <c r="R57" s="228"/>
      <c r="S57" s="228"/>
      <c r="T57" s="228"/>
      <c r="U57" s="228"/>
      <c r="V57" s="228"/>
      <c r="W57" s="228"/>
      <c r="X57" s="228"/>
    </row>
    <row r="58" spans="1:24" ht="16.2" customHeight="1">
      <c r="A58" s="228"/>
      <c r="B58" s="19">
        <v>55</v>
      </c>
      <c r="C58" s="20" t="s">
        <v>302</v>
      </c>
      <c r="D58" s="83">
        <v>34.900000000000013</v>
      </c>
      <c r="E58" s="229">
        <f t="shared" si="0"/>
        <v>34.900000000000013</v>
      </c>
      <c r="F58" s="230">
        <v>20</v>
      </c>
      <c r="G58" s="4">
        <f t="shared" si="1"/>
        <v>100000</v>
      </c>
      <c r="H58" s="231">
        <f t="shared" si="2"/>
        <v>698.00000000000023</v>
      </c>
      <c r="I58" s="143">
        <f t="shared" si="3"/>
        <v>4.1547619047619067E-4</v>
      </c>
      <c r="J58" s="75">
        <f t="shared" si="4"/>
        <v>3.4900000000000013E-4</v>
      </c>
      <c r="K58" s="228"/>
      <c r="L58" s="100"/>
      <c r="M58" s="100"/>
      <c r="N58" s="100"/>
      <c r="O58" s="100"/>
      <c r="P58" s="228"/>
      <c r="Q58" s="228"/>
      <c r="R58" s="228"/>
      <c r="S58" s="228"/>
      <c r="T58" s="228"/>
      <c r="U58" s="228"/>
      <c r="V58" s="228"/>
      <c r="W58" s="228"/>
      <c r="X58" s="228"/>
    </row>
    <row r="59" spans="1:24" ht="16.2" customHeight="1">
      <c r="A59" s="228"/>
      <c r="B59" s="19">
        <v>56</v>
      </c>
      <c r="C59" s="20" t="s">
        <v>303</v>
      </c>
      <c r="D59" s="83">
        <v>34.700000000000003</v>
      </c>
      <c r="E59" s="229">
        <f t="shared" si="0"/>
        <v>34.700000000000003</v>
      </c>
      <c r="F59" s="230">
        <v>20</v>
      </c>
      <c r="G59" s="4">
        <f t="shared" si="1"/>
        <v>100000</v>
      </c>
      <c r="H59" s="231">
        <f t="shared" si="2"/>
        <v>694</v>
      </c>
      <c r="I59" s="143">
        <f t="shared" si="3"/>
        <v>4.1309523809523817E-4</v>
      </c>
      <c r="J59" s="75">
        <f t="shared" si="4"/>
        <v>3.4699999999999998E-4</v>
      </c>
      <c r="K59" s="228"/>
      <c r="L59" s="100"/>
      <c r="M59" s="100"/>
      <c r="N59" s="100"/>
      <c r="O59" s="100"/>
      <c r="P59" s="228"/>
      <c r="Q59" s="228"/>
      <c r="R59" s="228"/>
      <c r="S59" s="228"/>
      <c r="T59" s="228"/>
      <c r="U59" s="228"/>
      <c r="V59" s="228"/>
      <c r="W59" s="228"/>
      <c r="X59" s="228"/>
    </row>
    <row r="60" spans="1:24" ht="16.2" customHeight="1">
      <c r="A60" s="228"/>
      <c r="B60" s="19">
        <v>57</v>
      </c>
      <c r="C60" s="20" t="s">
        <v>304</v>
      </c>
      <c r="D60" s="83">
        <v>34</v>
      </c>
      <c r="E60" s="229">
        <f t="shared" si="0"/>
        <v>34</v>
      </c>
      <c r="F60" s="230">
        <v>50</v>
      </c>
      <c r="G60" s="4">
        <f t="shared" si="1"/>
        <v>40000</v>
      </c>
      <c r="H60" s="231">
        <f t="shared" si="2"/>
        <v>1700</v>
      </c>
      <c r="I60" s="143">
        <f t="shared" si="3"/>
        <v>1.011904761904762E-3</v>
      </c>
      <c r="J60" s="75">
        <f t="shared" si="4"/>
        <v>8.4999999999999995E-4</v>
      </c>
      <c r="K60" s="228"/>
      <c r="L60" s="100"/>
      <c r="M60" s="100"/>
      <c r="N60" s="100"/>
      <c r="O60" s="100"/>
      <c r="P60" s="228"/>
      <c r="Q60" s="228"/>
      <c r="R60" s="228"/>
      <c r="S60" s="228"/>
      <c r="T60" s="228"/>
      <c r="U60" s="228"/>
      <c r="V60" s="228"/>
      <c r="W60" s="228"/>
      <c r="X60" s="228"/>
    </row>
    <row r="61" spans="1:24" ht="16.2" customHeight="1">
      <c r="A61" s="228"/>
      <c r="B61" s="19">
        <v>58</v>
      </c>
      <c r="C61" s="20" t="s">
        <v>305</v>
      </c>
      <c r="D61" s="83">
        <v>33.700000000000003</v>
      </c>
      <c r="E61" s="229">
        <f t="shared" si="0"/>
        <v>33.700000000000003</v>
      </c>
      <c r="F61" s="230">
        <v>10</v>
      </c>
      <c r="G61" s="4">
        <f t="shared" si="1"/>
        <v>200000</v>
      </c>
      <c r="H61" s="231">
        <f t="shared" si="2"/>
        <v>337</v>
      </c>
      <c r="I61" s="143">
        <f t="shared" si="3"/>
        <v>2.0059523809523813E-4</v>
      </c>
      <c r="J61" s="75">
        <f t="shared" si="4"/>
        <v>1.685E-4</v>
      </c>
      <c r="K61" s="228"/>
      <c r="L61" s="100"/>
      <c r="M61" s="100"/>
      <c r="N61" s="100"/>
      <c r="O61" s="100"/>
      <c r="P61" s="228"/>
      <c r="Q61" s="228"/>
      <c r="R61" s="228"/>
      <c r="S61" s="228"/>
      <c r="T61" s="228"/>
      <c r="U61" s="228"/>
      <c r="V61" s="228"/>
      <c r="W61" s="228"/>
      <c r="X61" s="228"/>
    </row>
    <row r="62" spans="1:24" ht="16.2" customHeight="1">
      <c r="A62" s="228"/>
      <c r="B62" s="19">
        <v>59</v>
      </c>
      <c r="C62" s="20" t="s">
        <v>306</v>
      </c>
      <c r="D62" s="83">
        <v>33.700000000000003</v>
      </c>
      <c r="E62" s="229">
        <f t="shared" si="0"/>
        <v>33.700000000000003</v>
      </c>
      <c r="F62" s="230">
        <v>10</v>
      </c>
      <c r="G62" s="4">
        <f t="shared" si="1"/>
        <v>200000</v>
      </c>
      <c r="H62" s="231">
        <f t="shared" si="2"/>
        <v>337</v>
      </c>
      <c r="I62" s="143">
        <f t="shared" si="3"/>
        <v>2.0059523809523813E-4</v>
      </c>
      <c r="J62" s="75">
        <f t="shared" si="4"/>
        <v>1.685E-4</v>
      </c>
      <c r="K62" s="228"/>
      <c r="L62" s="100"/>
      <c r="M62" s="100"/>
      <c r="N62" s="100"/>
      <c r="O62" s="100"/>
      <c r="P62" s="228"/>
      <c r="Q62" s="228"/>
      <c r="R62" s="228"/>
      <c r="S62" s="228"/>
      <c r="T62" s="228"/>
      <c r="U62" s="228"/>
      <c r="V62" s="228"/>
      <c r="W62" s="228"/>
      <c r="X62" s="228"/>
    </row>
    <row r="63" spans="1:24" ht="16.2" customHeight="1">
      <c r="A63" s="228"/>
      <c r="B63" s="19">
        <v>60</v>
      </c>
      <c r="C63" s="20" t="s">
        <v>307</v>
      </c>
      <c r="D63" s="83">
        <v>33.4</v>
      </c>
      <c r="E63" s="229">
        <f t="shared" si="0"/>
        <v>33.4</v>
      </c>
      <c r="F63" s="230">
        <v>10</v>
      </c>
      <c r="G63" s="4">
        <f t="shared" si="1"/>
        <v>200000</v>
      </c>
      <c r="H63" s="231">
        <f t="shared" si="2"/>
        <v>334</v>
      </c>
      <c r="I63" s="143">
        <f t="shared" si="3"/>
        <v>1.9880952380952385E-4</v>
      </c>
      <c r="J63" s="75">
        <f t="shared" si="4"/>
        <v>1.6699999999999999E-4</v>
      </c>
      <c r="K63" s="228"/>
      <c r="L63" s="100"/>
      <c r="M63" s="100"/>
      <c r="N63" s="100"/>
      <c r="O63" s="100"/>
      <c r="P63" s="228"/>
      <c r="Q63" s="228"/>
      <c r="R63" s="228"/>
      <c r="S63" s="228"/>
      <c r="T63" s="228"/>
      <c r="U63" s="228"/>
      <c r="V63" s="228"/>
      <c r="W63" s="228"/>
      <c r="X63" s="228"/>
    </row>
    <row r="64" spans="1:24" ht="16.2" customHeight="1">
      <c r="A64" s="228"/>
      <c r="B64" s="19">
        <v>61</v>
      </c>
      <c r="C64" s="20" t="s">
        <v>308</v>
      </c>
      <c r="D64" s="83">
        <v>33</v>
      </c>
      <c r="E64" s="229">
        <f t="shared" si="0"/>
        <v>33</v>
      </c>
      <c r="F64" s="230">
        <v>5</v>
      </c>
      <c r="G64" s="4">
        <f t="shared" si="1"/>
        <v>400000</v>
      </c>
      <c r="H64" s="231">
        <f t="shared" si="2"/>
        <v>165</v>
      </c>
      <c r="I64" s="143">
        <f t="shared" si="3"/>
        <v>9.8214285714285732E-5</v>
      </c>
      <c r="J64" s="75">
        <f t="shared" si="4"/>
        <v>8.25E-5</v>
      </c>
      <c r="K64" s="228"/>
      <c r="L64" s="100"/>
      <c r="M64" s="100"/>
      <c r="N64" s="100"/>
      <c r="O64" s="100"/>
      <c r="P64" s="228"/>
      <c r="Q64" s="228"/>
      <c r="R64" s="228"/>
      <c r="S64" s="228"/>
      <c r="T64" s="228"/>
      <c r="U64" s="228"/>
      <c r="V64" s="228"/>
      <c r="W64" s="228"/>
      <c r="X64" s="228"/>
    </row>
    <row r="65" spans="1:24" ht="16.2" customHeight="1">
      <c r="A65" s="228"/>
      <c r="B65" s="19">
        <v>62</v>
      </c>
      <c r="C65" s="20" t="s">
        <v>309</v>
      </c>
      <c r="D65" s="83">
        <v>33</v>
      </c>
      <c r="E65" s="229">
        <f t="shared" si="0"/>
        <v>33</v>
      </c>
      <c r="F65" s="230">
        <v>50</v>
      </c>
      <c r="G65" s="4">
        <f t="shared" si="1"/>
        <v>40000</v>
      </c>
      <c r="H65" s="231">
        <f t="shared" si="2"/>
        <v>1650</v>
      </c>
      <c r="I65" s="143">
        <f t="shared" si="3"/>
        <v>9.8214285714285721E-4</v>
      </c>
      <c r="J65" s="75">
        <f t="shared" si="4"/>
        <v>8.25E-4</v>
      </c>
      <c r="K65" s="228"/>
      <c r="L65" s="100"/>
      <c r="M65" s="100"/>
      <c r="N65" s="100"/>
      <c r="O65" s="100"/>
      <c r="P65" s="228"/>
      <c r="Q65" s="228"/>
      <c r="R65" s="228"/>
      <c r="S65" s="228"/>
      <c r="T65" s="228"/>
      <c r="U65" s="228"/>
      <c r="V65" s="228"/>
      <c r="W65" s="228"/>
      <c r="X65" s="228"/>
    </row>
    <row r="66" spans="1:24" ht="16.2" customHeight="1">
      <c r="A66" s="228"/>
      <c r="B66" s="19">
        <v>63</v>
      </c>
      <c r="C66" s="20" t="s">
        <v>310</v>
      </c>
      <c r="D66" s="83">
        <v>32.4</v>
      </c>
      <c r="E66" s="229">
        <f t="shared" si="0"/>
        <v>32.4</v>
      </c>
      <c r="F66" s="230">
        <v>20</v>
      </c>
      <c r="G66" s="4">
        <f t="shared" si="1"/>
        <v>100000</v>
      </c>
      <c r="H66" s="231">
        <f t="shared" si="2"/>
        <v>648</v>
      </c>
      <c r="I66" s="143">
        <f t="shared" si="3"/>
        <v>3.8571428571428578E-4</v>
      </c>
      <c r="J66" s="75">
        <f t="shared" si="4"/>
        <v>3.2400000000000001E-4</v>
      </c>
      <c r="K66" s="228"/>
      <c r="L66" s="100"/>
      <c r="M66" s="100"/>
      <c r="N66" s="100"/>
      <c r="O66" s="100"/>
      <c r="P66" s="228"/>
      <c r="Q66" s="228"/>
      <c r="R66" s="228"/>
      <c r="S66" s="228"/>
      <c r="T66" s="228"/>
      <c r="U66" s="228"/>
      <c r="V66" s="228"/>
      <c r="W66" s="228"/>
      <c r="X66" s="228"/>
    </row>
    <row r="67" spans="1:24" ht="16.2" customHeight="1">
      <c r="A67" s="228"/>
      <c r="B67" s="19">
        <v>64</v>
      </c>
      <c r="C67" s="20" t="s">
        <v>311</v>
      </c>
      <c r="D67" s="83">
        <v>32.299999999999997</v>
      </c>
      <c r="E67" s="229">
        <f t="shared" si="0"/>
        <v>32.299999999999997</v>
      </c>
      <c r="F67" s="230">
        <v>10</v>
      </c>
      <c r="G67" s="4">
        <f t="shared" si="1"/>
        <v>200000</v>
      </c>
      <c r="H67" s="231">
        <f t="shared" si="2"/>
        <v>323</v>
      </c>
      <c r="I67" s="143">
        <f t="shared" si="3"/>
        <v>1.922619047619048E-4</v>
      </c>
      <c r="J67" s="75">
        <f t="shared" si="4"/>
        <v>1.615E-4</v>
      </c>
      <c r="K67" s="228"/>
      <c r="L67" s="100"/>
      <c r="M67" s="100"/>
      <c r="N67" s="100"/>
      <c r="O67" s="100"/>
      <c r="P67" s="228"/>
      <c r="Q67" s="228"/>
      <c r="R67" s="228"/>
      <c r="S67" s="228"/>
      <c r="T67" s="228"/>
      <c r="U67" s="228"/>
      <c r="V67" s="228"/>
      <c r="W67" s="228"/>
      <c r="X67" s="228"/>
    </row>
    <row r="68" spans="1:24" ht="16.2" customHeight="1">
      <c r="A68" s="228"/>
      <c r="B68" s="19">
        <v>65</v>
      </c>
      <c r="C68" s="20" t="s">
        <v>312</v>
      </c>
      <c r="D68" s="83">
        <v>32.299999999999997</v>
      </c>
      <c r="E68" s="229">
        <f t="shared" ref="E68:E131" si="5">D68*$M$7</f>
        <v>32.299999999999997</v>
      </c>
      <c r="F68" s="230">
        <v>10</v>
      </c>
      <c r="G68" s="4">
        <f t="shared" ref="G68:G131" si="6">$M$6/F68</f>
        <v>200000</v>
      </c>
      <c r="H68" s="231">
        <f t="shared" ref="H68:H131" si="7">F68*E68</f>
        <v>323</v>
      </c>
      <c r="I68" s="143">
        <f t="shared" ref="I68:I131" si="8">H68/$M$9</f>
        <v>1.922619047619048E-4</v>
      </c>
      <c r="J68" s="75">
        <f t="shared" ref="J68:J131" si="9">H68/$M$8</f>
        <v>1.615E-4</v>
      </c>
      <c r="K68" s="228"/>
      <c r="L68" s="100"/>
      <c r="M68" s="100"/>
      <c r="N68" s="100"/>
      <c r="O68" s="100"/>
      <c r="P68" s="228"/>
      <c r="Q68" s="228"/>
      <c r="R68" s="228"/>
      <c r="S68" s="228"/>
      <c r="T68" s="228"/>
      <c r="U68" s="228"/>
      <c r="V68" s="228"/>
      <c r="W68" s="228"/>
      <c r="X68" s="228"/>
    </row>
    <row r="69" spans="1:24" ht="16.2" customHeight="1">
      <c r="A69" s="228"/>
      <c r="B69" s="19">
        <v>66</v>
      </c>
      <c r="C69" s="20" t="s">
        <v>313</v>
      </c>
      <c r="D69" s="83">
        <v>32.200000000000003</v>
      </c>
      <c r="E69" s="229">
        <f t="shared" si="5"/>
        <v>32.200000000000003</v>
      </c>
      <c r="F69" s="230">
        <v>50</v>
      </c>
      <c r="G69" s="4">
        <f t="shared" si="6"/>
        <v>40000</v>
      </c>
      <c r="H69" s="231">
        <f t="shared" si="7"/>
        <v>1610.0000000000002</v>
      </c>
      <c r="I69" s="143">
        <f t="shared" si="8"/>
        <v>9.5833333333333361E-4</v>
      </c>
      <c r="J69" s="75">
        <f t="shared" si="9"/>
        <v>8.0500000000000016E-4</v>
      </c>
      <c r="K69" s="228"/>
      <c r="L69" s="100"/>
      <c r="M69" s="100"/>
      <c r="N69" s="100"/>
      <c r="O69" s="100"/>
      <c r="P69" s="228"/>
      <c r="Q69" s="228"/>
      <c r="R69" s="228"/>
      <c r="S69" s="228"/>
      <c r="T69" s="228"/>
      <c r="U69" s="228"/>
      <c r="V69" s="228"/>
      <c r="W69" s="228"/>
      <c r="X69" s="228"/>
    </row>
    <row r="70" spans="1:24" ht="16.2" customHeight="1">
      <c r="A70" s="228"/>
      <c r="B70" s="19">
        <v>67</v>
      </c>
      <c r="C70" s="20" t="s">
        <v>314</v>
      </c>
      <c r="D70" s="83">
        <v>32.200000000000003</v>
      </c>
      <c r="E70" s="229">
        <f t="shared" si="5"/>
        <v>32.200000000000003</v>
      </c>
      <c r="F70" s="230">
        <v>20</v>
      </c>
      <c r="G70" s="4">
        <f t="shared" si="6"/>
        <v>100000</v>
      </c>
      <c r="H70" s="231">
        <f t="shared" si="7"/>
        <v>644</v>
      </c>
      <c r="I70" s="143">
        <f t="shared" si="8"/>
        <v>3.833333333333334E-4</v>
      </c>
      <c r="J70" s="75">
        <f t="shared" si="9"/>
        <v>3.2200000000000002E-4</v>
      </c>
      <c r="K70" s="228"/>
      <c r="L70" s="100"/>
      <c r="M70" s="100"/>
      <c r="N70" s="100"/>
      <c r="O70" s="100"/>
      <c r="P70" s="228"/>
      <c r="Q70" s="228"/>
      <c r="R70" s="228"/>
      <c r="S70" s="228"/>
      <c r="T70" s="228"/>
      <c r="U70" s="228"/>
      <c r="V70" s="228"/>
      <c r="W70" s="228"/>
      <c r="X70" s="228"/>
    </row>
    <row r="71" spans="1:24" ht="16.2" customHeight="1">
      <c r="A71" s="228"/>
      <c r="B71" s="19">
        <v>68</v>
      </c>
      <c r="C71" s="20" t="s">
        <v>315</v>
      </c>
      <c r="D71" s="83">
        <v>32.1</v>
      </c>
      <c r="E71" s="229">
        <f t="shared" si="5"/>
        <v>32.1</v>
      </c>
      <c r="F71" s="230">
        <v>20</v>
      </c>
      <c r="G71" s="4">
        <f t="shared" si="6"/>
        <v>100000</v>
      </c>
      <c r="H71" s="231">
        <f t="shared" si="7"/>
        <v>642</v>
      </c>
      <c r="I71" s="143">
        <f t="shared" si="8"/>
        <v>3.8214285714285721E-4</v>
      </c>
      <c r="J71" s="75">
        <f t="shared" si="9"/>
        <v>3.21E-4</v>
      </c>
      <c r="K71" s="228"/>
      <c r="L71" s="100"/>
      <c r="M71" s="100"/>
      <c r="N71" s="100"/>
      <c r="O71" s="100"/>
      <c r="P71" s="228"/>
      <c r="Q71" s="228"/>
      <c r="R71" s="228"/>
      <c r="S71" s="228"/>
      <c r="T71" s="228"/>
      <c r="U71" s="228"/>
      <c r="V71" s="228"/>
      <c r="W71" s="228"/>
      <c r="X71" s="228"/>
    </row>
    <row r="72" spans="1:24" ht="16.2" customHeight="1">
      <c r="A72" s="228"/>
      <c r="B72" s="19">
        <v>69</v>
      </c>
      <c r="C72" s="20" t="s">
        <v>316</v>
      </c>
      <c r="D72" s="83">
        <v>32</v>
      </c>
      <c r="E72" s="229">
        <f t="shared" si="5"/>
        <v>32</v>
      </c>
      <c r="F72" s="230">
        <v>10</v>
      </c>
      <c r="G72" s="4">
        <f t="shared" si="6"/>
        <v>200000</v>
      </c>
      <c r="H72" s="231">
        <f t="shared" si="7"/>
        <v>320</v>
      </c>
      <c r="I72" s="143">
        <f t="shared" si="8"/>
        <v>1.9047619047619051E-4</v>
      </c>
      <c r="J72" s="75">
        <f t="shared" si="9"/>
        <v>1.6000000000000001E-4</v>
      </c>
      <c r="K72" s="228"/>
      <c r="L72" s="100"/>
      <c r="M72" s="100"/>
      <c r="N72" s="100"/>
      <c r="O72" s="100"/>
      <c r="P72" s="228"/>
      <c r="Q72" s="228"/>
      <c r="R72" s="228"/>
      <c r="S72" s="228"/>
      <c r="T72" s="228"/>
      <c r="U72" s="228"/>
      <c r="V72" s="228"/>
      <c r="W72" s="228"/>
      <c r="X72" s="228"/>
    </row>
    <row r="73" spans="1:24" ht="16.2" customHeight="1">
      <c r="A73" s="228"/>
      <c r="B73" s="19">
        <v>70</v>
      </c>
      <c r="C73" s="20" t="s">
        <v>317</v>
      </c>
      <c r="D73" s="83">
        <v>32</v>
      </c>
      <c r="E73" s="229">
        <f t="shared" si="5"/>
        <v>32</v>
      </c>
      <c r="F73" s="230">
        <v>5</v>
      </c>
      <c r="G73" s="4">
        <f t="shared" si="6"/>
        <v>400000</v>
      </c>
      <c r="H73" s="231">
        <f t="shared" si="7"/>
        <v>160</v>
      </c>
      <c r="I73" s="143">
        <f t="shared" si="8"/>
        <v>9.5238095238095254E-5</v>
      </c>
      <c r="J73" s="75">
        <f t="shared" si="9"/>
        <v>8.0000000000000007E-5</v>
      </c>
      <c r="K73" s="228"/>
      <c r="L73" s="100"/>
      <c r="M73" s="100"/>
      <c r="N73" s="100"/>
      <c r="O73" s="100"/>
      <c r="P73" s="228"/>
      <c r="Q73" s="228"/>
      <c r="R73" s="228"/>
      <c r="S73" s="228"/>
      <c r="T73" s="228"/>
      <c r="U73" s="228"/>
      <c r="V73" s="228"/>
      <c r="W73" s="228"/>
      <c r="X73" s="228"/>
    </row>
    <row r="74" spans="1:24" ht="16.2" customHeight="1">
      <c r="A74" s="228"/>
      <c r="B74" s="19">
        <v>71</v>
      </c>
      <c r="C74" s="20" t="s">
        <v>318</v>
      </c>
      <c r="D74" s="83">
        <v>32</v>
      </c>
      <c r="E74" s="229">
        <f t="shared" si="5"/>
        <v>32</v>
      </c>
      <c r="F74" s="230">
        <v>5</v>
      </c>
      <c r="G74" s="4">
        <f t="shared" si="6"/>
        <v>400000</v>
      </c>
      <c r="H74" s="231">
        <f t="shared" si="7"/>
        <v>160</v>
      </c>
      <c r="I74" s="143">
        <f t="shared" si="8"/>
        <v>9.5238095238095254E-5</v>
      </c>
      <c r="J74" s="75">
        <f t="shared" si="9"/>
        <v>8.0000000000000007E-5</v>
      </c>
      <c r="K74" s="228"/>
      <c r="L74" s="100"/>
      <c r="M74" s="100"/>
      <c r="N74" s="100"/>
      <c r="O74" s="100"/>
      <c r="P74" s="228"/>
      <c r="Q74" s="228"/>
      <c r="R74" s="228"/>
      <c r="S74" s="228"/>
      <c r="T74" s="228"/>
      <c r="U74" s="228"/>
      <c r="V74" s="228"/>
      <c r="W74" s="228"/>
      <c r="X74" s="228"/>
    </row>
    <row r="75" spans="1:24" ht="16.2" customHeight="1">
      <c r="A75" s="228"/>
      <c r="B75" s="19">
        <v>72</v>
      </c>
      <c r="C75" s="20" t="s">
        <v>319</v>
      </c>
      <c r="D75" s="83">
        <v>32</v>
      </c>
      <c r="E75" s="229">
        <f t="shared" si="5"/>
        <v>32</v>
      </c>
      <c r="F75" s="230">
        <v>5</v>
      </c>
      <c r="G75" s="4">
        <f t="shared" si="6"/>
        <v>400000</v>
      </c>
      <c r="H75" s="231">
        <f t="shared" si="7"/>
        <v>160</v>
      </c>
      <c r="I75" s="143">
        <f t="shared" si="8"/>
        <v>9.5238095238095254E-5</v>
      </c>
      <c r="J75" s="75">
        <f t="shared" si="9"/>
        <v>8.0000000000000007E-5</v>
      </c>
      <c r="K75" s="228"/>
      <c r="L75" s="100"/>
      <c r="M75" s="100"/>
      <c r="N75" s="100"/>
      <c r="O75" s="100"/>
      <c r="P75" s="228"/>
      <c r="Q75" s="228"/>
      <c r="R75" s="228"/>
      <c r="S75" s="228"/>
      <c r="T75" s="228"/>
      <c r="U75" s="228"/>
      <c r="V75" s="228"/>
      <c r="W75" s="228"/>
      <c r="X75" s="228"/>
    </row>
    <row r="76" spans="1:24" ht="16.2" customHeight="1">
      <c r="A76" s="228"/>
      <c r="B76" s="19">
        <v>73</v>
      </c>
      <c r="C76" s="20" t="s">
        <v>320</v>
      </c>
      <c r="D76" s="83">
        <v>31.2</v>
      </c>
      <c r="E76" s="229">
        <f t="shared" si="5"/>
        <v>31.2</v>
      </c>
      <c r="F76" s="230">
        <v>10</v>
      </c>
      <c r="G76" s="4">
        <f t="shared" si="6"/>
        <v>200000</v>
      </c>
      <c r="H76" s="231">
        <f t="shared" si="7"/>
        <v>312</v>
      </c>
      <c r="I76" s="143">
        <f t="shared" si="8"/>
        <v>1.8571428571428574E-4</v>
      </c>
      <c r="J76" s="75">
        <f t="shared" si="9"/>
        <v>1.56E-4</v>
      </c>
      <c r="K76" s="228"/>
      <c r="L76" s="100"/>
      <c r="M76" s="100"/>
      <c r="N76" s="100"/>
      <c r="O76" s="100"/>
      <c r="P76" s="228"/>
      <c r="Q76" s="228"/>
      <c r="R76" s="228"/>
      <c r="S76" s="228"/>
      <c r="T76" s="228"/>
      <c r="U76" s="228"/>
      <c r="V76" s="228"/>
      <c r="W76" s="228"/>
      <c r="X76" s="228"/>
    </row>
    <row r="77" spans="1:24" ht="16.2" customHeight="1">
      <c r="A77" s="228"/>
      <c r="B77" s="19">
        <v>74</v>
      </c>
      <c r="C77" s="20" t="s">
        <v>321</v>
      </c>
      <c r="D77" s="83">
        <v>31</v>
      </c>
      <c r="E77" s="229">
        <f t="shared" si="5"/>
        <v>31</v>
      </c>
      <c r="F77" s="230">
        <v>10</v>
      </c>
      <c r="G77" s="4">
        <f t="shared" si="6"/>
        <v>200000</v>
      </c>
      <c r="H77" s="231">
        <f t="shared" si="7"/>
        <v>310</v>
      </c>
      <c r="I77" s="143">
        <f t="shared" si="8"/>
        <v>1.8452380952380955E-4</v>
      </c>
      <c r="J77" s="75">
        <f t="shared" si="9"/>
        <v>1.55E-4</v>
      </c>
      <c r="K77" s="228"/>
      <c r="L77" s="100"/>
      <c r="M77" s="100"/>
      <c r="N77" s="100"/>
      <c r="O77" s="100"/>
      <c r="P77" s="228"/>
      <c r="Q77" s="228"/>
      <c r="R77" s="228"/>
      <c r="S77" s="228"/>
      <c r="T77" s="228"/>
      <c r="U77" s="228"/>
      <c r="V77" s="228"/>
      <c r="W77" s="228"/>
      <c r="X77" s="228"/>
    </row>
    <row r="78" spans="1:24" ht="16.2" customHeight="1">
      <c r="A78" s="228"/>
      <c r="B78" s="19">
        <v>75</v>
      </c>
      <c r="C78" s="20" t="s">
        <v>322</v>
      </c>
      <c r="D78" s="83">
        <v>31</v>
      </c>
      <c r="E78" s="229">
        <f t="shared" si="5"/>
        <v>31</v>
      </c>
      <c r="F78" s="230">
        <v>2</v>
      </c>
      <c r="G78" s="4">
        <f t="shared" si="6"/>
        <v>1000000</v>
      </c>
      <c r="H78" s="231">
        <f t="shared" si="7"/>
        <v>62</v>
      </c>
      <c r="I78" s="143">
        <f t="shared" si="8"/>
        <v>3.6904761904761908E-5</v>
      </c>
      <c r="J78" s="75">
        <f t="shared" si="9"/>
        <v>3.1000000000000001E-5</v>
      </c>
      <c r="K78" s="228"/>
      <c r="L78" s="100"/>
      <c r="M78" s="100"/>
      <c r="N78" s="100"/>
      <c r="O78" s="100"/>
      <c r="P78" s="228"/>
      <c r="Q78" s="228"/>
      <c r="R78" s="228"/>
      <c r="S78" s="228"/>
      <c r="T78" s="228"/>
      <c r="U78" s="228"/>
      <c r="V78" s="228"/>
      <c r="W78" s="228"/>
      <c r="X78" s="228"/>
    </row>
    <row r="79" spans="1:24" ht="16.2" customHeight="1">
      <c r="A79" s="228"/>
      <c r="B79" s="19">
        <v>76</v>
      </c>
      <c r="C79" s="20" t="s">
        <v>323</v>
      </c>
      <c r="D79" s="83">
        <v>31</v>
      </c>
      <c r="E79" s="229">
        <f t="shared" si="5"/>
        <v>31</v>
      </c>
      <c r="F79" s="230">
        <v>20</v>
      </c>
      <c r="G79" s="4">
        <f t="shared" si="6"/>
        <v>100000</v>
      </c>
      <c r="H79" s="231">
        <f t="shared" si="7"/>
        <v>620</v>
      </c>
      <c r="I79" s="143">
        <f t="shared" si="8"/>
        <v>3.6904761904761911E-4</v>
      </c>
      <c r="J79" s="75">
        <f t="shared" si="9"/>
        <v>3.1E-4</v>
      </c>
      <c r="K79" s="228"/>
      <c r="L79" s="100"/>
      <c r="M79" s="100"/>
      <c r="N79" s="100"/>
      <c r="O79" s="100"/>
      <c r="P79" s="228"/>
      <c r="Q79" s="228"/>
      <c r="R79" s="228"/>
      <c r="S79" s="228"/>
      <c r="T79" s="228"/>
      <c r="U79" s="228"/>
      <c r="V79" s="228"/>
      <c r="W79" s="228"/>
      <c r="X79" s="228"/>
    </row>
    <row r="80" spans="1:24" ht="16.2" customHeight="1">
      <c r="A80" s="228"/>
      <c r="B80" s="19">
        <v>77</v>
      </c>
      <c r="C80" s="20" t="s">
        <v>324</v>
      </c>
      <c r="D80" s="83">
        <v>30.9</v>
      </c>
      <c r="E80" s="229">
        <f t="shared" si="5"/>
        <v>30.9</v>
      </c>
      <c r="F80" s="230">
        <v>10</v>
      </c>
      <c r="G80" s="4">
        <f t="shared" si="6"/>
        <v>200000</v>
      </c>
      <c r="H80" s="231">
        <f t="shared" si="7"/>
        <v>309</v>
      </c>
      <c r="I80" s="143">
        <f t="shared" si="8"/>
        <v>1.8392857142857146E-4</v>
      </c>
      <c r="J80" s="75">
        <f t="shared" si="9"/>
        <v>1.5449999999999999E-4</v>
      </c>
      <c r="K80" s="228"/>
      <c r="L80" s="100"/>
      <c r="M80" s="100"/>
      <c r="N80" s="100"/>
      <c r="O80" s="100"/>
      <c r="P80" s="228"/>
      <c r="Q80" s="228"/>
      <c r="R80" s="228"/>
      <c r="S80" s="228"/>
      <c r="T80" s="228"/>
      <c r="U80" s="228"/>
      <c r="V80" s="228"/>
      <c r="W80" s="228"/>
      <c r="X80" s="228"/>
    </row>
    <row r="81" spans="1:24" ht="16.2" customHeight="1">
      <c r="A81" s="228"/>
      <c r="B81" s="19">
        <v>78</v>
      </c>
      <c r="C81" s="20" t="s">
        <v>325</v>
      </c>
      <c r="D81" s="83">
        <v>30.7</v>
      </c>
      <c r="E81" s="229">
        <f t="shared" si="5"/>
        <v>30.7</v>
      </c>
      <c r="F81" s="230">
        <v>5</v>
      </c>
      <c r="G81" s="4">
        <f t="shared" si="6"/>
        <v>400000</v>
      </c>
      <c r="H81" s="231">
        <f t="shared" si="7"/>
        <v>153.5</v>
      </c>
      <c r="I81" s="143">
        <f t="shared" si="8"/>
        <v>9.1369047619047633E-5</v>
      </c>
      <c r="J81" s="75">
        <f t="shared" si="9"/>
        <v>7.6749999999999995E-5</v>
      </c>
      <c r="K81" s="228"/>
      <c r="L81" s="100"/>
      <c r="M81" s="100"/>
      <c r="N81" s="100"/>
      <c r="O81" s="100"/>
      <c r="P81" s="228"/>
      <c r="Q81" s="228"/>
      <c r="R81" s="228"/>
      <c r="S81" s="228"/>
      <c r="T81" s="228"/>
      <c r="U81" s="228"/>
      <c r="V81" s="228"/>
      <c r="W81" s="228"/>
      <c r="X81" s="228"/>
    </row>
    <row r="82" spans="1:24" ht="16.2" customHeight="1">
      <c r="A82" s="228"/>
      <c r="B82" s="19">
        <v>79</v>
      </c>
      <c r="C82" s="20" t="s">
        <v>326</v>
      </c>
      <c r="D82" s="83">
        <v>30.2</v>
      </c>
      <c r="E82" s="229">
        <f t="shared" si="5"/>
        <v>30.2</v>
      </c>
      <c r="F82" s="230">
        <v>9</v>
      </c>
      <c r="G82" s="4">
        <f t="shared" si="6"/>
        <v>222222.22222222222</v>
      </c>
      <c r="H82" s="231">
        <f t="shared" si="7"/>
        <v>271.8</v>
      </c>
      <c r="I82" s="143">
        <f t="shared" si="8"/>
        <v>1.6178571428571433E-4</v>
      </c>
      <c r="J82" s="75">
        <f t="shared" si="9"/>
        <v>1.359E-4</v>
      </c>
      <c r="K82" s="228"/>
      <c r="L82" s="100"/>
      <c r="M82" s="100"/>
      <c r="N82" s="100"/>
      <c r="O82" s="100"/>
      <c r="P82" s="228"/>
      <c r="Q82" s="228"/>
      <c r="R82" s="228"/>
      <c r="S82" s="228"/>
      <c r="T82" s="228"/>
      <c r="U82" s="228"/>
      <c r="V82" s="228"/>
      <c r="W82" s="228"/>
      <c r="X82" s="228"/>
    </row>
    <row r="83" spans="1:24" ht="16.2" customHeight="1">
      <c r="A83" s="228"/>
      <c r="B83" s="19">
        <v>80</v>
      </c>
      <c r="C83" s="20" t="s">
        <v>327</v>
      </c>
      <c r="D83" s="83">
        <v>30.2</v>
      </c>
      <c r="E83" s="229">
        <f t="shared" si="5"/>
        <v>30.2</v>
      </c>
      <c r="F83" s="230">
        <v>9</v>
      </c>
      <c r="G83" s="4">
        <f t="shared" si="6"/>
        <v>222222.22222222222</v>
      </c>
      <c r="H83" s="231">
        <f t="shared" si="7"/>
        <v>271.8</v>
      </c>
      <c r="I83" s="143">
        <f t="shared" si="8"/>
        <v>1.6178571428571433E-4</v>
      </c>
      <c r="J83" s="75">
        <f t="shared" si="9"/>
        <v>1.359E-4</v>
      </c>
      <c r="K83" s="228"/>
      <c r="L83" s="100"/>
      <c r="M83" s="100"/>
      <c r="N83" s="100"/>
      <c r="O83" s="100"/>
      <c r="P83" s="228"/>
      <c r="Q83" s="228"/>
      <c r="R83" s="228"/>
      <c r="S83" s="228"/>
      <c r="T83" s="228"/>
      <c r="U83" s="228"/>
      <c r="V83" s="228"/>
      <c r="W83" s="228"/>
      <c r="X83" s="228"/>
    </row>
    <row r="84" spans="1:24" ht="16.2" customHeight="1">
      <c r="A84" s="228"/>
      <c r="B84" s="19">
        <v>81</v>
      </c>
      <c r="C84" s="20" t="s">
        <v>328</v>
      </c>
      <c r="D84" s="83">
        <v>30.2</v>
      </c>
      <c r="E84" s="229">
        <f t="shared" si="5"/>
        <v>30.2</v>
      </c>
      <c r="F84" s="230">
        <v>9</v>
      </c>
      <c r="G84" s="4">
        <f t="shared" si="6"/>
        <v>222222.22222222222</v>
      </c>
      <c r="H84" s="231">
        <f t="shared" si="7"/>
        <v>271.8</v>
      </c>
      <c r="I84" s="143">
        <f t="shared" si="8"/>
        <v>1.6178571428571433E-4</v>
      </c>
      <c r="J84" s="75">
        <f t="shared" si="9"/>
        <v>1.359E-4</v>
      </c>
      <c r="K84" s="228"/>
      <c r="L84" s="100"/>
      <c r="M84" s="100"/>
      <c r="N84" s="100"/>
      <c r="O84" s="100"/>
      <c r="P84" s="228"/>
      <c r="Q84" s="228"/>
      <c r="R84" s="228"/>
      <c r="S84" s="228"/>
      <c r="T84" s="228"/>
      <c r="U84" s="228"/>
      <c r="V84" s="228"/>
      <c r="W84" s="228"/>
      <c r="X84" s="228"/>
    </row>
    <row r="85" spans="1:24" ht="16.2" customHeight="1">
      <c r="A85" s="228"/>
      <c r="B85" s="19">
        <v>82</v>
      </c>
      <c r="C85" s="20" t="s">
        <v>329</v>
      </c>
      <c r="D85" s="83">
        <v>30.1</v>
      </c>
      <c r="E85" s="229">
        <f t="shared" si="5"/>
        <v>30.1</v>
      </c>
      <c r="F85" s="230">
        <v>9</v>
      </c>
      <c r="G85" s="4">
        <f t="shared" si="6"/>
        <v>222222.22222222222</v>
      </c>
      <c r="H85" s="231">
        <f t="shared" si="7"/>
        <v>270.90000000000003</v>
      </c>
      <c r="I85" s="143">
        <f t="shared" si="8"/>
        <v>1.6125000000000004E-4</v>
      </c>
      <c r="J85" s="75">
        <f t="shared" si="9"/>
        <v>1.3545000000000001E-4</v>
      </c>
      <c r="K85" s="228"/>
      <c r="L85" s="100"/>
      <c r="M85" s="100"/>
      <c r="N85" s="100"/>
      <c r="O85" s="100"/>
      <c r="P85" s="228"/>
      <c r="Q85" s="228"/>
      <c r="R85" s="228"/>
      <c r="S85" s="228"/>
      <c r="T85" s="228"/>
      <c r="U85" s="228"/>
      <c r="V85" s="228"/>
      <c r="W85" s="228"/>
      <c r="X85" s="228"/>
    </row>
    <row r="86" spans="1:24" ht="16.2" customHeight="1">
      <c r="A86" s="228"/>
      <c r="B86" s="19">
        <v>83</v>
      </c>
      <c r="C86" s="20" t="s">
        <v>330</v>
      </c>
      <c r="D86" s="83">
        <v>30.1</v>
      </c>
      <c r="E86" s="229">
        <f t="shared" si="5"/>
        <v>30.1</v>
      </c>
      <c r="F86" s="230">
        <v>9</v>
      </c>
      <c r="G86" s="4">
        <f t="shared" si="6"/>
        <v>222222.22222222222</v>
      </c>
      <c r="H86" s="231">
        <f t="shared" si="7"/>
        <v>270.90000000000003</v>
      </c>
      <c r="I86" s="143">
        <f t="shared" si="8"/>
        <v>1.6125000000000004E-4</v>
      </c>
      <c r="J86" s="75">
        <f t="shared" si="9"/>
        <v>1.3545000000000001E-4</v>
      </c>
      <c r="K86" s="228"/>
      <c r="L86" s="100"/>
      <c r="M86" s="100"/>
      <c r="N86" s="100"/>
      <c r="O86" s="100"/>
      <c r="P86" s="228"/>
      <c r="Q86" s="228"/>
      <c r="R86" s="228"/>
      <c r="S86" s="228"/>
      <c r="T86" s="228"/>
      <c r="U86" s="228"/>
      <c r="V86" s="228"/>
      <c r="W86" s="228"/>
      <c r="X86" s="228"/>
    </row>
    <row r="87" spans="1:24" ht="16.2" customHeight="1">
      <c r="A87" s="228"/>
      <c r="B87" s="19">
        <v>84</v>
      </c>
      <c r="C87" s="20" t="s">
        <v>331</v>
      </c>
      <c r="D87" s="83">
        <v>30.1</v>
      </c>
      <c r="E87" s="229">
        <f t="shared" si="5"/>
        <v>30.1</v>
      </c>
      <c r="F87" s="230">
        <v>9</v>
      </c>
      <c r="G87" s="4">
        <f t="shared" si="6"/>
        <v>222222.22222222222</v>
      </c>
      <c r="H87" s="231">
        <f t="shared" si="7"/>
        <v>270.90000000000003</v>
      </c>
      <c r="I87" s="143">
        <f t="shared" si="8"/>
        <v>1.6125000000000004E-4</v>
      </c>
      <c r="J87" s="75">
        <f t="shared" si="9"/>
        <v>1.3545000000000001E-4</v>
      </c>
      <c r="K87" s="228"/>
      <c r="L87" s="100"/>
      <c r="M87" s="100"/>
      <c r="N87" s="100"/>
      <c r="O87" s="100"/>
      <c r="P87" s="228"/>
      <c r="Q87" s="228"/>
      <c r="R87" s="228"/>
      <c r="S87" s="228"/>
      <c r="T87" s="228"/>
      <c r="U87" s="228"/>
      <c r="V87" s="228"/>
      <c r="W87" s="228"/>
      <c r="X87" s="228"/>
    </row>
    <row r="88" spans="1:24" ht="16.2" customHeight="1">
      <c r="A88" s="228"/>
      <c r="B88" s="19">
        <v>85</v>
      </c>
      <c r="C88" s="20" t="s">
        <v>332</v>
      </c>
      <c r="D88" s="83">
        <v>30.1</v>
      </c>
      <c r="E88" s="229">
        <f t="shared" si="5"/>
        <v>30.1</v>
      </c>
      <c r="F88" s="230">
        <v>9</v>
      </c>
      <c r="G88" s="4">
        <f t="shared" si="6"/>
        <v>222222.22222222222</v>
      </c>
      <c r="H88" s="231">
        <f t="shared" si="7"/>
        <v>270.90000000000003</v>
      </c>
      <c r="I88" s="143">
        <f t="shared" si="8"/>
        <v>1.6125000000000004E-4</v>
      </c>
      <c r="J88" s="75">
        <f t="shared" si="9"/>
        <v>1.3545000000000001E-4</v>
      </c>
      <c r="K88" s="228"/>
      <c r="L88" s="100"/>
      <c r="M88" s="100"/>
      <c r="N88" s="100"/>
      <c r="O88" s="100"/>
      <c r="P88" s="228"/>
      <c r="Q88" s="228"/>
      <c r="R88" s="228"/>
      <c r="S88" s="228"/>
      <c r="T88" s="228"/>
      <c r="U88" s="228"/>
      <c r="V88" s="228"/>
      <c r="W88" s="228"/>
      <c r="X88" s="228"/>
    </row>
    <row r="89" spans="1:24" ht="16.2" customHeight="1">
      <c r="A89" s="228"/>
      <c r="B89" s="19">
        <v>86</v>
      </c>
      <c r="C89" s="20" t="s">
        <v>333</v>
      </c>
      <c r="D89" s="83">
        <v>30.1</v>
      </c>
      <c r="E89" s="229">
        <f t="shared" si="5"/>
        <v>30.1</v>
      </c>
      <c r="F89" s="230">
        <v>10</v>
      </c>
      <c r="G89" s="4">
        <f t="shared" si="6"/>
        <v>200000</v>
      </c>
      <c r="H89" s="231">
        <f t="shared" si="7"/>
        <v>301</v>
      </c>
      <c r="I89" s="143">
        <f t="shared" si="8"/>
        <v>1.7916666666666669E-4</v>
      </c>
      <c r="J89" s="75">
        <f t="shared" si="9"/>
        <v>1.505E-4</v>
      </c>
      <c r="K89" s="228"/>
      <c r="L89" s="100"/>
      <c r="M89" s="100"/>
      <c r="N89" s="100"/>
      <c r="O89" s="100"/>
      <c r="P89" s="228"/>
      <c r="Q89" s="228"/>
      <c r="R89" s="228"/>
      <c r="S89" s="228"/>
      <c r="T89" s="228"/>
      <c r="U89" s="228"/>
      <c r="V89" s="228"/>
      <c r="W89" s="228"/>
      <c r="X89" s="228"/>
    </row>
    <row r="90" spans="1:24" ht="16.2" customHeight="1">
      <c r="A90" s="228"/>
      <c r="B90" s="19">
        <v>87</v>
      </c>
      <c r="C90" s="20" t="s">
        <v>334</v>
      </c>
      <c r="D90" s="83">
        <v>30.1</v>
      </c>
      <c r="E90" s="229">
        <f t="shared" si="5"/>
        <v>30.1</v>
      </c>
      <c r="F90" s="230">
        <v>10</v>
      </c>
      <c r="G90" s="4">
        <f t="shared" si="6"/>
        <v>200000</v>
      </c>
      <c r="H90" s="231">
        <f t="shared" si="7"/>
        <v>301</v>
      </c>
      <c r="I90" s="143">
        <f t="shared" si="8"/>
        <v>1.7916666666666669E-4</v>
      </c>
      <c r="J90" s="75">
        <f t="shared" si="9"/>
        <v>1.505E-4</v>
      </c>
      <c r="K90" s="228"/>
      <c r="L90" s="100"/>
      <c r="M90" s="100"/>
      <c r="N90" s="100"/>
      <c r="O90" s="100"/>
      <c r="P90" s="228"/>
      <c r="Q90" s="228"/>
      <c r="R90" s="228"/>
      <c r="S90" s="228"/>
      <c r="T90" s="228"/>
      <c r="U90" s="228"/>
      <c r="V90" s="228"/>
      <c r="W90" s="228"/>
      <c r="X90" s="228"/>
    </row>
    <row r="91" spans="1:24" ht="16.2" customHeight="1">
      <c r="A91" s="228"/>
      <c r="B91" s="19">
        <v>88</v>
      </c>
      <c r="C91" s="20" t="s">
        <v>335</v>
      </c>
      <c r="D91" s="83">
        <v>30</v>
      </c>
      <c r="E91" s="229">
        <f t="shared" si="5"/>
        <v>30</v>
      </c>
      <c r="F91" s="230">
        <v>10</v>
      </c>
      <c r="G91" s="4">
        <f t="shared" si="6"/>
        <v>200000</v>
      </c>
      <c r="H91" s="231">
        <f t="shared" si="7"/>
        <v>300</v>
      </c>
      <c r="I91" s="143">
        <f t="shared" si="8"/>
        <v>1.785714285714286E-4</v>
      </c>
      <c r="J91" s="75">
        <f t="shared" si="9"/>
        <v>1.4999999999999999E-4</v>
      </c>
      <c r="K91" s="228"/>
      <c r="L91" s="100"/>
      <c r="M91" s="100"/>
      <c r="N91" s="100"/>
      <c r="O91" s="100"/>
      <c r="P91" s="228"/>
      <c r="Q91" s="228"/>
      <c r="R91" s="228"/>
      <c r="S91" s="228"/>
      <c r="T91" s="228"/>
      <c r="U91" s="228"/>
      <c r="V91" s="228"/>
      <c r="W91" s="228"/>
      <c r="X91" s="228"/>
    </row>
    <row r="92" spans="1:24" ht="16.2" customHeight="1">
      <c r="A92" s="228"/>
      <c r="B92" s="19">
        <v>89</v>
      </c>
      <c r="C92" s="20" t="s">
        <v>336</v>
      </c>
      <c r="D92" s="83">
        <v>30</v>
      </c>
      <c r="E92" s="229">
        <f t="shared" si="5"/>
        <v>30</v>
      </c>
      <c r="F92" s="230">
        <v>30</v>
      </c>
      <c r="G92" s="4">
        <f t="shared" si="6"/>
        <v>66666.666666666672</v>
      </c>
      <c r="H92" s="231">
        <f t="shared" si="7"/>
        <v>900</v>
      </c>
      <c r="I92" s="143">
        <f t="shared" si="8"/>
        <v>5.3571428571428574E-4</v>
      </c>
      <c r="J92" s="75">
        <f t="shared" si="9"/>
        <v>4.4999999999999999E-4</v>
      </c>
      <c r="K92" s="228"/>
      <c r="L92" s="100"/>
      <c r="M92" s="100"/>
      <c r="N92" s="100"/>
      <c r="O92" s="100"/>
      <c r="P92" s="228"/>
      <c r="Q92" s="228"/>
      <c r="R92" s="228"/>
      <c r="S92" s="228"/>
      <c r="T92" s="228"/>
      <c r="U92" s="228"/>
      <c r="V92" s="228"/>
      <c r="W92" s="228"/>
      <c r="X92" s="228"/>
    </row>
    <row r="93" spans="1:24" ht="16.2" customHeight="1">
      <c r="A93" s="228"/>
      <c r="B93" s="19">
        <v>90</v>
      </c>
      <c r="C93" s="20" t="s">
        <v>337</v>
      </c>
      <c r="D93" s="83">
        <v>30</v>
      </c>
      <c r="E93" s="229">
        <f t="shared" si="5"/>
        <v>30</v>
      </c>
      <c r="F93" s="230">
        <v>50</v>
      </c>
      <c r="G93" s="4">
        <f t="shared" si="6"/>
        <v>40000</v>
      </c>
      <c r="H93" s="231">
        <f t="shared" si="7"/>
        <v>1500</v>
      </c>
      <c r="I93" s="143">
        <f t="shared" si="8"/>
        <v>8.9285714285714294E-4</v>
      </c>
      <c r="J93" s="75">
        <f t="shared" si="9"/>
        <v>7.5000000000000002E-4</v>
      </c>
      <c r="K93" s="228"/>
      <c r="L93" s="100"/>
      <c r="M93" s="100"/>
      <c r="N93" s="100"/>
      <c r="O93" s="100"/>
      <c r="P93" s="228"/>
      <c r="Q93" s="228"/>
      <c r="R93" s="228"/>
      <c r="S93" s="228"/>
      <c r="T93" s="228"/>
      <c r="U93" s="228"/>
      <c r="V93" s="228"/>
      <c r="W93" s="228"/>
      <c r="X93" s="228"/>
    </row>
    <row r="94" spans="1:24" ht="16.2" customHeight="1">
      <c r="A94" s="228"/>
      <c r="B94" s="19">
        <v>91</v>
      </c>
      <c r="C94" s="20" t="s">
        <v>338</v>
      </c>
      <c r="D94" s="83">
        <v>30</v>
      </c>
      <c r="E94" s="229">
        <f t="shared" si="5"/>
        <v>30</v>
      </c>
      <c r="F94" s="230">
        <v>2000</v>
      </c>
      <c r="G94" s="4">
        <f t="shared" si="6"/>
        <v>1000</v>
      </c>
      <c r="H94" s="231">
        <f t="shared" si="7"/>
        <v>60000</v>
      </c>
      <c r="I94" s="143">
        <f t="shared" si="8"/>
        <v>3.5714285714285719E-2</v>
      </c>
      <c r="J94" s="75">
        <f t="shared" si="9"/>
        <v>0.03</v>
      </c>
      <c r="K94" s="228"/>
      <c r="L94" s="100"/>
      <c r="M94" s="100"/>
      <c r="N94" s="100"/>
      <c r="O94" s="100"/>
      <c r="P94" s="228"/>
      <c r="Q94" s="228"/>
      <c r="R94" s="228"/>
      <c r="S94" s="228"/>
      <c r="T94" s="228"/>
      <c r="U94" s="228"/>
      <c r="V94" s="228"/>
      <c r="W94" s="228"/>
      <c r="X94" s="228"/>
    </row>
    <row r="95" spans="1:24" ht="16.2" customHeight="1">
      <c r="A95" s="228"/>
      <c r="B95" s="19">
        <v>92</v>
      </c>
      <c r="C95" s="20" t="s">
        <v>339</v>
      </c>
      <c r="D95" s="83">
        <v>30</v>
      </c>
      <c r="E95" s="229">
        <f t="shared" si="5"/>
        <v>30</v>
      </c>
      <c r="F95" s="230">
        <v>2000</v>
      </c>
      <c r="G95" s="4">
        <f t="shared" si="6"/>
        <v>1000</v>
      </c>
      <c r="H95" s="231">
        <f t="shared" si="7"/>
        <v>60000</v>
      </c>
      <c r="I95" s="143">
        <f t="shared" si="8"/>
        <v>3.5714285714285719E-2</v>
      </c>
      <c r="J95" s="75">
        <f t="shared" si="9"/>
        <v>0.03</v>
      </c>
      <c r="K95" s="228"/>
      <c r="L95" s="100"/>
      <c r="M95" s="100"/>
      <c r="N95" s="100"/>
      <c r="O95" s="100"/>
      <c r="P95" s="228"/>
      <c r="Q95" s="228"/>
      <c r="R95" s="228"/>
      <c r="S95" s="228"/>
      <c r="T95" s="228"/>
      <c r="U95" s="228"/>
      <c r="V95" s="228"/>
      <c r="W95" s="228"/>
      <c r="X95" s="228"/>
    </row>
    <row r="96" spans="1:24" ht="16.2" customHeight="1">
      <c r="A96" s="228"/>
      <c r="B96" s="19">
        <v>93</v>
      </c>
      <c r="C96" s="20" t="s">
        <v>340</v>
      </c>
      <c r="D96" s="83">
        <v>29.5</v>
      </c>
      <c r="E96" s="229">
        <f t="shared" si="5"/>
        <v>29.5</v>
      </c>
      <c r="F96" s="230">
        <v>10</v>
      </c>
      <c r="G96" s="4">
        <f t="shared" si="6"/>
        <v>200000</v>
      </c>
      <c r="H96" s="231">
        <f t="shared" si="7"/>
        <v>295</v>
      </c>
      <c r="I96" s="143">
        <f t="shared" si="8"/>
        <v>1.7559523809523812E-4</v>
      </c>
      <c r="J96" s="75">
        <f t="shared" si="9"/>
        <v>1.4750000000000001E-4</v>
      </c>
      <c r="K96" s="228"/>
      <c r="L96" s="100"/>
      <c r="M96" s="100"/>
      <c r="N96" s="100"/>
      <c r="O96" s="100"/>
      <c r="P96" s="228"/>
      <c r="Q96" s="228"/>
      <c r="R96" s="228"/>
      <c r="S96" s="228"/>
      <c r="T96" s="228"/>
      <c r="U96" s="228"/>
      <c r="V96" s="228"/>
      <c r="W96" s="228"/>
      <c r="X96" s="228"/>
    </row>
    <row r="97" spans="1:24" ht="16.2" customHeight="1">
      <c r="A97" s="228"/>
      <c r="B97" s="19">
        <v>94</v>
      </c>
      <c r="C97" s="20" t="s">
        <v>341</v>
      </c>
      <c r="D97" s="83">
        <v>29.3</v>
      </c>
      <c r="E97" s="229">
        <f t="shared" si="5"/>
        <v>29.3</v>
      </c>
      <c r="F97" s="230">
        <v>10</v>
      </c>
      <c r="G97" s="4">
        <f t="shared" si="6"/>
        <v>200000</v>
      </c>
      <c r="H97" s="231">
        <f t="shared" si="7"/>
        <v>293</v>
      </c>
      <c r="I97" s="143">
        <f t="shared" si="8"/>
        <v>1.7440476190476193E-4</v>
      </c>
      <c r="J97" s="75">
        <f t="shared" si="9"/>
        <v>1.4650000000000001E-4</v>
      </c>
      <c r="K97" s="228"/>
      <c r="L97" s="100"/>
      <c r="M97" s="100"/>
      <c r="N97" s="100"/>
      <c r="O97" s="100"/>
      <c r="P97" s="228"/>
      <c r="Q97" s="228"/>
      <c r="R97" s="228"/>
      <c r="S97" s="228"/>
      <c r="T97" s="228"/>
      <c r="U97" s="228"/>
      <c r="V97" s="228"/>
      <c r="W97" s="228"/>
      <c r="X97" s="228"/>
    </row>
    <row r="98" spans="1:24" ht="16.2" customHeight="1">
      <c r="A98" s="228"/>
      <c r="B98" s="19">
        <v>95</v>
      </c>
      <c r="C98" s="20" t="s">
        <v>342</v>
      </c>
      <c r="D98" s="83">
        <v>29.1</v>
      </c>
      <c r="E98" s="229">
        <f t="shared" si="5"/>
        <v>29.1</v>
      </c>
      <c r="F98" s="230">
        <v>50</v>
      </c>
      <c r="G98" s="4">
        <f t="shared" si="6"/>
        <v>40000</v>
      </c>
      <c r="H98" s="231">
        <f t="shared" si="7"/>
        <v>1455</v>
      </c>
      <c r="I98" s="143">
        <f t="shared" si="8"/>
        <v>8.6607142857142872E-4</v>
      </c>
      <c r="J98" s="75">
        <f t="shared" si="9"/>
        <v>7.2749999999999996E-4</v>
      </c>
      <c r="K98" s="228"/>
      <c r="L98" s="100"/>
      <c r="M98" s="100"/>
      <c r="N98" s="100"/>
      <c r="O98" s="100"/>
      <c r="P98" s="228"/>
      <c r="Q98" s="228"/>
      <c r="R98" s="228"/>
      <c r="S98" s="228"/>
      <c r="T98" s="228"/>
      <c r="U98" s="228"/>
      <c r="V98" s="228"/>
      <c r="W98" s="228"/>
      <c r="X98" s="228"/>
    </row>
    <row r="99" spans="1:24" ht="16.2" customHeight="1">
      <c r="A99" s="228"/>
      <c r="B99" s="19">
        <v>96</v>
      </c>
      <c r="C99" s="20" t="s">
        <v>343</v>
      </c>
      <c r="D99" s="83">
        <v>29</v>
      </c>
      <c r="E99" s="229">
        <f t="shared" si="5"/>
        <v>29</v>
      </c>
      <c r="F99" s="230">
        <v>13</v>
      </c>
      <c r="G99" s="4">
        <f t="shared" si="6"/>
        <v>153846.15384615384</v>
      </c>
      <c r="H99" s="231">
        <f t="shared" si="7"/>
        <v>377</v>
      </c>
      <c r="I99" s="143">
        <f t="shared" si="8"/>
        <v>2.2440476190476193E-4</v>
      </c>
      <c r="J99" s="75">
        <f t="shared" si="9"/>
        <v>1.885E-4</v>
      </c>
      <c r="K99" s="228"/>
      <c r="L99" s="100"/>
      <c r="M99" s="100"/>
      <c r="N99" s="100"/>
      <c r="O99" s="100"/>
      <c r="P99" s="228"/>
      <c r="Q99" s="228"/>
      <c r="R99" s="228"/>
      <c r="S99" s="228"/>
      <c r="T99" s="228"/>
      <c r="U99" s="228"/>
      <c r="V99" s="228"/>
      <c r="W99" s="228"/>
      <c r="X99" s="228"/>
    </row>
    <row r="100" spans="1:24" ht="16.2" customHeight="1">
      <c r="A100" s="228"/>
      <c r="B100" s="19">
        <v>97</v>
      </c>
      <c r="C100" s="20" t="s">
        <v>344</v>
      </c>
      <c r="D100" s="83">
        <v>29</v>
      </c>
      <c r="E100" s="229">
        <f t="shared" si="5"/>
        <v>29</v>
      </c>
      <c r="F100" s="230">
        <v>12</v>
      </c>
      <c r="G100" s="4">
        <f t="shared" si="6"/>
        <v>166666.66666666666</v>
      </c>
      <c r="H100" s="231">
        <f t="shared" si="7"/>
        <v>348</v>
      </c>
      <c r="I100" s="143">
        <f t="shared" si="8"/>
        <v>2.0714285714285718E-4</v>
      </c>
      <c r="J100" s="75">
        <f t="shared" si="9"/>
        <v>1.74E-4</v>
      </c>
      <c r="K100" s="228"/>
      <c r="L100" s="100"/>
      <c r="M100" s="100"/>
      <c r="N100" s="100"/>
      <c r="O100" s="100"/>
      <c r="P100" s="228"/>
      <c r="Q100" s="228"/>
      <c r="R100" s="228"/>
      <c r="S100" s="228"/>
      <c r="T100" s="228"/>
      <c r="U100" s="228"/>
      <c r="V100" s="228"/>
      <c r="W100" s="228"/>
      <c r="X100" s="228"/>
    </row>
    <row r="101" spans="1:24" ht="16.2" customHeight="1">
      <c r="A101" s="228"/>
      <c r="B101" s="19">
        <v>98</v>
      </c>
      <c r="C101" s="20" t="s">
        <v>345</v>
      </c>
      <c r="D101" s="83">
        <v>29</v>
      </c>
      <c r="E101" s="229">
        <f t="shared" si="5"/>
        <v>29</v>
      </c>
      <c r="F101" s="230">
        <v>13</v>
      </c>
      <c r="G101" s="4">
        <f t="shared" si="6"/>
        <v>153846.15384615384</v>
      </c>
      <c r="H101" s="231">
        <f t="shared" si="7"/>
        <v>377</v>
      </c>
      <c r="I101" s="143">
        <f t="shared" si="8"/>
        <v>2.2440476190476193E-4</v>
      </c>
      <c r="J101" s="75">
        <f t="shared" si="9"/>
        <v>1.885E-4</v>
      </c>
      <c r="K101" s="228"/>
      <c r="L101" s="100"/>
      <c r="M101" s="100"/>
      <c r="N101" s="100"/>
      <c r="O101" s="100"/>
      <c r="P101" s="228"/>
      <c r="Q101" s="228"/>
      <c r="R101" s="228"/>
      <c r="S101" s="228"/>
      <c r="T101" s="228"/>
      <c r="U101" s="228"/>
      <c r="V101" s="228"/>
      <c r="W101" s="228"/>
      <c r="X101" s="228"/>
    </row>
    <row r="102" spans="1:24" ht="16.2" customHeight="1">
      <c r="A102" s="228"/>
      <c r="B102" s="19">
        <v>99</v>
      </c>
      <c r="C102" s="20" t="s">
        <v>346</v>
      </c>
      <c r="D102" s="83">
        <v>29</v>
      </c>
      <c r="E102" s="229">
        <f t="shared" si="5"/>
        <v>29</v>
      </c>
      <c r="F102" s="230">
        <v>12</v>
      </c>
      <c r="G102" s="4">
        <f t="shared" si="6"/>
        <v>166666.66666666666</v>
      </c>
      <c r="H102" s="231">
        <f t="shared" si="7"/>
        <v>348</v>
      </c>
      <c r="I102" s="143">
        <f t="shared" si="8"/>
        <v>2.0714285714285718E-4</v>
      </c>
      <c r="J102" s="75">
        <f t="shared" si="9"/>
        <v>1.74E-4</v>
      </c>
      <c r="K102" s="228"/>
      <c r="L102" s="100"/>
      <c r="M102" s="100"/>
      <c r="N102" s="100"/>
      <c r="O102" s="100"/>
      <c r="P102" s="228"/>
      <c r="Q102" s="228"/>
      <c r="R102" s="228"/>
      <c r="S102" s="228"/>
      <c r="T102" s="228"/>
      <c r="U102" s="228"/>
      <c r="V102" s="228"/>
      <c r="W102" s="228"/>
      <c r="X102" s="228"/>
    </row>
    <row r="103" spans="1:24" ht="16.2" customHeight="1">
      <c r="A103" s="228"/>
      <c r="B103" s="19">
        <v>100</v>
      </c>
      <c r="C103" s="20" t="s">
        <v>347</v>
      </c>
      <c r="D103" s="83">
        <v>29</v>
      </c>
      <c r="E103" s="229">
        <f t="shared" si="5"/>
        <v>29</v>
      </c>
      <c r="F103" s="230">
        <v>13</v>
      </c>
      <c r="G103" s="4">
        <f t="shared" si="6"/>
        <v>153846.15384615384</v>
      </c>
      <c r="H103" s="231">
        <f t="shared" si="7"/>
        <v>377</v>
      </c>
      <c r="I103" s="143">
        <f t="shared" si="8"/>
        <v>2.2440476190476193E-4</v>
      </c>
      <c r="J103" s="75">
        <f t="shared" si="9"/>
        <v>1.885E-4</v>
      </c>
      <c r="K103" s="228"/>
      <c r="L103" s="100"/>
      <c r="M103" s="100"/>
      <c r="N103" s="100"/>
      <c r="O103" s="100"/>
      <c r="P103" s="228"/>
      <c r="Q103" s="228"/>
      <c r="R103" s="228"/>
      <c r="S103" s="228"/>
      <c r="T103" s="228"/>
      <c r="U103" s="228"/>
      <c r="V103" s="228"/>
      <c r="W103" s="228"/>
      <c r="X103" s="228"/>
    </row>
    <row r="104" spans="1:24" ht="16.2" customHeight="1">
      <c r="A104" s="228"/>
      <c r="B104" s="19">
        <v>101</v>
      </c>
      <c r="C104" s="20" t="s">
        <v>348</v>
      </c>
      <c r="D104" s="83">
        <v>29</v>
      </c>
      <c r="E104" s="229">
        <f t="shared" si="5"/>
        <v>29</v>
      </c>
      <c r="F104" s="230">
        <v>12</v>
      </c>
      <c r="G104" s="4">
        <f t="shared" si="6"/>
        <v>166666.66666666666</v>
      </c>
      <c r="H104" s="231">
        <f t="shared" si="7"/>
        <v>348</v>
      </c>
      <c r="I104" s="143">
        <f t="shared" si="8"/>
        <v>2.0714285714285718E-4</v>
      </c>
      <c r="J104" s="75">
        <f t="shared" si="9"/>
        <v>1.74E-4</v>
      </c>
      <c r="K104" s="228"/>
      <c r="L104" s="100"/>
      <c r="M104" s="100"/>
      <c r="N104" s="100"/>
      <c r="O104" s="100"/>
      <c r="P104" s="228"/>
      <c r="Q104" s="228"/>
      <c r="R104" s="228"/>
      <c r="S104" s="228"/>
      <c r="T104" s="228"/>
      <c r="U104" s="228"/>
      <c r="V104" s="228"/>
      <c r="W104" s="228"/>
      <c r="X104" s="228"/>
    </row>
    <row r="105" spans="1:24" ht="16.2" customHeight="1">
      <c r="A105" s="228"/>
      <c r="B105" s="19">
        <v>102</v>
      </c>
      <c r="C105" s="20" t="s">
        <v>349</v>
      </c>
      <c r="D105" s="83">
        <v>28</v>
      </c>
      <c r="E105" s="229">
        <f t="shared" si="5"/>
        <v>28</v>
      </c>
      <c r="F105" s="230">
        <v>9</v>
      </c>
      <c r="G105" s="4">
        <f t="shared" si="6"/>
        <v>222222.22222222222</v>
      </c>
      <c r="H105" s="231">
        <f t="shared" si="7"/>
        <v>252</v>
      </c>
      <c r="I105" s="143">
        <f t="shared" si="8"/>
        <v>1.5000000000000001E-4</v>
      </c>
      <c r="J105" s="75">
        <f t="shared" si="9"/>
        <v>1.26E-4</v>
      </c>
      <c r="K105" s="228"/>
      <c r="L105" s="100"/>
      <c r="M105" s="100"/>
      <c r="N105" s="100"/>
      <c r="O105" s="100"/>
      <c r="P105" s="228"/>
      <c r="Q105" s="228"/>
      <c r="R105" s="228"/>
      <c r="S105" s="228"/>
      <c r="T105" s="228"/>
      <c r="U105" s="228"/>
      <c r="V105" s="228"/>
      <c r="W105" s="228"/>
      <c r="X105" s="228"/>
    </row>
    <row r="106" spans="1:24" ht="16.2" customHeight="1">
      <c r="A106" s="228"/>
      <c r="B106" s="19">
        <v>103</v>
      </c>
      <c r="C106" s="20" t="s">
        <v>350</v>
      </c>
      <c r="D106" s="83">
        <v>28</v>
      </c>
      <c r="E106" s="229">
        <f t="shared" si="5"/>
        <v>28</v>
      </c>
      <c r="F106" s="230">
        <v>20</v>
      </c>
      <c r="G106" s="4">
        <f t="shared" si="6"/>
        <v>100000</v>
      </c>
      <c r="H106" s="231">
        <f t="shared" si="7"/>
        <v>560</v>
      </c>
      <c r="I106" s="143">
        <f t="shared" si="8"/>
        <v>3.3333333333333338E-4</v>
      </c>
      <c r="J106" s="75">
        <f t="shared" si="9"/>
        <v>2.7999999999999998E-4</v>
      </c>
      <c r="K106" s="228"/>
      <c r="L106" s="100"/>
      <c r="M106" s="100"/>
      <c r="N106" s="100"/>
      <c r="O106" s="100"/>
      <c r="P106" s="228"/>
      <c r="Q106" s="228"/>
      <c r="R106" s="228"/>
      <c r="S106" s="228"/>
      <c r="T106" s="228"/>
      <c r="U106" s="228"/>
      <c r="V106" s="228"/>
      <c r="W106" s="228"/>
      <c r="X106" s="228"/>
    </row>
    <row r="107" spans="1:24" ht="16.2" customHeight="1">
      <c r="A107" s="228"/>
      <c r="B107" s="19">
        <v>104</v>
      </c>
      <c r="C107" s="20" t="s">
        <v>351</v>
      </c>
      <c r="D107" s="83">
        <v>28</v>
      </c>
      <c r="E107" s="229">
        <f t="shared" si="5"/>
        <v>28</v>
      </c>
      <c r="F107" s="230">
        <v>5</v>
      </c>
      <c r="G107" s="4">
        <f t="shared" si="6"/>
        <v>400000</v>
      </c>
      <c r="H107" s="231">
        <f t="shared" si="7"/>
        <v>140</v>
      </c>
      <c r="I107" s="143">
        <f t="shared" si="8"/>
        <v>8.3333333333333344E-5</v>
      </c>
      <c r="J107" s="75">
        <f t="shared" si="9"/>
        <v>6.9999999999999994E-5</v>
      </c>
      <c r="K107" s="228"/>
      <c r="L107" s="100"/>
      <c r="M107" s="100"/>
      <c r="N107" s="100"/>
      <c r="O107" s="100"/>
      <c r="P107" s="228"/>
      <c r="Q107" s="228"/>
      <c r="R107" s="228"/>
      <c r="S107" s="228"/>
      <c r="T107" s="228"/>
      <c r="U107" s="228"/>
      <c r="V107" s="228"/>
      <c r="W107" s="228"/>
      <c r="X107" s="228"/>
    </row>
    <row r="108" spans="1:24" ht="16.2" customHeight="1">
      <c r="A108" s="228"/>
      <c r="B108" s="19">
        <v>105</v>
      </c>
      <c r="C108" s="20" t="s">
        <v>352</v>
      </c>
      <c r="D108" s="83">
        <v>28</v>
      </c>
      <c r="E108" s="229">
        <f t="shared" si="5"/>
        <v>28</v>
      </c>
      <c r="F108" s="230">
        <v>9</v>
      </c>
      <c r="G108" s="4">
        <f t="shared" si="6"/>
        <v>222222.22222222222</v>
      </c>
      <c r="H108" s="231">
        <f t="shared" si="7"/>
        <v>252</v>
      </c>
      <c r="I108" s="143">
        <f t="shared" si="8"/>
        <v>1.5000000000000001E-4</v>
      </c>
      <c r="J108" s="75">
        <f t="shared" si="9"/>
        <v>1.26E-4</v>
      </c>
      <c r="K108" s="228"/>
      <c r="L108" s="100"/>
      <c r="M108" s="100"/>
      <c r="N108" s="100"/>
      <c r="O108" s="100"/>
      <c r="P108" s="228"/>
      <c r="Q108" s="228"/>
      <c r="R108" s="228"/>
      <c r="S108" s="228"/>
      <c r="T108" s="228"/>
      <c r="U108" s="228"/>
      <c r="V108" s="228"/>
      <c r="W108" s="228"/>
      <c r="X108" s="228"/>
    </row>
    <row r="109" spans="1:24" ht="16.2" customHeight="1">
      <c r="A109" s="228"/>
      <c r="B109" s="19">
        <v>106</v>
      </c>
      <c r="C109" s="20" t="s">
        <v>353</v>
      </c>
      <c r="D109" s="83">
        <v>28</v>
      </c>
      <c r="E109" s="229">
        <f t="shared" si="5"/>
        <v>28</v>
      </c>
      <c r="F109" s="230">
        <v>20</v>
      </c>
      <c r="G109" s="4">
        <f t="shared" si="6"/>
        <v>100000</v>
      </c>
      <c r="H109" s="231">
        <f t="shared" si="7"/>
        <v>560</v>
      </c>
      <c r="I109" s="143">
        <f t="shared" si="8"/>
        <v>3.3333333333333338E-4</v>
      </c>
      <c r="J109" s="75">
        <f t="shared" si="9"/>
        <v>2.7999999999999998E-4</v>
      </c>
      <c r="K109" s="228"/>
      <c r="L109" s="100"/>
      <c r="M109" s="100"/>
      <c r="N109" s="100"/>
      <c r="O109" s="100"/>
      <c r="P109" s="228"/>
      <c r="Q109" s="228"/>
      <c r="R109" s="228"/>
      <c r="S109" s="228"/>
      <c r="T109" s="228"/>
      <c r="U109" s="228"/>
      <c r="V109" s="228"/>
      <c r="W109" s="228"/>
      <c r="X109" s="228"/>
    </row>
    <row r="110" spans="1:24" ht="16.2" customHeight="1">
      <c r="A110" s="228"/>
      <c r="B110" s="19">
        <v>107</v>
      </c>
      <c r="C110" s="20" t="s">
        <v>354</v>
      </c>
      <c r="D110" s="83">
        <v>28</v>
      </c>
      <c r="E110" s="229">
        <f t="shared" si="5"/>
        <v>28</v>
      </c>
      <c r="F110" s="230">
        <v>5</v>
      </c>
      <c r="G110" s="4">
        <f t="shared" si="6"/>
        <v>400000</v>
      </c>
      <c r="H110" s="231">
        <f t="shared" si="7"/>
        <v>140</v>
      </c>
      <c r="I110" s="143">
        <f t="shared" si="8"/>
        <v>8.3333333333333344E-5</v>
      </c>
      <c r="J110" s="75">
        <f t="shared" si="9"/>
        <v>6.9999999999999994E-5</v>
      </c>
      <c r="K110" s="228"/>
      <c r="L110" s="100"/>
      <c r="M110" s="100"/>
      <c r="N110" s="100"/>
      <c r="O110" s="100"/>
      <c r="P110" s="228"/>
      <c r="Q110" s="228"/>
      <c r="R110" s="228"/>
      <c r="S110" s="228"/>
      <c r="T110" s="228"/>
      <c r="U110" s="228"/>
      <c r="V110" s="228"/>
      <c r="W110" s="228"/>
      <c r="X110" s="228"/>
    </row>
    <row r="111" spans="1:24" ht="16.2" customHeight="1">
      <c r="A111" s="228"/>
      <c r="B111" s="19">
        <v>108</v>
      </c>
      <c r="C111" s="20" t="s">
        <v>355</v>
      </c>
      <c r="D111" s="83">
        <v>28</v>
      </c>
      <c r="E111" s="229">
        <f t="shared" si="5"/>
        <v>28</v>
      </c>
      <c r="F111" s="230">
        <v>9</v>
      </c>
      <c r="G111" s="4">
        <f t="shared" si="6"/>
        <v>222222.22222222222</v>
      </c>
      <c r="H111" s="231">
        <f t="shared" si="7"/>
        <v>252</v>
      </c>
      <c r="I111" s="143">
        <f t="shared" si="8"/>
        <v>1.5000000000000001E-4</v>
      </c>
      <c r="J111" s="75">
        <f t="shared" si="9"/>
        <v>1.26E-4</v>
      </c>
      <c r="K111" s="228"/>
      <c r="L111" s="100"/>
      <c r="M111" s="100"/>
      <c r="N111" s="100"/>
      <c r="O111" s="100"/>
      <c r="P111" s="228"/>
      <c r="Q111" s="228"/>
      <c r="R111" s="228"/>
      <c r="S111" s="228"/>
      <c r="T111" s="228"/>
      <c r="U111" s="228"/>
      <c r="V111" s="228"/>
      <c r="W111" s="228"/>
      <c r="X111" s="228"/>
    </row>
    <row r="112" spans="1:24" ht="16.2" customHeight="1">
      <c r="A112" s="228"/>
      <c r="B112" s="19">
        <v>109</v>
      </c>
      <c r="C112" s="20" t="s">
        <v>356</v>
      </c>
      <c r="D112" s="83">
        <v>28</v>
      </c>
      <c r="E112" s="229">
        <f t="shared" si="5"/>
        <v>28</v>
      </c>
      <c r="F112" s="230">
        <v>20</v>
      </c>
      <c r="G112" s="4">
        <f t="shared" si="6"/>
        <v>100000</v>
      </c>
      <c r="H112" s="231">
        <f t="shared" si="7"/>
        <v>560</v>
      </c>
      <c r="I112" s="143">
        <f t="shared" si="8"/>
        <v>3.3333333333333338E-4</v>
      </c>
      <c r="J112" s="75">
        <f t="shared" si="9"/>
        <v>2.7999999999999998E-4</v>
      </c>
      <c r="K112" s="228"/>
      <c r="L112" s="100"/>
      <c r="M112" s="100"/>
      <c r="N112" s="100"/>
      <c r="O112" s="100"/>
      <c r="P112" s="228"/>
      <c r="Q112" s="228"/>
      <c r="R112" s="228"/>
      <c r="S112" s="228"/>
      <c r="T112" s="228"/>
      <c r="U112" s="228"/>
      <c r="V112" s="228"/>
      <c r="W112" s="228"/>
      <c r="X112" s="228"/>
    </row>
    <row r="113" spans="1:24" ht="16.2" customHeight="1">
      <c r="A113" s="228"/>
      <c r="B113" s="19">
        <v>110</v>
      </c>
      <c r="C113" s="20" t="s">
        <v>357</v>
      </c>
      <c r="D113" s="83">
        <v>28</v>
      </c>
      <c r="E113" s="229">
        <f t="shared" si="5"/>
        <v>28</v>
      </c>
      <c r="F113" s="230">
        <v>10</v>
      </c>
      <c r="G113" s="4">
        <f t="shared" si="6"/>
        <v>200000</v>
      </c>
      <c r="H113" s="231">
        <f t="shared" si="7"/>
        <v>280</v>
      </c>
      <c r="I113" s="143">
        <f t="shared" si="8"/>
        <v>1.6666666666666669E-4</v>
      </c>
      <c r="J113" s="75">
        <f t="shared" si="9"/>
        <v>1.3999999999999999E-4</v>
      </c>
      <c r="K113" s="228"/>
      <c r="L113" s="100"/>
      <c r="M113" s="100"/>
      <c r="N113" s="100"/>
      <c r="O113" s="100"/>
      <c r="P113" s="228"/>
      <c r="Q113" s="228"/>
      <c r="R113" s="228"/>
      <c r="S113" s="228"/>
      <c r="T113" s="228"/>
      <c r="U113" s="228"/>
      <c r="V113" s="228"/>
      <c r="W113" s="228"/>
      <c r="X113" s="228"/>
    </row>
    <row r="114" spans="1:24" ht="16.2" customHeight="1">
      <c r="A114" s="228"/>
      <c r="B114" s="19">
        <v>111</v>
      </c>
      <c r="C114" s="20" t="s">
        <v>358</v>
      </c>
      <c r="D114" s="83">
        <v>27.7</v>
      </c>
      <c r="E114" s="229">
        <f t="shared" si="5"/>
        <v>27.7</v>
      </c>
      <c r="F114" s="230">
        <v>10</v>
      </c>
      <c r="G114" s="4">
        <f t="shared" si="6"/>
        <v>200000</v>
      </c>
      <c r="H114" s="231">
        <f t="shared" si="7"/>
        <v>277</v>
      </c>
      <c r="I114" s="143">
        <f t="shared" si="8"/>
        <v>1.648809523809524E-4</v>
      </c>
      <c r="J114" s="75">
        <f t="shared" si="9"/>
        <v>1.3850000000000001E-4</v>
      </c>
      <c r="K114" s="228"/>
      <c r="L114" s="100"/>
      <c r="M114" s="100"/>
      <c r="N114" s="100"/>
      <c r="O114" s="100"/>
      <c r="P114" s="228"/>
      <c r="Q114" s="228"/>
      <c r="R114" s="228"/>
      <c r="S114" s="228"/>
      <c r="T114" s="228"/>
      <c r="U114" s="228"/>
      <c r="V114" s="228"/>
      <c r="W114" s="228"/>
      <c r="X114" s="228"/>
    </row>
    <row r="115" spans="1:24" ht="16.2" customHeight="1">
      <c r="A115" s="228"/>
      <c r="B115" s="19">
        <v>112</v>
      </c>
      <c r="C115" s="20" t="s">
        <v>359</v>
      </c>
      <c r="D115" s="83">
        <v>27.4</v>
      </c>
      <c r="E115" s="229">
        <f t="shared" si="5"/>
        <v>27.4</v>
      </c>
      <c r="F115" s="230">
        <v>10</v>
      </c>
      <c r="G115" s="4">
        <f t="shared" si="6"/>
        <v>200000</v>
      </c>
      <c r="H115" s="231">
        <f t="shared" si="7"/>
        <v>274</v>
      </c>
      <c r="I115" s="143">
        <f t="shared" si="8"/>
        <v>1.6309523809523812E-4</v>
      </c>
      <c r="J115" s="75">
        <f t="shared" si="9"/>
        <v>1.37E-4</v>
      </c>
      <c r="K115" s="228"/>
      <c r="L115" s="100"/>
      <c r="M115" s="100"/>
      <c r="N115" s="100"/>
      <c r="O115" s="100"/>
      <c r="P115" s="228"/>
      <c r="Q115" s="228"/>
      <c r="R115" s="228"/>
      <c r="S115" s="228"/>
      <c r="T115" s="228"/>
      <c r="U115" s="228"/>
      <c r="V115" s="228"/>
      <c r="W115" s="228"/>
      <c r="X115" s="228"/>
    </row>
    <row r="116" spans="1:24" ht="16.2" customHeight="1">
      <c r="A116" s="228"/>
      <c r="B116" s="19">
        <v>113</v>
      </c>
      <c r="C116" s="20" t="s">
        <v>360</v>
      </c>
      <c r="D116" s="83">
        <v>27.3</v>
      </c>
      <c r="E116" s="229">
        <f t="shared" si="5"/>
        <v>27.3</v>
      </c>
      <c r="F116" s="230">
        <v>5</v>
      </c>
      <c r="G116" s="4">
        <f t="shared" si="6"/>
        <v>400000</v>
      </c>
      <c r="H116" s="231">
        <f t="shared" si="7"/>
        <v>136.5</v>
      </c>
      <c r="I116" s="143">
        <f t="shared" si="8"/>
        <v>8.125000000000001E-5</v>
      </c>
      <c r="J116" s="75">
        <f t="shared" si="9"/>
        <v>6.8250000000000006E-5</v>
      </c>
      <c r="K116" s="228"/>
      <c r="L116" s="100"/>
      <c r="M116" s="100"/>
      <c r="N116" s="100"/>
      <c r="O116" s="100"/>
      <c r="P116" s="228"/>
      <c r="Q116" s="228"/>
      <c r="R116" s="228"/>
      <c r="S116" s="228"/>
      <c r="T116" s="228"/>
      <c r="U116" s="228"/>
      <c r="V116" s="228"/>
      <c r="W116" s="228"/>
      <c r="X116" s="228"/>
    </row>
    <row r="117" spans="1:24" ht="16.2" customHeight="1">
      <c r="A117" s="228"/>
      <c r="B117" s="19">
        <v>114</v>
      </c>
      <c r="C117" s="20" t="s">
        <v>361</v>
      </c>
      <c r="D117" s="83">
        <v>27.2</v>
      </c>
      <c r="E117" s="229">
        <f t="shared" si="5"/>
        <v>27.2</v>
      </c>
      <c r="F117" s="230">
        <v>10</v>
      </c>
      <c r="G117" s="4">
        <f t="shared" si="6"/>
        <v>200000</v>
      </c>
      <c r="H117" s="231">
        <f t="shared" si="7"/>
        <v>272</v>
      </c>
      <c r="I117" s="143">
        <f t="shared" si="8"/>
        <v>1.6190476190476192E-4</v>
      </c>
      <c r="J117" s="75">
        <f t="shared" si="9"/>
        <v>1.36E-4</v>
      </c>
      <c r="K117" s="228"/>
      <c r="L117" s="100"/>
      <c r="M117" s="100"/>
      <c r="N117" s="100"/>
      <c r="O117" s="100"/>
      <c r="P117" s="228"/>
      <c r="Q117" s="228"/>
      <c r="R117" s="228"/>
      <c r="S117" s="228"/>
      <c r="T117" s="228"/>
      <c r="U117" s="228"/>
      <c r="V117" s="228"/>
      <c r="W117" s="228"/>
      <c r="X117" s="228"/>
    </row>
    <row r="118" spans="1:24" ht="16.2" customHeight="1">
      <c r="A118" s="228"/>
      <c r="B118" s="19">
        <v>115</v>
      </c>
      <c r="C118" s="20" t="s">
        <v>362</v>
      </c>
      <c r="D118" s="83">
        <v>27.2</v>
      </c>
      <c r="E118" s="229">
        <f t="shared" si="5"/>
        <v>27.2</v>
      </c>
      <c r="F118" s="230">
        <v>10</v>
      </c>
      <c r="G118" s="4">
        <f t="shared" si="6"/>
        <v>200000</v>
      </c>
      <c r="H118" s="231">
        <f t="shared" si="7"/>
        <v>272</v>
      </c>
      <c r="I118" s="143">
        <f t="shared" si="8"/>
        <v>1.6190476190476192E-4</v>
      </c>
      <c r="J118" s="75">
        <f t="shared" si="9"/>
        <v>1.36E-4</v>
      </c>
      <c r="K118" s="228"/>
      <c r="L118" s="100"/>
      <c r="M118" s="100"/>
      <c r="N118" s="100"/>
      <c r="O118" s="100"/>
      <c r="P118" s="228"/>
      <c r="Q118" s="228"/>
      <c r="R118" s="228"/>
      <c r="S118" s="228"/>
      <c r="T118" s="228"/>
      <c r="U118" s="228"/>
      <c r="V118" s="228"/>
      <c r="W118" s="228"/>
      <c r="X118" s="228"/>
    </row>
    <row r="119" spans="1:24" ht="16.2" customHeight="1">
      <c r="A119" s="228"/>
      <c r="B119" s="19">
        <v>116</v>
      </c>
      <c r="C119" s="20" t="s">
        <v>363</v>
      </c>
      <c r="D119" s="83">
        <v>27.2</v>
      </c>
      <c r="E119" s="229">
        <f t="shared" si="5"/>
        <v>27.2</v>
      </c>
      <c r="F119" s="230">
        <v>8</v>
      </c>
      <c r="G119" s="4">
        <f t="shared" si="6"/>
        <v>250000</v>
      </c>
      <c r="H119" s="231">
        <f t="shared" si="7"/>
        <v>217.6</v>
      </c>
      <c r="I119" s="143">
        <f t="shared" si="8"/>
        <v>1.2952380952380954E-4</v>
      </c>
      <c r="J119" s="75">
        <f t="shared" si="9"/>
        <v>1.088E-4</v>
      </c>
      <c r="K119" s="228"/>
      <c r="L119" s="100"/>
      <c r="M119" s="100"/>
      <c r="N119" s="100"/>
      <c r="O119" s="100"/>
      <c r="P119" s="228"/>
      <c r="Q119" s="228"/>
      <c r="R119" s="228"/>
      <c r="S119" s="228"/>
      <c r="T119" s="228"/>
      <c r="U119" s="228"/>
      <c r="V119" s="228"/>
      <c r="W119" s="228"/>
      <c r="X119" s="228"/>
    </row>
    <row r="120" spans="1:24" ht="16.2" customHeight="1">
      <c r="A120" s="228"/>
      <c r="B120" s="19">
        <v>117</v>
      </c>
      <c r="C120" s="20" t="s">
        <v>364</v>
      </c>
      <c r="D120" s="83">
        <v>27.1</v>
      </c>
      <c r="E120" s="229">
        <f t="shared" si="5"/>
        <v>27.1</v>
      </c>
      <c r="F120" s="230">
        <v>7</v>
      </c>
      <c r="G120" s="4">
        <f t="shared" si="6"/>
        <v>285714.28571428574</v>
      </c>
      <c r="H120" s="231">
        <f t="shared" si="7"/>
        <v>189.70000000000002</v>
      </c>
      <c r="I120" s="143">
        <f t="shared" si="8"/>
        <v>1.129166666666667E-4</v>
      </c>
      <c r="J120" s="75">
        <f t="shared" si="9"/>
        <v>9.4850000000000015E-5</v>
      </c>
      <c r="K120" s="228"/>
      <c r="L120" s="100"/>
      <c r="M120" s="100"/>
      <c r="N120" s="100"/>
      <c r="O120" s="100"/>
      <c r="P120" s="228"/>
      <c r="Q120" s="228"/>
      <c r="R120" s="228"/>
      <c r="S120" s="228"/>
      <c r="T120" s="228"/>
      <c r="U120" s="228"/>
      <c r="V120" s="228"/>
      <c r="W120" s="228"/>
      <c r="X120" s="228"/>
    </row>
    <row r="121" spans="1:24" ht="16.2" customHeight="1">
      <c r="A121" s="228"/>
      <c r="B121" s="19">
        <v>118</v>
      </c>
      <c r="C121" s="20" t="s">
        <v>365</v>
      </c>
      <c r="D121" s="83">
        <v>27.1</v>
      </c>
      <c r="E121" s="229">
        <f t="shared" si="5"/>
        <v>27.1</v>
      </c>
      <c r="F121" s="230">
        <v>7</v>
      </c>
      <c r="G121" s="4">
        <f t="shared" si="6"/>
        <v>285714.28571428574</v>
      </c>
      <c r="H121" s="231">
        <f t="shared" si="7"/>
        <v>189.70000000000002</v>
      </c>
      <c r="I121" s="143">
        <f t="shared" si="8"/>
        <v>1.129166666666667E-4</v>
      </c>
      <c r="J121" s="75">
        <f t="shared" si="9"/>
        <v>9.4850000000000015E-5</v>
      </c>
      <c r="K121" s="228"/>
      <c r="L121" s="100"/>
      <c r="M121" s="100"/>
      <c r="N121" s="100"/>
      <c r="O121" s="100"/>
      <c r="P121" s="228"/>
      <c r="Q121" s="228"/>
      <c r="R121" s="228"/>
      <c r="S121" s="228"/>
      <c r="T121" s="228"/>
      <c r="U121" s="228"/>
      <c r="V121" s="228"/>
      <c r="W121" s="228"/>
      <c r="X121" s="228"/>
    </row>
    <row r="122" spans="1:24" ht="16.2" customHeight="1">
      <c r="A122" s="228"/>
      <c r="B122" s="19">
        <v>119</v>
      </c>
      <c r="C122" s="20" t="s">
        <v>366</v>
      </c>
      <c r="D122" s="83">
        <v>27.1</v>
      </c>
      <c r="E122" s="229">
        <f t="shared" si="5"/>
        <v>27.1</v>
      </c>
      <c r="F122" s="230">
        <v>7</v>
      </c>
      <c r="G122" s="4">
        <f t="shared" si="6"/>
        <v>285714.28571428574</v>
      </c>
      <c r="H122" s="231">
        <f t="shared" si="7"/>
        <v>189.70000000000002</v>
      </c>
      <c r="I122" s="143">
        <f t="shared" si="8"/>
        <v>1.129166666666667E-4</v>
      </c>
      <c r="J122" s="75">
        <f t="shared" si="9"/>
        <v>9.4850000000000015E-5</v>
      </c>
      <c r="K122" s="228"/>
      <c r="L122" s="100"/>
      <c r="M122" s="100"/>
      <c r="N122" s="100"/>
      <c r="O122" s="100"/>
      <c r="P122" s="228"/>
      <c r="Q122" s="228"/>
      <c r="R122" s="228"/>
      <c r="S122" s="228"/>
      <c r="T122" s="228"/>
      <c r="U122" s="228"/>
      <c r="V122" s="228"/>
      <c r="W122" s="228"/>
      <c r="X122" s="228"/>
    </row>
    <row r="123" spans="1:24" ht="16.2" customHeight="1">
      <c r="A123" s="228"/>
      <c r="B123" s="19">
        <v>120</v>
      </c>
      <c r="C123" s="20" t="s">
        <v>367</v>
      </c>
      <c r="D123" s="83">
        <v>27</v>
      </c>
      <c r="E123" s="229">
        <f t="shared" si="5"/>
        <v>27</v>
      </c>
      <c r="F123" s="230">
        <v>100</v>
      </c>
      <c r="G123" s="4">
        <f t="shared" si="6"/>
        <v>20000</v>
      </c>
      <c r="H123" s="231">
        <f t="shared" si="7"/>
        <v>2700</v>
      </c>
      <c r="I123" s="143">
        <f t="shared" si="8"/>
        <v>1.6071428571428573E-3</v>
      </c>
      <c r="J123" s="75">
        <f t="shared" si="9"/>
        <v>1.3500000000000001E-3</v>
      </c>
      <c r="K123" s="228"/>
      <c r="L123" s="100"/>
      <c r="M123" s="100"/>
      <c r="N123" s="100"/>
      <c r="O123" s="100"/>
      <c r="P123" s="228"/>
      <c r="Q123" s="228"/>
      <c r="R123" s="228"/>
      <c r="S123" s="228"/>
      <c r="T123" s="228"/>
      <c r="U123" s="228"/>
      <c r="V123" s="228"/>
      <c r="W123" s="228"/>
      <c r="X123" s="228"/>
    </row>
    <row r="124" spans="1:24" ht="16.2" customHeight="1">
      <c r="A124" s="228"/>
      <c r="B124" s="19">
        <v>121</v>
      </c>
      <c r="C124" s="20" t="s">
        <v>368</v>
      </c>
      <c r="D124" s="83">
        <v>27</v>
      </c>
      <c r="E124" s="229">
        <f t="shared" si="5"/>
        <v>27</v>
      </c>
      <c r="F124" s="230">
        <v>20</v>
      </c>
      <c r="G124" s="4">
        <f t="shared" si="6"/>
        <v>100000</v>
      </c>
      <c r="H124" s="231">
        <f t="shared" si="7"/>
        <v>540</v>
      </c>
      <c r="I124" s="143">
        <f t="shared" si="8"/>
        <v>3.2142857142857147E-4</v>
      </c>
      <c r="J124" s="75">
        <f t="shared" si="9"/>
        <v>2.7E-4</v>
      </c>
      <c r="K124" s="228"/>
      <c r="L124" s="100"/>
      <c r="M124" s="100"/>
      <c r="N124" s="100"/>
      <c r="O124" s="100"/>
      <c r="P124" s="228"/>
      <c r="Q124" s="228"/>
      <c r="R124" s="228"/>
      <c r="S124" s="228"/>
      <c r="T124" s="228"/>
      <c r="U124" s="228"/>
      <c r="V124" s="228"/>
      <c r="W124" s="228"/>
      <c r="X124" s="228"/>
    </row>
    <row r="125" spans="1:24" ht="16.2" customHeight="1">
      <c r="A125" s="228"/>
      <c r="B125" s="19">
        <v>122</v>
      </c>
      <c r="C125" s="20" t="s">
        <v>369</v>
      </c>
      <c r="D125" s="83">
        <v>27</v>
      </c>
      <c r="E125" s="229">
        <f t="shared" si="5"/>
        <v>27</v>
      </c>
      <c r="F125" s="230">
        <v>20</v>
      </c>
      <c r="G125" s="4">
        <f t="shared" si="6"/>
        <v>100000</v>
      </c>
      <c r="H125" s="231">
        <f t="shared" si="7"/>
        <v>540</v>
      </c>
      <c r="I125" s="143">
        <f t="shared" si="8"/>
        <v>3.2142857142857147E-4</v>
      </c>
      <c r="J125" s="75">
        <f t="shared" si="9"/>
        <v>2.7E-4</v>
      </c>
      <c r="K125" s="228"/>
      <c r="L125" s="100"/>
      <c r="M125" s="100"/>
      <c r="N125" s="100"/>
      <c r="O125" s="100"/>
      <c r="P125" s="228"/>
      <c r="Q125" s="228"/>
      <c r="R125" s="228"/>
      <c r="S125" s="228"/>
      <c r="T125" s="228"/>
      <c r="U125" s="228"/>
      <c r="V125" s="228"/>
      <c r="W125" s="228"/>
      <c r="X125" s="228"/>
    </row>
    <row r="126" spans="1:24" ht="16.2" customHeight="1">
      <c r="A126" s="228"/>
      <c r="B126" s="19">
        <v>123</v>
      </c>
      <c r="C126" s="20" t="s">
        <v>370</v>
      </c>
      <c r="D126" s="83">
        <v>27</v>
      </c>
      <c r="E126" s="229">
        <f t="shared" si="5"/>
        <v>27</v>
      </c>
      <c r="F126" s="230">
        <v>20</v>
      </c>
      <c r="G126" s="4">
        <f t="shared" si="6"/>
        <v>100000</v>
      </c>
      <c r="H126" s="231">
        <f t="shared" si="7"/>
        <v>540</v>
      </c>
      <c r="I126" s="143">
        <f t="shared" si="8"/>
        <v>3.2142857142857147E-4</v>
      </c>
      <c r="J126" s="75">
        <f t="shared" si="9"/>
        <v>2.7E-4</v>
      </c>
      <c r="K126" s="228"/>
      <c r="L126" s="100"/>
      <c r="M126" s="100"/>
      <c r="N126" s="100"/>
      <c r="O126" s="100"/>
      <c r="P126" s="228"/>
      <c r="Q126" s="228"/>
      <c r="R126" s="228"/>
      <c r="S126" s="228"/>
      <c r="T126" s="228"/>
      <c r="U126" s="228"/>
      <c r="V126" s="228"/>
      <c r="W126" s="228"/>
      <c r="X126" s="228"/>
    </row>
    <row r="127" spans="1:24" ht="16.2" customHeight="1">
      <c r="A127" s="228"/>
      <c r="B127" s="19">
        <v>124</v>
      </c>
      <c r="C127" s="20" t="s">
        <v>371</v>
      </c>
      <c r="D127" s="83">
        <v>26.7</v>
      </c>
      <c r="E127" s="229">
        <f t="shared" si="5"/>
        <v>26.7</v>
      </c>
      <c r="F127" s="230">
        <v>100</v>
      </c>
      <c r="G127" s="4">
        <f t="shared" si="6"/>
        <v>20000</v>
      </c>
      <c r="H127" s="231">
        <f t="shared" si="7"/>
        <v>2670</v>
      </c>
      <c r="I127" s="143">
        <f t="shared" si="8"/>
        <v>1.5892857142857145E-3</v>
      </c>
      <c r="J127" s="75">
        <f t="shared" si="9"/>
        <v>1.335E-3</v>
      </c>
      <c r="K127" s="228"/>
      <c r="L127" s="100"/>
      <c r="M127" s="100"/>
      <c r="N127" s="100"/>
      <c r="O127" s="100"/>
      <c r="P127" s="228"/>
      <c r="Q127" s="228"/>
      <c r="R127" s="228"/>
      <c r="S127" s="228"/>
      <c r="T127" s="228"/>
      <c r="U127" s="228"/>
      <c r="V127" s="228"/>
      <c r="W127" s="228"/>
      <c r="X127" s="228"/>
    </row>
    <row r="128" spans="1:24" ht="16.2" customHeight="1">
      <c r="A128" s="228"/>
      <c r="B128" s="19">
        <v>125</v>
      </c>
      <c r="C128" s="20" t="s">
        <v>372</v>
      </c>
      <c r="D128" s="83">
        <v>26.2</v>
      </c>
      <c r="E128" s="229">
        <f t="shared" si="5"/>
        <v>26.2</v>
      </c>
      <c r="F128" s="230">
        <v>20</v>
      </c>
      <c r="G128" s="4">
        <f t="shared" si="6"/>
        <v>100000</v>
      </c>
      <c r="H128" s="231">
        <f t="shared" si="7"/>
        <v>524</v>
      </c>
      <c r="I128" s="143">
        <f t="shared" si="8"/>
        <v>3.1190476190476194E-4</v>
      </c>
      <c r="J128" s="75">
        <f t="shared" si="9"/>
        <v>2.6200000000000003E-4</v>
      </c>
      <c r="K128" s="228"/>
      <c r="L128" s="100"/>
      <c r="M128" s="100"/>
      <c r="N128" s="100"/>
      <c r="O128" s="100"/>
      <c r="P128" s="228"/>
      <c r="Q128" s="228"/>
      <c r="R128" s="228"/>
      <c r="S128" s="228"/>
      <c r="T128" s="228"/>
      <c r="U128" s="228"/>
      <c r="V128" s="228"/>
      <c r="W128" s="228"/>
      <c r="X128" s="228"/>
    </row>
    <row r="129" spans="1:24" ht="16.2" customHeight="1">
      <c r="A129" s="228"/>
      <c r="B129" s="19">
        <v>126</v>
      </c>
      <c r="C129" s="20" t="s">
        <v>373</v>
      </c>
      <c r="D129" s="83">
        <v>25.5</v>
      </c>
      <c r="E129" s="229">
        <f t="shared" si="5"/>
        <v>25.5</v>
      </c>
      <c r="F129" s="230">
        <v>25</v>
      </c>
      <c r="G129" s="4">
        <f t="shared" si="6"/>
        <v>80000</v>
      </c>
      <c r="H129" s="231">
        <f t="shared" si="7"/>
        <v>637.5</v>
      </c>
      <c r="I129" s="143">
        <f t="shared" si="8"/>
        <v>3.7946428571428576E-4</v>
      </c>
      <c r="J129" s="75">
        <f t="shared" si="9"/>
        <v>3.1875000000000002E-4</v>
      </c>
      <c r="K129" s="228"/>
      <c r="L129" s="100"/>
      <c r="M129" s="100"/>
      <c r="N129" s="100"/>
      <c r="O129" s="100"/>
      <c r="P129" s="228"/>
      <c r="Q129" s="228"/>
      <c r="R129" s="228"/>
      <c r="S129" s="228"/>
      <c r="T129" s="228"/>
      <c r="U129" s="228"/>
      <c r="V129" s="228"/>
      <c r="W129" s="228"/>
      <c r="X129" s="228"/>
    </row>
    <row r="130" spans="1:24" ht="16.2" customHeight="1">
      <c r="A130" s="228"/>
      <c r="B130" s="19">
        <v>127</v>
      </c>
      <c r="C130" s="20" t="s">
        <v>374</v>
      </c>
      <c r="D130" s="83">
        <v>25.5</v>
      </c>
      <c r="E130" s="229">
        <f t="shared" si="5"/>
        <v>25.5</v>
      </c>
      <c r="F130" s="230">
        <v>10</v>
      </c>
      <c r="G130" s="4">
        <f t="shared" si="6"/>
        <v>200000</v>
      </c>
      <c r="H130" s="231">
        <f t="shared" si="7"/>
        <v>255</v>
      </c>
      <c r="I130" s="143">
        <f t="shared" si="8"/>
        <v>1.517857142857143E-4</v>
      </c>
      <c r="J130" s="75">
        <f t="shared" si="9"/>
        <v>1.2750000000000001E-4</v>
      </c>
      <c r="K130" s="228"/>
      <c r="L130" s="100"/>
      <c r="M130" s="100"/>
      <c r="N130" s="100"/>
      <c r="O130" s="100"/>
      <c r="P130" s="228"/>
      <c r="Q130" s="228"/>
      <c r="R130" s="228"/>
      <c r="S130" s="228"/>
      <c r="T130" s="228"/>
      <c r="U130" s="228"/>
      <c r="V130" s="228"/>
      <c r="W130" s="228"/>
      <c r="X130" s="228"/>
    </row>
    <row r="131" spans="1:24" ht="16.2" customHeight="1">
      <c r="A131" s="228"/>
      <c r="B131" s="19">
        <v>128</v>
      </c>
      <c r="C131" s="20" t="s">
        <v>375</v>
      </c>
      <c r="D131" s="83">
        <v>25.5</v>
      </c>
      <c r="E131" s="229">
        <f t="shared" si="5"/>
        <v>25.5</v>
      </c>
      <c r="F131" s="230">
        <v>10</v>
      </c>
      <c r="G131" s="4">
        <f t="shared" si="6"/>
        <v>200000</v>
      </c>
      <c r="H131" s="231">
        <f t="shared" si="7"/>
        <v>255</v>
      </c>
      <c r="I131" s="143">
        <f t="shared" si="8"/>
        <v>1.517857142857143E-4</v>
      </c>
      <c r="J131" s="75">
        <f t="shared" si="9"/>
        <v>1.2750000000000001E-4</v>
      </c>
      <c r="K131" s="228"/>
      <c r="L131" s="100"/>
      <c r="M131" s="100"/>
      <c r="N131" s="100"/>
      <c r="O131" s="100"/>
      <c r="P131" s="228"/>
      <c r="Q131" s="228"/>
      <c r="R131" s="228"/>
      <c r="S131" s="228"/>
      <c r="T131" s="228"/>
      <c r="U131" s="228"/>
      <c r="V131" s="228"/>
      <c r="W131" s="228"/>
      <c r="X131" s="228"/>
    </row>
    <row r="132" spans="1:24" ht="16.2" customHeight="1">
      <c r="A132" s="228"/>
      <c r="B132" s="19">
        <v>129</v>
      </c>
      <c r="C132" s="20" t="s">
        <v>376</v>
      </c>
      <c r="D132" s="83">
        <v>25.5</v>
      </c>
      <c r="E132" s="229">
        <f t="shared" ref="E132:E195" si="10">D132*$M$7</f>
        <v>25.5</v>
      </c>
      <c r="F132" s="230">
        <v>10</v>
      </c>
      <c r="G132" s="4">
        <f t="shared" ref="G132:G195" si="11">$M$6/F132</f>
        <v>200000</v>
      </c>
      <c r="H132" s="231">
        <f t="shared" ref="H132:H195" si="12">F132*E132</f>
        <v>255</v>
      </c>
      <c r="I132" s="143">
        <f t="shared" ref="I132:I195" si="13">H132/$M$9</f>
        <v>1.517857142857143E-4</v>
      </c>
      <c r="J132" s="75">
        <f t="shared" ref="J132:J195" si="14">H132/$M$8</f>
        <v>1.2750000000000001E-4</v>
      </c>
      <c r="K132" s="228"/>
      <c r="L132" s="100"/>
      <c r="M132" s="100"/>
      <c r="N132" s="100"/>
      <c r="O132" s="100"/>
      <c r="P132" s="228"/>
      <c r="Q132" s="228"/>
      <c r="R132" s="228"/>
      <c r="S132" s="228"/>
      <c r="T132" s="228"/>
      <c r="U132" s="228"/>
      <c r="V132" s="228"/>
      <c r="W132" s="228"/>
      <c r="X132" s="228"/>
    </row>
    <row r="133" spans="1:24" ht="16.2" customHeight="1">
      <c r="A133" s="228"/>
      <c r="B133" s="19">
        <v>130</v>
      </c>
      <c r="C133" s="20" t="s">
        <v>377</v>
      </c>
      <c r="D133" s="83">
        <v>25.3</v>
      </c>
      <c r="E133" s="229">
        <f t="shared" si="10"/>
        <v>25.3</v>
      </c>
      <c r="F133" s="230">
        <v>100</v>
      </c>
      <c r="G133" s="4">
        <f t="shared" si="11"/>
        <v>20000</v>
      </c>
      <c r="H133" s="231">
        <f t="shared" si="12"/>
        <v>2530</v>
      </c>
      <c r="I133" s="143">
        <f t="shared" si="13"/>
        <v>1.5059523809523813E-3</v>
      </c>
      <c r="J133" s="75">
        <f t="shared" si="14"/>
        <v>1.2650000000000001E-3</v>
      </c>
      <c r="K133" s="228"/>
      <c r="L133" s="100"/>
      <c r="M133" s="100"/>
      <c r="N133" s="100"/>
      <c r="O133" s="100"/>
      <c r="P133" s="228"/>
      <c r="Q133" s="228"/>
      <c r="R133" s="228"/>
      <c r="S133" s="228"/>
      <c r="T133" s="228"/>
      <c r="U133" s="228"/>
      <c r="V133" s="228"/>
      <c r="W133" s="228"/>
      <c r="X133" s="228"/>
    </row>
    <row r="134" spans="1:24" ht="16.2" customHeight="1">
      <c r="A134" s="228"/>
      <c r="B134" s="19">
        <v>131</v>
      </c>
      <c r="C134" s="20" t="s">
        <v>378</v>
      </c>
      <c r="D134" s="83">
        <v>25.2</v>
      </c>
      <c r="E134" s="229">
        <f t="shared" si="10"/>
        <v>25.2</v>
      </c>
      <c r="F134" s="230">
        <v>109</v>
      </c>
      <c r="G134" s="4">
        <f t="shared" si="11"/>
        <v>18348.623853211007</v>
      </c>
      <c r="H134" s="231">
        <f t="shared" si="12"/>
        <v>2746.7999999999997</v>
      </c>
      <c r="I134" s="143">
        <f t="shared" si="13"/>
        <v>1.6350000000000002E-3</v>
      </c>
      <c r="J134" s="75">
        <f t="shared" si="14"/>
        <v>1.3733999999999999E-3</v>
      </c>
      <c r="K134" s="228"/>
      <c r="L134" s="100"/>
      <c r="M134" s="100"/>
      <c r="N134" s="100"/>
      <c r="O134" s="100"/>
      <c r="P134" s="228"/>
      <c r="Q134" s="228"/>
      <c r="R134" s="228"/>
      <c r="S134" s="228"/>
      <c r="T134" s="228"/>
      <c r="U134" s="228"/>
      <c r="V134" s="228"/>
      <c r="W134" s="228"/>
      <c r="X134" s="228"/>
    </row>
    <row r="135" spans="1:24" ht="16.2" customHeight="1">
      <c r="A135" s="228"/>
      <c r="B135" s="19">
        <v>132</v>
      </c>
      <c r="C135" s="20" t="s">
        <v>379</v>
      </c>
      <c r="D135" s="83">
        <v>25.1</v>
      </c>
      <c r="E135" s="229">
        <f t="shared" si="10"/>
        <v>25.1</v>
      </c>
      <c r="F135" s="230">
        <v>20</v>
      </c>
      <c r="G135" s="4">
        <f t="shared" si="11"/>
        <v>100000</v>
      </c>
      <c r="H135" s="231">
        <f t="shared" si="12"/>
        <v>502</v>
      </c>
      <c r="I135" s="143">
        <f t="shared" si="13"/>
        <v>2.9880952380952384E-4</v>
      </c>
      <c r="J135" s="75">
        <f t="shared" si="14"/>
        <v>2.5099999999999998E-4</v>
      </c>
      <c r="K135" s="228"/>
      <c r="L135" s="100"/>
      <c r="M135" s="100"/>
      <c r="N135" s="100"/>
      <c r="O135" s="100"/>
      <c r="P135" s="228"/>
      <c r="Q135" s="228"/>
      <c r="R135" s="228"/>
      <c r="S135" s="228"/>
      <c r="T135" s="228"/>
      <c r="U135" s="228"/>
      <c r="V135" s="228"/>
      <c r="W135" s="228"/>
      <c r="X135" s="228"/>
    </row>
    <row r="136" spans="1:24" ht="16.2" customHeight="1">
      <c r="A136" s="228"/>
      <c r="B136" s="19">
        <v>133</v>
      </c>
      <c r="C136" s="20" t="s">
        <v>380</v>
      </c>
      <c r="D136" s="83">
        <v>25</v>
      </c>
      <c r="E136" s="229">
        <f t="shared" si="10"/>
        <v>25</v>
      </c>
      <c r="F136" s="230">
        <v>5</v>
      </c>
      <c r="G136" s="4">
        <f t="shared" si="11"/>
        <v>400000</v>
      </c>
      <c r="H136" s="231">
        <f t="shared" si="12"/>
        <v>125</v>
      </c>
      <c r="I136" s="143">
        <f t="shared" si="13"/>
        <v>7.4404761904761911E-5</v>
      </c>
      <c r="J136" s="75">
        <f t="shared" si="14"/>
        <v>6.2500000000000001E-5</v>
      </c>
      <c r="K136" s="228"/>
      <c r="L136" s="100"/>
      <c r="M136" s="100"/>
      <c r="N136" s="100"/>
      <c r="O136" s="100"/>
      <c r="P136" s="228"/>
      <c r="Q136" s="228"/>
      <c r="R136" s="228"/>
      <c r="S136" s="228"/>
      <c r="T136" s="228"/>
      <c r="U136" s="228"/>
      <c r="V136" s="228"/>
      <c r="W136" s="228"/>
      <c r="X136" s="228"/>
    </row>
    <row r="137" spans="1:24" ht="16.2" customHeight="1">
      <c r="A137" s="228"/>
      <c r="B137" s="19">
        <v>134</v>
      </c>
      <c r="C137" s="20" t="s">
        <v>381</v>
      </c>
      <c r="D137" s="83">
        <v>25</v>
      </c>
      <c r="E137" s="229">
        <f t="shared" si="10"/>
        <v>25</v>
      </c>
      <c r="F137" s="230">
        <v>9</v>
      </c>
      <c r="G137" s="4">
        <f t="shared" si="11"/>
        <v>222222.22222222222</v>
      </c>
      <c r="H137" s="231">
        <f t="shared" si="12"/>
        <v>225</v>
      </c>
      <c r="I137" s="143">
        <f t="shared" si="13"/>
        <v>1.3392857142857144E-4</v>
      </c>
      <c r="J137" s="75">
        <f t="shared" si="14"/>
        <v>1.125E-4</v>
      </c>
      <c r="K137" s="228"/>
      <c r="L137" s="100"/>
      <c r="M137" s="100"/>
      <c r="N137" s="100"/>
      <c r="O137" s="100"/>
      <c r="P137" s="228"/>
      <c r="Q137" s="228"/>
      <c r="R137" s="228"/>
      <c r="S137" s="228"/>
      <c r="T137" s="228"/>
      <c r="U137" s="228"/>
      <c r="V137" s="228"/>
      <c r="W137" s="228"/>
      <c r="X137" s="228"/>
    </row>
    <row r="138" spans="1:24" ht="16.2" customHeight="1">
      <c r="A138" s="228"/>
      <c r="B138" s="19">
        <v>135</v>
      </c>
      <c r="C138" s="20" t="s">
        <v>382</v>
      </c>
      <c r="D138" s="83">
        <v>25</v>
      </c>
      <c r="E138" s="229">
        <f t="shared" si="10"/>
        <v>25</v>
      </c>
      <c r="F138" s="230">
        <v>9</v>
      </c>
      <c r="G138" s="4">
        <f t="shared" si="11"/>
        <v>222222.22222222222</v>
      </c>
      <c r="H138" s="231">
        <f t="shared" si="12"/>
        <v>225</v>
      </c>
      <c r="I138" s="143">
        <f t="shared" si="13"/>
        <v>1.3392857142857144E-4</v>
      </c>
      <c r="J138" s="75">
        <f t="shared" si="14"/>
        <v>1.125E-4</v>
      </c>
      <c r="K138" s="228"/>
      <c r="L138" s="100"/>
      <c r="M138" s="100"/>
      <c r="N138" s="100"/>
      <c r="O138" s="100"/>
      <c r="P138" s="228"/>
      <c r="Q138" s="228"/>
      <c r="R138" s="228"/>
      <c r="S138" s="228"/>
      <c r="T138" s="228"/>
      <c r="U138" s="228"/>
      <c r="V138" s="228"/>
      <c r="W138" s="228"/>
      <c r="X138" s="228"/>
    </row>
    <row r="139" spans="1:24" ht="16.2" customHeight="1">
      <c r="A139" s="228"/>
      <c r="B139" s="19">
        <v>136</v>
      </c>
      <c r="C139" s="20" t="s">
        <v>383</v>
      </c>
      <c r="D139" s="83">
        <v>25</v>
      </c>
      <c r="E139" s="229">
        <f t="shared" si="10"/>
        <v>25</v>
      </c>
      <c r="F139" s="230">
        <v>9</v>
      </c>
      <c r="G139" s="4">
        <f t="shared" si="11"/>
        <v>222222.22222222222</v>
      </c>
      <c r="H139" s="231">
        <f t="shared" si="12"/>
        <v>225</v>
      </c>
      <c r="I139" s="143">
        <f t="shared" si="13"/>
        <v>1.3392857142857144E-4</v>
      </c>
      <c r="J139" s="75">
        <f t="shared" si="14"/>
        <v>1.125E-4</v>
      </c>
      <c r="K139" s="228"/>
      <c r="L139" s="100"/>
      <c r="M139" s="100"/>
      <c r="N139" s="100"/>
      <c r="O139" s="100"/>
      <c r="P139" s="228"/>
      <c r="Q139" s="228"/>
      <c r="R139" s="228"/>
      <c r="S139" s="228"/>
      <c r="T139" s="228"/>
      <c r="U139" s="228"/>
      <c r="V139" s="228"/>
      <c r="W139" s="228"/>
      <c r="X139" s="228"/>
    </row>
    <row r="140" spans="1:24" ht="16.2" customHeight="1">
      <c r="A140" s="228"/>
      <c r="B140" s="19">
        <v>137</v>
      </c>
      <c r="C140" s="20" t="s">
        <v>384</v>
      </c>
      <c r="D140" s="83">
        <v>25</v>
      </c>
      <c r="E140" s="229">
        <f t="shared" si="10"/>
        <v>25</v>
      </c>
      <c r="F140" s="230">
        <v>5</v>
      </c>
      <c r="G140" s="4">
        <f t="shared" si="11"/>
        <v>400000</v>
      </c>
      <c r="H140" s="231">
        <f t="shared" si="12"/>
        <v>125</v>
      </c>
      <c r="I140" s="143">
        <f t="shared" si="13"/>
        <v>7.4404761904761911E-5</v>
      </c>
      <c r="J140" s="75">
        <f t="shared" si="14"/>
        <v>6.2500000000000001E-5</v>
      </c>
      <c r="K140" s="228"/>
      <c r="L140" s="100"/>
      <c r="M140" s="100"/>
      <c r="N140" s="100"/>
      <c r="O140" s="100"/>
      <c r="P140" s="228"/>
      <c r="Q140" s="228"/>
      <c r="R140" s="228"/>
      <c r="S140" s="228"/>
      <c r="T140" s="228"/>
      <c r="U140" s="228"/>
      <c r="V140" s="228"/>
      <c r="W140" s="228"/>
      <c r="X140" s="228"/>
    </row>
    <row r="141" spans="1:24" ht="16.2" customHeight="1">
      <c r="A141" s="228"/>
      <c r="B141" s="19">
        <v>138</v>
      </c>
      <c r="C141" s="20" t="s">
        <v>385</v>
      </c>
      <c r="D141" s="83">
        <v>25</v>
      </c>
      <c r="E141" s="229">
        <f t="shared" si="10"/>
        <v>25</v>
      </c>
      <c r="F141" s="230">
        <v>9</v>
      </c>
      <c r="G141" s="4">
        <f t="shared" si="11"/>
        <v>222222.22222222222</v>
      </c>
      <c r="H141" s="231">
        <f t="shared" si="12"/>
        <v>225</v>
      </c>
      <c r="I141" s="143">
        <f t="shared" si="13"/>
        <v>1.3392857142857144E-4</v>
      </c>
      <c r="J141" s="75">
        <f t="shared" si="14"/>
        <v>1.125E-4</v>
      </c>
      <c r="K141" s="228"/>
      <c r="L141" s="100"/>
      <c r="M141" s="100"/>
      <c r="N141" s="100"/>
      <c r="O141" s="100"/>
      <c r="P141" s="228"/>
      <c r="Q141" s="228"/>
      <c r="R141" s="228"/>
      <c r="S141" s="228"/>
      <c r="T141" s="228"/>
      <c r="U141" s="228"/>
      <c r="V141" s="228"/>
      <c r="W141" s="228"/>
      <c r="X141" s="228"/>
    </row>
    <row r="142" spans="1:24" ht="16.2" customHeight="1">
      <c r="A142" s="228"/>
      <c r="B142" s="19">
        <v>139</v>
      </c>
      <c r="C142" s="20" t="s">
        <v>386</v>
      </c>
      <c r="D142" s="83">
        <v>25</v>
      </c>
      <c r="E142" s="229">
        <f t="shared" si="10"/>
        <v>25</v>
      </c>
      <c r="F142" s="230">
        <v>9</v>
      </c>
      <c r="G142" s="4">
        <f t="shared" si="11"/>
        <v>222222.22222222222</v>
      </c>
      <c r="H142" s="231">
        <f t="shared" si="12"/>
        <v>225</v>
      </c>
      <c r="I142" s="143">
        <f t="shared" si="13"/>
        <v>1.3392857142857144E-4</v>
      </c>
      <c r="J142" s="75">
        <f t="shared" si="14"/>
        <v>1.125E-4</v>
      </c>
      <c r="K142" s="228"/>
      <c r="L142" s="100"/>
      <c r="M142" s="100"/>
      <c r="N142" s="100"/>
      <c r="O142" s="100"/>
      <c r="P142" s="228"/>
      <c r="Q142" s="228"/>
      <c r="R142" s="228"/>
      <c r="S142" s="228"/>
      <c r="T142" s="228"/>
      <c r="U142" s="228"/>
      <c r="V142" s="228"/>
      <c r="W142" s="228"/>
      <c r="X142" s="228"/>
    </row>
    <row r="143" spans="1:24" ht="16.2" customHeight="1">
      <c r="A143" s="228"/>
      <c r="B143" s="19">
        <v>140</v>
      </c>
      <c r="C143" s="20" t="s">
        <v>387</v>
      </c>
      <c r="D143" s="83">
        <v>25</v>
      </c>
      <c r="E143" s="229">
        <f t="shared" si="10"/>
        <v>25</v>
      </c>
      <c r="F143" s="230">
        <v>9</v>
      </c>
      <c r="G143" s="4">
        <f t="shared" si="11"/>
        <v>222222.22222222222</v>
      </c>
      <c r="H143" s="231">
        <f t="shared" si="12"/>
        <v>225</v>
      </c>
      <c r="I143" s="143">
        <f t="shared" si="13"/>
        <v>1.3392857142857144E-4</v>
      </c>
      <c r="J143" s="75">
        <f t="shared" si="14"/>
        <v>1.125E-4</v>
      </c>
      <c r="K143" s="228"/>
      <c r="L143" s="100"/>
      <c r="M143" s="100"/>
      <c r="N143" s="100"/>
      <c r="O143" s="100"/>
      <c r="P143" s="228"/>
      <c r="Q143" s="228"/>
      <c r="R143" s="228"/>
      <c r="S143" s="228"/>
      <c r="T143" s="228"/>
      <c r="U143" s="228"/>
      <c r="V143" s="228"/>
      <c r="W143" s="228"/>
      <c r="X143" s="228"/>
    </row>
    <row r="144" spans="1:24" ht="16.2" customHeight="1">
      <c r="A144" s="228"/>
      <c r="B144" s="19">
        <v>141</v>
      </c>
      <c r="C144" s="20" t="s">
        <v>388</v>
      </c>
      <c r="D144" s="83">
        <v>25</v>
      </c>
      <c r="E144" s="229">
        <f t="shared" si="10"/>
        <v>25</v>
      </c>
      <c r="F144" s="230">
        <v>5</v>
      </c>
      <c r="G144" s="4">
        <f t="shared" si="11"/>
        <v>400000</v>
      </c>
      <c r="H144" s="231">
        <f t="shared" si="12"/>
        <v>125</v>
      </c>
      <c r="I144" s="143">
        <f t="shared" si="13"/>
        <v>7.4404761904761911E-5</v>
      </c>
      <c r="J144" s="75">
        <f t="shared" si="14"/>
        <v>6.2500000000000001E-5</v>
      </c>
      <c r="K144" s="228"/>
      <c r="L144" s="100"/>
      <c r="M144" s="100"/>
      <c r="N144" s="100"/>
      <c r="O144" s="100"/>
      <c r="P144" s="228"/>
      <c r="Q144" s="228"/>
      <c r="R144" s="228"/>
      <c r="S144" s="228"/>
      <c r="T144" s="228"/>
      <c r="U144" s="228"/>
      <c r="V144" s="228"/>
      <c r="W144" s="228"/>
      <c r="X144" s="228"/>
    </row>
    <row r="145" spans="1:24" ht="16.2" customHeight="1">
      <c r="A145" s="228"/>
      <c r="B145" s="19">
        <v>142</v>
      </c>
      <c r="C145" s="20" t="s">
        <v>389</v>
      </c>
      <c r="D145" s="83">
        <v>25</v>
      </c>
      <c r="E145" s="229">
        <f t="shared" si="10"/>
        <v>25</v>
      </c>
      <c r="F145" s="230">
        <v>9</v>
      </c>
      <c r="G145" s="4">
        <f t="shared" si="11"/>
        <v>222222.22222222222</v>
      </c>
      <c r="H145" s="231">
        <f t="shared" si="12"/>
        <v>225</v>
      </c>
      <c r="I145" s="143">
        <f t="shared" si="13"/>
        <v>1.3392857142857144E-4</v>
      </c>
      <c r="J145" s="75">
        <f t="shared" si="14"/>
        <v>1.125E-4</v>
      </c>
      <c r="K145" s="228"/>
      <c r="L145" s="100"/>
      <c r="M145" s="100"/>
      <c r="N145" s="100"/>
      <c r="O145" s="100"/>
      <c r="P145" s="228"/>
      <c r="Q145" s="228"/>
      <c r="R145" s="228"/>
      <c r="S145" s="228"/>
      <c r="T145" s="228"/>
      <c r="U145" s="228"/>
      <c r="V145" s="228"/>
      <c r="W145" s="228"/>
      <c r="X145" s="228"/>
    </row>
    <row r="146" spans="1:24" ht="16.2" customHeight="1">
      <c r="A146" s="228"/>
      <c r="B146" s="19">
        <v>143</v>
      </c>
      <c r="C146" s="20" t="s">
        <v>390</v>
      </c>
      <c r="D146" s="83">
        <v>25</v>
      </c>
      <c r="E146" s="229">
        <f t="shared" si="10"/>
        <v>25</v>
      </c>
      <c r="F146" s="230">
        <v>9</v>
      </c>
      <c r="G146" s="4">
        <f t="shared" si="11"/>
        <v>222222.22222222222</v>
      </c>
      <c r="H146" s="231">
        <f t="shared" si="12"/>
        <v>225</v>
      </c>
      <c r="I146" s="143">
        <f t="shared" si="13"/>
        <v>1.3392857142857144E-4</v>
      </c>
      <c r="J146" s="75">
        <f t="shared" si="14"/>
        <v>1.125E-4</v>
      </c>
      <c r="K146" s="228"/>
      <c r="L146" s="100"/>
      <c r="M146" s="100"/>
      <c r="N146" s="100"/>
      <c r="O146" s="100"/>
      <c r="P146" s="228"/>
      <c r="Q146" s="228"/>
      <c r="R146" s="228"/>
      <c r="S146" s="228"/>
      <c r="T146" s="228"/>
      <c r="U146" s="228"/>
      <c r="V146" s="228"/>
      <c r="W146" s="228"/>
      <c r="X146" s="228"/>
    </row>
    <row r="147" spans="1:24" ht="16.2" customHeight="1">
      <c r="A147" s="228"/>
      <c r="B147" s="19">
        <v>144</v>
      </c>
      <c r="C147" s="20" t="s">
        <v>391</v>
      </c>
      <c r="D147" s="83">
        <v>25</v>
      </c>
      <c r="E147" s="229">
        <f t="shared" si="10"/>
        <v>25</v>
      </c>
      <c r="F147" s="230">
        <v>9</v>
      </c>
      <c r="G147" s="4">
        <f t="shared" si="11"/>
        <v>222222.22222222222</v>
      </c>
      <c r="H147" s="231">
        <f t="shared" si="12"/>
        <v>225</v>
      </c>
      <c r="I147" s="143">
        <f t="shared" si="13"/>
        <v>1.3392857142857144E-4</v>
      </c>
      <c r="J147" s="75">
        <f t="shared" si="14"/>
        <v>1.125E-4</v>
      </c>
      <c r="K147" s="228"/>
      <c r="L147" s="100"/>
      <c r="M147" s="100"/>
      <c r="N147" s="100"/>
      <c r="O147" s="100"/>
      <c r="P147" s="228"/>
      <c r="Q147" s="228"/>
      <c r="R147" s="228"/>
      <c r="S147" s="228"/>
      <c r="T147" s="228"/>
      <c r="U147" s="228"/>
      <c r="V147" s="228"/>
      <c r="W147" s="228"/>
      <c r="X147" s="228"/>
    </row>
    <row r="148" spans="1:24" ht="16.2" customHeight="1">
      <c r="A148" s="228"/>
      <c r="B148" s="19">
        <v>145</v>
      </c>
      <c r="C148" s="20" t="s">
        <v>392</v>
      </c>
      <c r="D148" s="83">
        <v>25</v>
      </c>
      <c r="E148" s="229">
        <f t="shared" si="10"/>
        <v>25</v>
      </c>
      <c r="F148" s="230">
        <v>3250</v>
      </c>
      <c r="G148" s="4">
        <f t="shared" si="11"/>
        <v>615.38461538461536</v>
      </c>
      <c r="H148" s="231">
        <f t="shared" si="12"/>
        <v>81250</v>
      </c>
      <c r="I148" s="143">
        <f t="shared" si="13"/>
        <v>4.8363095238095247E-2</v>
      </c>
      <c r="J148" s="75">
        <f t="shared" si="14"/>
        <v>4.0625000000000001E-2</v>
      </c>
      <c r="K148" s="228"/>
      <c r="L148" s="100"/>
      <c r="M148" s="100"/>
      <c r="N148" s="100"/>
      <c r="O148" s="100"/>
      <c r="P148" s="228"/>
      <c r="Q148" s="228"/>
      <c r="R148" s="228"/>
      <c r="S148" s="228"/>
      <c r="T148" s="228"/>
      <c r="U148" s="228"/>
      <c r="V148" s="228"/>
      <c r="W148" s="228"/>
      <c r="X148" s="228"/>
    </row>
    <row r="149" spans="1:24" ht="16.2" customHeight="1">
      <c r="A149" s="228"/>
      <c r="B149" s="19">
        <v>146</v>
      </c>
      <c r="C149" s="20" t="s">
        <v>393</v>
      </c>
      <c r="D149" s="83">
        <v>25</v>
      </c>
      <c r="E149" s="229">
        <f t="shared" si="10"/>
        <v>25</v>
      </c>
      <c r="F149" s="230">
        <v>3250</v>
      </c>
      <c r="G149" s="4">
        <f t="shared" si="11"/>
        <v>615.38461538461536</v>
      </c>
      <c r="H149" s="231">
        <f t="shared" si="12"/>
        <v>81250</v>
      </c>
      <c r="I149" s="143">
        <f t="shared" si="13"/>
        <v>4.8363095238095247E-2</v>
      </c>
      <c r="J149" s="75">
        <f t="shared" si="14"/>
        <v>4.0625000000000001E-2</v>
      </c>
      <c r="K149" s="228"/>
      <c r="L149" s="100"/>
      <c r="M149" s="100"/>
      <c r="N149" s="100"/>
      <c r="O149" s="100"/>
      <c r="P149" s="228"/>
      <c r="Q149" s="228"/>
      <c r="R149" s="228"/>
      <c r="S149" s="228"/>
      <c r="T149" s="228"/>
      <c r="U149" s="228"/>
      <c r="V149" s="228"/>
      <c r="W149" s="228"/>
      <c r="X149" s="228"/>
    </row>
    <row r="150" spans="1:24" ht="16.2" customHeight="1">
      <c r="A150" s="228"/>
      <c r="B150" s="19">
        <v>147</v>
      </c>
      <c r="C150" s="20" t="s">
        <v>394</v>
      </c>
      <c r="D150" s="83">
        <v>24.7</v>
      </c>
      <c r="E150" s="229">
        <f t="shared" si="10"/>
        <v>24.7</v>
      </c>
      <c r="F150" s="230">
        <v>100</v>
      </c>
      <c r="G150" s="4">
        <f t="shared" si="11"/>
        <v>20000</v>
      </c>
      <c r="H150" s="231">
        <f t="shared" si="12"/>
        <v>2470</v>
      </c>
      <c r="I150" s="143">
        <f t="shared" si="13"/>
        <v>1.4702380952380954E-3</v>
      </c>
      <c r="J150" s="75">
        <f t="shared" si="14"/>
        <v>1.235E-3</v>
      </c>
      <c r="K150" s="228"/>
      <c r="L150" s="100"/>
      <c r="M150" s="100"/>
      <c r="N150" s="100"/>
      <c r="O150" s="100"/>
      <c r="P150" s="228"/>
      <c r="Q150" s="228"/>
      <c r="R150" s="228"/>
      <c r="S150" s="228"/>
      <c r="T150" s="228"/>
      <c r="U150" s="228"/>
      <c r="V150" s="228"/>
      <c r="W150" s="228"/>
      <c r="X150" s="228"/>
    </row>
    <row r="151" spans="1:24" ht="16.2" customHeight="1">
      <c r="A151" s="228"/>
      <c r="B151" s="19">
        <v>148</v>
      </c>
      <c r="C151" s="20" t="s">
        <v>395</v>
      </c>
      <c r="D151" s="83">
        <v>24.1</v>
      </c>
      <c r="E151" s="229">
        <f t="shared" si="10"/>
        <v>24.1</v>
      </c>
      <c r="F151" s="230">
        <v>10</v>
      </c>
      <c r="G151" s="4">
        <f t="shared" si="11"/>
        <v>200000</v>
      </c>
      <c r="H151" s="231">
        <f t="shared" si="12"/>
        <v>241</v>
      </c>
      <c r="I151" s="143">
        <f t="shared" si="13"/>
        <v>1.4345238095238096E-4</v>
      </c>
      <c r="J151" s="75">
        <f t="shared" si="14"/>
        <v>1.205E-4</v>
      </c>
      <c r="K151" s="228"/>
      <c r="L151" s="100"/>
      <c r="M151" s="100"/>
      <c r="N151" s="100"/>
      <c r="O151" s="100"/>
      <c r="P151" s="228"/>
      <c r="Q151" s="228"/>
      <c r="R151" s="228"/>
      <c r="S151" s="228"/>
      <c r="T151" s="228"/>
      <c r="U151" s="228"/>
      <c r="V151" s="228"/>
      <c r="W151" s="228"/>
      <c r="X151" s="228"/>
    </row>
    <row r="152" spans="1:24" ht="16.2" customHeight="1">
      <c r="A152" s="228"/>
      <c r="B152" s="19">
        <v>149</v>
      </c>
      <c r="C152" s="20" t="s">
        <v>396</v>
      </c>
      <c r="D152" s="83">
        <v>24</v>
      </c>
      <c r="E152" s="229">
        <f t="shared" si="10"/>
        <v>24</v>
      </c>
      <c r="F152" s="230">
        <v>23</v>
      </c>
      <c r="G152" s="4">
        <f t="shared" si="11"/>
        <v>86956.521739130432</v>
      </c>
      <c r="H152" s="231">
        <f t="shared" si="12"/>
        <v>552</v>
      </c>
      <c r="I152" s="143">
        <f t="shared" si="13"/>
        <v>3.2857142857142861E-4</v>
      </c>
      <c r="J152" s="75">
        <f t="shared" si="14"/>
        <v>2.7599999999999999E-4</v>
      </c>
      <c r="K152" s="228"/>
      <c r="L152" s="100"/>
      <c r="M152" s="100"/>
      <c r="N152" s="100"/>
      <c r="O152" s="100"/>
      <c r="P152" s="228"/>
      <c r="Q152" s="228"/>
      <c r="R152" s="228"/>
      <c r="S152" s="228"/>
      <c r="T152" s="228"/>
      <c r="U152" s="228"/>
      <c r="V152" s="228"/>
      <c r="W152" s="228"/>
      <c r="X152" s="228"/>
    </row>
    <row r="153" spans="1:24" ht="16.2" customHeight="1">
      <c r="A153" s="228"/>
      <c r="B153" s="19">
        <v>150</v>
      </c>
      <c r="C153" s="20" t="s">
        <v>397</v>
      </c>
      <c r="D153" s="83">
        <v>24</v>
      </c>
      <c r="E153" s="229">
        <f t="shared" si="10"/>
        <v>24</v>
      </c>
      <c r="F153" s="230">
        <v>9</v>
      </c>
      <c r="G153" s="4">
        <f t="shared" si="11"/>
        <v>222222.22222222222</v>
      </c>
      <c r="H153" s="231">
        <f t="shared" si="12"/>
        <v>216</v>
      </c>
      <c r="I153" s="143">
        <f t="shared" si="13"/>
        <v>1.285714285714286E-4</v>
      </c>
      <c r="J153" s="75">
        <f t="shared" si="14"/>
        <v>1.08E-4</v>
      </c>
      <c r="K153" s="228"/>
      <c r="L153" s="100"/>
      <c r="M153" s="100"/>
      <c r="N153" s="100"/>
      <c r="O153" s="100"/>
      <c r="P153" s="228"/>
      <c r="Q153" s="228"/>
      <c r="R153" s="228"/>
      <c r="S153" s="228"/>
      <c r="T153" s="228"/>
      <c r="U153" s="228"/>
      <c r="V153" s="228"/>
      <c r="W153" s="228"/>
      <c r="X153" s="228"/>
    </row>
    <row r="154" spans="1:24" ht="16.2" customHeight="1">
      <c r="A154" s="228"/>
      <c r="B154" s="19">
        <v>151</v>
      </c>
      <c r="C154" s="20" t="s">
        <v>398</v>
      </c>
      <c r="D154" s="83">
        <v>24</v>
      </c>
      <c r="E154" s="229">
        <f t="shared" si="10"/>
        <v>24</v>
      </c>
      <c r="F154" s="230">
        <v>9</v>
      </c>
      <c r="G154" s="4">
        <f t="shared" si="11"/>
        <v>222222.22222222222</v>
      </c>
      <c r="H154" s="231">
        <f t="shared" si="12"/>
        <v>216</v>
      </c>
      <c r="I154" s="143">
        <f t="shared" si="13"/>
        <v>1.285714285714286E-4</v>
      </c>
      <c r="J154" s="75">
        <f t="shared" si="14"/>
        <v>1.08E-4</v>
      </c>
      <c r="K154" s="228"/>
      <c r="L154" s="100"/>
      <c r="M154" s="100"/>
      <c r="N154" s="100"/>
      <c r="O154" s="100"/>
      <c r="P154" s="228"/>
      <c r="Q154" s="228"/>
      <c r="R154" s="228"/>
      <c r="S154" s="228"/>
      <c r="T154" s="228"/>
      <c r="U154" s="228"/>
      <c r="V154" s="228"/>
      <c r="W154" s="228"/>
      <c r="X154" s="228"/>
    </row>
    <row r="155" spans="1:24" ht="16.2" customHeight="1">
      <c r="A155" s="228"/>
      <c r="B155" s="19">
        <v>152</v>
      </c>
      <c r="C155" s="20" t="s">
        <v>399</v>
      </c>
      <c r="D155" s="83">
        <v>24</v>
      </c>
      <c r="E155" s="229">
        <f t="shared" si="10"/>
        <v>24</v>
      </c>
      <c r="F155" s="230">
        <v>9</v>
      </c>
      <c r="G155" s="4">
        <f t="shared" si="11"/>
        <v>222222.22222222222</v>
      </c>
      <c r="H155" s="231">
        <f t="shared" si="12"/>
        <v>216</v>
      </c>
      <c r="I155" s="143">
        <f t="shared" si="13"/>
        <v>1.285714285714286E-4</v>
      </c>
      <c r="J155" s="75">
        <f t="shared" si="14"/>
        <v>1.08E-4</v>
      </c>
      <c r="K155" s="228"/>
      <c r="L155" s="100"/>
      <c r="M155" s="100"/>
      <c r="N155" s="100"/>
      <c r="O155" s="100"/>
      <c r="P155" s="228"/>
      <c r="Q155" s="228"/>
      <c r="R155" s="228"/>
      <c r="S155" s="228"/>
      <c r="T155" s="228"/>
      <c r="U155" s="228"/>
      <c r="V155" s="228"/>
      <c r="W155" s="228"/>
      <c r="X155" s="228"/>
    </row>
    <row r="156" spans="1:24" ht="16.2" customHeight="1">
      <c r="A156" s="228"/>
      <c r="B156" s="19">
        <v>153</v>
      </c>
      <c r="C156" s="20" t="s">
        <v>400</v>
      </c>
      <c r="D156" s="83">
        <v>23.6</v>
      </c>
      <c r="E156" s="229">
        <f t="shared" si="10"/>
        <v>23.6</v>
      </c>
      <c r="F156" s="230">
        <v>10</v>
      </c>
      <c r="G156" s="4">
        <f t="shared" si="11"/>
        <v>200000</v>
      </c>
      <c r="H156" s="231">
        <f t="shared" si="12"/>
        <v>236</v>
      </c>
      <c r="I156" s="143">
        <f t="shared" si="13"/>
        <v>1.4047619047619049E-4</v>
      </c>
      <c r="J156" s="75">
        <f t="shared" si="14"/>
        <v>1.18E-4</v>
      </c>
      <c r="K156" s="228"/>
      <c r="L156" s="100"/>
      <c r="M156" s="100"/>
      <c r="N156" s="100"/>
      <c r="O156" s="100"/>
      <c r="P156" s="228"/>
      <c r="Q156" s="228"/>
      <c r="R156" s="228"/>
      <c r="S156" s="228"/>
      <c r="T156" s="228"/>
      <c r="U156" s="228"/>
      <c r="V156" s="228"/>
      <c r="W156" s="228"/>
      <c r="X156" s="228"/>
    </row>
    <row r="157" spans="1:24" ht="16.2" customHeight="1">
      <c r="A157" s="228"/>
      <c r="B157" s="19">
        <v>154</v>
      </c>
      <c r="C157" s="20" t="s">
        <v>401</v>
      </c>
      <c r="D157" s="83">
        <v>23.5</v>
      </c>
      <c r="E157" s="229">
        <f t="shared" si="10"/>
        <v>23.5</v>
      </c>
      <c r="F157" s="230">
        <v>15</v>
      </c>
      <c r="G157" s="4">
        <f t="shared" si="11"/>
        <v>133333.33333333334</v>
      </c>
      <c r="H157" s="231">
        <f t="shared" si="12"/>
        <v>352.5</v>
      </c>
      <c r="I157" s="143">
        <f t="shared" si="13"/>
        <v>2.098214285714286E-4</v>
      </c>
      <c r="J157" s="75">
        <f t="shared" si="14"/>
        <v>1.7625E-4</v>
      </c>
      <c r="K157" s="228"/>
      <c r="L157" s="100"/>
      <c r="M157" s="100"/>
      <c r="N157" s="100"/>
      <c r="O157" s="100"/>
      <c r="P157" s="228"/>
      <c r="Q157" s="228"/>
      <c r="R157" s="228"/>
      <c r="S157" s="228"/>
      <c r="T157" s="228"/>
      <c r="U157" s="228"/>
      <c r="V157" s="228"/>
      <c r="W157" s="228"/>
      <c r="X157" s="228"/>
    </row>
    <row r="158" spans="1:24" ht="16.2" customHeight="1">
      <c r="A158" s="228"/>
      <c r="B158" s="19">
        <v>155</v>
      </c>
      <c r="C158" s="20" t="s">
        <v>402</v>
      </c>
      <c r="D158" s="83">
        <v>23.2</v>
      </c>
      <c r="E158" s="229">
        <f t="shared" si="10"/>
        <v>23.2</v>
      </c>
      <c r="F158" s="230">
        <v>10</v>
      </c>
      <c r="G158" s="4">
        <f t="shared" si="11"/>
        <v>200000</v>
      </c>
      <c r="H158" s="231">
        <f t="shared" si="12"/>
        <v>232</v>
      </c>
      <c r="I158" s="143">
        <f t="shared" si="13"/>
        <v>1.380952380952381E-4</v>
      </c>
      <c r="J158" s="75">
        <f t="shared" si="14"/>
        <v>1.16E-4</v>
      </c>
      <c r="K158" s="228"/>
      <c r="L158" s="100"/>
      <c r="M158" s="100"/>
      <c r="N158" s="100"/>
      <c r="O158" s="100"/>
      <c r="P158" s="228"/>
      <c r="Q158" s="228"/>
      <c r="R158" s="228"/>
      <c r="S158" s="228"/>
      <c r="T158" s="228"/>
      <c r="U158" s="228"/>
      <c r="V158" s="228"/>
      <c r="W158" s="228"/>
      <c r="X158" s="228"/>
    </row>
    <row r="159" spans="1:24" ht="16.2" customHeight="1">
      <c r="A159" s="228"/>
      <c r="B159" s="19">
        <v>156</v>
      </c>
      <c r="C159" s="20" t="s">
        <v>403</v>
      </c>
      <c r="D159" s="83">
        <v>23.1</v>
      </c>
      <c r="E159" s="229">
        <f t="shared" si="10"/>
        <v>23.1</v>
      </c>
      <c r="F159" s="230">
        <v>100</v>
      </c>
      <c r="G159" s="4">
        <f t="shared" si="11"/>
        <v>20000</v>
      </c>
      <c r="H159" s="231">
        <f t="shared" si="12"/>
        <v>2310</v>
      </c>
      <c r="I159" s="143">
        <f t="shared" si="13"/>
        <v>1.3750000000000001E-3</v>
      </c>
      <c r="J159" s="75">
        <f t="shared" si="14"/>
        <v>1.155E-3</v>
      </c>
      <c r="K159" s="228"/>
      <c r="L159" s="100"/>
      <c r="M159" s="100"/>
      <c r="N159" s="100"/>
      <c r="O159" s="100"/>
      <c r="P159" s="228"/>
      <c r="Q159" s="228"/>
      <c r="R159" s="228"/>
      <c r="S159" s="228"/>
      <c r="T159" s="228"/>
      <c r="U159" s="228"/>
      <c r="V159" s="228"/>
      <c r="W159" s="228"/>
      <c r="X159" s="228"/>
    </row>
    <row r="160" spans="1:24" ht="16.2" customHeight="1">
      <c r="A160" s="228"/>
      <c r="B160" s="19">
        <v>157</v>
      </c>
      <c r="C160" s="20" t="s">
        <v>404</v>
      </c>
      <c r="D160" s="83">
        <v>23</v>
      </c>
      <c r="E160" s="229">
        <f t="shared" si="10"/>
        <v>23</v>
      </c>
      <c r="F160" s="230">
        <v>6</v>
      </c>
      <c r="G160" s="4">
        <f t="shared" si="11"/>
        <v>333333.33333333331</v>
      </c>
      <c r="H160" s="231">
        <f t="shared" si="12"/>
        <v>138</v>
      </c>
      <c r="I160" s="143">
        <f t="shared" si="13"/>
        <v>8.2142857142857153E-5</v>
      </c>
      <c r="J160" s="75">
        <f t="shared" si="14"/>
        <v>6.8999999999999997E-5</v>
      </c>
      <c r="K160" s="228"/>
      <c r="L160" s="100"/>
      <c r="M160" s="100"/>
      <c r="N160" s="100"/>
      <c r="O160" s="100"/>
      <c r="P160" s="228"/>
      <c r="Q160" s="228"/>
      <c r="R160" s="228"/>
      <c r="S160" s="228"/>
      <c r="T160" s="228"/>
      <c r="U160" s="228"/>
      <c r="V160" s="228"/>
      <c r="W160" s="228"/>
      <c r="X160" s="228"/>
    </row>
    <row r="161" spans="1:24" ht="16.2" customHeight="1">
      <c r="A161" s="228"/>
      <c r="B161" s="19">
        <v>158</v>
      </c>
      <c r="C161" s="20" t="s">
        <v>405</v>
      </c>
      <c r="D161" s="83">
        <v>23</v>
      </c>
      <c r="E161" s="229">
        <f t="shared" si="10"/>
        <v>23</v>
      </c>
      <c r="F161" s="230">
        <v>9</v>
      </c>
      <c r="G161" s="4">
        <f t="shared" si="11"/>
        <v>222222.22222222222</v>
      </c>
      <c r="H161" s="231">
        <f t="shared" si="12"/>
        <v>207</v>
      </c>
      <c r="I161" s="143">
        <f t="shared" si="13"/>
        <v>1.2321428571428574E-4</v>
      </c>
      <c r="J161" s="75">
        <f t="shared" si="14"/>
        <v>1.0349999999999999E-4</v>
      </c>
      <c r="K161" s="228"/>
      <c r="L161" s="100"/>
      <c r="M161" s="100"/>
      <c r="N161" s="100"/>
      <c r="O161" s="100"/>
      <c r="P161" s="228"/>
      <c r="Q161" s="228"/>
      <c r="R161" s="228"/>
      <c r="S161" s="228"/>
      <c r="T161" s="228"/>
      <c r="U161" s="228"/>
      <c r="V161" s="228"/>
      <c r="W161" s="228"/>
      <c r="X161" s="228"/>
    </row>
    <row r="162" spans="1:24" ht="16.2" customHeight="1">
      <c r="A162" s="228"/>
      <c r="B162" s="19">
        <v>159</v>
      </c>
      <c r="C162" s="20" t="s">
        <v>406</v>
      </c>
      <c r="D162" s="83">
        <v>23</v>
      </c>
      <c r="E162" s="229">
        <f t="shared" si="10"/>
        <v>23</v>
      </c>
      <c r="F162" s="230">
        <v>23</v>
      </c>
      <c r="G162" s="4">
        <f t="shared" si="11"/>
        <v>86956.521739130432</v>
      </c>
      <c r="H162" s="231">
        <f t="shared" si="12"/>
        <v>529</v>
      </c>
      <c r="I162" s="143">
        <f t="shared" si="13"/>
        <v>3.1488095238095244E-4</v>
      </c>
      <c r="J162" s="75">
        <f t="shared" si="14"/>
        <v>2.6449999999999998E-4</v>
      </c>
      <c r="K162" s="228"/>
      <c r="L162" s="100"/>
      <c r="M162" s="100"/>
      <c r="N162" s="100"/>
      <c r="O162" s="100"/>
      <c r="P162" s="228"/>
      <c r="Q162" s="228"/>
      <c r="R162" s="228"/>
      <c r="S162" s="228"/>
      <c r="T162" s="228"/>
      <c r="U162" s="228"/>
      <c r="V162" s="228"/>
      <c r="W162" s="228"/>
      <c r="X162" s="228"/>
    </row>
    <row r="163" spans="1:24" ht="16.2" customHeight="1">
      <c r="A163" s="228"/>
      <c r="B163" s="19">
        <v>160</v>
      </c>
      <c r="C163" s="20" t="s">
        <v>407</v>
      </c>
      <c r="D163" s="83">
        <v>23</v>
      </c>
      <c r="E163" s="229">
        <f t="shared" si="10"/>
        <v>23</v>
      </c>
      <c r="F163" s="230">
        <v>9</v>
      </c>
      <c r="G163" s="4">
        <f t="shared" si="11"/>
        <v>222222.22222222222</v>
      </c>
      <c r="H163" s="231">
        <f t="shared" si="12"/>
        <v>207</v>
      </c>
      <c r="I163" s="143">
        <f t="shared" si="13"/>
        <v>1.2321428571428574E-4</v>
      </c>
      <c r="J163" s="75">
        <f t="shared" si="14"/>
        <v>1.0349999999999999E-4</v>
      </c>
      <c r="K163" s="228"/>
      <c r="L163" s="100"/>
      <c r="M163" s="100"/>
      <c r="N163" s="100"/>
      <c r="O163" s="100"/>
      <c r="P163" s="228"/>
      <c r="Q163" s="228"/>
      <c r="R163" s="228"/>
      <c r="S163" s="228"/>
      <c r="T163" s="228"/>
      <c r="U163" s="228"/>
      <c r="V163" s="228"/>
      <c r="W163" s="228"/>
      <c r="X163" s="228"/>
    </row>
    <row r="164" spans="1:24" ht="16.2" customHeight="1">
      <c r="A164" s="228"/>
      <c r="B164" s="19">
        <v>161</v>
      </c>
      <c r="C164" s="20" t="s">
        <v>408</v>
      </c>
      <c r="D164" s="83">
        <v>23</v>
      </c>
      <c r="E164" s="229">
        <f t="shared" si="10"/>
        <v>23</v>
      </c>
      <c r="F164" s="230">
        <v>23</v>
      </c>
      <c r="G164" s="4">
        <f t="shared" si="11"/>
        <v>86956.521739130432</v>
      </c>
      <c r="H164" s="231">
        <f t="shared" si="12"/>
        <v>529</v>
      </c>
      <c r="I164" s="143">
        <f t="shared" si="13"/>
        <v>3.1488095238095244E-4</v>
      </c>
      <c r="J164" s="75">
        <f t="shared" si="14"/>
        <v>2.6449999999999998E-4</v>
      </c>
      <c r="K164" s="228"/>
      <c r="L164" s="100"/>
      <c r="M164" s="100"/>
      <c r="N164" s="100"/>
      <c r="O164" s="100"/>
      <c r="P164" s="228"/>
      <c r="Q164" s="228"/>
      <c r="R164" s="228"/>
      <c r="S164" s="228"/>
      <c r="T164" s="228"/>
      <c r="U164" s="228"/>
      <c r="V164" s="228"/>
      <c r="W164" s="228"/>
      <c r="X164" s="228"/>
    </row>
    <row r="165" spans="1:24" ht="16.2" customHeight="1">
      <c r="A165" s="228"/>
      <c r="B165" s="19">
        <v>162</v>
      </c>
      <c r="C165" s="20" t="s">
        <v>409</v>
      </c>
      <c r="D165" s="83">
        <v>23</v>
      </c>
      <c r="E165" s="229">
        <f t="shared" si="10"/>
        <v>23</v>
      </c>
      <c r="F165" s="230">
        <v>9</v>
      </c>
      <c r="G165" s="4">
        <f t="shared" si="11"/>
        <v>222222.22222222222</v>
      </c>
      <c r="H165" s="231">
        <f t="shared" si="12"/>
        <v>207</v>
      </c>
      <c r="I165" s="143">
        <f t="shared" si="13"/>
        <v>1.2321428571428574E-4</v>
      </c>
      <c r="J165" s="75">
        <f t="shared" si="14"/>
        <v>1.0349999999999999E-4</v>
      </c>
      <c r="K165" s="228"/>
      <c r="L165" s="100"/>
      <c r="M165" s="100"/>
      <c r="N165" s="100"/>
      <c r="O165" s="100"/>
      <c r="P165" s="228"/>
      <c r="Q165" s="228"/>
      <c r="R165" s="228"/>
      <c r="S165" s="228"/>
      <c r="T165" s="228"/>
      <c r="U165" s="228"/>
      <c r="V165" s="228"/>
      <c r="W165" s="228"/>
      <c r="X165" s="228"/>
    </row>
    <row r="166" spans="1:24" ht="16.2" customHeight="1">
      <c r="A166" s="228"/>
      <c r="B166" s="19">
        <v>163</v>
      </c>
      <c r="C166" s="20" t="s">
        <v>410</v>
      </c>
      <c r="D166" s="83">
        <v>23</v>
      </c>
      <c r="E166" s="229">
        <f t="shared" si="10"/>
        <v>23</v>
      </c>
      <c r="F166" s="230">
        <v>23</v>
      </c>
      <c r="G166" s="4">
        <f t="shared" si="11"/>
        <v>86956.521739130432</v>
      </c>
      <c r="H166" s="231">
        <f t="shared" si="12"/>
        <v>529</v>
      </c>
      <c r="I166" s="143">
        <f t="shared" si="13"/>
        <v>3.1488095238095244E-4</v>
      </c>
      <c r="J166" s="75">
        <f t="shared" si="14"/>
        <v>2.6449999999999998E-4</v>
      </c>
      <c r="K166" s="228"/>
      <c r="L166" s="100"/>
      <c r="M166" s="100"/>
      <c r="N166" s="100"/>
      <c r="O166" s="100"/>
      <c r="P166" s="228"/>
      <c r="Q166" s="228"/>
      <c r="R166" s="228"/>
      <c r="S166" s="228"/>
      <c r="T166" s="228"/>
      <c r="U166" s="228"/>
      <c r="V166" s="228"/>
      <c r="W166" s="228"/>
      <c r="X166" s="228"/>
    </row>
    <row r="167" spans="1:24" ht="16.2" customHeight="1">
      <c r="A167" s="228"/>
      <c r="B167" s="19">
        <v>164</v>
      </c>
      <c r="C167" s="20" t="s">
        <v>411</v>
      </c>
      <c r="D167" s="83">
        <v>22.8</v>
      </c>
      <c r="E167" s="229">
        <f t="shared" si="10"/>
        <v>22.8</v>
      </c>
      <c r="F167" s="230">
        <v>10</v>
      </c>
      <c r="G167" s="4">
        <f t="shared" si="11"/>
        <v>200000</v>
      </c>
      <c r="H167" s="231">
        <f t="shared" si="12"/>
        <v>228</v>
      </c>
      <c r="I167" s="143">
        <f t="shared" si="13"/>
        <v>1.3571428571428572E-4</v>
      </c>
      <c r="J167" s="75">
        <f t="shared" si="14"/>
        <v>1.1400000000000001E-4</v>
      </c>
      <c r="K167" s="228"/>
      <c r="L167" s="100"/>
      <c r="M167" s="100"/>
      <c r="N167" s="100"/>
      <c r="O167" s="100"/>
      <c r="P167" s="228"/>
      <c r="Q167" s="228"/>
      <c r="R167" s="228"/>
      <c r="S167" s="228"/>
      <c r="T167" s="228"/>
      <c r="U167" s="228"/>
      <c r="V167" s="228"/>
      <c r="W167" s="228"/>
      <c r="X167" s="228"/>
    </row>
    <row r="168" spans="1:24" ht="16.2" customHeight="1">
      <c r="A168" s="228"/>
      <c r="B168" s="19">
        <v>165</v>
      </c>
      <c r="C168" s="20" t="s">
        <v>412</v>
      </c>
      <c r="D168" s="83">
        <v>22.5</v>
      </c>
      <c r="E168" s="229">
        <f t="shared" si="10"/>
        <v>22.5</v>
      </c>
      <c r="F168" s="230">
        <v>50</v>
      </c>
      <c r="G168" s="4">
        <f t="shared" si="11"/>
        <v>40000</v>
      </c>
      <c r="H168" s="231">
        <f t="shared" si="12"/>
        <v>1125</v>
      </c>
      <c r="I168" s="143">
        <f t="shared" si="13"/>
        <v>6.6964285714285726E-4</v>
      </c>
      <c r="J168" s="75">
        <f t="shared" si="14"/>
        <v>5.6249999999999996E-4</v>
      </c>
      <c r="K168" s="228"/>
      <c r="L168" s="100"/>
      <c r="M168" s="100"/>
      <c r="N168" s="100"/>
      <c r="O168" s="100"/>
      <c r="P168" s="228"/>
      <c r="Q168" s="228"/>
      <c r="R168" s="228"/>
      <c r="S168" s="228"/>
      <c r="T168" s="228"/>
      <c r="U168" s="228"/>
      <c r="V168" s="228"/>
      <c r="W168" s="228"/>
      <c r="X168" s="228"/>
    </row>
    <row r="169" spans="1:24" ht="16.2" customHeight="1">
      <c r="A169" s="228"/>
      <c r="B169" s="19">
        <v>166</v>
      </c>
      <c r="C169" s="20" t="s">
        <v>413</v>
      </c>
      <c r="D169" s="83">
        <v>22.5</v>
      </c>
      <c r="E169" s="229">
        <f t="shared" si="10"/>
        <v>22.5</v>
      </c>
      <c r="F169" s="230">
        <v>10</v>
      </c>
      <c r="G169" s="4">
        <f t="shared" si="11"/>
        <v>200000</v>
      </c>
      <c r="H169" s="231">
        <f t="shared" si="12"/>
        <v>225</v>
      </c>
      <c r="I169" s="143">
        <f t="shared" si="13"/>
        <v>1.3392857142857144E-4</v>
      </c>
      <c r="J169" s="75">
        <f t="shared" si="14"/>
        <v>1.125E-4</v>
      </c>
      <c r="K169" s="228"/>
      <c r="L169" s="100"/>
      <c r="M169" s="100"/>
      <c r="N169" s="100"/>
      <c r="O169" s="100"/>
      <c r="P169" s="228"/>
      <c r="Q169" s="228"/>
      <c r="R169" s="228"/>
      <c r="S169" s="228"/>
      <c r="T169" s="228"/>
      <c r="U169" s="228"/>
      <c r="V169" s="228"/>
      <c r="W169" s="228"/>
      <c r="X169" s="228"/>
    </row>
    <row r="170" spans="1:24" ht="16.2" customHeight="1">
      <c r="A170" s="228"/>
      <c r="B170" s="19">
        <v>167</v>
      </c>
      <c r="C170" s="20" t="s">
        <v>414</v>
      </c>
      <c r="D170" s="83">
        <v>22.5</v>
      </c>
      <c r="E170" s="229">
        <f t="shared" si="10"/>
        <v>22.5</v>
      </c>
      <c r="F170" s="230">
        <v>10</v>
      </c>
      <c r="G170" s="4">
        <f t="shared" si="11"/>
        <v>200000</v>
      </c>
      <c r="H170" s="231">
        <f t="shared" si="12"/>
        <v>225</v>
      </c>
      <c r="I170" s="143">
        <f t="shared" si="13"/>
        <v>1.3392857142857144E-4</v>
      </c>
      <c r="J170" s="75">
        <f t="shared" si="14"/>
        <v>1.125E-4</v>
      </c>
      <c r="K170" s="228"/>
      <c r="L170" s="100"/>
      <c r="M170" s="100"/>
      <c r="N170" s="100"/>
      <c r="O170" s="100"/>
      <c r="P170" s="228"/>
      <c r="Q170" s="228"/>
      <c r="R170" s="228"/>
      <c r="S170" s="228"/>
      <c r="T170" s="228"/>
      <c r="U170" s="228"/>
      <c r="V170" s="228"/>
      <c r="W170" s="228"/>
      <c r="X170" s="228"/>
    </row>
    <row r="171" spans="1:24" ht="16.2" customHeight="1">
      <c r="A171" s="228"/>
      <c r="B171" s="19">
        <v>168</v>
      </c>
      <c r="C171" s="20" t="s">
        <v>415</v>
      </c>
      <c r="D171" s="83">
        <v>22.5</v>
      </c>
      <c r="E171" s="229">
        <f t="shared" si="10"/>
        <v>22.5</v>
      </c>
      <c r="F171" s="230">
        <v>10</v>
      </c>
      <c r="G171" s="4">
        <f t="shared" si="11"/>
        <v>200000</v>
      </c>
      <c r="H171" s="231">
        <f t="shared" si="12"/>
        <v>225</v>
      </c>
      <c r="I171" s="143">
        <f t="shared" si="13"/>
        <v>1.3392857142857144E-4</v>
      </c>
      <c r="J171" s="75">
        <f t="shared" si="14"/>
        <v>1.125E-4</v>
      </c>
      <c r="K171" s="228"/>
      <c r="L171" s="100"/>
      <c r="M171" s="100"/>
      <c r="N171" s="100"/>
      <c r="O171" s="100"/>
      <c r="P171" s="228"/>
      <c r="Q171" s="228"/>
      <c r="R171" s="228"/>
      <c r="S171" s="228"/>
      <c r="T171" s="228"/>
      <c r="U171" s="228"/>
      <c r="V171" s="228"/>
      <c r="W171" s="228"/>
      <c r="X171" s="228"/>
    </row>
    <row r="172" spans="1:24" ht="16.2" customHeight="1">
      <c r="A172" s="228"/>
      <c r="B172" s="19">
        <v>169</v>
      </c>
      <c r="C172" s="20" t="s">
        <v>416</v>
      </c>
      <c r="D172" s="83">
        <v>22.4</v>
      </c>
      <c r="E172" s="229">
        <f t="shared" si="10"/>
        <v>22.4</v>
      </c>
      <c r="F172" s="230">
        <v>20</v>
      </c>
      <c r="G172" s="4">
        <f t="shared" si="11"/>
        <v>100000</v>
      </c>
      <c r="H172" s="231">
        <f t="shared" si="12"/>
        <v>448</v>
      </c>
      <c r="I172" s="143">
        <f t="shared" si="13"/>
        <v>2.6666666666666668E-4</v>
      </c>
      <c r="J172" s="75">
        <f t="shared" si="14"/>
        <v>2.24E-4</v>
      </c>
      <c r="K172" s="228"/>
      <c r="L172" s="100"/>
      <c r="M172" s="100"/>
      <c r="N172" s="100"/>
      <c r="O172" s="100"/>
      <c r="P172" s="228"/>
      <c r="Q172" s="228"/>
      <c r="R172" s="228"/>
      <c r="S172" s="228"/>
      <c r="T172" s="228"/>
      <c r="U172" s="228"/>
      <c r="V172" s="228"/>
      <c r="W172" s="228"/>
      <c r="X172" s="228"/>
    </row>
    <row r="173" spans="1:24" ht="16.2" customHeight="1">
      <c r="A173" s="228"/>
      <c r="B173" s="19">
        <v>170</v>
      </c>
      <c r="C173" s="20" t="s">
        <v>417</v>
      </c>
      <c r="D173" s="83">
        <v>22.1</v>
      </c>
      <c r="E173" s="229">
        <f t="shared" si="10"/>
        <v>22.1</v>
      </c>
      <c r="F173" s="230">
        <v>100</v>
      </c>
      <c r="G173" s="4">
        <f t="shared" si="11"/>
        <v>20000</v>
      </c>
      <c r="H173" s="231">
        <f t="shared" si="12"/>
        <v>2210</v>
      </c>
      <c r="I173" s="143">
        <f t="shared" si="13"/>
        <v>1.3154761904761907E-3</v>
      </c>
      <c r="J173" s="75">
        <f t="shared" si="14"/>
        <v>1.1050000000000001E-3</v>
      </c>
      <c r="K173" s="228"/>
      <c r="L173" s="100"/>
      <c r="M173" s="100"/>
      <c r="N173" s="100"/>
      <c r="O173" s="100"/>
      <c r="P173" s="228"/>
      <c r="Q173" s="228"/>
      <c r="R173" s="228"/>
      <c r="S173" s="228"/>
      <c r="T173" s="228"/>
      <c r="U173" s="228"/>
      <c r="V173" s="228"/>
      <c r="W173" s="228"/>
      <c r="X173" s="228"/>
    </row>
    <row r="174" spans="1:24" ht="16.2" customHeight="1">
      <c r="A174" s="228"/>
      <c r="B174" s="19">
        <v>171</v>
      </c>
      <c r="C174" s="20" t="s">
        <v>418</v>
      </c>
      <c r="D174" s="83">
        <v>22.1</v>
      </c>
      <c r="E174" s="229">
        <f t="shared" si="10"/>
        <v>22.1</v>
      </c>
      <c r="F174" s="230">
        <v>94</v>
      </c>
      <c r="G174" s="4">
        <f t="shared" si="11"/>
        <v>21276.59574468085</v>
      </c>
      <c r="H174" s="231">
        <f t="shared" si="12"/>
        <v>2077.4</v>
      </c>
      <c r="I174" s="143">
        <f t="shared" si="13"/>
        <v>1.2365476190476193E-3</v>
      </c>
      <c r="J174" s="75">
        <f t="shared" si="14"/>
        <v>1.0387E-3</v>
      </c>
      <c r="K174" s="228"/>
      <c r="L174" s="100"/>
      <c r="M174" s="100"/>
      <c r="N174" s="100"/>
      <c r="O174" s="100"/>
      <c r="P174" s="228"/>
      <c r="Q174" s="228"/>
      <c r="R174" s="228"/>
      <c r="S174" s="228"/>
      <c r="T174" s="228"/>
      <c r="U174" s="228"/>
      <c r="V174" s="228"/>
      <c r="W174" s="228"/>
      <c r="X174" s="228"/>
    </row>
    <row r="175" spans="1:24" ht="16.2" customHeight="1">
      <c r="A175" s="228"/>
      <c r="B175" s="19">
        <v>172</v>
      </c>
      <c r="C175" s="20" t="s">
        <v>419</v>
      </c>
      <c r="D175" s="83">
        <v>22</v>
      </c>
      <c r="E175" s="229">
        <f t="shared" si="10"/>
        <v>22</v>
      </c>
      <c r="F175" s="230">
        <v>10</v>
      </c>
      <c r="G175" s="4">
        <f t="shared" si="11"/>
        <v>200000</v>
      </c>
      <c r="H175" s="231">
        <f t="shared" si="12"/>
        <v>220</v>
      </c>
      <c r="I175" s="143">
        <f t="shared" si="13"/>
        <v>1.3095238095238096E-4</v>
      </c>
      <c r="J175" s="75">
        <f t="shared" si="14"/>
        <v>1.1E-4</v>
      </c>
      <c r="K175" s="228"/>
      <c r="L175" s="100"/>
      <c r="M175" s="100"/>
      <c r="N175" s="100"/>
      <c r="O175" s="100"/>
      <c r="P175" s="228"/>
      <c r="Q175" s="228"/>
      <c r="R175" s="228"/>
      <c r="S175" s="228"/>
      <c r="T175" s="228"/>
      <c r="U175" s="228"/>
      <c r="V175" s="228"/>
      <c r="W175" s="228"/>
      <c r="X175" s="228"/>
    </row>
    <row r="176" spans="1:24" ht="16.2" customHeight="1">
      <c r="A176" s="228"/>
      <c r="B176" s="19">
        <v>173</v>
      </c>
      <c r="C176" s="20" t="s">
        <v>420</v>
      </c>
      <c r="D176" s="83">
        <v>22</v>
      </c>
      <c r="E176" s="229">
        <f t="shared" si="10"/>
        <v>22</v>
      </c>
      <c r="F176" s="230">
        <v>50</v>
      </c>
      <c r="G176" s="4">
        <f t="shared" si="11"/>
        <v>40000</v>
      </c>
      <c r="H176" s="231">
        <f t="shared" si="12"/>
        <v>1100</v>
      </c>
      <c r="I176" s="143">
        <f t="shared" si="13"/>
        <v>6.5476190476190484E-4</v>
      </c>
      <c r="J176" s="75">
        <f t="shared" si="14"/>
        <v>5.5000000000000003E-4</v>
      </c>
      <c r="K176" s="228"/>
      <c r="L176" s="100"/>
      <c r="M176" s="100"/>
      <c r="N176" s="100"/>
      <c r="O176" s="100"/>
      <c r="P176" s="228"/>
      <c r="Q176" s="228"/>
      <c r="R176" s="228"/>
      <c r="S176" s="228"/>
      <c r="T176" s="228"/>
      <c r="U176" s="228"/>
      <c r="V176" s="228"/>
      <c r="W176" s="228"/>
      <c r="X176" s="228"/>
    </row>
    <row r="177" spans="1:24" ht="16.2" customHeight="1">
      <c r="A177" s="228"/>
      <c r="B177" s="19">
        <v>174</v>
      </c>
      <c r="C177" s="20" t="s">
        <v>421</v>
      </c>
      <c r="D177" s="83">
        <v>22</v>
      </c>
      <c r="E177" s="229">
        <f t="shared" si="10"/>
        <v>22</v>
      </c>
      <c r="F177" s="230">
        <v>12</v>
      </c>
      <c r="G177" s="4">
        <f t="shared" si="11"/>
        <v>166666.66666666666</v>
      </c>
      <c r="H177" s="231">
        <f t="shared" si="12"/>
        <v>264</v>
      </c>
      <c r="I177" s="143">
        <f t="shared" si="13"/>
        <v>1.5714285714285716E-4</v>
      </c>
      <c r="J177" s="75">
        <f t="shared" si="14"/>
        <v>1.3200000000000001E-4</v>
      </c>
      <c r="K177" s="228"/>
      <c r="L177" s="100"/>
      <c r="M177" s="100"/>
      <c r="N177" s="100"/>
      <c r="O177" s="100"/>
      <c r="P177" s="228"/>
      <c r="Q177" s="228"/>
      <c r="R177" s="228"/>
      <c r="S177" s="228"/>
      <c r="T177" s="228"/>
      <c r="U177" s="228"/>
      <c r="V177" s="228"/>
      <c r="W177" s="228"/>
      <c r="X177" s="228"/>
    </row>
    <row r="178" spans="1:24" ht="16.2" customHeight="1">
      <c r="A178" s="228"/>
      <c r="B178" s="19">
        <v>175</v>
      </c>
      <c r="C178" s="20" t="s">
        <v>422</v>
      </c>
      <c r="D178" s="83">
        <v>22</v>
      </c>
      <c r="E178" s="229">
        <f t="shared" si="10"/>
        <v>22</v>
      </c>
      <c r="F178" s="230">
        <v>12</v>
      </c>
      <c r="G178" s="4">
        <f t="shared" si="11"/>
        <v>166666.66666666666</v>
      </c>
      <c r="H178" s="231">
        <f t="shared" si="12"/>
        <v>264</v>
      </c>
      <c r="I178" s="143">
        <f t="shared" si="13"/>
        <v>1.5714285714285716E-4</v>
      </c>
      <c r="J178" s="75">
        <f t="shared" si="14"/>
        <v>1.3200000000000001E-4</v>
      </c>
      <c r="K178" s="228"/>
      <c r="L178" s="100"/>
      <c r="M178" s="100"/>
      <c r="N178" s="100"/>
      <c r="O178" s="100"/>
      <c r="P178" s="228"/>
      <c r="Q178" s="228"/>
      <c r="R178" s="228"/>
      <c r="S178" s="228"/>
      <c r="T178" s="228"/>
      <c r="U178" s="228"/>
      <c r="V178" s="228"/>
      <c r="W178" s="228"/>
      <c r="X178" s="228"/>
    </row>
    <row r="179" spans="1:24" ht="16.2" customHeight="1">
      <c r="A179" s="228"/>
      <c r="B179" s="19">
        <v>176</v>
      </c>
      <c r="C179" s="20" t="s">
        <v>423</v>
      </c>
      <c r="D179" s="83">
        <v>22</v>
      </c>
      <c r="E179" s="229">
        <f t="shared" si="10"/>
        <v>22</v>
      </c>
      <c r="F179" s="230">
        <v>12</v>
      </c>
      <c r="G179" s="4">
        <f t="shared" si="11"/>
        <v>166666.66666666666</v>
      </c>
      <c r="H179" s="231">
        <f t="shared" si="12"/>
        <v>264</v>
      </c>
      <c r="I179" s="143">
        <f t="shared" si="13"/>
        <v>1.5714285714285716E-4</v>
      </c>
      <c r="J179" s="75">
        <f t="shared" si="14"/>
        <v>1.3200000000000001E-4</v>
      </c>
      <c r="K179" s="228"/>
      <c r="L179" s="100"/>
      <c r="M179" s="100"/>
      <c r="N179" s="100"/>
      <c r="O179" s="100"/>
      <c r="P179" s="228"/>
      <c r="Q179" s="228"/>
      <c r="R179" s="228"/>
      <c r="S179" s="228"/>
      <c r="T179" s="228"/>
      <c r="U179" s="228"/>
      <c r="V179" s="228"/>
      <c r="W179" s="228"/>
      <c r="X179" s="228"/>
    </row>
    <row r="180" spans="1:24" ht="16.2" customHeight="1">
      <c r="A180" s="228"/>
      <c r="B180" s="19">
        <v>177</v>
      </c>
      <c r="C180" s="20" t="s">
        <v>424</v>
      </c>
      <c r="D180" s="83">
        <v>21.6</v>
      </c>
      <c r="E180" s="229">
        <f t="shared" si="10"/>
        <v>21.6</v>
      </c>
      <c r="F180" s="230">
        <v>31</v>
      </c>
      <c r="G180" s="4">
        <f t="shared" si="11"/>
        <v>64516.129032258068</v>
      </c>
      <c r="H180" s="231">
        <f t="shared" si="12"/>
        <v>669.6</v>
      </c>
      <c r="I180" s="143">
        <f t="shared" si="13"/>
        <v>3.9857142857142863E-4</v>
      </c>
      <c r="J180" s="75">
        <f t="shared" si="14"/>
        <v>3.3480000000000001E-4</v>
      </c>
      <c r="K180" s="228"/>
      <c r="L180" s="100"/>
      <c r="M180" s="100"/>
      <c r="N180" s="100"/>
      <c r="O180" s="100"/>
      <c r="P180" s="228"/>
      <c r="Q180" s="228"/>
      <c r="R180" s="228"/>
      <c r="S180" s="228"/>
      <c r="T180" s="228"/>
      <c r="U180" s="228"/>
      <c r="V180" s="228"/>
      <c r="W180" s="228"/>
      <c r="X180" s="228"/>
    </row>
    <row r="181" spans="1:24" ht="16.2" customHeight="1">
      <c r="A181" s="228"/>
      <c r="B181" s="19">
        <v>178</v>
      </c>
      <c r="C181" s="20" t="s">
        <v>425</v>
      </c>
      <c r="D181" s="83">
        <v>21.2</v>
      </c>
      <c r="E181" s="229">
        <f t="shared" si="10"/>
        <v>21.2</v>
      </c>
      <c r="F181" s="230">
        <v>5</v>
      </c>
      <c r="G181" s="4">
        <f t="shared" si="11"/>
        <v>400000</v>
      </c>
      <c r="H181" s="231">
        <f t="shared" si="12"/>
        <v>106</v>
      </c>
      <c r="I181" s="143">
        <f t="shared" si="13"/>
        <v>6.309523809523811E-5</v>
      </c>
      <c r="J181" s="75">
        <f t="shared" si="14"/>
        <v>5.3000000000000001E-5</v>
      </c>
      <c r="K181" s="228"/>
      <c r="L181" s="100"/>
      <c r="M181" s="100"/>
      <c r="N181" s="100"/>
      <c r="O181" s="100"/>
      <c r="P181" s="228"/>
      <c r="Q181" s="228"/>
      <c r="R181" s="228"/>
      <c r="S181" s="228"/>
      <c r="T181" s="228"/>
      <c r="U181" s="228"/>
      <c r="V181" s="228"/>
      <c r="W181" s="228"/>
      <c r="X181" s="228"/>
    </row>
    <row r="182" spans="1:24" ht="16.2" customHeight="1">
      <c r="A182" s="228"/>
      <c r="B182" s="19">
        <v>179</v>
      </c>
      <c r="C182" s="20" t="s">
        <v>426</v>
      </c>
      <c r="D182" s="83">
        <v>21</v>
      </c>
      <c r="E182" s="229">
        <f t="shared" si="10"/>
        <v>21</v>
      </c>
      <c r="F182" s="230">
        <v>10</v>
      </c>
      <c r="G182" s="4">
        <f t="shared" si="11"/>
        <v>200000</v>
      </c>
      <c r="H182" s="231">
        <f t="shared" si="12"/>
        <v>210</v>
      </c>
      <c r="I182" s="143">
        <f t="shared" si="13"/>
        <v>1.2500000000000003E-4</v>
      </c>
      <c r="J182" s="75">
        <f t="shared" si="14"/>
        <v>1.05E-4</v>
      </c>
      <c r="K182" s="228"/>
      <c r="L182" s="100"/>
      <c r="M182" s="100"/>
      <c r="N182" s="100"/>
      <c r="O182" s="100"/>
      <c r="P182" s="228"/>
      <c r="Q182" s="228"/>
      <c r="R182" s="228"/>
      <c r="S182" s="228"/>
      <c r="T182" s="228"/>
      <c r="U182" s="228"/>
      <c r="V182" s="228"/>
      <c r="W182" s="228"/>
      <c r="X182" s="228"/>
    </row>
    <row r="183" spans="1:24" ht="16.2" customHeight="1">
      <c r="A183" s="228"/>
      <c r="B183" s="19">
        <v>180</v>
      </c>
      <c r="C183" s="20" t="s">
        <v>427</v>
      </c>
      <c r="D183" s="83">
        <v>20.7</v>
      </c>
      <c r="E183" s="229">
        <f t="shared" si="10"/>
        <v>20.7</v>
      </c>
      <c r="F183" s="230">
        <v>100</v>
      </c>
      <c r="G183" s="4">
        <f t="shared" si="11"/>
        <v>20000</v>
      </c>
      <c r="H183" s="231">
        <f t="shared" si="12"/>
        <v>2070</v>
      </c>
      <c r="I183" s="143">
        <f t="shared" si="13"/>
        <v>1.2321428571428572E-3</v>
      </c>
      <c r="J183" s="75">
        <f t="shared" si="14"/>
        <v>1.0349999999999999E-3</v>
      </c>
      <c r="K183" s="228"/>
      <c r="L183" s="100"/>
      <c r="M183" s="100"/>
      <c r="N183" s="100"/>
      <c r="O183" s="100"/>
      <c r="P183" s="228"/>
      <c r="Q183" s="228"/>
      <c r="R183" s="228"/>
      <c r="S183" s="228"/>
      <c r="T183" s="228"/>
      <c r="U183" s="228"/>
      <c r="V183" s="228"/>
      <c r="W183" s="228"/>
      <c r="X183" s="228"/>
    </row>
    <row r="184" spans="1:24" ht="16.2" customHeight="1">
      <c r="A184" s="228"/>
      <c r="B184" s="19">
        <v>181</v>
      </c>
      <c r="C184" s="20" t="s">
        <v>428</v>
      </c>
      <c r="D184" s="83">
        <v>20.6</v>
      </c>
      <c r="E184" s="229">
        <f t="shared" si="10"/>
        <v>20.6</v>
      </c>
      <c r="F184" s="230">
        <v>100</v>
      </c>
      <c r="G184" s="4">
        <f t="shared" si="11"/>
        <v>20000</v>
      </c>
      <c r="H184" s="231">
        <f t="shared" si="12"/>
        <v>2060</v>
      </c>
      <c r="I184" s="143">
        <f t="shared" si="13"/>
        <v>1.2261904761904764E-3</v>
      </c>
      <c r="J184" s="75">
        <f t="shared" si="14"/>
        <v>1.0300000000000001E-3</v>
      </c>
      <c r="K184" s="228"/>
      <c r="L184" s="100"/>
      <c r="M184" s="100"/>
      <c r="N184" s="100"/>
      <c r="O184" s="100"/>
      <c r="P184" s="228"/>
      <c r="Q184" s="228"/>
      <c r="R184" s="228"/>
      <c r="S184" s="228"/>
      <c r="T184" s="228"/>
      <c r="U184" s="228"/>
      <c r="V184" s="228"/>
      <c r="W184" s="228"/>
      <c r="X184" s="228"/>
    </row>
    <row r="185" spans="1:24" ht="16.2" customHeight="1">
      <c r="A185" s="228"/>
      <c r="B185" s="19">
        <v>182</v>
      </c>
      <c r="C185" s="20" t="s">
        <v>429</v>
      </c>
      <c r="D185" s="83">
        <v>20.6</v>
      </c>
      <c r="E185" s="229">
        <f t="shared" si="10"/>
        <v>20.6</v>
      </c>
      <c r="F185" s="230">
        <v>10</v>
      </c>
      <c r="G185" s="4">
        <f t="shared" si="11"/>
        <v>200000</v>
      </c>
      <c r="H185" s="231">
        <f t="shared" si="12"/>
        <v>206</v>
      </c>
      <c r="I185" s="143">
        <f t="shared" si="13"/>
        <v>1.2261904761904765E-4</v>
      </c>
      <c r="J185" s="75">
        <f t="shared" si="14"/>
        <v>1.03E-4</v>
      </c>
      <c r="K185" s="228"/>
      <c r="L185" s="100"/>
      <c r="M185" s="100"/>
      <c r="N185" s="100"/>
      <c r="O185" s="100"/>
      <c r="P185" s="228"/>
      <c r="Q185" s="228"/>
      <c r="R185" s="228"/>
      <c r="S185" s="228"/>
      <c r="T185" s="228"/>
      <c r="U185" s="228"/>
      <c r="V185" s="228"/>
      <c r="W185" s="228"/>
      <c r="X185" s="228"/>
    </row>
    <row r="186" spans="1:24" ht="16.2" customHeight="1">
      <c r="A186" s="228"/>
      <c r="B186" s="19">
        <v>183</v>
      </c>
      <c r="C186" s="20" t="s">
        <v>430</v>
      </c>
      <c r="D186" s="83">
        <v>20.3</v>
      </c>
      <c r="E186" s="229">
        <f t="shared" si="10"/>
        <v>20.3</v>
      </c>
      <c r="F186" s="230">
        <v>8</v>
      </c>
      <c r="G186" s="4">
        <f t="shared" si="11"/>
        <v>250000</v>
      </c>
      <c r="H186" s="231">
        <f t="shared" si="12"/>
        <v>162.4</v>
      </c>
      <c r="I186" s="143">
        <f t="shared" si="13"/>
        <v>9.6666666666666681E-5</v>
      </c>
      <c r="J186" s="75">
        <f t="shared" si="14"/>
        <v>8.1200000000000009E-5</v>
      </c>
      <c r="K186" s="228"/>
      <c r="L186" s="100"/>
      <c r="M186" s="100"/>
      <c r="N186" s="100"/>
      <c r="O186" s="100"/>
      <c r="P186" s="228"/>
      <c r="Q186" s="228"/>
      <c r="R186" s="228"/>
      <c r="S186" s="228"/>
      <c r="T186" s="228"/>
      <c r="U186" s="228"/>
      <c r="V186" s="228"/>
      <c r="W186" s="228"/>
      <c r="X186" s="228"/>
    </row>
    <row r="187" spans="1:24" ht="16.2" customHeight="1">
      <c r="A187" s="228"/>
      <c r="B187" s="19">
        <v>184</v>
      </c>
      <c r="C187" s="20" t="s">
        <v>431</v>
      </c>
      <c r="D187" s="83">
        <v>20.3</v>
      </c>
      <c r="E187" s="229">
        <f t="shared" si="10"/>
        <v>20.3</v>
      </c>
      <c r="F187" s="230">
        <v>8</v>
      </c>
      <c r="G187" s="4">
        <f t="shared" si="11"/>
        <v>250000</v>
      </c>
      <c r="H187" s="231">
        <f t="shared" si="12"/>
        <v>162.4</v>
      </c>
      <c r="I187" s="143">
        <f t="shared" si="13"/>
        <v>9.6666666666666681E-5</v>
      </c>
      <c r="J187" s="75">
        <f t="shared" si="14"/>
        <v>8.1200000000000009E-5</v>
      </c>
      <c r="K187" s="228"/>
      <c r="L187" s="100"/>
      <c r="M187" s="100"/>
      <c r="N187" s="100"/>
      <c r="O187" s="100"/>
      <c r="P187" s="228"/>
      <c r="Q187" s="228"/>
      <c r="R187" s="228"/>
      <c r="S187" s="228"/>
      <c r="T187" s="228"/>
      <c r="U187" s="228"/>
      <c r="V187" s="228"/>
      <c r="W187" s="228"/>
      <c r="X187" s="228"/>
    </row>
    <row r="188" spans="1:24" ht="16.2" customHeight="1">
      <c r="A188" s="228"/>
      <c r="B188" s="19">
        <v>185</v>
      </c>
      <c r="C188" s="20" t="s">
        <v>432</v>
      </c>
      <c r="D188" s="83">
        <v>20.3</v>
      </c>
      <c r="E188" s="229">
        <f t="shared" si="10"/>
        <v>20.3</v>
      </c>
      <c r="F188" s="230">
        <v>10</v>
      </c>
      <c r="G188" s="4">
        <f t="shared" si="11"/>
        <v>200000</v>
      </c>
      <c r="H188" s="231">
        <f t="shared" si="12"/>
        <v>203</v>
      </c>
      <c r="I188" s="143">
        <f t="shared" si="13"/>
        <v>1.2083333333333335E-4</v>
      </c>
      <c r="J188" s="75">
        <f t="shared" si="14"/>
        <v>1.015E-4</v>
      </c>
      <c r="K188" s="228"/>
      <c r="L188" s="100"/>
      <c r="M188" s="100"/>
      <c r="N188" s="100"/>
      <c r="O188" s="100"/>
      <c r="P188" s="228"/>
      <c r="Q188" s="228"/>
      <c r="R188" s="228"/>
      <c r="S188" s="228"/>
      <c r="T188" s="228"/>
      <c r="U188" s="228"/>
      <c r="V188" s="228"/>
      <c r="W188" s="228"/>
      <c r="X188" s="228"/>
    </row>
    <row r="189" spans="1:24" ht="16.2" customHeight="1">
      <c r="A189" s="228"/>
      <c r="B189" s="19">
        <v>186</v>
      </c>
      <c r="C189" s="20" t="s">
        <v>433</v>
      </c>
      <c r="D189" s="83">
        <v>20.3</v>
      </c>
      <c r="E189" s="229">
        <f t="shared" si="10"/>
        <v>20.3</v>
      </c>
      <c r="F189" s="230">
        <v>100</v>
      </c>
      <c r="G189" s="4">
        <f t="shared" si="11"/>
        <v>20000</v>
      </c>
      <c r="H189" s="231">
        <f t="shared" si="12"/>
        <v>2030</v>
      </c>
      <c r="I189" s="143">
        <f t="shared" si="13"/>
        <v>1.2083333333333334E-3</v>
      </c>
      <c r="J189" s="75">
        <f t="shared" si="14"/>
        <v>1.0150000000000001E-3</v>
      </c>
      <c r="K189" s="228"/>
      <c r="L189" s="100"/>
      <c r="M189" s="100"/>
      <c r="N189" s="100"/>
      <c r="O189" s="100"/>
      <c r="P189" s="228"/>
      <c r="Q189" s="228"/>
      <c r="R189" s="228"/>
      <c r="S189" s="228"/>
      <c r="T189" s="228"/>
      <c r="U189" s="228"/>
      <c r="V189" s="228"/>
      <c r="W189" s="228"/>
      <c r="X189" s="228"/>
    </row>
    <row r="190" spans="1:24" ht="16.2" customHeight="1">
      <c r="A190" s="228"/>
      <c r="B190" s="19">
        <v>187</v>
      </c>
      <c r="C190" s="20" t="s">
        <v>434</v>
      </c>
      <c r="D190" s="83">
        <v>20.2</v>
      </c>
      <c r="E190" s="229">
        <f t="shared" si="10"/>
        <v>20.2</v>
      </c>
      <c r="F190" s="230">
        <v>100</v>
      </c>
      <c r="G190" s="4">
        <f t="shared" si="11"/>
        <v>20000</v>
      </c>
      <c r="H190" s="231">
        <f t="shared" si="12"/>
        <v>2020</v>
      </c>
      <c r="I190" s="143">
        <f t="shared" si="13"/>
        <v>1.2023809523809526E-3</v>
      </c>
      <c r="J190" s="75">
        <f t="shared" si="14"/>
        <v>1.01E-3</v>
      </c>
      <c r="K190" s="228"/>
      <c r="L190" s="100"/>
      <c r="M190" s="100"/>
      <c r="N190" s="100"/>
      <c r="O190" s="100"/>
      <c r="P190" s="228"/>
      <c r="Q190" s="228"/>
      <c r="R190" s="228"/>
      <c r="S190" s="228"/>
      <c r="T190" s="228"/>
      <c r="U190" s="228"/>
      <c r="V190" s="228"/>
      <c r="W190" s="228"/>
      <c r="X190" s="228"/>
    </row>
    <row r="191" spans="1:24" ht="16.2" customHeight="1">
      <c r="A191" s="228"/>
      <c r="B191" s="19">
        <v>188</v>
      </c>
      <c r="C191" s="20" t="s">
        <v>435</v>
      </c>
      <c r="D191" s="83">
        <v>20.100000000000001</v>
      </c>
      <c r="E191" s="229">
        <f t="shared" si="10"/>
        <v>20.100000000000001</v>
      </c>
      <c r="F191" s="230">
        <v>100</v>
      </c>
      <c r="G191" s="4">
        <f t="shared" si="11"/>
        <v>20000</v>
      </c>
      <c r="H191" s="231">
        <f t="shared" si="12"/>
        <v>2010.0000000000002</v>
      </c>
      <c r="I191" s="143">
        <f t="shared" si="13"/>
        <v>1.1964285714285718E-3</v>
      </c>
      <c r="J191" s="75">
        <f t="shared" si="14"/>
        <v>1.005E-3</v>
      </c>
      <c r="K191" s="228"/>
      <c r="L191" s="100"/>
      <c r="M191" s="100"/>
      <c r="N191" s="100"/>
      <c r="O191" s="100"/>
      <c r="P191" s="228"/>
      <c r="Q191" s="228"/>
      <c r="R191" s="228"/>
      <c r="S191" s="228"/>
      <c r="T191" s="228"/>
      <c r="U191" s="228"/>
      <c r="V191" s="228"/>
      <c r="W191" s="228"/>
      <c r="X191" s="228"/>
    </row>
    <row r="192" spans="1:24" ht="16.2" customHeight="1">
      <c r="A192" s="228"/>
      <c r="B192" s="19">
        <v>189</v>
      </c>
      <c r="C192" s="20" t="s">
        <v>436</v>
      </c>
      <c r="D192" s="83">
        <v>20.100000000000001</v>
      </c>
      <c r="E192" s="229">
        <f t="shared" si="10"/>
        <v>20.100000000000001</v>
      </c>
      <c r="F192" s="230">
        <v>10</v>
      </c>
      <c r="G192" s="4">
        <f t="shared" si="11"/>
        <v>200000</v>
      </c>
      <c r="H192" s="231">
        <f t="shared" si="12"/>
        <v>201</v>
      </c>
      <c r="I192" s="143">
        <f t="shared" si="13"/>
        <v>1.1964285714285716E-4</v>
      </c>
      <c r="J192" s="75">
        <f t="shared" si="14"/>
        <v>1.005E-4</v>
      </c>
      <c r="K192" s="228"/>
      <c r="L192" s="100"/>
      <c r="M192" s="100"/>
      <c r="N192" s="100"/>
      <c r="O192" s="100"/>
      <c r="P192" s="228"/>
      <c r="Q192" s="228"/>
      <c r="R192" s="228"/>
      <c r="S192" s="228"/>
      <c r="T192" s="228"/>
      <c r="U192" s="228"/>
      <c r="V192" s="228"/>
      <c r="W192" s="228"/>
      <c r="X192" s="228"/>
    </row>
    <row r="193" spans="1:24" ht="16.2" customHeight="1">
      <c r="A193" s="228"/>
      <c r="B193" s="19">
        <v>190</v>
      </c>
      <c r="C193" s="20" t="s">
        <v>437</v>
      </c>
      <c r="D193" s="83">
        <v>20.100000000000001</v>
      </c>
      <c r="E193" s="229">
        <f t="shared" si="10"/>
        <v>20.100000000000001</v>
      </c>
      <c r="F193" s="230">
        <v>50</v>
      </c>
      <c r="G193" s="4">
        <f t="shared" si="11"/>
        <v>40000</v>
      </c>
      <c r="H193" s="231">
        <f t="shared" si="12"/>
        <v>1005.0000000000001</v>
      </c>
      <c r="I193" s="143">
        <f t="shared" si="13"/>
        <v>5.982142857142859E-4</v>
      </c>
      <c r="J193" s="75">
        <f t="shared" si="14"/>
        <v>5.0250000000000002E-4</v>
      </c>
      <c r="K193" s="228"/>
      <c r="L193" s="100"/>
      <c r="M193" s="100"/>
      <c r="N193" s="100"/>
      <c r="O193" s="100"/>
      <c r="P193" s="228"/>
      <c r="Q193" s="228"/>
      <c r="R193" s="228"/>
      <c r="S193" s="228"/>
      <c r="T193" s="228"/>
      <c r="U193" s="228"/>
      <c r="V193" s="228"/>
      <c r="W193" s="228"/>
      <c r="X193" s="228"/>
    </row>
    <row r="194" spans="1:24" ht="16.2" customHeight="1">
      <c r="A194" s="228"/>
      <c r="B194" s="19">
        <v>191</v>
      </c>
      <c r="C194" s="20" t="s">
        <v>438</v>
      </c>
      <c r="D194" s="83">
        <v>20</v>
      </c>
      <c r="E194" s="229">
        <f t="shared" si="10"/>
        <v>20</v>
      </c>
      <c r="F194" s="230">
        <v>50</v>
      </c>
      <c r="G194" s="4">
        <f t="shared" si="11"/>
        <v>40000</v>
      </c>
      <c r="H194" s="231">
        <f t="shared" si="12"/>
        <v>1000</v>
      </c>
      <c r="I194" s="143">
        <f t="shared" si="13"/>
        <v>5.9523809523809529E-4</v>
      </c>
      <c r="J194" s="75">
        <f t="shared" si="14"/>
        <v>5.0000000000000001E-4</v>
      </c>
      <c r="K194" s="228"/>
      <c r="L194" s="100"/>
      <c r="M194" s="100"/>
      <c r="N194" s="100"/>
      <c r="O194" s="100"/>
      <c r="P194" s="228"/>
      <c r="Q194" s="228"/>
      <c r="R194" s="228"/>
      <c r="S194" s="228"/>
      <c r="T194" s="228"/>
      <c r="U194" s="228"/>
      <c r="V194" s="228"/>
      <c r="W194" s="228"/>
      <c r="X194" s="228"/>
    </row>
    <row r="195" spans="1:24" ht="16.2" customHeight="1">
      <c r="A195" s="228"/>
      <c r="B195" s="19">
        <v>192</v>
      </c>
      <c r="C195" s="20" t="s">
        <v>439</v>
      </c>
      <c r="D195" s="83">
        <v>20</v>
      </c>
      <c r="E195" s="229">
        <f t="shared" si="10"/>
        <v>20</v>
      </c>
      <c r="F195" s="230">
        <v>5</v>
      </c>
      <c r="G195" s="4">
        <f t="shared" si="11"/>
        <v>400000</v>
      </c>
      <c r="H195" s="231">
        <f t="shared" si="12"/>
        <v>100</v>
      </c>
      <c r="I195" s="143">
        <f t="shared" si="13"/>
        <v>5.9523809523809531E-5</v>
      </c>
      <c r="J195" s="75">
        <f t="shared" si="14"/>
        <v>5.0000000000000002E-5</v>
      </c>
      <c r="K195" s="228"/>
      <c r="L195" s="100"/>
      <c r="M195" s="100"/>
      <c r="N195" s="100"/>
      <c r="O195" s="100"/>
      <c r="P195" s="228"/>
      <c r="Q195" s="228"/>
      <c r="R195" s="228"/>
      <c r="S195" s="228"/>
      <c r="T195" s="228"/>
      <c r="U195" s="228"/>
      <c r="V195" s="228"/>
      <c r="W195" s="228"/>
      <c r="X195" s="228"/>
    </row>
    <row r="196" spans="1:24" ht="16.2" customHeight="1">
      <c r="A196" s="228"/>
      <c r="B196" s="19">
        <v>193</v>
      </c>
      <c r="C196" s="20" t="s">
        <v>440</v>
      </c>
      <c r="D196" s="83">
        <v>20</v>
      </c>
      <c r="E196" s="229">
        <f t="shared" ref="E196:E259" si="15">D196*$M$7</f>
        <v>20</v>
      </c>
      <c r="F196" s="230">
        <v>10</v>
      </c>
      <c r="G196" s="4">
        <f t="shared" ref="G196:G259" si="16">$M$6/F196</f>
        <v>200000</v>
      </c>
      <c r="H196" s="231">
        <f t="shared" ref="H196:H259" si="17">F196*E196</f>
        <v>200</v>
      </c>
      <c r="I196" s="143">
        <f t="shared" ref="I196:I259" si="18">H196/$M$9</f>
        <v>1.1904761904761906E-4</v>
      </c>
      <c r="J196" s="75">
        <f t="shared" ref="J196:J259" si="19">H196/$M$8</f>
        <v>1E-4</v>
      </c>
      <c r="K196" s="228"/>
      <c r="L196" s="100"/>
      <c r="M196" s="100"/>
      <c r="N196" s="100"/>
      <c r="O196" s="100"/>
      <c r="P196" s="228"/>
      <c r="Q196" s="228"/>
      <c r="R196" s="228"/>
      <c r="S196" s="228"/>
      <c r="T196" s="228"/>
      <c r="U196" s="228"/>
      <c r="V196" s="228"/>
      <c r="W196" s="228"/>
      <c r="X196" s="228"/>
    </row>
    <row r="197" spans="1:24" ht="16.2" customHeight="1">
      <c r="A197" s="228"/>
      <c r="B197" s="19">
        <v>194</v>
      </c>
      <c r="C197" s="20" t="s">
        <v>441</v>
      </c>
      <c r="D197" s="83">
        <v>20</v>
      </c>
      <c r="E197" s="229">
        <f t="shared" si="15"/>
        <v>20</v>
      </c>
      <c r="F197" s="230">
        <v>10</v>
      </c>
      <c r="G197" s="4">
        <f t="shared" si="16"/>
        <v>200000</v>
      </c>
      <c r="H197" s="231">
        <f t="shared" si="17"/>
        <v>200</v>
      </c>
      <c r="I197" s="143">
        <f t="shared" si="18"/>
        <v>1.1904761904761906E-4</v>
      </c>
      <c r="J197" s="75">
        <f t="shared" si="19"/>
        <v>1E-4</v>
      </c>
      <c r="K197" s="228"/>
      <c r="L197" s="100"/>
      <c r="M197" s="100"/>
      <c r="N197" s="100"/>
      <c r="O197" s="100"/>
      <c r="P197" s="228"/>
      <c r="Q197" s="228"/>
      <c r="R197" s="228"/>
      <c r="S197" s="228"/>
      <c r="T197" s="228"/>
      <c r="U197" s="228"/>
      <c r="V197" s="228"/>
      <c r="W197" s="228"/>
      <c r="X197" s="228"/>
    </row>
    <row r="198" spans="1:24" ht="16.2" customHeight="1">
      <c r="A198" s="228"/>
      <c r="B198" s="19">
        <v>195</v>
      </c>
      <c r="C198" s="20" t="s">
        <v>442</v>
      </c>
      <c r="D198" s="83">
        <v>20</v>
      </c>
      <c r="E198" s="229">
        <f t="shared" si="15"/>
        <v>20</v>
      </c>
      <c r="F198" s="230">
        <v>50</v>
      </c>
      <c r="G198" s="4">
        <f t="shared" si="16"/>
        <v>40000</v>
      </c>
      <c r="H198" s="231">
        <f t="shared" si="17"/>
        <v>1000</v>
      </c>
      <c r="I198" s="143">
        <f t="shared" si="18"/>
        <v>5.9523809523809529E-4</v>
      </c>
      <c r="J198" s="75">
        <f t="shared" si="19"/>
        <v>5.0000000000000001E-4</v>
      </c>
      <c r="K198" s="228"/>
      <c r="L198" s="100"/>
      <c r="M198" s="100"/>
      <c r="N198" s="100"/>
      <c r="O198" s="100"/>
      <c r="P198" s="228"/>
      <c r="Q198" s="228"/>
      <c r="R198" s="228"/>
      <c r="S198" s="228"/>
      <c r="T198" s="228"/>
      <c r="U198" s="228"/>
      <c r="V198" s="228"/>
      <c r="W198" s="228"/>
      <c r="X198" s="228"/>
    </row>
    <row r="199" spans="1:24" ht="16.2" customHeight="1">
      <c r="A199" s="228"/>
      <c r="B199" s="19">
        <v>196</v>
      </c>
      <c r="C199" s="20" t="s">
        <v>443</v>
      </c>
      <c r="D199" s="83">
        <v>20</v>
      </c>
      <c r="E199" s="229">
        <f t="shared" si="15"/>
        <v>20</v>
      </c>
      <c r="F199" s="230">
        <v>50</v>
      </c>
      <c r="G199" s="4">
        <f t="shared" si="16"/>
        <v>40000</v>
      </c>
      <c r="H199" s="231">
        <f t="shared" si="17"/>
        <v>1000</v>
      </c>
      <c r="I199" s="143">
        <f t="shared" si="18"/>
        <v>5.9523809523809529E-4</v>
      </c>
      <c r="J199" s="75">
        <f t="shared" si="19"/>
        <v>5.0000000000000001E-4</v>
      </c>
      <c r="K199" s="228"/>
      <c r="L199" s="100"/>
      <c r="M199" s="100"/>
      <c r="N199" s="100"/>
      <c r="O199" s="100"/>
      <c r="P199" s="228"/>
      <c r="Q199" s="228"/>
      <c r="R199" s="228"/>
      <c r="S199" s="228"/>
      <c r="T199" s="228"/>
      <c r="U199" s="228"/>
      <c r="V199" s="228"/>
      <c r="W199" s="228"/>
      <c r="X199" s="228"/>
    </row>
    <row r="200" spans="1:24" ht="16.2" customHeight="1">
      <c r="A200" s="228"/>
      <c r="B200" s="19">
        <v>197</v>
      </c>
      <c r="C200" s="20" t="s">
        <v>444</v>
      </c>
      <c r="D200" s="83">
        <v>20</v>
      </c>
      <c r="E200" s="229">
        <f t="shared" si="15"/>
        <v>20</v>
      </c>
      <c r="F200" s="230">
        <v>5</v>
      </c>
      <c r="G200" s="4">
        <f t="shared" si="16"/>
        <v>400000</v>
      </c>
      <c r="H200" s="231">
        <f t="shared" si="17"/>
        <v>100</v>
      </c>
      <c r="I200" s="143">
        <f t="shared" si="18"/>
        <v>5.9523809523809531E-5</v>
      </c>
      <c r="J200" s="75">
        <f t="shared" si="19"/>
        <v>5.0000000000000002E-5</v>
      </c>
      <c r="K200" s="228"/>
      <c r="L200" s="100"/>
      <c r="M200" s="100"/>
      <c r="N200" s="100"/>
      <c r="O200" s="100"/>
      <c r="P200" s="228"/>
      <c r="Q200" s="228"/>
      <c r="R200" s="228"/>
      <c r="S200" s="228"/>
      <c r="T200" s="228"/>
      <c r="U200" s="228"/>
      <c r="V200" s="228"/>
      <c r="W200" s="228"/>
      <c r="X200" s="228"/>
    </row>
    <row r="201" spans="1:24" ht="16.2" customHeight="1">
      <c r="A201" s="228"/>
      <c r="B201" s="19">
        <v>198</v>
      </c>
      <c r="C201" s="20" t="s">
        <v>445</v>
      </c>
      <c r="D201" s="83">
        <v>20</v>
      </c>
      <c r="E201" s="229">
        <f t="shared" si="15"/>
        <v>20</v>
      </c>
      <c r="F201" s="230">
        <v>10</v>
      </c>
      <c r="G201" s="4">
        <f t="shared" si="16"/>
        <v>200000</v>
      </c>
      <c r="H201" s="231">
        <f t="shared" si="17"/>
        <v>200</v>
      </c>
      <c r="I201" s="143">
        <f t="shared" si="18"/>
        <v>1.1904761904761906E-4</v>
      </c>
      <c r="J201" s="75">
        <f t="shared" si="19"/>
        <v>1E-4</v>
      </c>
      <c r="K201" s="228"/>
      <c r="L201" s="100"/>
      <c r="M201" s="100"/>
      <c r="N201" s="100"/>
      <c r="O201" s="100"/>
      <c r="P201" s="228"/>
      <c r="Q201" s="228"/>
      <c r="R201" s="228"/>
      <c r="S201" s="228"/>
      <c r="T201" s="228"/>
      <c r="U201" s="228"/>
      <c r="V201" s="228"/>
      <c r="W201" s="228"/>
      <c r="X201" s="228"/>
    </row>
    <row r="202" spans="1:24" ht="16.2" customHeight="1">
      <c r="A202" s="228"/>
      <c r="B202" s="19">
        <v>199</v>
      </c>
      <c r="C202" s="20" t="s">
        <v>446</v>
      </c>
      <c r="D202" s="83">
        <v>20</v>
      </c>
      <c r="E202" s="229">
        <f t="shared" si="15"/>
        <v>20</v>
      </c>
      <c r="F202" s="230">
        <v>5</v>
      </c>
      <c r="G202" s="4">
        <f t="shared" si="16"/>
        <v>400000</v>
      </c>
      <c r="H202" s="231">
        <f t="shared" si="17"/>
        <v>100</v>
      </c>
      <c r="I202" s="143">
        <f t="shared" si="18"/>
        <v>5.9523809523809531E-5</v>
      </c>
      <c r="J202" s="75">
        <f t="shared" si="19"/>
        <v>5.0000000000000002E-5</v>
      </c>
      <c r="K202" s="228"/>
      <c r="L202" s="100"/>
      <c r="M202" s="100"/>
      <c r="N202" s="100"/>
      <c r="O202" s="100"/>
      <c r="P202" s="228"/>
      <c r="Q202" s="228"/>
      <c r="R202" s="228"/>
      <c r="S202" s="228"/>
      <c r="T202" s="228"/>
      <c r="U202" s="228"/>
      <c r="V202" s="228"/>
      <c r="W202" s="228"/>
      <c r="X202" s="228"/>
    </row>
    <row r="203" spans="1:24" ht="16.2" customHeight="1">
      <c r="A203" s="228"/>
      <c r="B203" s="19">
        <v>200</v>
      </c>
      <c r="C203" s="20" t="s">
        <v>447</v>
      </c>
      <c r="D203" s="83">
        <v>20</v>
      </c>
      <c r="E203" s="229">
        <f t="shared" si="15"/>
        <v>20</v>
      </c>
      <c r="F203" s="230">
        <v>10</v>
      </c>
      <c r="G203" s="4">
        <f t="shared" si="16"/>
        <v>200000</v>
      </c>
      <c r="H203" s="231">
        <f t="shared" si="17"/>
        <v>200</v>
      </c>
      <c r="I203" s="143">
        <f t="shared" si="18"/>
        <v>1.1904761904761906E-4</v>
      </c>
      <c r="J203" s="75">
        <f t="shared" si="19"/>
        <v>1E-4</v>
      </c>
      <c r="K203" s="228"/>
      <c r="L203" s="100"/>
      <c r="M203" s="100"/>
      <c r="N203" s="100"/>
      <c r="O203" s="100"/>
      <c r="P203" s="228"/>
      <c r="Q203" s="228"/>
      <c r="R203" s="228"/>
      <c r="S203" s="228"/>
      <c r="T203" s="228"/>
      <c r="U203" s="228"/>
      <c r="V203" s="228"/>
      <c r="W203" s="228"/>
      <c r="X203" s="228"/>
    </row>
    <row r="204" spans="1:24" ht="16.2" customHeight="1">
      <c r="A204" s="228"/>
      <c r="B204" s="19">
        <v>201</v>
      </c>
      <c r="C204" s="20" t="s">
        <v>448</v>
      </c>
      <c r="D204" s="83">
        <v>20</v>
      </c>
      <c r="E204" s="229">
        <f t="shared" si="15"/>
        <v>20</v>
      </c>
      <c r="F204" s="230">
        <v>5</v>
      </c>
      <c r="G204" s="4">
        <f t="shared" si="16"/>
        <v>400000</v>
      </c>
      <c r="H204" s="231">
        <f t="shared" si="17"/>
        <v>100</v>
      </c>
      <c r="I204" s="143">
        <f t="shared" si="18"/>
        <v>5.9523809523809531E-5</v>
      </c>
      <c r="J204" s="75">
        <f t="shared" si="19"/>
        <v>5.0000000000000002E-5</v>
      </c>
      <c r="K204" s="228"/>
      <c r="L204" s="100"/>
      <c r="M204" s="100"/>
      <c r="N204" s="100"/>
      <c r="O204" s="100"/>
      <c r="P204" s="228"/>
      <c r="Q204" s="228"/>
      <c r="R204" s="228"/>
      <c r="S204" s="228"/>
      <c r="T204" s="228"/>
      <c r="U204" s="228"/>
      <c r="V204" s="228"/>
      <c r="W204" s="228"/>
      <c r="X204" s="228"/>
    </row>
    <row r="205" spans="1:24" ht="16.2" customHeight="1">
      <c r="A205" s="228"/>
      <c r="B205" s="19">
        <v>202</v>
      </c>
      <c r="C205" s="20" t="s">
        <v>449</v>
      </c>
      <c r="D205" s="83">
        <v>20</v>
      </c>
      <c r="E205" s="229">
        <f t="shared" si="15"/>
        <v>20</v>
      </c>
      <c r="F205" s="230">
        <v>10</v>
      </c>
      <c r="G205" s="4">
        <f t="shared" si="16"/>
        <v>200000</v>
      </c>
      <c r="H205" s="231">
        <f t="shared" si="17"/>
        <v>200</v>
      </c>
      <c r="I205" s="143">
        <f t="shared" si="18"/>
        <v>1.1904761904761906E-4</v>
      </c>
      <c r="J205" s="75">
        <f t="shared" si="19"/>
        <v>1E-4</v>
      </c>
      <c r="K205" s="228"/>
      <c r="L205" s="100"/>
      <c r="M205" s="100"/>
      <c r="N205" s="100"/>
      <c r="O205" s="100"/>
      <c r="P205" s="228"/>
      <c r="Q205" s="228"/>
      <c r="R205" s="228"/>
      <c r="S205" s="228"/>
      <c r="T205" s="228"/>
      <c r="U205" s="228"/>
      <c r="V205" s="228"/>
      <c r="W205" s="228"/>
      <c r="X205" s="228"/>
    </row>
    <row r="206" spans="1:24" ht="16.2" customHeight="1">
      <c r="A206" s="228"/>
      <c r="B206" s="19">
        <v>203</v>
      </c>
      <c r="C206" s="20" t="s">
        <v>450</v>
      </c>
      <c r="D206" s="83">
        <v>20</v>
      </c>
      <c r="E206" s="229">
        <f t="shared" si="15"/>
        <v>20</v>
      </c>
      <c r="F206" s="230">
        <v>200</v>
      </c>
      <c r="G206" s="4">
        <f t="shared" si="16"/>
        <v>10000</v>
      </c>
      <c r="H206" s="231">
        <f t="shared" si="17"/>
        <v>4000</v>
      </c>
      <c r="I206" s="143">
        <f t="shared" si="18"/>
        <v>2.3809523809523812E-3</v>
      </c>
      <c r="J206" s="75">
        <f t="shared" si="19"/>
        <v>2E-3</v>
      </c>
      <c r="K206" s="228"/>
      <c r="L206" s="100"/>
      <c r="M206" s="100"/>
      <c r="N206" s="100"/>
      <c r="O206" s="100"/>
      <c r="P206" s="228"/>
      <c r="Q206" s="228"/>
      <c r="R206" s="228"/>
      <c r="S206" s="228"/>
      <c r="T206" s="228"/>
      <c r="U206" s="228"/>
      <c r="V206" s="228"/>
      <c r="W206" s="228"/>
      <c r="X206" s="228"/>
    </row>
    <row r="207" spans="1:24" ht="16.2" customHeight="1">
      <c r="A207" s="228"/>
      <c r="B207" s="19">
        <v>204</v>
      </c>
      <c r="C207" s="20" t="s">
        <v>451</v>
      </c>
      <c r="D207" s="83">
        <v>20</v>
      </c>
      <c r="E207" s="229">
        <f t="shared" si="15"/>
        <v>20</v>
      </c>
      <c r="F207" s="230">
        <v>3000</v>
      </c>
      <c r="G207" s="4">
        <f t="shared" si="16"/>
        <v>666.66666666666663</v>
      </c>
      <c r="H207" s="231">
        <f t="shared" si="17"/>
        <v>60000</v>
      </c>
      <c r="I207" s="143">
        <f t="shared" si="18"/>
        <v>3.5714285714285719E-2</v>
      </c>
      <c r="J207" s="75">
        <f t="shared" si="19"/>
        <v>0.03</v>
      </c>
      <c r="K207" s="228"/>
      <c r="L207" s="100"/>
      <c r="M207" s="100"/>
      <c r="N207" s="100"/>
      <c r="O207" s="100"/>
      <c r="P207" s="228"/>
      <c r="Q207" s="228"/>
      <c r="R207" s="228"/>
      <c r="S207" s="228"/>
      <c r="T207" s="228"/>
      <c r="U207" s="228"/>
      <c r="V207" s="228"/>
      <c r="W207" s="228"/>
      <c r="X207" s="228"/>
    </row>
    <row r="208" spans="1:24" ht="16.2" customHeight="1">
      <c r="A208" s="228"/>
      <c r="B208" s="19">
        <v>205</v>
      </c>
      <c r="C208" s="20" t="s">
        <v>452</v>
      </c>
      <c r="D208" s="83">
        <v>20</v>
      </c>
      <c r="E208" s="229">
        <f t="shared" si="15"/>
        <v>20</v>
      </c>
      <c r="F208" s="230">
        <v>3000</v>
      </c>
      <c r="G208" s="4">
        <f t="shared" si="16"/>
        <v>666.66666666666663</v>
      </c>
      <c r="H208" s="231">
        <f t="shared" si="17"/>
        <v>60000</v>
      </c>
      <c r="I208" s="143">
        <f t="shared" si="18"/>
        <v>3.5714285714285719E-2</v>
      </c>
      <c r="J208" s="75">
        <f t="shared" si="19"/>
        <v>0.03</v>
      </c>
      <c r="K208" s="228"/>
      <c r="L208" s="100"/>
      <c r="M208" s="100"/>
      <c r="N208" s="100"/>
      <c r="O208" s="100"/>
      <c r="P208" s="228"/>
      <c r="Q208" s="228"/>
      <c r="R208" s="228"/>
      <c r="S208" s="228"/>
      <c r="T208" s="228"/>
      <c r="U208" s="228"/>
      <c r="V208" s="228"/>
      <c r="W208" s="228"/>
      <c r="X208" s="228"/>
    </row>
    <row r="209" spans="1:24" ht="16.2" customHeight="1">
      <c r="A209" s="228"/>
      <c r="B209" s="19">
        <v>206</v>
      </c>
      <c r="C209" s="20" t="s">
        <v>453</v>
      </c>
      <c r="D209" s="83">
        <v>20</v>
      </c>
      <c r="E209" s="229">
        <f t="shared" si="15"/>
        <v>20</v>
      </c>
      <c r="F209" s="230">
        <v>3000</v>
      </c>
      <c r="G209" s="4">
        <f t="shared" si="16"/>
        <v>666.66666666666663</v>
      </c>
      <c r="H209" s="231">
        <f t="shared" si="17"/>
        <v>60000</v>
      </c>
      <c r="I209" s="143">
        <f t="shared" si="18"/>
        <v>3.5714285714285719E-2</v>
      </c>
      <c r="J209" s="75">
        <f t="shared" si="19"/>
        <v>0.03</v>
      </c>
      <c r="K209" s="228"/>
      <c r="L209" s="100"/>
      <c r="M209" s="100"/>
      <c r="N209" s="100"/>
      <c r="O209" s="100"/>
      <c r="P209" s="228"/>
      <c r="Q209" s="228"/>
      <c r="R209" s="228"/>
      <c r="S209" s="228"/>
      <c r="T209" s="228"/>
      <c r="U209" s="228"/>
      <c r="V209" s="228"/>
      <c r="W209" s="228"/>
      <c r="X209" s="228"/>
    </row>
    <row r="210" spans="1:24" ht="16.2" customHeight="1">
      <c r="A210" s="228"/>
      <c r="B210" s="19">
        <v>207</v>
      </c>
      <c r="C210" s="20" t="s">
        <v>454</v>
      </c>
      <c r="D210" s="83">
        <v>19.7</v>
      </c>
      <c r="E210" s="229">
        <f t="shared" si="15"/>
        <v>19.7</v>
      </c>
      <c r="F210" s="230">
        <v>20</v>
      </c>
      <c r="G210" s="4">
        <f t="shared" si="16"/>
        <v>100000</v>
      </c>
      <c r="H210" s="231">
        <f t="shared" si="17"/>
        <v>394</v>
      </c>
      <c r="I210" s="143">
        <f t="shared" si="18"/>
        <v>2.3452380952380955E-4</v>
      </c>
      <c r="J210" s="75">
        <f t="shared" si="19"/>
        <v>1.9699999999999999E-4</v>
      </c>
      <c r="K210" s="228"/>
      <c r="L210" s="100"/>
      <c r="M210" s="100"/>
      <c r="N210" s="100"/>
      <c r="O210" s="100"/>
      <c r="P210" s="228"/>
      <c r="Q210" s="228"/>
      <c r="R210" s="228"/>
      <c r="S210" s="228"/>
      <c r="T210" s="228"/>
      <c r="U210" s="228"/>
      <c r="V210" s="228"/>
      <c r="W210" s="228"/>
      <c r="X210" s="228"/>
    </row>
    <row r="211" spans="1:24" ht="16.2" customHeight="1">
      <c r="A211" s="228"/>
      <c r="B211" s="19">
        <v>208</v>
      </c>
      <c r="C211" s="20" t="s">
        <v>455</v>
      </c>
      <c r="D211" s="83">
        <v>19.5</v>
      </c>
      <c r="E211" s="229">
        <f t="shared" si="15"/>
        <v>19.5</v>
      </c>
      <c r="F211" s="230">
        <v>10</v>
      </c>
      <c r="G211" s="4">
        <f t="shared" si="16"/>
        <v>200000</v>
      </c>
      <c r="H211" s="231">
        <f t="shared" si="17"/>
        <v>195</v>
      </c>
      <c r="I211" s="143">
        <f t="shared" si="18"/>
        <v>1.1607142857142858E-4</v>
      </c>
      <c r="J211" s="75">
        <f t="shared" si="19"/>
        <v>9.7499999999999998E-5</v>
      </c>
      <c r="K211" s="228"/>
      <c r="L211" s="100"/>
      <c r="M211" s="100"/>
      <c r="N211" s="100"/>
      <c r="O211" s="100"/>
      <c r="P211" s="228"/>
      <c r="Q211" s="228"/>
      <c r="R211" s="228"/>
      <c r="S211" s="228"/>
      <c r="T211" s="228"/>
      <c r="U211" s="228"/>
      <c r="V211" s="228"/>
      <c r="W211" s="228"/>
      <c r="X211" s="228"/>
    </row>
    <row r="212" spans="1:24" ht="16.2" customHeight="1">
      <c r="A212" s="228"/>
      <c r="B212" s="19">
        <v>209</v>
      </c>
      <c r="C212" s="20" t="s">
        <v>456</v>
      </c>
      <c r="D212" s="83">
        <v>19.5</v>
      </c>
      <c r="E212" s="229">
        <f t="shared" si="15"/>
        <v>19.5</v>
      </c>
      <c r="F212" s="230">
        <v>20</v>
      </c>
      <c r="G212" s="4">
        <f t="shared" si="16"/>
        <v>100000</v>
      </c>
      <c r="H212" s="231">
        <f t="shared" si="17"/>
        <v>390</v>
      </c>
      <c r="I212" s="143">
        <f t="shared" si="18"/>
        <v>2.3214285714285717E-4</v>
      </c>
      <c r="J212" s="75">
        <f t="shared" si="19"/>
        <v>1.95E-4</v>
      </c>
      <c r="K212" s="228"/>
      <c r="L212" s="100"/>
      <c r="M212" s="100"/>
      <c r="N212" s="100"/>
      <c r="O212" s="100"/>
      <c r="P212" s="228"/>
      <c r="Q212" s="228"/>
      <c r="R212" s="228"/>
      <c r="S212" s="228"/>
      <c r="T212" s="228"/>
      <c r="U212" s="228"/>
      <c r="V212" s="228"/>
      <c r="W212" s="228"/>
      <c r="X212" s="228"/>
    </row>
    <row r="213" spans="1:24" ht="16.2" customHeight="1">
      <c r="A213" s="228"/>
      <c r="B213" s="19">
        <v>210</v>
      </c>
      <c r="C213" s="20" t="s">
        <v>457</v>
      </c>
      <c r="D213" s="83">
        <v>19.399999999999999</v>
      </c>
      <c r="E213" s="229">
        <f t="shared" si="15"/>
        <v>19.399999999999999</v>
      </c>
      <c r="F213" s="230">
        <v>50</v>
      </c>
      <c r="G213" s="4">
        <f t="shared" si="16"/>
        <v>40000</v>
      </c>
      <c r="H213" s="231">
        <f t="shared" si="17"/>
        <v>969.99999999999989</v>
      </c>
      <c r="I213" s="143">
        <f t="shared" si="18"/>
        <v>5.7738095238095237E-4</v>
      </c>
      <c r="J213" s="75">
        <f t="shared" si="19"/>
        <v>4.8499999999999992E-4</v>
      </c>
      <c r="K213" s="228"/>
      <c r="L213" s="100"/>
      <c r="M213" s="100"/>
      <c r="N213" s="100"/>
      <c r="O213" s="100"/>
      <c r="P213" s="228"/>
      <c r="Q213" s="228"/>
      <c r="R213" s="228"/>
      <c r="S213" s="228"/>
      <c r="T213" s="228"/>
      <c r="U213" s="228"/>
      <c r="V213" s="228"/>
      <c r="W213" s="228"/>
      <c r="X213" s="228"/>
    </row>
    <row r="214" spans="1:24" ht="16.2" customHeight="1">
      <c r="A214" s="228"/>
      <c r="B214" s="19">
        <v>211</v>
      </c>
      <c r="C214" s="20" t="s">
        <v>458</v>
      </c>
      <c r="D214" s="83">
        <v>19.2</v>
      </c>
      <c r="E214" s="229">
        <f t="shared" si="15"/>
        <v>19.2</v>
      </c>
      <c r="F214" s="230">
        <v>50</v>
      </c>
      <c r="G214" s="4">
        <f t="shared" si="16"/>
        <v>40000</v>
      </c>
      <c r="H214" s="231">
        <f t="shared" si="17"/>
        <v>960</v>
      </c>
      <c r="I214" s="143">
        <f t="shared" si="18"/>
        <v>5.7142857142857147E-4</v>
      </c>
      <c r="J214" s="75">
        <f t="shared" si="19"/>
        <v>4.8000000000000001E-4</v>
      </c>
      <c r="K214" s="228"/>
      <c r="L214" s="100"/>
      <c r="M214" s="100"/>
      <c r="N214" s="100"/>
      <c r="O214" s="100"/>
      <c r="P214" s="228"/>
      <c r="Q214" s="228"/>
      <c r="R214" s="228"/>
      <c r="S214" s="228"/>
      <c r="T214" s="228"/>
      <c r="U214" s="228"/>
      <c r="V214" s="228"/>
      <c r="W214" s="228"/>
      <c r="X214" s="228"/>
    </row>
    <row r="215" spans="1:24" ht="16.2" customHeight="1">
      <c r="A215" s="228"/>
      <c r="B215" s="19">
        <v>212</v>
      </c>
      <c r="C215" s="20" t="s">
        <v>459</v>
      </c>
      <c r="D215" s="83">
        <v>19.2</v>
      </c>
      <c r="E215" s="229">
        <f t="shared" si="15"/>
        <v>19.2</v>
      </c>
      <c r="F215" s="230">
        <v>20</v>
      </c>
      <c r="G215" s="4">
        <f t="shared" si="16"/>
        <v>100000</v>
      </c>
      <c r="H215" s="231">
        <f t="shared" si="17"/>
        <v>384</v>
      </c>
      <c r="I215" s="143">
        <f t="shared" si="18"/>
        <v>2.2857142857142859E-4</v>
      </c>
      <c r="J215" s="75">
        <f t="shared" si="19"/>
        <v>1.92E-4</v>
      </c>
      <c r="K215" s="228"/>
      <c r="L215" s="100"/>
      <c r="M215" s="100"/>
      <c r="N215" s="100"/>
      <c r="O215" s="100"/>
      <c r="P215" s="228"/>
      <c r="Q215" s="228"/>
      <c r="R215" s="228"/>
      <c r="S215" s="228"/>
      <c r="T215" s="228"/>
      <c r="U215" s="228"/>
      <c r="V215" s="228"/>
      <c r="W215" s="228"/>
      <c r="X215" s="228"/>
    </row>
    <row r="216" spans="1:24" ht="16.2" customHeight="1">
      <c r="A216" s="228"/>
      <c r="B216" s="19">
        <v>213</v>
      </c>
      <c r="C216" s="20" t="s">
        <v>460</v>
      </c>
      <c r="D216" s="83">
        <v>19.2</v>
      </c>
      <c r="E216" s="229">
        <f t="shared" si="15"/>
        <v>19.2</v>
      </c>
      <c r="F216" s="230">
        <v>10</v>
      </c>
      <c r="G216" s="4">
        <f t="shared" si="16"/>
        <v>200000</v>
      </c>
      <c r="H216" s="231">
        <f t="shared" si="17"/>
        <v>192</v>
      </c>
      <c r="I216" s="143">
        <f t="shared" si="18"/>
        <v>1.142857142857143E-4</v>
      </c>
      <c r="J216" s="75">
        <f t="shared" si="19"/>
        <v>9.6000000000000002E-5</v>
      </c>
      <c r="K216" s="228"/>
      <c r="L216" s="100"/>
      <c r="M216" s="100"/>
      <c r="N216" s="100"/>
      <c r="O216" s="100"/>
      <c r="P216" s="228"/>
      <c r="Q216" s="228"/>
      <c r="R216" s="228"/>
      <c r="S216" s="228"/>
      <c r="T216" s="228"/>
      <c r="U216" s="228"/>
      <c r="V216" s="228"/>
      <c r="W216" s="228"/>
      <c r="X216" s="228"/>
    </row>
    <row r="217" spans="1:24" ht="16.2" customHeight="1">
      <c r="A217" s="228"/>
      <c r="B217" s="19">
        <v>214</v>
      </c>
      <c r="C217" s="20" t="s">
        <v>461</v>
      </c>
      <c r="D217" s="83">
        <v>19.2</v>
      </c>
      <c r="E217" s="229">
        <f t="shared" si="15"/>
        <v>19.2</v>
      </c>
      <c r="F217" s="230">
        <v>8</v>
      </c>
      <c r="G217" s="4">
        <f t="shared" si="16"/>
        <v>250000</v>
      </c>
      <c r="H217" s="231">
        <f t="shared" si="17"/>
        <v>153.6</v>
      </c>
      <c r="I217" s="143">
        <f t="shared" si="18"/>
        <v>9.1428571428571432E-5</v>
      </c>
      <c r="J217" s="75">
        <f t="shared" si="19"/>
        <v>7.6799999999999997E-5</v>
      </c>
      <c r="K217" s="228"/>
      <c r="L217" s="100"/>
      <c r="M217" s="100"/>
      <c r="N217" s="100"/>
      <c r="O217" s="100"/>
      <c r="P217" s="228"/>
      <c r="Q217" s="228"/>
      <c r="R217" s="228"/>
      <c r="S217" s="228"/>
      <c r="T217" s="228"/>
      <c r="U217" s="228"/>
      <c r="V217" s="228"/>
      <c r="W217" s="228"/>
      <c r="X217" s="228"/>
    </row>
    <row r="218" spans="1:24" ht="16.2" customHeight="1">
      <c r="A218" s="228"/>
      <c r="B218" s="19">
        <v>215</v>
      </c>
      <c r="C218" s="20" t="s">
        <v>462</v>
      </c>
      <c r="D218" s="83">
        <v>19.2</v>
      </c>
      <c r="E218" s="229">
        <f t="shared" si="15"/>
        <v>19.2</v>
      </c>
      <c r="F218" s="230">
        <v>10</v>
      </c>
      <c r="G218" s="4">
        <f t="shared" si="16"/>
        <v>200000</v>
      </c>
      <c r="H218" s="231">
        <f t="shared" si="17"/>
        <v>192</v>
      </c>
      <c r="I218" s="143">
        <f t="shared" si="18"/>
        <v>1.142857142857143E-4</v>
      </c>
      <c r="J218" s="75">
        <f t="shared" si="19"/>
        <v>9.6000000000000002E-5</v>
      </c>
      <c r="K218" s="228"/>
      <c r="L218" s="100"/>
      <c r="M218" s="100"/>
      <c r="N218" s="100"/>
      <c r="O218" s="100"/>
      <c r="P218" s="228"/>
      <c r="Q218" s="228"/>
      <c r="R218" s="228"/>
      <c r="S218" s="228"/>
      <c r="T218" s="228"/>
      <c r="U218" s="228"/>
      <c r="V218" s="228"/>
      <c r="W218" s="228"/>
      <c r="X218" s="228"/>
    </row>
    <row r="219" spans="1:24" ht="16.2" customHeight="1">
      <c r="A219" s="228"/>
      <c r="B219" s="19">
        <v>216</v>
      </c>
      <c r="C219" s="20" t="s">
        <v>463</v>
      </c>
      <c r="D219" s="83">
        <v>19.2</v>
      </c>
      <c r="E219" s="229">
        <f t="shared" si="15"/>
        <v>19.2</v>
      </c>
      <c r="F219" s="230">
        <v>8</v>
      </c>
      <c r="G219" s="4">
        <f t="shared" si="16"/>
        <v>250000</v>
      </c>
      <c r="H219" s="231">
        <f t="shared" si="17"/>
        <v>153.6</v>
      </c>
      <c r="I219" s="143">
        <f t="shared" si="18"/>
        <v>9.1428571428571432E-5</v>
      </c>
      <c r="J219" s="75">
        <f t="shared" si="19"/>
        <v>7.6799999999999997E-5</v>
      </c>
      <c r="K219" s="228"/>
      <c r="L219" s="100"/>
      <c r="M219" s="100"/>
      <c r="N219" s="100"/>
      <c r="O219" s="100"/>
      <c r="P219" s="228"/>
      <c r="Q219" s="228"/>
      <c r="R219" s="228"/>
      <c r="S219" s="228"/>
      <c r="T219" s="228"/>
      <c r="U219" s="228"/>
      <c r="V219" s="228"/>
      <c r="W219" s="228"/>
      <c r="X219" s="228"/>
    </row>
    <row r="220" spans="1:24" ht="16.2" customHeight="1">
      <c r="A220" s="228"/>
      <c r="B220" s="19">
        <v>217</v>
      </c>
      <c r="C220" s="20" t="s">
        <v>464</v>
      </c>
      <c r="D220" s="83">
        <v>19.2</v>
      </c>
      <c r="E220" s="229">
        <f t="shared" si="15"/>
        <v>19.2</v>
      </c>
      <c r="F220" s="230">
        <v>10</v>
      </c>
      <c r="G220" s="4">
        <f t="shared" si="16"/>
        <v>200000</v>
      </c>
      <c r="H220" s="231">
        <f t="shared" si="17"/>
        <v>192</v>
      </c>
      <c r="I220" s="143">
        <f t="shared" si="18"/>
        <v>1.142857142857143E-4</v>
      </c>
      <c r="J220" s="75">
        <f t="shared" si="19"/>
        <v>9.6000000000000002E-5</v>
      </c>
      <c r="K220" s="228"/>
      <c r="L220" s="100"/>
      <c r="M220" s="100"/>
      <c r="N220" s="100"/>
      <c r="O220" s="100"/>
      <c r="P220" s="228"/>
      <c r="Q220" s="228"/>
      <c r="R220" s="228"/>
      <c r="S220" s="228"/>
      <c r="T220" s="228"/>
      <c r="U220" s="228"/>
      <c r="V220" s="228"/>
      <c r="W220" s="228"/>
      <c r="X220" s="228"/>
    </row>
    <row r="221" spans="1:24" ht="16.2" customHeight="1">
      <c r="A221" s="228"/>
      <c r="B221" s="19">
        <v>218</v>
      </c>
      <c r="C221" s="20" t="s">
        <v>465</v>
      </c>
      <c r="D221" s="83">
        <v>19.2</v>
      </c>
      <c r="E221" s="229">
        <f t="shared" si="15"/>
        <v>19.2</v>
      </c>
      <c r="F221" s="230">
        <v>10</v>
      </c>
      <c r="G221" s="4">
        <f t="shared" si="16"/>
        <v>200000</v>
      </c>
      <c r="H221" s="231">
        <f t="shared" si="17"/>
        <v>192</v>
      </c>
      <c r="I221" s="143">
        <f t="shared" si="18"/>
        <v>1.142857142857143E-4</v>
      </c>
      <c r="J221" s="75">
        <f t="shared" si="19"/>
        <v>9.6000000000000002E-5</v>
      </c>
      <c r="K221" s="228"/>
      <c r="L221" s="100"/>
      <c r="M221" s="100"/>
      <c r="N221" s="100"/>
      <c r="O221" s="100"/>
      <c r="P221" s="228"/>
      <c r="Q221" s="228"/>
      <c r="R221" s="228"/>
      <c r="S221" s="228"/>
      <c r="T221" s="228"/>
      <c r="U221" s="228"/>
      <c r="V221" s="228"/>
      <c r="W221" s="228"/>
      <c r="X221" s="228"/>
    </row>
    <row r="222" spans="1:24" ht="16.2" customHeight="1">
      <c r="A222" s="228"/>
      <c r="B222" s="19">
        <v>219</v>
      </c>
      <c r="C222" s="20" t="s">
        <v>466</v>
      </c>
      <c r="D222" s="83">
        <v>19.100000000000001</v>
      </c>
      <c r="E222" s="229">
        <f t="shared" si="15"/>
        <v>19.100000000000001</v>
      </c>
      <c r="F222" s="230">
        <v>10</v>
      </c>
      <c r="G222" s="4">
        <f t="shared" si="16"/>
        <v>200000</v>
      </c>
      <c r="H222" s="231">
        <f t="shared" si="17"/>
        <v>191</v>
      </c>
      <c r="I222" s="143">
        <f t="shared" si="18"/>
        <v>1.136904761904762E-4</v>
      </c>
      <c r="J222" s="75">
        <f t="shared" si="19"/>
        <v>9.5500000000000004E-5</v>
      </c>
      <c r="K222" s="228"/>
      <c r="L222" s="100"/>
      <c r="M222" s="100"/>
      <c r="N222" s="100"/>
      <c r="O222" s="100"/>
      <c r="P222" s="228"/>
      <c r="Q222" s="228"/>
      <c r="R222" s="228"/>
      <c r="S222" s="228"/>
      <c r="T222" s="228"/>
      <c r="U222" s="228"/>
      <c r="V222" s="228"/>
      <c r="W222" s="228"/>
      <c r="X222" s="228"/>
    </row>
    <row r="223" spans="1:24" ht="16.2" customHeight="1">
      <c r="A223" s="228"/>
      <c r="B223" s="19">
        <v>220</v>
      </c>
      <c r="C223" s="20" t="s">
        <v>467</v>
      </c>
      <c r="D223" s="83">
        <v>19</v>
      </c>
      <c r="E223" s="229">
        <f t="shared" si="15"/>
        <v>19</v>
      </c>
      <c r="F223" s="230">
        <v>9</v>
      </c>
      <c r="G223" s="4">
        <f t="shared" si="16"/>
        <v>222222.22222222222</v>
      </c>
      <c r="H223" s="231">
        <f t="shared" si="17"/>
        <v>171</v>
      </c>
      <c r="I223" s="143">
        <f t="shared" si="18"/>
        <v>1.017857142857143E-4</v>
      </c>
      <c r="J223" s="75">
        <f t="shared" si="19"/>
        <v>8.5500000000000005E-5</v>
      </c>
      <c r="K223" s="228"/>
      <c r="L223" s="100"/>
      <c r="M223" s="100"/>
      <c r="N223" s="100"/>
      <c r="O223" s="100"/>
      <c r="P223" s="228"/>
      <c r="Q223" s="228"/>
      <c r="R223" s="228"/>
      <c r="S223" s="228"/>
      <c r="T223" s="228"/>
      <c r="U223" s="228"/>
      <c r="V223" s="228"/>
      <c r="W223" s="228"/>
      <c r="X223" s="228"/>
    </row>
    <row r="224" spans="1:24" ht="16.2" customHeight="1">
      <c r="A224" s="228"/>
      <c r="B224" s="19">
        <v>221</v>
      </c>
      <c r="C224" s="20" t="s">
        <v>468</v>
      </c>
      <c r="D224" s="83">
        <v>19</v>
      </c>
      <c r="E224" s="229">
        <f t="shared" si="15"/>
        <v>19</v>
      </c>
      <c r="F224" s="230">
        <v>9</v>
      </c>
      <c r="G224" s="4">
        <f t="shared" si="16"/>
        <v>222222.22222222222</v>
      </c>
      <c r="H224" s="231">
        <f t="shared" si="17"/>
        <v>171</v>
      </c>
      <c r="I224" s="143">
        <f t="shared" si="18"/>
        <v>1.017857142857143E-4</v>
      </c>
      <c r="J224" s="75">
        <f t="shared" si="19"/>
        <v>8.5500000000000005E-5</v>
      </c>
      <c r="K224" s="228"/>
      <c r="L224" s="100"/>
      <c r="M224" s="100"/>
      <c r="N224" s="100"/>
      <c r="O224" s="100"/>
      <c r="P224" s="228"/>
      <c r="Q224" s="228"/>
      <c r="R224" s="228"/>
      <c r="S224" s="228"/>
      <c r="T224" s="228"/>
      <c r="U224" s="228"/>
      <c r="V224" s="228"/>
      <c r="W224" s="228"/>
      <c r="X224" s="228"/>
    </row>
    <row r="225" spans="1:24" ht="16.2" customHeight="1">
      <c r="A225" s="228"/>
      <c r="B225" s="19">
        <v>222</v>
      </c>
      <c r="C225" s="20" t="s">
        <v>469</v>
      </c>
      <c r="D225" s="83">
        <v>19</v>
      </c>
      <c r="E225" s="229">
        <f t="shared" si="15"/>
        <v>19</v>
      </c>
      <c r="F225" s="230">
        <v>9</v>
      </c>
      <c r="G225" s="4">
        <f t="shared" si="16"/>
        <v>222222.22222222222</v>
      </c>
      <c r="H225" s="231">
        <f t="shared" si="17"/>
        <v>171</v>
      </c>
      <c r="I225" s="143">
        <f t="shared" si="18"/>
        <v>1.017857142857143E-4</v>
      </c>
      <c r="J225" s="75">
        <f t="shared" si="19"/>
        <v>8.5500000000000005E-5</v>
      </c>
      <c r="K225" s="228"/>
      <c r="L225" s="100"/>
      <c r="M225" s="100"/>
      <c r="N225" s="100"/>
      <c r="O225" s="100"/>
      <c r="P225" s="228"/>
      <c r="Q225" s="228"/>
      <c r="R225" s="228"/>
      <c r="S225" s="228"/>
      <c r="T225" s="228"/>
      <c r="U225" s="228"/>
      <c r="V225" s="228"/>
      <c r="W225" s="228"/>
      <c r="X225" s="228"/>
    </row>
    <row r="226" spans="1:24" ht="16.2" customHeight="1">
      <c r="A226" s="228"/>
      <c r="B226" s="19">
        <v>223</v>
      </c>
      <c r="C226" s="20" t="s">
        <v>470</v>
      </c>
      <c r="D226" s="83">
        <v>18.5</v>
      </c>
      <c r="E226" s="229">
        <f t="shared" si="15"/>
        <v>18.5</v>
      </c>
      <c r="F226" s="230">
        <v>300</v>
      </c>
      <c r="G226" s="4">
        <f t="shared" si="16"/>
        <v>6666.666666666667</v>
      </c>
      <c r="H226" s="231">
        <f t="shared" si="17"/>
        <v>5550</v>
      </c>
      <c r="I226" s="143">
        <f t="shared" si="18"/>
        <v>3.3035714285714292E-3</v>
      </c>
      <c r="J226" s="75">
        <f t="shared" si="19"/>
        <v>2.7750000000000001E-3</v>
      </c>
      <c r="K226" s="228"/>
      <c r="L226" s="100"/>
      <c r="M226" s="100"/>
      <c r="N226" s="100"/>
      <c r="O226" s="100"/>
      <c r="P226" s="228"/>
      <c r="Q226" s="228"/>
      <c r="R226" s="228"/>
      <c r="S226" s="228"/>
      <c r="T226" s="228"/>
      <c r="U226" s="228"/>
      <c r="V226" s="228"/>
      <c r="W226" s="228"/>
      <c r="X226" s="228"/>
    </row>
    <row r="227" spans="1:24" ht="16.2" customHeight="1">
      <c r="A227" s="228"/>
      <c r="B227" s="19">
        <v>224</v>
      </c>
      <c r="C227" s="20" t="s">
        <v>471</v>
      </c>
      <c r="D227" s="83">
        <v>18.5</v>
      </c>
      <c r="E227" s="229">
        <f t="shared" si="15"/>
        <v>18.5</v>
      </c>
      <c r="F227" s="230">
        <v>20</v>
      </c>
      <c r="G227" s="4">
        <f t="shared" si="16"/>
        <v>100000</v>
      </c>
      <c r="H227" s="231">
        <f t="shared" si="17"/>
        <v>370</v>
      </c>
      <c r="I227" s="143">
        <f t="shared" si="18"/>
        <v>2.2023809523809526E-4</v>
      </c>
      <c r="J227" s="75">
        <f t="shared" si="19"/>
        <v>1.85E-4</v>
      </c>
      <c r="K227" s="228"/>
      <c r="L227" s="100"/>
      <c r="M227" s="100"/>
      <c r="N227" s="100"/>
      <c r="O227" s="100"/>
      <c r="P227" s="228"/>
      <c r="Q227" s="228"/>
      <c r="R227" s="228"/>
      <c r="S227" s="228"/>
      <c r="T227" s="228"/>
      <c r="U227" s="228"/>
      <c r="V227" s="228"/>
      <c r="W227" s="228"/>
      <c r="X227" s="228"/>
    </row>
    <row r="228" spans="1:24" ht="16.2" customHeight="1">
      <c r="A228" s="228"/>
      <c r="B228" s="19">
        <v>225</v>
      </c>
      <c r="C228" s="20" t="s">
        <v>472</v>
      </c>
      <c r="D228" s="83">
        <v>18.5</v>
      </c>
      <c r="E228" s="229">
        <f t="shared" si="15"/>
        <v>18.5</v>
      </c>
      <c r="F228" s="230">
        <v>20</v>
      </c>
      <c r="G228" s="4">
        <f t="shared" si="16"/>
        <v>100000</v>
      </c>
      <c r="H228" s="231">
        <f t="shared" si="17"/>
        <v>370</v>
      </c>
      <c r="I228" s="143">
        <f t="shared" si="18"/>
        <v>2.2023809523809526E-4</v>
      </c>
      <c r="J228" s="75">
        <f t="shared" si="19"/>
        <v>1.85E-4</v>
      </c>
      <c r="K228" s="228"/>
      <c r="L228" s="100"/>
      <c r="M228" s="100"/>
      <c r="N228" s="100"/>
      <c r="O228" s="100"/>
      <c r="P228" s="228"/>
      <c r="Q228" s="228"/>
      <c r="R228" s="228"/>
      <c r="S228" s="228"/>
      <c r="T228" s="228"/>
      <c r="U228" s="228"/>
      <c r="V228" s="228"/>
      <c r="W228" s="228"/>
      <c r="X228" s="228"/>
    </row>
    <row r="229" spans="1:24" ht="16.2" customHeight="1">
      <c r="A229" s="228"/>
      <c r="B229" s="19">
        <v>226</v>
      </c>
      <c r="C229" s="20" t="s">
        <v>473</v>
      </c>
      <c r="D229" s="83">
        <v>18.5</v>
      </c>
      <c r="E229" s="229">
        <f t="shared" si="15"/>
        <v>18.5</v>
      </c>
      <c r="F229" s="230">
        <v>20</v>
      </c>
      <c r="G229" s="4">
        <f t="shared" si="16"/>
        <v>100000</v>
      </c>
      <c r="H229" s="231">
        <f t="shared" si="17"/>
        <v>370</v>
      </c>
      <c r="I229" s="143">
        <f t="shared" si="18"/>
        <v>2.2023809523809526E-4</v>
      </c>
      <c r="J229" s="75">
        <f t="shared" si="19"/>
        <v>1.85E-4</v>
      </c>
      <c r="K229" s="228"/>
      <c r="L229" s="100"/>
      <c r="M229" s="100"/>
      <c r="N229" s="100"/>
      <c r="O229" s="100"/>
      <c r="P229" s="228"/>
      <c r="Q229" s="228"/>
      <c r="R229" s="228"/>
      <c r="S229" s="228"/>
      <c r="T229" s="228"/>
      <c r="U229" s="228"/>
      <c r="V229" s="228"/>
      <c r="W229" s="228"/>
      <c r="X229" s="228"/>
    </row>
    <row r="230" spans="1:24" ht="16.2" customHeight="1">
      <c r="A230" s="228"/>
      <c r="B230" s="19">
        <v>227</v>
      </c>
      <c r="C230" s="20" t="s">
        <v>474</v>
      </c>
      <c r="D230" s="83">
        <v>18.2</v>
      </c>
      <c r="E230" s="229">
        <f t="shared" si="15"/>
        <v>18.2</v>
      </c>
      <c r="F230" s="230">
        <v>100</v>
      </c>
      <c r="G230" s="4">
        <f t="shared" si="16"/>
        <v>20000</v>
      </c>
      <c r="H230" s="231">
        <f t="shared" si="17"/>
        <v>1820</v>
      </c>
      <c r="I230" s="143">
        <f t="shared" si="18"/>
        <v>1.0833333333333335E-3</v>
      </c>
      <c r="J230" s="75">
        <f t="shared" si="19"/>
        <v>9.1E-4</v>
      </c>
      <c r="K230" s="228"/>
      <c r="L230" s="100"/>
      <c r="M230" s="100"/>
      <c r="N230" s="100"/>
      <c r="O230" s="100"/>
      <c r="P230" s="228"/>
      <c r="Q230" s="228"/>
      <c r="R230" s="228"/>
      <c r="S230" s="228"/>
      <c r="T230" s="228"/>
      <c r="U230" s="228"/>
      <c r="V230" s="228"/>
      <c r="W230" s="228"/>
      <c r="X230" s="228"/>
    </row>
    <row r="231" spans="1:24" ht="16.2" customHeight="1">
      <c r="A231" s="228"/>
      <c r="B231" s="19">
        <v>228</v>
      </c>
      <c r="C231" s="20" t="s">
        <v>475</v>
      </c>
      <c r="D231" s="83">
        <v>18.100000000000001</v>
      </c>
      <c r="E231" s="229">
        <f t="shared" si="15"/>
        <v>18.100000000000001</v>
      </c>
      <c r="F231" s="230">
        <v>10</v>
      </c>
      <c r="G231" s="4">
        <f t="shared" si="16"/>
        <v>200000</v>
      </c>
      <c r="H231" s="231">
        <f t="shared" si="17"/>
        <v>181</v>
      </c>
      <c r="I231" s="143">
        <f t="shared" si="18"/>
        <v>1.0773809523809525E-4</v>
      </c>
      <c r="J231" s="75">
        <f t="shared" si="19"/>
        <v>9.0500000000000004E-5</v>
      </c>
      <c r="K231" s="228"/>
      <c r="L231" s="100"/>
      <c r="M231" s="100"/>
      <c r="N231" s="100"/>
      <c r="O231" s="100"/>
      <c r="P231" s="228"/>
      <c r="Q231" s="228"/>
      <c r="R231" s="228"/>
      <c r="S231" s="228"/>
      <c r="T231" s="228"/>
      <c r="U231" s="228"/>
      <c r="V231" s="228"/>
      <c r="W231" s="228"/>
      <c r="X231" s="228"/>
    </row>
    <row r="232" spans="1:24" ht="16.2" customHeight="1">
      <c r="A232" s="228"/>
      <c r="B232" s="19">
        <v>229</v>
      </c>
      <c r="C232" s="20" t="s">
        <v>476</v>
      </c>
      <c r="D232" s="83">
        <v>18.100000000000001</v>
      </c>
      <c r="E232" s="229">
        <f t="shared" si="15"/>
        <v>18.100000000000001</v>
      </c>
      <c r="F232" s="230">
        <v>50</v>
      </c>
      <c r="G232" s="4">
        <f t="shared" si="16"/>
        <v>40000</v>
      </c>
      <c r="H232" s="231">
        <f t="shared" si="17"/>
        <v>905.00000000000011</v>
      </c>
      <c r="I232" s="143">
        <f t="shared" si="18"/>
        <v>5.3869047619047635E-4</v>
      </c>
      <c r="J232" s="75">
        <f t="shared" si="19"/>
        <v>4.5250000000000005E-4</v>
      </c>
      <c r="K232" s="228"/>
      <c r="L232" s="100"/>
      <c r="M232" s="100"/>
      <c r="N232" s="100"/>
      <c r="O232" s="100"/>
      <c r="P232" s="228"/>
      <c r="Q232" s="228"/>
      <c r="R232" s="228"/>
      <c r="S232" s="228"/>
      <c r="T232" s="228"/>
      <c r="U232" s="228"/>
      <c r="V232" s="228"/>
      <c r="W232" s="228"/>
      <c r="X232" s="228"/>
    </row>
    <row r="233" spans="1:24" ht="16.2" customHeight="1">
      <c r="A233" s="228"/>
      <c r="B233" s="19">
        <v>230</v>
      </c>
      <c r="C233" s="20" t="s">
        <v>477</v>
      </c>
      <c r="D233" s="83">
        <v>18.100000000000001</v>
      </c>
      <c r="E233" s="229">
        <f t="shared" si="15"/>
        <v>18.100000000000001</v>
      </c>
      <c r="F233" s="230">
        <v>7</v>
      </c>
      <c r="G233" s="4">
        <f t="shared" si="16"/>
        <v>285714.28571428574</v>
      </c>
      <c r="H233" s="231">
        <f t="shared" si="17"/>
        <v>126.70000000000002</v>
      </c>
      <c r="I233" s="143">
        <f t="shared" si="18"/>
        <v>7.5416666666666693E-5</v>
      </c>
      <c r="J233" s="75">
        <f t="shared" si="19"/>
        <v>6.3350000000000008E-5</v>
      </c>
      <c r="K233" s="228"/>
      <c r="L233" s="100"/>
      <c r="M233" s="100"/>
      <c r="N233" s="100"/>
      <c r="O233" s="100"/>
      <c r="P233" s="228"/>
      <c r="Q233" s="228"/>
      <c r="R233" s="228"/>
      <c r="S233" s="228"/>
      <c r="T233" s="228"/>
      <c r="U233" s="228"/>
      <c r="V233" s="228"/>
      <c r="W233" s="228"/>
      <c r="X233" s="228"/>
    </row>
    <row r="234" spans="1:24" ht="16.2" customHeight="1">
      <c r="A234" s="228"/>
      <c r="B234" s="19">
        <v>231</v>
      </c>
      <c r="C234" s="20" t="s">
        <v>478</v>
      </c>
      <c r="D234" s="83">
        <v>18.100000000000001</v>
      </c>
      <c r="E234" s="229">
        <f t="shared" si="15"/>
        <v>18.100000000000001</v>
      </c>
      <c r="F234" s="230">
        <v>7</v>
      </c>
      <c r="G234" s="4">
        <f t="shared" si="16"/>
        <v>285714.28571428574</v>
      </c>
      <c r="H234" s="231">
        <f t="shared" si="17"/>
        <v>126.70000000000002</v>
      </c>
      <c r="I234" s="143">
        <f t="shared" si="18"/>
        <v>7.5416666666666693E-5</v>
      </c>
      <c r="J234" s="75">
        <f t="shared" si="19"/>
        <v>6.3350000000000008E-5</v>
      </c>
      <c r="K234" s="228"/>
      <c r="L234" s="100"/>
      <c r="M234" s="100"/>
      <c r="N234" s="100"/>
      <c r="O234" s="100"/>
      <c r="P234" s="228"/>
      <c r="Q234" s="228"/>
      <c r="R234" s="228"/>
      <c r="S234" s="228"/>
      <c r="T234" s="228"/>
      <c r="U234" s="228"/>
      <c r="V234" s="228"/>
      <c r="W234" s="228"/>
      <c r="X234" s="228"/>
    </row>
    <row r="235" spans="1:24" ht="16.2" customHeight="1">
      <c r="A235" s="228"/>
      <c r="B235" s="19">
        <v>232</v>
      </c>
      <c r="C235" s="20" t="s">
        <v>479</v>
      </c>
      <c r="D235" s="83">
        <v>18.100000000000001</v>
      </c>
      <c r="E235" s="229">
        <f t="shared" si="15"/>
        <v>18.100000000000001</v>
      </c>
      <c r="F235" s="230">
        <v>7</v>
      </c>
      <c r="G235" s="4">
        <f t="shared" si="16"/>
        <v>285714.28571428574</v>
      </c>
      <c r="H235" s="231">
        <f t="shared" si="17"/>
        <v>126.70000000000002</v>
      </c>
      <c r="I235" s="143">
        <f t="shared" si="18"/>
        <v>7.5416666666666693E-5</v>
      </c>
      <c r="J235" s="75">
        <f t="shared" si="19"/>
        <v>6.3350000000000008E-5</v>
      </c>
      <c r="K235" s="228"/>
      <c r="L235" s="100"/>
      <c r="M235" s="100"/>
      <c r="N235" s="100"/>
      <c r="O235" s="100"/>
      <c r="P235" s="228"/>
      <c r="Q235" s="228"/>
      <c r="R235" s="228"/>
      <c r="S235" s="228"/>
      <c r="T235" s="228"/>
      <c r="U235" s="228"/>
      <c r="V235" s="228"/>
      <c r="W235" s="228"/>
      <c r="X235" s="228"/>
    </row>
    <row r="236" spans="1:24" ht="16.2" customHeight="1">
      <c r="A236" s="228"/>
      <c r="B236" s="19">
        <v>233</v>
      </c>
      <c r="C236" s="20" t="s">
        <v>480</v>
      </c>
      <c r="D236" s="83">
        <v>18</v>
      </c>
      <c r="E236" s="229">
        <f t="shared" si="15"/>
        <v>18</v>
      </c>
      <c r="F236" s="230">
        <v>50</v>
      </c>
      <c r="G236" s="4">
        <f t="shared" si="16"/>
        <v>40000</v>
      </c>
      <c r="H236" s="231">
        <f t="shared" si="17"/>
        <v>900</v>
      </c>
      <c r="I236" s="143">
        <f t="shared" si="18"/>
        <v>5.3571428571428574E-4</v>
      </c>
      <c r="J236" s="75">
        <f t="shared" si="19"/>
        <v>4.4999999999999999E-4</v>
      </c>
      <c r="K236" s="228"/>
      <c r="L236" s="100"/>
      <c r="M236" s="100"/>
      <c r="N236" s="100"/>
      <c r="O236" s="100"/>
      <c r="P236" s="228"/>
      <c r="Q236" s="228"/>
      <c r="R236" s="228"/>
      <c r="S236" s="228"/>
      <c r="T236" s="228"/>
      <c r="U236" s="228"/>
      <c r="V236" s="228"/>
      <c r="W236" s="228"/>
      <c r="X236" s="228"/>
    </row>
    <row r="237" spans="1:24" ht="16.2" customHeight="1">
      <c r="A237" s="228"/>
      <c r="B237" s="19">
        <v>234</v>
      </c>
      <c r="C237" s="20" t="s">
        <v>481</v>
      </c>
      <c r="D237" s="83">
        <v>18</v>
      </c>
      <c r="E237" s="229">
        <f t="shared" si="15"/>
        <v>18</v>
      </c>
      <c r="F237" s="230">
        <v>100</v>
      </c>
      <c r="G237" s="4">
        <f t="shared" si="16"/>
        <v>20000</v>
      </c>
      <c r="H237" s="231">
        <f t="shared" si="17"/>
        <v>1800</v>
      </c>
      <c r="I237" s="143">
        <f t="shared" si="18"/>
        <v>1.0714285714285715E-3</v>
      </c>
      <c r="J237" s="75">
        <f t="shared" si="19"/>
        <v>8.9999999999999998E-4</v>
      </c>
      <c r="K237" s="228"/>
      <c r="L237" s="100"/>
      <c r="M237" s="100"/>
      <c r="N237" s="100"/>
      <c r="O237" s="100"/>
      <c r="P237" s="228"/>
      <c r="Q237" s="228"/>
      <c r="R237" s="228"/>
      <c r="S237" s="228"/>
      <c r="T237" s="228"/>
      <c r="U237" s="228"/>
      <c r="V237" s="228"/>
      <c r="W237" s="228"/>
      <c r="X237" s="228"/>
    </row>
    <row r="238" spans="1:24" ht="16.2" customHeight="1">
      <c r="A238" s="228"/>
      <c r="B238" s="19">
        <v>235</v>
      </c>
      <c r="C238" s="20" t="s">
        <v>482</v>
      </c>
      <c r="D238" s="83">
        <v>17.7</v>
      </c>
      <c r="E238" s="229">
        <f t="shared" si="15"/>
        <v>17.7</v>
      </c>
      <c r="F238" s="230">
        <v>400</v>
      </c>
      <c r="G238" s="4">
        <f t="shared" si="16"/>
        <v>5000</v>
      </c>
      <c r="H238" s="231">
        <f t="shared" si="17"/>
        <v>7080</v>
      </c>
      <c r="I238" s="143">
        <f t="shared" si="18"/>
        <v>4.2142857142857147E-3</v>
      </c>
      <c r="J238" s="75">
        <f t="shared" si="19"/>
        <v>3.5400000000000002E-3</v>
      </c>
      <c r="K238" s="228"/>
      <c r="L238" s="100"/>
      <c r="M238" s="100"/>
      <c r="N238" s="100"/>
      <c r="O238" s="100"/>
      <c r="P238" s="228"/>
      <c r="Q238" s="228"/>
      <c r="R238" s="228"/>
      <c r="S238" s="228"/>
      <c r="T238" s="228"/>
      <c r="U238" s="228"/>
      <c r="V238" s="228"/>
      <c r="W238" s="228"/>
      <c r="X238" s="228"/>
    </row>
    <row r="239" spans="1:24" ht="16.2" customHeight="1">
      <c r="A239" s="228"/>
      <c r="B239" s="19">
        <v>236</v>
      </c>
      <c r="C239" s="20" t="s">
        <v>483</v>
      </c>
      <c r="D239" s="83">
        <v>17.2</v>
      </c>
      <c r="E239" s="229">
        <f t="shared" si="15"/>
        <v>17.2</v>
      </c>
      <c r="F239" s="230">
        <v>600</v>
      </c>
      <c r="G239" s="4">
        <f t="shared" si="16"/>
        <v>3333.3333333333335</v>
      </c>
      <c r="H239" s="231">
        <f t="shared" si="17"/>
        <v>10320</v>
      </c>
      <c r="I239" s="143">
        <f t="shared" si="18"/>
        <v>6.1428571428571435E-3</v>
      </c>
      <c r="J239" s="75">
        <f t="shared" si="19"/>
        <v>5.1599999999999997E-3</v>
      </c>
      <c r="K239" s="228"/>
      <c r="L239" s="100"/>
      <c r="M239" s="100"/>
      <c r="N239" s="100"/>
      <c r="O239" s="100"/>
      <c r="P239" s="228"/>
      <c r="Q239" s="228"/>
      <c r="R239" s="228"/>
      <c r="S239" s="228"/>
      <c r="T239" s="228"/>
      <c r="U239" s="228"/>
      <c r="V239" s="228"/>
      <c r="W239" s="228"/>
      <c r="X239" s="228"/>
    </row>
    <row r="240" spans="1:24" ht="16.2" customHeight="1">
      <c r="A240" s="228"/>
      <c r="B240" s="19">
        <v>237</v>
      </c>
      <c r="C240" s="20" t="s">
        <v>484</v>
      </c>
      <c r="D240" s="83">
        <v>17.100000000000001</v>
      </c>
      <c r="E240" s="229">
        <f t="shared" si="15"/>
        <v>17.100000000000001</v>
      </c>
      <c r="F240" s="230">
        <v>10</v>
      </c>
      <c r="G240" s="4">
        <f t="shared" si="16"/>
        <v>200000</v>
      </c>
      <c r="H240" s="231">
        <f t="shared" si="17"/>
        <v>171</v>
      </c>
      <c r="I240" s="143">
        <f t="shared" si="18"/>
        <v>1.017857142857143E-4</v>
      </c>
      <c r="J240" s="75">
        <f t="shared" si="19"/>
        <v>8.5500000000000005E-5</v>
      </c>
      <c r="K240" s="228"/>
      <c r="L240" s="100"/>
      <c r="M240" s="100"/>
      <c r="N240" s="100"/>
      <c r="O240" s="100"/>
      <c r="P240" s="228"/>
      <c r="Q240" s="228"/>
      <c r="R240" s="228"/>
      <c r="S240" s="228"/>
      <c r="T240" s="228"/>
      <c r="U240" s="228"/>
      <c r="V240" s="228"/>
      <c r="W240" s="228"/>
      <c r="X240" s="228"/>
    </row>
    <row r="241" spans="1:24" ht="16.2" customHeight="1">
      <c r="A241" s="228"/>
      <c r="B241" s="19">
        <v>238</v>
      </c>
      <c r="C241" s="20" t="s">
        <v>485</v>
      </c>
      <c r="D241" s="83">
        <v>17.100000000000001</v>
      </c>
      <c r="E241" s="229">
        <f t="shared" si="15"/>
        <v>17.100000000000001</v>
      </c>
      <c r="F241" s="230">
        <v>50</v>
      </c>
      <c r="G241" s="4">
        <f t="shared" si="16"/>
        <v>40000</v>
      </c>
      <c r="H241" s="231">
        <f t="shared" si="17"/>
        <v>855.00000000000011</v>
      </c>
      <c r="I241" s="143">
        <f t="shared" si="18"/>
        <v>5.0892857142857152E-4</v>
      </c>
      <c r="J241" s="75">
        <f t="shared" si="19"/>
        <v>4.2750000000000004E-4</v>
      </c>
      <c r="K241" s="228"/>
      <c r="L241" s="100"/>
      <c r="M241" s="100"/>
      <c r="N241" s="100"/>
      <c r="O241" s="100"/>
      <c r="P241" s="228"/>
      <c r="Q241" s="228"/>
      <c r="R241" s="228"/>
      <c r="S241" s="228"/>
      <c r="T241" s="228"/>
      <c r="U241" s="228"/>
      <c r="V241" s="228"/>
      <c r="W241" s="228"/>
      <c r="X241" s="228"/>
    </row>
    <row r="242" spans="1:24" ht="16.2" customHeight="1">
      <c r="A242" s="228"/>
      <c r="B242" s="19">
        <v>239</v>
      </c>
      <c r="C242" s="20" t="s">
        <v>486</v>
      </c>
      <c r="D242" s="83">
        <v>17.100000000000001</v>
      </c>
      <c r="E242" s="229">
        <f t="shared" si="15"/>
        <v>17.100000000000001</v>
      </c>
      <c r="F242" s="230">
        <v>100</v>
      </c>
      <c r="G242" s="4">
        <f t="shared" si="16"/>
        <v>20000</v>
      </c>
      <c r="H242" s="231">
        <f t="shared" si="17"/>
        <v>1710.0000000000002</v>
      </c>
      <c r="I242" s="143">
        <f t="shared" si="18"/>
        <v>1.017857142857143E-3</v>
      </c>
      <c r="J242" s="75">
        <f t="shared" si="19"/>
        <v>8.5500000000000007E-4</v>
      </c>
      <c r="K242" s="228"/>
      <c r="L242" s="100"/>
      <c r="M242" s="100"/>
      <c r="N242" s="100"/>
      <c r="O242" s="100"/>
      <c r="P242" s="228"/>
      <c r="Q242" s="228"/>
      <c r="R242" s="228"/>
      <c r="S242" s="228"/>
      <c r="T242" s="228"/>
      <c r="U242" s="228"/>
      <c r="V242" s="228"/>
      <c r="W242" s="228"/>
      <c r="X242" s="228"/>
    </row>
    <row r="243" spans="1:24" ht="16.2" customHeight="1">
      <c r="A243" s="228"/>
      <c r="B243" s="19">
        <v>240</v>
      </c>
      <c r="C243" s="20" t="s">
        <v>487</v>
      </c>
      <c r="D243" s="83">
        <v>17</v>
      </c>
      <c r="E243" s="229">
        <f t="shared" si="15"/>
        <v>17</v>
      </c>
      <c r="F243" s="230">
        <v>50</v>
      </c>
      <c r="G243" s="4">
        <f t="shared" si="16"/>
        <v>40000</v>
      </c>
      <c r="H243" s="231">
        <f t="shared" si="17"/>
        <v>850</v>
      </c>
      <c r="I243" s="143">
        <f t="shared" si="18"/>
        <v>5.0595238095238102E-4</v>
      </c>
      <c r="J243" s="75">
        <f t="shared" si="19"/>
        <v>4.2499999999999998E-4</v>
      </c>
      <c r="K243" s="228"/>
      <c r="L243" s="100"/>
      <c r="M243" s="100"/>
      <c r="N243" s="100"/>
      <c r="O243" s="100"/>
      <c r="P243" s="228"/>
      <c r="Q243" s="228"/>
      <c r="R243" s="228"/>
      <c r="S243" s="228"/>
      <c r="T243" s="228"/>
      <c r="U243" s="228"/>
      <c r="V243" s="228"/>
      <c r="W243" s="228"/>
      <c r="X243" s="228"/>
    </row>
    <row r="244" spans="1:24" ht="16.2" customHeight="1">
      <c r="A244" s="228"/>
      <c r="B244" s="19">
        <v>241</v>
      </c>
      <c r="C244" s="20" t="s">
        <v>488</v>
      </c>
      <c r="D244" s="83">
        <v>17</v>
      </c>
      <c r="E244" s="229">
        <f t="shared" si="15"/>
        <v>17</v>
      </c>
      <c r="F244" s="230">
        <v>50</v>
      </c>
      <c r="G244" s="4">
        <f t="shared" si="16"/>
        <v>40000</v>
      </c>
      <c r="H244" s="231">
        <f t="shared" si="17"/>
        <v>850</v>
      </c>
      <c r="I244" s="143">
        <f t="shared" si="18"/>
        <v>5.0595238095238102E-4</v>
      </c>
      <c r="J244" s="75">
        <f t="shared" si="19"/>
        <v>4.2499999999999998E-4</v>
      </c>
      <c r="K244" s="228"/>
      <c r="L244" s="100"/>
      <c r="M244" s="100"/>
      <c r="N244" s="100"/>
      <c r="O244" s="100"/>
      <c r="P244" s="228"/>
      <c r="Q244" s="228"/>
      <c r="R244" s="228"/>
      <c r="S244" s="228"/>
      <c r="T244" s="228"/>
      <c r="U244" s="228"/>
      <c r="V244" s="228"/>
      <c r="W244" s="228"/>
      <c r="X244" s="228"/>
    </row>
    <row r="245" spans="1:24" ht="16.2" customHeight="1">
      <c r="A245" s="228"/>
      <c r="B245" s="19">
        <v>242</v>
      </c>
      <c r="C245" s="20" t="s">
        <v>489</v>
      </c>
      <c r="D245" s="83">
        <v>17</v>
      </c>
      <c r="E245" s="229">
        <f t="shared" si="15"/>
        <v>17</v>
      </c>
      <c r="F245" s="230">
        <v>100</v>
      </c>
      <c r="G245" s="4">
        <f t="shared" si="16"/>
        <v>20000</v>
      </c>
      <c r="H245" s="231">
        <f t="shared" si="17"/>
        <v>1700</v>
      </c>
      <c r="I245" s="143">
        <f t="shared" si="18"/>
        <v>1.011904761904762E-3</v>
      </c>
      <c r="J245" s="75">
        <f t="shared" si="19"/>
        <v>8.4999999999999995E-4</v>
      </c>
      <c r="K245" s="228"/>
      <c r="L245" s="100"/>
      <c r="M245" s="100"/>
      <c r="N245" s="100"/>
      <c r="O245" s="100"/>
      <c r="P245" s="228"/>
      <c r="Q245" s="232"/>
      <c r="R245" s="232"/>
      <c r="S245" s="232"/>
      <c r="T245" s="232"/>
      <c r="U245" s="232"/>
      <c r="V245" s="232"/>
      <c r="W245" s="228"/>
      <c r="X245" s="232"/>
    </row>
    <row r="246" spans="1:24" ht="16.2" customHeight="1">
      <c r="A246" s="228"/>
      <c r="B246" s="19">
        <v>243</v>
      </c>
      <c r="C246" s="20" t="s">
        <v>490</v>
      </c>
      <c r="D246" s="83">
        <v>17</v>
      </c>
      <c r="E246" s="229">
        <f t="shared" si="15"/>
        <v>17</v>
      </c>
      <c r="F246" s="230">
        <v>5</v>
      </c>
      <c r="G246" s="4">
        <f t="shared" si="16"/>
        <v>400000</v>
      </c>
      <c r="H246" s="231">
        <f t="shared" si="17"/>
        <v>85</v>
      </c>
      <c r="I246" s="143">
        <f t="shared" si="18"/>
        <v>5.0595238095238105E-5</v>
      </c>
      <c r="J246" s="75">
        <f t="shared" si="19"/>
        <v>4.2500000000000003E-5</v>
      </c>
      <c r="K246" s="228"/>
      <c r="L246" s="100"/>
      <c r="M246" s="100"/>
      <c r="N246" s="100"/>
      <c r="O246" s="100"/>
      <c r="P246" s="228"/>
      <c r="Q246" s="232"/>
      <c r="R246" s="232"/>
      <c r="S246" s="232"/>
      <c r="T246" s="232"/>
      <c r="U246" s="232"/>
      <c r="V246" s="232"/>
      <c r="W246" s="228"/>
      <c r="X246" s="232"/>
    </row>
    <row r="247" spans="1:24" ht="16.2" customHeight="1">
      <c r="A247" s="228"/>
      <c r="B247" s="19">
        <v>244</v>
      </c>
      <c r="C247" s="20" t="s">
        <v>491</v>
      </c>
      <c r="D247" s="83">
        <v>17</v>
      </c>
      <c r="E247" s="229">
        <f t="shared" si="15"/>
        <v>17</v>
      </c>
      <c r="F247" s="230">
        <v>5</v>
      </c>
      <c r="G247" s="4">
        <f t="shared" si="16"/>
        <v>400000</v>
      </c>
      <c r="H247" s="231">
        <f t="shared" si="17"/>
        <v>85</v>
      </c>
      <c r="I247" s="143">
        <f t="shared" si="18"/>
        <v>5.0595238095238105E-5</v>
      </c>
      <c r="J247" s="75">
        <f t="shared" si="19"/>
        <v>4.2500000000000003E-5</v>
      </c>
      <c r="K247" s="228"/>
      <c r="L247" s="100"/>
      <c r="M247" s="100"/>
      <c r="N247" s="100"/>
      <c r="O247" s="100"/>
      <c r="P247" s="228"/>
      <c r="Q247" s="228"/>
      <c r="R247" s="228"/>
      <c r="S247" s="228"/>
      <c r="T247" s="228"/>
      <c r="U247" s="232"/>
      <c r="V247" s="228"/>
      <c r="W247" s="228"/>
      <c r="X247" s="232"/>
    </row>
    <row r="248" spans="1:24" ht="16.2" customHeight="1">
      <c r="A248" s="228"/>
      <c r="B248" s="19">
        <v>245</v>
      </c>
      <c r="C248" s="20" t="s">
        <v>492</v>
      </c>
      <c r="D248" s="83">
        <v>17</v>
      </c>
      <c r="E248" s="229">
        <f t="shared" si="15"/>
        <v>17</v>
      </c>
      <c r="F248" s="230">
        <v>5</v>
      </c>
      <c r="G248" s="4">
        <f t="shared" si="16"/>
        <v>400000</v>
      </c>
      <c r="H248" s="231">
        <f t="shared" si="17"/>
        <v>85</v>
      </c>
      <c r="I248" s="143">
        <f t="shared" si="18"/>
        <v>5.0595238095238105E-5</v>
      </c>
      <c r="J248" s="75">
        <f t="shared" si="19"/>
        <v>4.2500000000000003E-5</v>
      </c>
      <c r="K248" s="228"/>
      <c r="L248" s="100"/>
      <c r="M248" s="100"/>
      <c r="N248" s="100"/>
      <c r="O248" s="100"/>
      <c r="P248" s="228"/>
      <c r="Q248" s="228"/>
      <c r="R248" s="228"/>
      <c r="S248" s="228"/>
      <c r="T248" s="228"/>
      <c r="U248" s="228"/>
      <c r="V248" s="228"/>
      <c r="W248" s="228"/>
      <c r="X248" s="228"/>
    </row>
    <row r="249" spans="1:24" ht="16.2" customHeight="1">
      <c r="A249" s="228"/>
      <c r="B249" s="19">
        <v>246</v>
      </c>
      <c r="C249" s="20" t="s">
        <v>493</v>
      </c>
      <c r="D249" s="83">
        <v>16.7</v>
      </c>
      <c r="E249" s="229">
        <f t="shared" si="15"/>
        <v>16.7</v>
      </c>
      <c r="F249" s="230">
        <v>100</v>
      </c>
      <c r="G249" s="4">
        <f t="shared" si="16"/>
        <v>20000</v>
      </c>
      <c r="H249" s="231">
        <f t="shared" si="17"/>
        <v>1670</v>
      </c>
      <c r="I249" s="143">
        <f t="shared" si="18"/>
        <v>9.9404761904761923E-4</v>
      </c>
      <c r="J249" s="75">
        <f t="shared" si="19"/>
        <v>8.3500000000000002E-4</v>
      </c>
      <c r="K249" s="228"/>
      <c r="L249" s="100"/>
      <c r="M249" s="100"/>
      <c r="N249" s="100"/>
      <c r="O249" s="100"/>
      <c r="P249" s="228"/>
      <c r="Q249" s="228"/>
      <c r="R249" s="228"/>
      <c r="S249" s="228"/>
      <c r="T249" s="228"/>
      <c r="U249" s="228"/>
      <c r="V249" s="228"/>
      <c r="W249" s="228"/>
      <c r="X249" s="228"/>
    </row>
    <row r="250" spans="1:24" ht="16.2" customHeight="1">
      <c r="A250" s="228"/>
      <c r="B250" s="19">
        <v>247</v>
      </c>
      <c r="C250" s="20" t="s">
        <v>494</v>
      </c>
      <c r="D250" s="83">
        <v>16</v>
      </c>
      <c r="E250" s="229">
        <f t="shared" si="15"/>
        <v>16</v>
      </c>
      <c r="F250" s="230">
        <v>497</v>
      </c>
      <c r="G250" s="4">
        <f t="shared" si="16"/>
        <v>4024.1448692152917</v>
      </c>
      <c r="H250" s="231">
        <f t="shared" si="17"/>
        <v>7952</v>
      </c>
      <c r="I250" s="143">
        <f t="shared" si="18"/>
        <v>4.7333333333333342E-3</v>
      </c>
      <c r="J250" s="75">
        <f t="shared" si="19"/>
        <v>3.9760000000000004E-3</v>
      </c>
      <c r="K250" s="228"/>
      <c r="L250" s="100"/>
      <c r="M250" s="100"/>
      <c r="N250" s="100"/>
      <c r="O250" s="100"/>
      <c r="P250" s="228"/>
      <c r="Q250" s="228"/>
      <c r="R250" s="228"/>
      <c r="S250" s="228"/>
      <c r="T250" s="228"/>
      <c r="U250" s="228"/>
      <c r="V250" s="228"/>
      <c r="W250" s="228"/>
      <c r="X250" s="228"/>
    </row>
    <row r="251" spans="1:24" ht="16.2" customHeight="1">
      <c r="A251" s="228"/>
      <c r="B251" s="19">
        <v>248</v>
      </c>
      <c r="C251" s="20" t="s">
        <v>495</v>
      </c>
      <c r="D251" s="83">
        <v>16</v>
      </c>
      <c r="E251" s="229">
        <f t="shared" si="15"/>
        <v>16</v>
      </c>
      <c r="F251" s="230">
        <v>20</v>
      </c>
      <c r="G251" s="4">
        <f t="shared" si="16"/>
        <v>100000</v>
      </c>
      <c r="H251" s="231">
        <f t="shared" si="17"/>
        <v>320</v>
      </c>
      <c r="I251" s="143">
        <f t="shared" si="18"/>
        <v>1.9047619047619051E-4</v>
      </c>
      <c r="J251" s="75">
        <f t="shared" si="19"/>
        <v>1.6000000000000001E-4</v>
      </c>
      <c r="K251" s="228"/>
      <c r="L251" s="100"/>
      <c r="M251" s="100"/>
      <c r="N251" s="100"/>
      <c r="O251" s="100"/>
      <c r="P251" s="228"/>
      <c r="Q251" s="228"/>
      <c r="R251" s="228"/>
      <c r="S251" s="228"/>
      <c r="T251" s="228"/>
      <c r="U251" s="228"/>
      <c r="V251" s="228"/>
      <c r="W251" s="228"/>
      <c r="X251" s="228"/>
    </row>
    <row r="252" spans="1:24" ht="16.2" customHeight="1">
      <c r="A252" s="228"/>
      <c r="B252" s="19">
        <v>249</v>
      </c>
      <c r="C252" s="20" t="s">
        <v>496</v>
      </c>
      <c r="D252" s="83">
        <v>16</v>
      </c>
      <c r="E252" s="229">
        <f t="shared" si="15"/>
        <v>16</v>
      </c>
      <c r="F252" s="230">
        <v>100</v>
      </c>
      <c r="G252" s="4">
        <f t="shared" si="16"/>
        <v>20000</v>
      </c>
      <c r="H252" s="231">
        <f t="shared" si="17"/>
        <v>1600</v>
      </c>
      <c r="I252" s="143">
        <f t="shared" si="18"/>
        <v>9.5238095238095249E-4</v>
      </c>
      <c r="J252" s="75">
        <f t="shared" si="19"/>
        <v>8.0000000000000004E-4</v>
      </c>
      <c r="K252" s="228"/>
      <c r="L252" s="100"/>
      <c r="M252" s="100"/>
      <c r="N252" s="100"/>
      <c r="O252" s="100"/>
      <c r="P252" s="228"/>
      <c r="Q252" s="228"/>
      <c r="R252" s="228"/>
      <c r="S252" s="228"/>
      <c r="T252" s="228"/>
      <c r="U252" s="228"/>
      <c r="V252" s="228"/>
      <c r="W252" s="228"/>
      <c r="X252" s="228"/>
    </row>
    <row r="253" spans="1:24" ht="16.2" customHeight="1">
      <c r="A253" s="228"/>
      <c r="B253" s="19">
        <v>250</v>
      </c>
      <c r="C253" s="20" t="s">
        <v>497</v>
      </c>
      <c r="D253" s="83">
        <v>16</v>
      </c>
      <c r="E253" s="229">
        <f t="shared" si="15"/>
        <v>16</v>
      </c>
      <c r="F253" s="230">
        <v>80</v>
      </c>
      <c r="G253" s="4">
        <f t="shared" si="16"/>
        <v>25000</v>
      </c>
      <c r="H253" s="231">
        <f t="shared" si="17"/>
        <v>1280</v>
      </c>
      <c r="I253" s="143">
        <f t="shared" si="18"/>
        <v>7.6190476190476203E-4</v>
      </c>
      <c r="J253" s="75">
        <f t="shared" si="19"/>
        <v>6.4000000000000005E-4</v>
      </c>
      <c r="K253" s="228"/>
      <c r="L253" s="100"/>
      <c r="M253" s="100"/>
      <c r="N253" s="100"/>
      <c r="O253" s="100"/>
      <c r="P253" s="228"/>
      <c r="Q253" s="228"/>
      <c r="R253" s="228"/>
      <c r="S253" s="228"/>
      <c r="T253" s="228"/>
      <c r="U253" s="228"/>
      <c r="V253" s="228"/>
      <c r="W253" s="228"/>
      <c r="X253" s="228"/>
    </row>
    <row r="254" spans="1:24" ht="16.2" customHeight="1">
      <c r="A254" s="228"/>
      <c r="B254" s="19">
        <v>251</v>
      </c>
      <c r="C254" s="20" t="s">
        <v>498</v>
      </c>
      <c r="D254" s="83">
        <v>15.3</v>
      </c>
      <c r="E254" s="229">
        <f t="shared" si="15"/>
        <v>15.3</v>
      </c>
      <c r="F254" s="230">
        <v>16</v>
      </c>
      <c r="G254" s="4">
        <f t="shared" si="16"/>
        <v>125000</v>
      </c>
      <c r="H254" s="231">
        <f t="shared" si="17"/>
        <v>244.8</v>
      </c>
      <c r="I254" s="143">
        <f t="shared" si="18"/>
        <v>1.4571428571428575E-4</v>
      </c>
      <c r="J254" s="75">
        <f t="shared" si="19"/>
        <v>1.2239999999999999E-4</v>
      </c>
      <c r="K254" s="228"/>
      <c r="L254" s="100"/>
      <c r="M254" s="100"/>
      <c r="N254" s="100"/>
      <c r="O254" s="100"/>
      <c r="P254" s="228"/>
      <c r="Q254" s="228"/>
      <c r="R254" s="228"/>
      <c r="S254" s="228"/>
      <c r="T254" s="228"/>
      <c r="U254" s="228"/>
      <c r="V254" s="228"/>
      <c r="W254" s="228"/>
      <c r="X254" s="228"/>
    </row>
    <row r="255" spans="1:24" ht="16.2" customHeight="1">
      <c r="A255" s="228"/>
      <c r="B255" s="19">
        <v>252</v>
      </c>
      <c r="C255" s="20" t="s">
        <v>499</v>
      </c>
      <c r="D255" s="83">
        <v>15.2</v>
      </c>
      <c r="E255" s="229">
        <f t="shared" si="15"/>
        <v>15.2</v>
      </c>
      <c r="F255" s="230">
        <v>10</v>
      </c>
      <c r="G255" s="4">
        <f t="shared" si="16"/>
        <v>200000</v>
      </c>
      <c r="H255" s="231">
        <f t="shared" si="17"/>
        <v>152</v>
      </c>
      <c r="I255" s="143">
        <f t="shared" si="18"/>
        <v>9.047619047619049E-5</v>
      </c>
      <c r="J255" s="75">
        <f t="shared" si="19"/>
        <v>7.6000000000000004E-5</v>
      </c>
      <c r="K255" s="228"/>
      <c r="L255" s="100"/>
      <c r="M255" s="100"/>
      <c r="N255" s="100"/>
      <c r="O255" s="100"/>
      <c r="P255" s="228"/>
      <c r="Q255" s="228"/>
      <c r="R255" s="228"/>
      <c r="S255" s="228"/>
      <c r="T255" s="228"/>
      <c r="U255" s="228"/>
      <c r="V255" s="228"/>
      <c r="W255" s="228"/>
      <c r="X255" s="228"/>
    </row>
    <row r="256" spans="1:24" ht="16.2" customHeight="1">
      <c r="A256" s="228"/>
      <c r="B256" s="19">
        <v>253</v>
      </c>
      <c r="C256" s="20" t="s">
        <v>500</v>
      </c>
      <c r="D256" s="83">
        <v>15.1</v>
      </c>
      <c r="E256" s="229">
        <f t="shared" si="15"/>
        <v>15.1</v>
      </c>
      <c r="F256" s="230">
        <v>10</v>
      </c>
      <c r="G256" s="4">
        <f t="shared" si="16"/>
        <v>200000</v>
      </c>
      <c r="H256" s="231">
        <f t="shared" si="17"/>
        <v>151</v>
      </c>
      <c r="I256" s="143">
        <f t="shared" si="18"/>
        <v>8.9880952380952395E-5</v>
      </c>
      <c r="J256" s="75">
        <f t="shared" si="19"/>
        <v>7.5500000000000006E-5</v>
      </c>
      <c r="K256" s="228"/>
      <c r="L256" s="100"/>
      <c r="M256" s="100"/>
      <c r="N256" s="100"/>
      <c r="O256" s="100"/>
      <c r="P256" s="228"/>
      <c r="Q256" s="228"/>
      <c r="R256" s="228"/>
      <c r="S256" s="228"/>
      <c r="T256" s="228"/>
      <c r="U256" s="228"/>
      <c r="V256" s="228"/>
      <c r="W256" s="228"/>
      <c r="X256" s="228"/>
    </row>
    <row r="257" spans="1:24" ht="16.2" customHeight="1">
      <c r="A257" s="228"/>
      <c r="B257" s="19">
        <v>254</v>
      </c>
      <c r="C257" s="20" t="s">
        <v>501</v>
      </c>
      <c r="D257" s="83">
        <v>15.1</v>
      </c>
      <c r="E257" s="229">
        <f t="shared" si="15"/>
        <v>15.1</v>
      </c>
      <c r="F257" s="230">
        <v>100</v>
      </c>
      <c r="G257" s="4">
        <f t="shared" si="16"/>
        <v>20000</v>
      </c>
      <c r="H257" s="231">
        <f t="shared" si="17"/>
        <v>1510</v>
      </c>
      <c r="I257" s="143">
        <f t="shared" si="18"/>
        <v>8.9880952380952395E-4</v>
      </c>
      <c r="J257" s="75">
        <f t="shared" si="19"/>
        <v>7.5500000000000003E-4</v>
      </c>
      <c r="K257" s="228"/>
      <c r="L257" s="100"/>
      <c r="M257" s="100"/>
      <c r="N257" s="100"/>
      <c r="O257" s="100"/>
      <c r="P257" s="228"/>
      <c r="Q257" s="228"/>
      <c r="R257" s="228"/>
      <c r="S257" s="228"/>
      <c r="T257" s="228"/>
      <c r="U257" s="228"/>
      <c r="V257" s="228"/>
      <c r="W257" s="228"/>
      <c r="X257" s="228"/>
    </row>
    <row r="258" spans="1:24" ht="16.2" customHeight="1">
      <c r="A258" s="228"/>
      <c r="B258" s="19">
        <v>255</v>
      </c>
      <c r="C258" s="20" t="s">
        <v>502</v>
      </c>
      <c r="D258" s="83">
        <v>15</v>
      </c>
      <c r="E258" s="229">
        <f t="shared" si="15"/>
        <v>15</v>
      </c>
      <c r="F258" s="230">
        <v>10</v>
      </c>
      <c r="G258" s="4">
        <f t="shared" si="16"/>
        <v>200000</v>
      </c>
      <c r="H258" s="231">
        <f t="shared" si="17"/>
        <v>150</v>
      </c>
      <c r="I258" s="143">
        <f t="shared" si="18"/>
        <v>8.9285714285714299E-5</v>
      </c>
      <c r="J258" s="75">
        <f t="shared" si="19"/>
        <v>7.4999999999999993E-5</v>
      </c>
      <c r="K258" s="228"/>
      <c r="L258" s="100"/>
      <c r="M258" s="100"/>
      <c r="N258" s="100"/>
      <c r="O258" s="100"/>
      <c r="P258" s="228"/>
      <c r="Q258" s="228"/>
      <c r="R258" s="228"/>
      <c r="S258" s="228"/>
      <c r="T258" s="228"/>
      <c r="U258" s="228"/>
      <c r="V258" s="228"/>
      <c r="W258" s="228"/>
      <c r="X258" s="228"/>
    </row>
    <row r="259" spans="1:24" ht="16.2" customHeight="1">
      <c r="A259" s="228"/>
      <c r="B259" s="19">
        <v>256</v>
      </c>
      <c r="C259" s="20" t="s">
        <v>503</v>
      </c>
      <c r="D259" s="83">
        <v>15</v>
      </c>
      <c r="E259" s="229">
        <f t="shared" si="15"/>
        <v>15</v>
      </c>
      <c r="F259" s="230">
        <v>10</v>
      </c>
      <c r="G259" s="4">
        <f t="shared" si="16"/>
        <v>200000</v>
      </c>
      <c r="H259" s="231">
        <f t="shared" si="17"/>
        <v>150</v>
      </c>
      <c r="I259" s="143">
        <f t="shared" si="18"/>
        <v>8.9285714285714299E-5</v>
      </c>
      <c r="J259" s="75">
        <f t="shared" si="19"/>
        <v>7.4999999999999993E-5</v>
      </c>
      <c r="K259" s="228"/>
      <c r="L259" s="100"/>
      <c r="M259" s="100"/>
      <c r="N259" s="100"/>
      <c r="O259" s="100"/>
      <c r="P259" s="228"/>
      <c r="Q259" s="228"/>
      <c r="R259" s="228"/>
      <c r="S259" s="228"/>
      <c r="T259" s="228"/>
      <c r="U259" s="228"/>
      <c r="V259" s="228"/>
      <c r="W259" s="228"/>
      <c r="X259" s="228"/>
    </row>
    <row r="260" spans="1:24" ht="16.2" customHeight="1">
      <c r="A260" s="228"/>
      <c r="B260" s="19">
        <v>257</v>
      </c>
      <c r="C260" s="20" t="s">
        <v>504</v>
      </c>
      <c r="D260" s="83">
        <v>15</v>
      </c>
      <c r="E260" s="229">
        <f t="shared" ref="E260:E323" si="20">D260*$M$7</f>
        <v>15</v>
      </c>
      <c r="F260" s="230">
        <v>100</v>
      </c>
      <c r="G260" s="4">
        <f t="shared" ref="G260:G323" si="21">$M$6/F260</f>
        <v>20000</v>
      </c>
      <c r="H260" s="231">
        <f t="shared" ref="H260:H323" si="22">F260*E260</f>
        <v>1500</v>
      </c>
      <c r="I260" s="143">
        <f t="shared" ref="I260:I323" si="23">H260/$M$9</f>
        <v>8.9285714285714294E-4</v>
      </c>
      <c r="J260" s="75">
        <f t="shared" ref="J260:J323" si="24">H260/$M$8</f>
        <v>7.5000000000000002E-4</v>
      </c>
      <c r="K260" s="228"/>
      <c r="L260" s="100"/>
      <c r="M260" s="100"/>
      <c r="N260" s="100"/>
      <c r="O260" s="100"/>
      <c r="P260" s="228"/>
      <c r="Q260" s="228"/>
      <c r="R260" s="228"/>
      <c r="S260" s="228"/>
      <c r="T260" s="228"/>
      <c r="U260" s="228"/>
      <c r="V260" s="228"/>
      <c r="W260" s="228"/>
      <c r="X260" s="228"/>
    </row>
    <row r="261" spans="1:24" ht="16.2" customHeight="1">
      <c r="A261" s="228"/>
      <c r="B261" s="19">
        <v>258</v>
      </c>
      <c r="C261" s="20" t="s">
        <v>505</v>
      </c>
      <c r="D261" s="83">
        <v>15</v>
      </c>
      <c r="E261" s="229">
        <f t="shared" si="20"/>
        <v>15</v>
      </c>
      <c r="F261" s="230">
        <v>50</v>
      </c>
      <c r="G261" s="4">
        <f t="shared" si="21"/>
        <v>40000</v>
      </c>
      <c r="H261" s="231">
        <f t="shared" si="22"/>
        <v>750</v>
      </c>
      <c r="I261" s="143">
        <f t="shared" si="23"/>
        <v>4.4642857142857147E-4</v>
      </c>
      <c r="J261" s="75">
        <f t="shared" si="24"/>
        <v>3.7500000000000001E-4</v>
      </c>
      <c r="K261" s="228"/>
      <c r="L261" s="100"/>
      <c r="M261" s="100"/>
      <c r="N261" s="100"/>
      <c r="O261" s="100"/>
      <c r="P261" s="228"/>
      <c r="Q261" s="228"/>
      <c r="R261" s="228"/>
      <c r="S261" s="228"/>
      <c r="T261" s="228"/>
      <c r="U261" s="228"/>
      <c r="V261" s="228"/>
      <c r="W261" s="228"/>
      <c r="X261" s="228"/>
    </row>
    <row r="262" spans="1:24" ht="16.2" customHeight="1">
      <c r="A262" s="228"/>
      <c r="B262" s="19">
        <v>259</v>
      </c>
      <c r="C262" s="20" t="s">
        <v>506</v>
      </c>
      <c r="D262" s="83">
        <v>15</v>
      </c>
      <c r="E262" s="229">
        <f t="shared" si="20"/>
        <v>15</v>
      </c>
      <c r="F262" s="230">
        <v>20</v>
      </c>
      <c r="G262" s="4">
        <f t="shared" si="21"/>
        <v>100000</v>
      </c>
      <c r="H262" s="231">
        <f t="shared" si="22"/>
        <v>300</v>
      </c>
      <c r="I262" s="143">
        <f t="shared" si="23"/>
        <v>1.785714285714286E-4</v>
      </c>
      <c r="J262" s="75">
        <f t="shared" si="24"/>
        <v>1.4999999999999999E-4</v>
      </c>
      <c r="K262" s="228"/>
      <c r="L262" s="100"/>
      <c r="M262" s="100"/>
      <c r="N262" s="100"/>
      <c r="O262" s="100"/>
      <c r="P262" s="228"/>
      <c r="Q262" s="228"/>
      <c r="R262" s="228"/>
      <c r="S262" s="228"/>
      <c r="T262" s="228"/>
      <c r="U262" s="228"/>
      <c r="V262" s="228"/>
      <c r="W262" s="228"/>
      <c r="X262" s="228"/>
    </row>
    <row r="263" spans="1:24" ht="16.2" customHeight="1">
      <c r="A263" s="228"/>
      <c r="B263" s="19">
        <v>260</v>
      </c>
      <c r="C263" s="20" t="s">
        <v>507</v>
      </c>
      <c r="D263" s="83">
        <v>15</v>
      </c>
      <c r="E263" s="229">
        <f t="shared" si="20"/>
        <v>15</v>
      </c>
      <c r="F263" s="230">
        <v>13</v>
      </c>
      <c r="G263" s="4">
        <f t="shared" si="21"/>
        <v>153846.15384615384</v>
      </c>
      <c r="H263" s="231">
        <f t="shared" si="22"/>
        <v>195</v>
      </c>
      <c r="I263" s="143">
        <f t="shared" si="23"/>
        <v>1.1607142857142858E-4</v>
      </c>
      <c r="J263" s="75">
        <f t="shared" si="24"/>
        <v>9.7499999999999998E-5</v>
      </c>
      <c r="K263" s="228"/>
      <c r="L263" s="100"/>
      <c r="M263" s="100"/>
      <c r="N263" s="100"/>
      <c r="O263" s="100"/>
      <c r="P263" s="228"/>
      <c r="Q263" s="228"/>
      <c r="R263" s="228"/>
      <c r="S263" s="228"/>
      <c r="T263" s="228"/>
      <c r="U263" s="228"/>
      <c r="V263" s="228"/>
      <c r="W263" s="228"/>
      <c r="X263" s="228"/>
    </row>
    <row r="264" spans="1:24" ht="16.2" customHeight="1">
      <c r="A264" s="228"/>
      <c r="B264" s="19">
        <v>261</v>
      </c>
      <c r="C264" s="20" t="s">
        <v>508</v>
      </c>
      <c r="D264" s="83">
        <v>15</v>
      </c>
      <c r="E264" s="229">
        <f t="shared" si="20"/>
        <v>15</v>
      </c>
      <c r="F264" s="230">
        <v>13</v>
      </c>
      <c r="G264" s="4">
        <f t="shared" si="21"/>
        <v>153846.15384615384</v>
      </c>
      <c r="H264" s="231">
        <f t="shared" si="22"/>
        <v>195</v>
      </c>
      <c r="I264" s="143">
        <f t="shared" si="23"/>
        <v>1.1607142857142858E-4</v>
      </c>
      <c r="J264" s="75">
        <f t="shared" si="24"/>
        <v>9.7499999999999998E-5</v>
      </c>
      <c r="K264" s="228"/>
      <c r="L264" s="100"/>
      <c r="M264" s="100"/>
      <c r="N264" s="100"/>
      <c r="O264" s="100"/>
      <c r="P264" s="228"/>
      <c r="Q264" s="228"/>
      <c r="R264" s="228"/>
      <c r="S264" s="228"/>
      <c r="T264" s="228"/>
      <c r="U264" s="228"/>
      <c r="V264" s="228"/>
      <c r="W264" s="228"/>
      <c r="X264" s="228"/>
    </row>
    <row r="265" spans="1:24" ht="16.2" customHeight="1">
      <c r="A265" s="228"/>
      <c r="B265" s="19">
        <v>262</v>
      </c>
      <c r="C265" s="20" t="s">
        <v>509</v>
      </c>
      <c r="D265" s="83">
        <v>15</v>
      </c>
      <c r="E265" s="229">
        <f t="shared" si="20"/>
        <v>15</v>
      </c>
      <c r="F265" s="230">
        <v>13</v>
      </c>
      <c r="G265" s="4">
        <f t="shared" si="21"/>
        <v>153846.15384615384</v>
      </c>
      <c r="H265" s="231">
        <f t="shared" si="22"/>
        <v>195</v>
      </c>
      <c r="I265" s="143">
        <f t="shared" si="23"/>
        <v>1.1607142857142858E-4</v>
      </c>
      <c r="J265" s="75">
        <f t="shared" si="24"/>
        <v>9.7499999999999998E-5</v>
      </c>
      <c r="K265" s="228"/>
      <c r="L265" s="100"/>
      <c r="M265" s="100"/>
      <c r="N265" s="100"/>
      <c r="O265" s="100"/>
      <c r="P265" s="228"/>
      <c r="Q265" s="228"/>
      <c r="R265" s="228"/>
      <c r="S265" s="228"/>
      <c r="T265" s="228"/>
      <c r="U265" s="228"/>
      <c r="V265" s="228"/>
      <c r="W265" s="228"/>
      <c r="X265" s="228"/>
    </row>
    <row r="266" spans="1:24" ht="16.2" customHeight="1">
      <c r="A266" s="228"/>
      <c r="B266" s="19">
        <v>263</v>
      </c>
      <c r="C266" s="20" t="s">
        <v>510</v>
      </c>
      <c r="D266" s="83">
        <v>15</v>
      </c>
      <c r="E266" s="229">
        <f t="shared" si="20"/>
        <v>15</v>
      </c>
      <c r="F266" s="230">
        <v>2000</v>
      </c>
      <c r="G266" s="4">
        <f t="shared" si="21"/>
        <v>1000</v>
      </c>
      <c r="H266" s="231">
        <f t="shared" si="22"/>
        <v>30000</v>
      </c>
      <c r="I266" s="143">
        <f t="shared" si="23"/>
        <v>1.785714285714286E-2</v>
      </c>
      <c r="J266" s="75">
        <f t="shared" si="24"/>
        <v>1.4999999999999999E-2</v>
      </c>
      <c r="K266" s="228"/>
      <c r="L266" s="100"/>
      <c r="M266" s="100"/>
      <c r="N266" s="100"/>
      <c r="O266" s="100"/>
      <c r="P266" s="228"/>
      <c r="Q266" s="228"/>
      <c r="R266" s="228"/>
      <c r="S266" s="228"/>
      <c r="T266" s="228"/>
      <c r="U266" s="228"/>
      <c r="V266" s="228"/>
      <c r="W266" s="228"/>
      <c r="X266" s="228"/>
    </row>
    <row r="267" spans="1:24" ht="16.2" customHeight="1">
      <c r="A267" s="228"/>
      <c r="B267" s="19">
        <v>264</v>
      </c>
      <c r="C267" s="20" t="s">
        <v>511</v>
      </c>
      <c r="D267" s="83">
        <v>15</v>
      </c>
      <c r="E267" s="229">
        <f t="shared" si="20"/>
        <v>15</v>
      </c>
      <c r="F267" s="230">
        <v>2000</v>
      </c>
      <c r="G267" s="4">
        <f t="shared" si="21"/>
        <v>1000</v>
      </c>
      <c r="H267" s="231">
        <f t="shared" si="22"/>
        <v>30000</v>
      </c>
      <c r="I267" s="143">
        <f t="shared" si="23"/>
        <v>1.785714285714286E-2</v>
      </c>
      <c r="J267" s="75">
        <f t="shared" si="24"/>
        <v>1.4999999999999999E-2</v>
      </c>
      <c r="K267" s="228"/>
      <c r="L267" s="100"/>
      <c r="M267" s="100"/>
      <c r="N267" s="100"/>
      <c r="O267" s="100"/>
      <c r="P267" s="228"/>
      <c r="Q267" s="228"/>
      <c r="R267" s="228"/>
      <c r="S267" s="228"/>
      <c r="T267" s="228"/>
      <c r="U267" s="228"/>
      <c r="V267" s="228"/>
      <c r="W267" s="228"/>
      <c r="X267" s="228"/>
    </row>
    <row r="268" spans="1:24" ht="16.2" customHeight="1">
      <c r="A268" s="228"/>
      <c r="B268" s="19">
        <v>265</v>
      </c>
      <c r="C268" s="20" t="s">
        <v>512</v>
      </c>
      <c r="D268" s="83">
        <v>15</v>
      </c>
      <c r="E268" s="229">
        <f t="shared" si="20"/>
        <v>15</v>
      </c>
      <c r="F268" s="230">
        <v>6000</v>
      </c>
      <c r="G268" s="4">
        <f t="shared" si="21"/>
        <v>333.33333333333331</v>
      </c>
      <c r="H268" s="231">
        <f t="shared" si="22"/>
        <v>90000</v>
      </c>
      <c r="I268" s="143">
        <f t="shared" si="23"/>
        <v>5.3571428571428575E-2</v>
      </c>
      <c r="J268" s="75">
        <f t="shared" si="24"/>
        <v>4.4999999999999998E-2</v>
      </c>
      <c r="K268" s="228"/>
      <c r="L268" s="100"/>
      <c r="M268" s="100"/>
      <c r="N268" s="100"/>
      <c r="O268" s="100"/>
      <c r="P268" s="228"/>
      <c r="Q268" s="228"/>
      <c r="R268" s="228"/>
      <c r="S268" s="228"/>
      <c r="T268" s="228"/>
      <c r="U268" s="228"/>
      <c r="V268" s="228"/>
      <c r="W268" s="228"/>
      <c r="X268" s="228"/>
    </row>
    <row r="269" spans="1:24" ht="16.2" customHeight="1">
      <c r="A269" s="228"/>
      <c r="B269" s="19">
        <v>266</v>
      </c>
      <c r="C269" s="20" t="s">
        <v>513</v>
      </c>
      <c r="D269" s="83">
        <v>14.3</v>
      </c>
      <c r="E269" s="229">
        <f t="shared" si="20"/>
        <v>14.3</v>
      </c>
      <c r="F269" s="230">
        <v>50</v>
      </c>
      <c r="G269" s="4">
        <f t="shared" si="21"/>
        <v>40000</v>
      </c>
      <c r="H269" s="231">
        <f t="shared" si="22"/>
        <v>715</v>
      </c>
      <c r="I269" s="143">
        <f t="shared" si="23"/>
        <v>4.2559523809523815E-4</v>
      </c>
      <c r="J269" s="75">
        <f t="shared" si="24"/>
        <v>3.5750000000000002E-4</v>
      </c>
      <c r="K269" s="228"/>
      <c r="L269" s="100"/>
      <c r="M269" s="100"/>
      <c r="N269" s="100"/>
      <c r="O269" s="100"/>
      <c r="P269" s="228"/>
      <c r="Q269" s="228"/>
      <c r="R269" s="228"/>
      <c r="S269" s="228"/>
      <c r="T269" s="228"/>
      <c r="U269" s="228"/>
      <c r="V269" s="228"/>
      <c r="W269" s="228"/>
      <c r="X269" s="228"/>
    </row>
    <row r="270" spans="1:24" ht="16.2" customHeight="1">
      <c r="A270" s="228"/>
      <c r="B270" s="19">
        <v>267</v>
      </c>
      <c r="C270" s="20" t="s">
        <v>514</v>
      </c>
      <c r="D270" s="83">
        <v>14.2</v>
      </c>
      <c r="E270" s="229">
        <f t="shared" si="20"/>
        <v>14.2</v>
      </c>
      <c r="F270" s="230">
        <v>50</v>
      </c>
      <c r="G270" s="4">
        <f t="shared" si="21"/>
        <v>40000</v>
      </c>
      <c r="H270" s="231">
        <f t="shared" si="22"/>
        <v>710</v>
      </c>
      <c r="I270" s="143">
        <f t="shared" si="23"/>
        <v>4.226190476190477E-4</v>
      </c>
      <c r="J270" s="75">
        <f t="shared" si="24"/>
        <v>3.5500000000000001E-4</v>
      </c>
      <c r="K270" s="228"/>
      <c r="L270" s="100"/>
      <c r="M270" s="100"/>
      <c r="N270" s="100"/>
      <c r="O270" s="100"/>
      <c r="P270" s="228"/>
      <c r="Q270" s="228"/>
      <c r="R270" s="228"/>
      <c r="S270" s="228"/>
      <c r="T270" s="228"/>
      <c r="U270" s="228"/>
      <c r="V270" s="228"/>
      <c r="W270" s="228"/>
      <c r="X270" s="228"/>
    </row>
    <row r="271" spans="1:24" ht="16.2" customHeight="1">
      <c r="A271" s="228"/>
      <c r="B271" s="19">
        <v>268</v>
      </c>
      <c r="C271" s="20" t="s">
        <v>515</v>
      </c>
      <c r="D271" s="83">
        <v>14.1</v>
      </c>
      <c r="E271" s="229">
        <f t="shared" si="20"/>
        <v>14.1</v>
      </c>
      <c r="F271" s="230">
        <v>10</v>
      </c>
      <c r="G271" s="4">
        <f t="shared" si="21"/>
        <v>200000</v>
      </c>
      <c r="H271" s="231">
        <f t="shared" si="22"/>
        <v>141</v>
      </c>
      <c r="I271" s="143">
        <f t="shared" si="23"/>
        <v>8.392857142857144E-5</v>
      </c>
      <c r="J271" s="75">
        <f t="shared" si="24"/>
        <v>7.0500000000000006E-5</v>
      </c>
      <c r="K271" s="228"/>
      <c r="L271" s="100"/>
      <c r="M271" s="100"/>
      <c r="N271" s="100"/>
      <c r="O271" s="100"/>
      <c r="P271" s="228"/>
      <c r="Q271" s="228"/>
      <c r="R271" s="228"/>
      <c r="S271" s="228"/>
      <c r="T271" s="228"/>
      <c r="U271" s="228"/>
      <c r="V271" s="228"/>
      <c r="W271" s="228"/>
      <c r="X271" s="228"/>
    </row>
    <row r="272" spans="1:24" ht="16.2" customHeight="1">
      <c r="A272" s="228"/>
      <c r="B272" s="19">
        <v>269</v>
      </c>
      <c r="C272" s="20" t="s">
        <v>516</v>
      </c>
      <c r="D272" s="83">
        <v>14.1</v>
      </c>
      <c r="E272" s="229">
        <f t="shared" si="20"/>
        <v>14.1</v>
      </c>
      <c r="F272" s="230">
        <v>10</v>
      </c>
      <c r="G272" s="4">
        <f t="shared" si="21"/>
        <v>200000</v>
      </c>
      <c r="H272" s="231">
        <f t="shared" si="22"/>
        <v>141</v>
      </c>
      <c r="I272" s="143">
        <f t="shared" si="23"/>
        <v>8.392857142857144E-5</v>
      </c>
      <c r="J272" s="75">
        <f t="shared" si="24"/>
        <v>7.0500000000000006E-5</v>
      </c>
      <c r="K272" s="228"/>
      <c r="L272" s="100"/>
      <c r="M272" s="100"/>
      <c r="N272" s="100"/>
      <c r="O272" s="100"/>
      <c r="P272" s="228"/>
      <c r="Q272" s="228"/>
      <c r="R272" s="228"/>
      <c r="S272" s="228"/>
      <c r="T272" s="228"/>
      <c r="U272" s="228"/>
      <c r="V272" s="228"/>
      <c r="W272" s="228"/>
      <c r="X272" s="228"/>
    </row>
    <row r="273" spans="1:24" ht="16.2" customHeight="1">
      <c r="A273" s="228"/>
      <c r="B273" s="19">
        <v>270</v>
      </c>
      <c r="C273" s="20" t="s">
        <v>517</v>
      </c>
      <c r="D273" s="83">
        <v>14.1</v>
      </c>
      <c r="E273" s="229">
        <f t="shared" si="20"/>
        <v>14.1</v>
      </c>
      <c r="F273" s="230">
        <v>10</v>
      </c>
      <c r="G273" s="4">
        <f t="shared" si="21"/>
        <v>200000</v>
      </c>
      <c r="H273" s="231">
        <f t="shared" si="22"/>
        <v>141</v>
      </c>
      <c r="I273" s="143">
        <f t="shared" si="23"/>
        <v>8.392857142857144E-5</v>
      </c>
      <c r="J273" s="75">
        <f t="shared" si="24"/>
        <v>7.0500000000000006E-5</v>
      </c>
      <c r="K273" s="228"/>
      <c r="L273" s="100"/>
      <c r="M273" s="100"/>
      <c r="N273" s="100"/>
      <c r="O273" s="100"/>
      <c r="P273" s="228"/>
      <c r="Q273" s="228"/>
      <c r="R273" s="228"/>
      <c r="S273" s="228"/>
      <c r="T273" s="228"/>
      <c r="U273" s="228"/>
      <c r="V273" s="228"/>
      <c r="W273" s="228"/>
      <c r="X273" s="228"/>
    </row>
    <row r="274" spans="1:24" ht="16.2" customHeight="1">
      <c r="A274" s="228"/>
      <c r="B274" s="19">
        <v>271</v>
      </c>
      <c r="C274" s="20" t="s">
        <v>518</v>
      </c>
      <c r="D274" s="83">
        <v>14</v>
      </c>
      <c r="E274" s="229">
        <f t="shared" si="20"/>
        <v>14</v>
      </c>
      <c r="F274" s="230">
        <v>10</v>
      </c>
      <c r="G274" s="4">
        <f t="shared" si="21"/>
        <v>200000</v>
      </c>
      <c r="H274" s="231">
        <f t="shared" si="22"/>
        <v>140</v>
      </c>
      <c r="I274" s="143">
        <f t="shared" si="23"/>
        <v>8.3333333333333344E-5</v>
      </c>
      <c r="J274" s="75">
        <f t="shared" si="24"/>
        <v>6.9999999999999994E-5</v>
      </c>
      <c r="K274" s="228"/>
      <c r="L274" s="100"/>
      <c r="M274" s="100"/>
      <c r="N274" s="100"/>
      <c r="O274" s="100"/>
      <c r="P274" s="228"/>
      <c r="Q274" s="228"/>
      <c r="R274" s="228"/>
      <c r="S274" s="228"/>
      <c r="T274" s="228"/>
      <c r="U274" s="228"/>
      <c r="V274" s="228"/>
      <c r="W274" s="228"/>
      <c r="X274" s="228"/>
    </row>
    <row r="275" spans="1:24" ht="16.2" customHeight="1">
      <c r="A275" s="228"/>
      <c r="B275" s="19">
        <v>272</v>
      </c>
      <c r="C275" s="20" t="s">
        <v>519</v>
      </c>
      <c r="D275" s="83">
        <v>13.8</v>
      </c>
      <c r="E275" s="229">
        <f t="shared" si="20"/>
        <v>13.8</v>
      </c>
      <c r="F275" s="230">
        <v>27</v>
      </c>
      <c r="G275" s="4">
        <f t="shared" si="21"/>
        <v>74074.074074074073</v>
      </c>
      <c r="H275" s="231">
        <f t="shared" si="22"/>
        <v>372.6</v>
      </c>
      <c r="I275" s="143">
        <f t="shared" si="23"/>
        <v>2.2178571428571432E-4</v>
      </c>
      <c r="J275" s="75">
        <f t="shared" si="24"/>
        <v>1.863E-4</v>
      </c>
      <c r="K275" s="228"/>
      <c r="L275" s="100"/>
      <c r="M275" s="100"/>
      <c r="N275" s="100"/>
      <c r="O275" s="100"/>
      <c r="P275" s="228"/>
      <c r="Q275" s="228"/>
      <c r="R275" s="228"/>
      <c r="S275" s="228"/>
      <c r="T275" s="228"/>
      <c r="U275" s="228"/>
      <c r="V275" s="228"/>
      <c r="W275" s="228"/>
      <c r="X275" s="228"/>
    </row>
    <row r="276" spans="1:24" ht="16.2" customHeight="1">
      <c r="A276" s="228"/>
      <c r="B276" s="19">
        <v>273</v>
      </c>
      <c r="C276" s="20" t="s">
        <v>520</v>
      </c>
      <c r="D276" s="83">
        <v>13.7</v>
      </c>
      <c r="E276" s="229">
        <f t="shared" si="20"/>
        <v>13.7</v>
      </c>
      <c r="F276" s="230">
        <v>500</v>
      </c>
      <c r="G276" s="4">
        <f t="shared" si="21"/>
        <v>4000</v>
      </c>
      <c r="H276" s="231">
        <f t="shared" si="22"/>
        <v>6850</v>
      </c>
      <c r="I276" s="143">
        <f t="shared" si="23"/>
        <v>4.077380952380953E-3</v>
      </c>
      <c r="J276" s="75">
        <f t="shared" si="24"/>
        <v>3.4250000000000001E-3</v>
      </c>
      <c r="K276" s="228"/>
      <c r="L276" s="100"/>
      <c r="M276" s="100"/>
      <c r="N276" s="100"/>
      <c r="O276" s="100"/>
      <c r="P276" s="228"/>
      <c r="Q276" s="228"/>
      <c r="R276" s="228"/>
      <c r="S276" s="228"/>
      <c r="T276" s="228"/>
      <c r="U276" s="228"/>
      <c r="V276" s="228"/>
      <c r="W276" s="228"/>
      <c r="X276" s="228"/>
    </row>
    <row r="277" spans="1:24" ht="16.2" customHeight="1">
      <c r="A277" s="228"/>
      <c r="B277" s="19">
        <v>274</v>
      </c>
      <c r="C277" s="20" t="s">
        <v>521</v>
      </c>
      <c r="D277" s="83">
        <v>13.2</v>
      </c>
      <c r="E277" s="229">
        <f t="shared" si="20"/>
        <v>13.2</v>
      </c>
      <c r="F277" s="230">
        <v>10</v>
      </c>
      <c r="G277" s="4">
        <f t="shared" si="21"/>
        <v>200000</v>
      </c>
      <c r="H277" s="231">
        <f t="shared" si="22"/>
        <v>132</v>
      </c>
      <c r="I277" s="143">
        <f t="shared" si="23"/>
        <v>7.857142857142858E-5</v>
      </c>
      <c r="J277" s="75">
        <f t="shared" si="24"/>
        <v>6.6000000000000005E-5</v>
      </c>
      <c r="K277" s="228"/>
      <c r="L277" s="100"/>
      <c r="M277" s="100"/>
      <c r="N277" s="100"/>
      <c r="O277" s="100"/>
      <c r="P277" s="228"/>
      <c r="Q277" s="228"/>
      <c r="R277" s="228"/>
      <c r="S277" s="228"/>
      <c r="T277" s="228"/>
      <c r="U277" s="228"/>
      <c r="V277" s="228"/>
      <c r="W277" s="228"/>
      <c r="X277" s="228"/>
    </row>
    <row r="278" spans="1:24" ht="16.2" customHeight="1">
      <c r="A278" s="228"/>
      <c r="B278" s="19">
        <v>275</v>
      </c>
      <c r="C278" s="20" t="s">
        <v>522</v>
      </c>
      <c r="D278" s="83">
        <v>13</v>
      </c>
      <c r="E278" s="229">
        <f t="shared" si="20"/>
        <v>13</v>
      </c>
      <c r="F278" s="230">
        <v>10</v>
      </c>
      <c r="G278" s="4">
        <f t="shared" si="21"/>
        <v>200000</v>
      </c>
      <c r="H278" s="231">
        <f t="shared" si="22"/>
        <v>130</v>
      </c>
      <c r="I278" s="143">
        <f t="shared" si="23"/>
        <v>7.7380952380952389E-5</v>
      </c>
      <c r="J278" s="75">
        <f t="shared" si="24"/>
        <v>6.4999999999999994E-5</v>
      </c>
      <c r="K278" s="228"/>
      <c r="L278" s="100"/>
      <c r="M278" s="100"/>
      <c r="N278" s="100"/>
      <c r="O278" s="100"/>
      <c r="P278" s="228"/>
      <c r="Q278" s="228"/>
      <c r="R278" s="228"/>
      <c r="S278" s="228"/>
      <c r="T278" s="228"/>
      <c r="U278" s="228"/>
      <c r="V278" s="228"/>
      <c r="W278" s="228"/>
      <c r="X278" s="228"/>
    </row>
    <row r="279" spans="1:24" ht="16.2" customHeight="1">
      <c r="A279" s="228"/>
      <c r="B279" s="19">
        <v>276</v>
      </c>
      <c r="C279" s="20" t="s">
        <v>523</v>
      </c>
      <c r="D279" s="83">
        <v>13</v>
      </c>
      <c r="E279" s="229">
        <f t="shared" si="20"/>
        <v>13</v>
      </c>
      <c r="F279" s="230">
        <v>10</v>
      </c>
      <c r="G279" s="4">
        <f t="shared" si="21"/>
        <v>200000</v>
      </c>
      <c r="H279" s="231">
        <f t="shared" si="22"/>
        <v>130</v>
      </c>
      <c r="I279" s="143">
        <f t="shared" si="23"/>
        <v>7.7380952380952389E-5</v>
      </c>
      <c r="J279" s="75">
        <f t="shared" si="24"/>
        <v>6.4999999999999994E-5</v>
      </c>
      <c r="K279" s="228"/>
      <c r="L279" s="100"/>
      <c r="M279" s="100"/>
      <c r="N279" s="100"/>
      <c r="O279" s="100"/>
      <c r="P279" s="228"/>
      <c r="Q279" s="228"/>
      <c r="R279" s="228"/>
      <c r="S279" s="228"/>
      <c r="T279" s="228"/>
      <c r="U279" s="228"/>
      <c r="V279" s="228"/>
      <c r="W279" s="228"/>
      <c r="X279" s="228"/>
    </row>
    <row r="280" spans="1:24" ht="16.2" customHeight="1">
      <c r="A280" s="228"/>
      <c r="B280" s="19">
        <v>277</v>
      </c>
      <c r="C280" s="20" t="s">
        <v>524</v>
      </c>
      <c r="D280" s="83">
        <v>13</v>
      </c>
      <c r="E280" s="229">
        <f t="shared" si="20"/>
        <v>13</v>
      </c>
      <c r="F280" s="230">
        <v>111</v>
      </c>
      <c r="G280" s="4">
        <f t="shared" si="21"/>
        <v>18018.018018018018</v>
      </c>
      <c r="H280" s="231">
        <f t="shared" si="22"/>
        <v>1443</v>
      </c>
      <c r="I280" s="143">
        <f t="shared" si="23"/>
        <v>8.5892857142857158E-4</v>
      </c>
      <c r="J280" s="75">
        <f t="shared" si="24"/>
        <v>7.2150000000000003E-4</v>
      </c>
      <c r="K280" s="228"/>
      <c r="L280" s="100"/>
      <c r="M280" s="100"/>
      <c r="N280" s="100"/>
      <c r="O280" s="100"/>
      <c r="P280" s="228"/>
      <c r="Q280" s="228"/>
      <c r="R280" s="228"/>
      <c r="S280" s="228"/>
      <c r="T280" s="228"/>
      <c r="U280" s="228"/>
      <c r="V280" s="228"/>
      <c r="W280" s="228"/>
      <c r="X280" s="228"/>
    </row>
    <row r="281" spans="1:24" ht="16.2" customHeight="1">
      <c r="A281" s="228"/>
      <c r="B281" s="19">
        <v>278</v>
      </c>
      <c r="C281" s="20" t="s">
        <v>525</v>
      </c>
      <c r="D281" s="83">
        <v>12.5</v>
      </c>
      <c r="E281" s="229">
        <f t="shared" si="20"/>
        <v>12.5</v>
      </c>
      <c r="F281" s="230">
        <v>100</v>
      </c>
      <c r="G281" s="4">
        <f t="shared" si="21"/>
        <v>20000</v>
      </c>
      <c r="H281" s="231">
        <f t="shared" si="22"/>
        <v>1250</v>
      </c>
      <c r="I281" s="143">
        <f t="shared" si="23"/>
        <v>7.4404761904761911E-4</v>
      </c>
      <c r="J281" s="75">
        <f t="shared" si="24"/>
        <v>6.2500000000000001E-4</v>
      </c>
      <c r="K281" s="228"/>
      <c r="L281" s="100"/>
      <c r="M281" s="100"/>
      <c r="N281" s="100"/>
      <c r="O281" s="100"/>
      <c r="P281" s="228"/>
      <c r="Q281" s="228"/>
      <c r="R281" s="228"/>
      <c r="S281" s="228"/>
      <c r="T281" s="228"/>
      <c r="U281" s="228"/>
      <c r="V281" s="228"/>
      <c r="W281" s="228"/>
      <c r="X281" s="228"/>
    </row>
    <row r="282" spans="1:24" ht="16.2" customHeight="1">
      <c r="A282" s="228"/>
      <c r="B282" s="19">
        <v>279</v>
      </c>
      <c r="C282" s="20" t="s">
        <v>526</v>
      </c>
      <c r="D282" s="83">
        <v>12.3</v>
      </c>
      <c r="E282" s="229">
        <f t="shared" si="20"/>
        <v>12.3</v>
      </c>
      <c r="F282" s="230">
        <v>500</v>
      </c>
      <c r="G282" s="4">
        <f t="shared" si="21"/>
        <v>4000</v>
      </c>
      <c r="H282" s="231">
        <f t="shared" si="22"/>
        <v>6150</v>
      </c>
      <c r="I282" s="143">
        <f t="shared" si="23"/>
        <v>3.6607142857142862E-3</v>
      </c>
      <c r="J282" s="75">
        <f t="shared" si="24"/>
        <v>3.075E-3</v>
      </c>
      <c r="K282" s="228"/>
      <c r="L282" s="100"/>
      <c r="M282" s="100"/>
      <c r="N282" s="100"/>
      <c r="O282" s="100"/>
      <c r="P282" s="228"/>
      <c r="Q282" s="228"/>
      <c r="R282" s="228"/>
      <c r="S282" s="228"/>
      <c r="T282" s="228"/>
      <c r="U282" s="228"/>
      <c r="V282" s="228"/>
      <c r="W282" s="228"/>
      <c r="X282" s="228"/>
    </row>
    <row r="283" spans="1:24" ht="16.2" customHeight="1">
      <c r="A283" s="228"/>
      <c r="B283" s="19">
        <v>280</v>
      </c>
      <c r="C283" s="20" t="s">
        <v>527</v>
      </c>
      <c r="D283" s="83">
        <v>12.1</v>
      </c>
      <c r="E283" s="229">
        <f t="shared" si="20"/>
        <v>12.1</v>
      </c>
      <c r="F283" s="230">
        <v>10</v>
      </c>
      <c r="G283" s="4">
        <f t="shared" si="21"/>
        <v>200000</v>
      </c>
      <c r="H283" s="231">
        <f t="shared" si="22"/>
        <v>121</v>
      </c>
      <c r="I283" s="143">
        <f t="shared" si="23"/>
        <v>7.2023809523809529E-5</v>
      </c>
      <c r="J283" s="75">
        <f t="shared" si="24"/>
        <v>6.05E-5</v>
      </c>
      <c r="K283" s="228"/>
      <c r="L283" s="100"/>
      <c r="M283" s="100"/>
      <c r="N283" s="100"/>
      <c r="O283" s="100"/>
      <c r="P283" s="228"/>
      <c r="Q283" s="228"/>
      <c r="R283" s="228"/>
      <c r="S283" s="228"/>
      <c r="T283" s="228"/>
      <c r="U283" s="228"/>
      <c r="V283" s="228"/>
      <c r="W283" s="228"/>
      <c r="X283" s="228"/>
    </row>
    <row r="284" spans="1:24" ht="16.2" customHeight="1">
      <c r="A284" s="228"/>
      <c r="B284" s="19">
        <v>281</v>
      </c>
      <c r="C284" s="20" t="s">
        <v>528</v>
      </c>
      <c r="D284" s="83">
        <v>12.1</v>
      </c>
      <c r="E284" s="229">
        <f t="shared" si="20"/>
        <v>12.1</v>
      </c>
      <c r="F284" s="230">
        <v>10</v>
      </c>
      <c r="G284" s="4">
        <f t="shared" si="21"/>
        <v>200000</v>
      </c>
      <c r="H284" s="231">
        <f t="shared" si="22"/>
        <v>121</v>
      </c>
      <c r="I284" s="143">
        <f t="shared" si="23"/>
        <v>7.2023809523809529E-5</v>
      </c>
      <c r="J284" s="75">
        <f t="shared" si="24"/>
        <v>6.05E-5</v>
      </c>
      <c r="K284" s="228"/>
      <c r="L284" s="100"/>
      <c r="M284" s="100"/>
      <c r="N284" s="100"/>
      <c r="O284" s="100"/>
      <c r="P284" s="228"/>
      <c r="Q284" s="228"/>
      <c r="R284" s="228"/>
      <c r="S284" s="228"/>
      <c r="T284" s="228"/>
      <c r="U284" s="228"/>
      <c r="V284" s="228"/>
      <c r="W284" s="228"/>
      <c r="X284" s="228"/>
    </row>
    <row r="285" spans="1:24" ht="16.2" customHeight="1">
      <c r="A285" s="228"/>
      <c r="B285" s="19">
        <v>282</v>
      </c>
      <c r="C285" s="20" t="s">
        <v>529</v>
      </c>
      <c r="D285" s="83">
        <v>12</v>
      </c>
      <c r="E285" s="229">
        <f t="shared" si="20"/>
        <v>12</v>
      </c>
      <c r="F285" s="230">
        <v>10</v>
      </c>
      <c r="G285" s="4">
        <f t="shared" si="21"/>
        <v>200000</v>
      </c>
      <c r="H285" s="231">
        <f t="shared" si="22"/>
        <v>120</v>
      </c>
      <c r="I285" s="143">
        <f t="shared" si="23"/>
        <v>7.1428571428571434E-5</v>
      </c>
      <c r="J285" s="75">
        <f t="shared" si="24"/>
        <v>6.0000000000000002E-5</v>
      </c>
      <c r="K285" s="228"/>
      <c r="L285" s="100"/>
      <c r="M285" s="100"/>
      <c r="N285" s="100"/>
      <c r="O285" s="100"/>
      <c r="P285" s="228"/>
      <c r="Q285" s="228"/>
      <c r="R285" s="228"/>
      <c r="S285" s="228"/>
      <c r="T285" s="228"/>
      <c r="U285" s="228"/>
      <c r="V285" s="228"/>
      <c r="W285" s="228"/>
      <c r="X285" s="228"/>
    </row>
    <row r="286" spans="1:24" ht="16.2" customHeight="1">
      <c r="A286" s="228"/>
      <c r="B286" s="19">
        <v>283</v>
      </c>
      <c r="C286" s="20" t="s">
        <v>530</v>
      </c>
      <c r="D286" s="83">
        <v>12</v>
      </c>
      <c r="E286" s="229">
        <f t="shared" si="20"/>
        <v>12</v>
      </c>
      <c r="F286" s="230">
        <v>10</v>
      </c>
      <c r="G286" s="4">
        <f t="shared" si="21"/>
        <v>200000</v>
      </c>
      <c r="H286" s="231">
        <f t="shared" si="22"/>
        <v>120</v>
      </c>
      <c r="I286" s="143">
        <f t="shared" si="23"/>
        <v>7.1428571428571434E-5</v>
      </c>
      <c r="J286" s="75">
        <f t="shared" si="24"/>
        <v>6.0000000000000002E-5</v>
      </c>
      <c r="K286" s="228"/>
      <c r="L286" s="100"/>
      <c r="M286" s="100"/>
      <c r="N286" s="100"/>
      <c r="O286" s="100"/>
      <c r="P286" s="228"/>
      <c r="Q286" s="228"/>
      <c r="R286" s="228"/>
      <c r="S286" s="228"/>
      <c r="T286" s="228"/>
      <c r="U286" s="228"/>
      <c r="V286" s="228"/>
      <c r="W286" s="228"/>
      <c r="X286" s="228"/>
    </row>
    <row r="287" spans="1:24" ht="16.2" customHeight="1">
      <c r="A287" s="228"/>
      <c r="B287" s="19">
        <v>284</v>
      </c>
      <c r="C287" s="20" t="s">
        <v>531</v>
      </c>
      <c r="D287" s="83">
        <v>12</v>
      </c>
      <c r="E287" s="229">
        <f t="shared" si="20"/>
        <v>12</v>
      </c>
      <c r="F287" s="230">
        <v>2</v>
      </c>
      <c r="G287" s="4">
        <f t="shared" si="21"/>
        <v>1000000</v>
      </c>
      <c r="H287" s="231">
        <f t="shared" si="22"/>
        <v>24</v>
      </c>
      <c r="I287" s="143">
        <f t="shared" si="23"/>
        <v>1.4285714285714287E-5</v>
      </c>
      <c r="J287" s="75">
        <f t="shared" si="24"/>
        <v>1.2E-5</v>
      </c>
      <c r="K287" s="228"/>
      <c r="L287" s="100"/>
      <c r="M287" s="100"/>
      <c r="N287" s="100"/>
      <c r="O287" s="100"/>
      <c r="P287" s="228"/>
      <c r="Q287" s="228"/>
      <c r="R287" s="228"/>
      <c r="S287" s="228"/>
      <c r="T287" s="228"/>
      <c r="U287" s="228"/>
      <c r="V287" s="228"/>
      <c r="W287" s="228"/>
      <c r="X287" s="228"/>
    </row>
    <row r="288" spans="1:24" ht="16.2" customHeight="1">
      <c r="A288" s="228"/>
      <c r="B288" s="19">
        <v>285</v>
      </c>
      <c r="C288" s="20" t="s">
        <v>532</v>
      </c>
      <c r="D288" s="83">
        <v>12</v>
      </c>
      <c r="E288" s="229">
        <f t="shared" si="20"/>
        <v>12</v>
      </c>
      <c r="F288" s="230">
        <v>1000</v>
      </c>
      <c r="G288" s="4">
        <f t="shared" si="21"/>
        <v>2000</v>
      </c>
      <c r="H288" s="231">
        <f t="shared" si="22"/>
        <v>12000</v>
      </c>
      <c r="I288" s="143">
        <f t="shared" si="23"/>
        <v>7.1428571428571435E-3</v>
      </c>
      <c r="J288" s="75">
        <f t="shared" si="24"/>
        <v>6.0000000000000001E-3</v>
      </c>
      <c r="K288" s="228"/>
      <c r="L288" s="100"/>
      <c r="M288" s="100"/>
      <c r="N288" s="100"/>
      <c r="O288" s="100"/>
      <c r="P288" s="228"/>
      <c r="Q288" s="228"/>
      <c r="R288" s="228"/>
      <c r="S288" s="228"/>
      <c r="T288" s="228"/>
      <c r="U288" s="228"/>
      <c r="V288" s="228"/>
      <c r="W288" s="228"/>
      <c r="X288" s="228"/>
    </row>
    <row r="289" spans="1:24" ht="16.2" customHeight="1">
      <c r="A289" s="228"/>
      <c r="B289" s="19">
        <v>286</v>
      </c>
      <c r="C289" s="20" t="s">
        <v>533</v>
      </c>
      <c r="D289" s="83">
        <v>12</v>
      </c>
      <c r="E289" s="229">
        <f t="shared" si="20"/>
        <v>12</v>
      </c>
      <c r="F289" s="230">
        <v>1000</v>
      </c>
      <c r="G289" s="4">
        <f t="shared" si="21"/>
        <v>2000</v>
      </c>
      <c r="H289" s="231">
        <f t="shared" si="22"/>
        <v>12000</v>
      </c>
      <c r="I289" s="143">
        <f t="shared" si="23"/>
        <v>7.1428571428571435E-3</v>
      </c>
      <c r="J289" s="75">
        <f t="shared" si="24"/>
        <v>6.0000000000000001E-3</v>
      </c>
      <c r="K289" s="228"/>
      <c r="L289" s="100"/>
      <c r="M289" s="100"/>
      <c r="N289" s="100"/>
      <c r="O289" s="100"/>
      <c r="P289" s="228"/>
      <c r="Q289" s="228"/>
      <c r="R289" s="228"/>
      <c r="S289" s="228"/>
      <c r="T289" s="228"/>
      <c r="U289" s="228"/>
      <c r="V289" s="228"/>
      <c r="W289" s="228"/>
      <c r="X289" s="228"/>
    </row>
    <row r="290" spans="1:24" ht="16.2" customHeight="1">
      <c r="A290" s="228"/>
      <c r="B290" s="19">
        <v>287</v>
      </c>
      <c r="C290" s="20" t="s">
        <v>534</v>
      </c>
      <c r="D290" s="83">
        <v>12</v>
      </c>
      <c r="E290" s="229">
        <f t="shared" si="20"/>
        <v>12</v>
      </c>
      <c r="F290" s="230">
        <v>7000</v>
      </c>
      <c r="G290" s="4">
        <f t="shared" si="21"/>
        <v>285.71428571428572</v>
      </c>
      <c r="H290" s="231">
        <f t="shared" si="22"/>
        <v>84000</v>
      </c>
      <c r="I290" s="143">
        <f t="shared" si="23"/>
        <v>5.000000000000001E-2</v>
      </c>
      <c r="J290" s="75">
        <f t="shared" si="24"/>
        <v>4.2000000000000003E-2</v>
      </c>
      <c r="K290" s="228"/>
      <c r="L290" s="100"/>
      <c r="M290" s="100"/>
      <c r="N290" s="100"/>
      <c r="O290" s="100"/>
      <c r="P290" s="228"/>
      <c r="Q290" s="228"/>
      <c r="R290" s="228"/>
      <c r="S290" s="228"/>
      <c r="T290" s="228"/>
      <c r="U290" s="228"/>
      <c r="V290" s="228"/>
      <c r="W290" s="228"/>
      <c r="X290" s="228"/>
    </row>
    <row r="291" spans="1:24" ht="16.2" customHeight="1">
      <c r="A291" s="228"/>
      <c r="B291" s="19">
        <v>288</v>
      </c>
      <c r="C291" s="20" t="s">
        <v>535</v>
      </c>
      <c r="D291" s="83">
        <v>11.8</v>
      </c>
      <c r="E291" s="229">
        <f t="shared" si="20"/>
        <v>11.8</v>
      </c>
      <c r="F291" s="230">
        <v>580</v>
      </c>
      <c r="G291" s="4">
        <f t="shared" si="21"/>
        <v>3448.2758620689656</v>
      </c>
      <c r="H291" s="231">
        <f t="shared" si="22"/>
        <v>6844</v>
      </c>
      <c r="I291" s="143">
        <f t="shared" si="23"/>
        <v>4.0738095238095247E-3</v>
      </c>
      <c r="J291" s="75">
        <f t="shared" si="24"/>
        <v>3.4220000000000001E-3</v>
      </c>
      <c r="K291" s="228"/>
      <c r="L291" s="100"/>
      <c r="M291" s="100"/>
      <c r="N291" s="100"/>
      <c r="O291" s="100"/>
      <c r="P291" s="228"/>
      <c r="Q291" s="228"/>
      <c r="R291" s="228"/>
      <c r="S291" s="228"/>
      <c r="T291" s="228"/>
      <c r="U291" s="228"/>
      <c r="V291" s="228"/>
      <c r="W291" s="228"/>
      <c r="X291" s="228"/>
    </row>
    <row r="292" spans="1:24" ht="16.2" customHeight="1">
      <c r="A292" s="228"/>
      <c r="B292" s="19">
        <v>289</v>
      </c>
      <c r="C292" s="20" t="s">
        <v>536</v>
      </c>
      <c r="D292" s="83">
        <v>11.4</v>
      </c>
      <c r="E292" s="229">
        <f t="shared" si="20"/>
        <v>11.4</v>
      </c>
      <c r="F292" s="230">
        <v>600</v>
      </c>
      <c r="G292" s="4">
        <f t="shared" si="21"/>
        <v>3333.3333333333335</v>
      </c>
      <c r="H292" s="231">
        <f t="shared" si="22"/>
        <v>6840</v>
      </c>
      <c r="I292" s="143">
        <f t="shared" si="23"/>
        <v>4.0714285714285722E-3</v>
      </c>
      <c r="J292" s="75">
        <f t="shared" si="24"/>
        <v>3.4199999999999999E-3</v>
      </c>
      <c r="K292" s="228"/>
      <c r="L292" s="100"/>
      <c r="M292" s="100"/>
      <c r="N292" s="100"/>
      <c r="O292" s="100"/>
      <c r="P292" s="228"/>
      <c r="Q292" s="228"/>
      <c r="R292" s="228"/>
      <c r="S292" s="228"/>
      <c r="T292" s="228"/>
      <c r="U292" s="228"/>
      <c r="V292" s="228"/>
      <c r="W292" s="228"/>
      <c r="X292" s="228"/>
    </row>
    <row r="293" spans="1:24" ht="16.2" customHeight="1">
      <c r="A293" s="228"/>
      <c r="B293" s="19">
        <v>290</v>
      </c>
      <c r="C293" s="20" t="s">
        <v>537</v>
      </c>
      <c r="D293" s="83">
        <v>11.2</v>
      </c>
      <c r="E293" s="229">
        <f t="shared" si="20"/>
        <v>11.2</v>
      </c>
      <c r="F293" s="230">
        <v>10</v>
      </c>
      <c r="G293" s="4">
        <f t="shared" si="21"/>
        <v>200000</v>
      </c>
      <c r="H293" s="231">
        <f t="shared" si="22"/>
        <v>112</v>
      </c>
      <c r="I293" s="143">
        <f t="shared" si="23"/>
        <v>6.666666666666667E-5</v>
      </c>
      <c r="J293" s="75">
        <f t="shared" si="24"/>
        <v>5.5999999999999999E-5</v>
      </c>
      <c r="K293" s="228"/>
      <c r="L293" s="100"/>
      <c r="M293" s="100"/>
      <c r="N293" s="100"/>
      <c r="O293" s="100"/>
      <c r="P293" s="228"/>
      <c r="Q293" s="228"/>
      <c r="R293" s="228"/>
      <c r="S293" s="228"/>
      <c r="T293" s="228"/>
      <c r="U293" s="228"/>
      <c r="V293" s="228"/>
      <c r="W293" s="228"/>
      <c r="X293" s="228"/>
    </row>
    <row r="294" spans="1:24" ht="16.2" customHeight="1">
      <c r="A294" s="228"/>
      <c r="B294" s="19">
        <v>291</v>
      </c>
      <c r="C294" s="20" t="s">
        <v>538</v>
      </c>
      <c r="D294" s="83">
        <v>11</v>
      </c>
      <c r="E294" s="229">
        <f t="shared" si="20"/>
        <v>11</v>
      </c>
      <c r="F294" s="230">
        <v>500</v>
      </c>
      <c r="G294" s="4">
        <f t="shared" si="21"/>
        <v>4000</v>
      </c>
      <c r="H294" s="231">
        <f t="shared" si="22"/>
        <v>5500</v>
      </c>
      <c r="I294" s="143">
        <f t="shared" si="23"/>
        <v>3.2738095238095243E-3</v>
      </c>
      <c r="J294" s="75">
        <f t="shared" si="24"/>
        <v>2.7499999999999998E-3</v>
      </c>
      <c r="K294" s="228"/>
      <c r="L294" s="100"/>
      <c r="M294" s="100"/>
      <c r="N294" s="100"/>
      <c r="O294" s="100"/>
      <c r="P294" s="228"/>
      <c r="Q294" s="228"/>
      <c r="R294" s="228"/>
      <c r="S294" s="228"/>
      <c r="T294" s="228"/>
      <c r="U294" s="228"/>
      <c r="V294" s="228"/>
      <c r="W294" s="228"/>
      <c r="X294" s="228"/>
    </row>
    <row r="295" spans="1:24" ht="16.2" customHeight="1">
      <c r="A295" s="228"/>
      <c r="B295" s="19">
        <v>292</v>
      </c>
      <c r="C295" s="20" t="s">
        <v>539</v>
      </c>
      <c r="D295" s="83">
        <v>11</v>
      </c>
      <c r="E295" s="229">
        <f t="shared" si="20"/>
        <v>11</v>
      </c>
      <c r="F295" s="230">
        <v>10</v>
      </c>
      <c r="G295" s="4">
        <f t="shared" si="21"/>
        <v>200000</v>
      </c>
      <c r="H295" s="231">
        <f t="shared" si="22"/>
        <v>110</v>
      </c>
      <c r="I295" s="143">
        <f t="shared" si="23"/>
        <v>6.5476190476190479E-5</v>
      </c>
      <c r="J295" s="75">
        <f t="shared" si="24"/>
        <v>5.5000000000000002E-5</v>
      </c>
      <c r="K295" s="228"/>
      <c r="L295" s="100"/>
      <c r="M295" s="100"/>
      <c r="N295" s="100"/>
      <c r="O295" s="100"/>
      <c r="P295" s="228"/>
      <c r="Q295" s="228"/>
      <c r="R295" s="228"/>
      <c r="S295" s="228"/>
      <c r="T295" s="228"/>
      <c r="U295" s="228"/>
      <c r="V295" s="228"/>
      <c r="W295" s="228"/>
      <c r="X295" s="228"/>
    </row>
    <row r="296" spans="1:24" ht="16.2" customHeight="1">
      <c r="A296" s="228"/>
      <c r="B296" s="19">
        <v>293</v>
      </c>
      <c r="C296" s="20" t="s">
        <v>540</v>
      </c>
      <c r="D296" s="83">
        <v>11</v>
      </c>
      <c r="E296" s="229">
        <f t="shared" si="20"/>
        <v>11</v>
      </c>
      <c r="F296" s="230">
        <v>10</v>
      </c>
      <c r="G296" s="4">
        <f t="shared" si="21"/>
        <v>200000</v>
      </c>
      <c r="H296" s="231">
        <f t="shared" si="22"/>
        <v>110</v>
      </c>
      <c r="I296" s="143">
        <f t="shared" si="23"/>
        <v>6.5476190476190479E-5</v>
      </c>
      <c r="J296" s="75">
        <f t="shared" si="24"/>
        <v>5.5000000000000002E-5</v>
      </c>
      <c r="K296" s="228"/>
      <c r="L296" s="100"/>
      <c r="M296" s="100"/>
      <c r="N296" s="100"/>
      <c r="O296" s="100"/>
      <c r="P296" s="228"/>
      <c r="Q296" s="228"/>
      <c r="R296" s="228"/>
      <c r="S296" s="228"/>
      <c r="T296" s="228"/>
      <c r="U296" s="228"/>
      <c r="V296" s="228"/>
      <c r="W296" s="228"/>
      <c r="X296" s="228"/>
    </row>
    <row r="297" spans="1:24" ht="16.2" customHeight="1">
      <c r="A297" s="228"/>
      <c r="B297" s="19">
        <v>294</v>
      </c>
      <c r="C297" s="20" t="s">
        <v>541</v>
      </c>
      <c r="D297" s="83">
        <v>11</v>
      </c>
      <c r="E297" s="229">
        <f t="shared" si="20"/>
        <v>11</v>
      </c>
      <c r="F297" s="230">
        <v>18</v>
      </c>
      <c r="G297" s="4">
        <f t="shared" si="21"/>
        <v>111111.11111111111</v>
      </c>
      <c r="H297" s="231">
        <f t="shared" si="22"/>
        <v>198</v>
      </c>
      <c r="I297" s="143">
        <f t="shared" si="23"/>
        <v>1.1785714285714287E-4</v>
      </c>
      <c r="J297" s="75">
        <f t="shared" si="24"/>
        <v>9.8999999999999994E-5</v>
      </c>
      <c r="K297" s="228"/>
      <c r="L297" s="100"/>
      <c r="M297" s="100"/>
      <c r="N297" s="100"/>
      <c r="O297" s="100"/>
      <c r="P297" s="228"/>
      <c r="Q297" s="228"/>
      <c r="R297" s="228"/>
      <c r="S297" s="228"/>
      <c r="T297" s="228"/>
      <c r="U297" s="228"/>
      <c r="V297" s="228"/>
      <c r="W297" s="228"/>
      <c r="X297" s="228"/>
    </row>
    <row r="298" spans="1:24" ht="16.2" customHeight="1">
      <c r="A298" s="228"/>
      <c r="B298" s="19">
        <v>295</v>
      </c>
      <c r="C298" s="20" t="s">
        <v>542</v>
      </c>
      <c r="D298" s="83">
        <v>10.6</v>
      </c>
      <c r="E298" s="229">
        <f t="shared" si="20"/>
        <v>10.6</v>
      </c>
      <c r="F298" s="230">
        <v>500</v>
      </c>
      <c r="G298" s="4">
        <f t="shared" si="21"/>
        <v>4000</v>
      </c>
      <c r="H298" s="231">
        <f t="shared" si="22"/>
        <v>5300</v>
      </c>
      <c r="I298" s="143">
        <f t="shared" si="23"/>
        <v>3.154761904761905E-3</v>
      </c>
      <c r="J298" s="75">
        <f t="shared" si="24"/>
        <v>2.65E-3</v>
      </c>
      <c r="K298" s="228"/>
      <c r="L298" s="100"/>
      <c r="M298" s="100"/>
      <c r="N298" s="100"/>
      <c r="O298" s="100"/>
      <c r="P298" s="228"/>
      <c r="Q298" s="228"/>
      <c r="R298" s="228"/>
      <c r="S298" s="228"/>
      <c r="T298" s="228"/>
      <c r="U298" s="228"/>
      <c r="V298" s="228"/>
      <c r="W298" s="228"/>
      <c r="X298" s="228"/>
    </row>
    <row r="299" spans="1:24" ht="16.2" customHeight="1">
      <c r="A299" s="228"/>
      <c r="B299" s="19">
        <v>296</v>
      </c>
      <c r="C299" s="20" t="s">
        <v>543</v>
      </c>
      <c r="D299" s="83">
        <v>10.199999999999999</v>
      </c>
      <c r="E299" s="229">
        <f t="shared" si="20"/>
        <v>10.199999999999999</v>
      </c>
      <c r="F299" s="230">
        <v>50</v>
      </c>
      <c r="G299" s="4">
        <f t="shared" si="21"/>
        <v>40000</v>
      </c>
      <c r="H299" s="231">
        <f t="shared" si="22"/>
        <v>509.99999999999994</v>
      </c>
      <c r="I299" s="143">
        <f t="shared" si="23"/>
        <v>3.035714285714286E-4</v>
      </c>
      <c r="J299" s="75">
        <f t="shared" si="24"/>
        <v>2.5499999999999996E-4</v>
      </c>
      <c r="K299" s="228"/>
      <c r="L299" s="100"/>
      <c r="M299" s="100"/>
      <c r="N299" s="100"/>
      <c r="O299" s="100"/>
      <c r="P299" s="228"/>
      <c r="Q299" s="228"/>
      <c r="R299" s="228"/>
      <c r="S299" s="228"/>
      <c r="T299" s="228"/>
      <c r="U299" s="228"/>
      <c r="V299" s="228"/>
      <c r="W299" s="228"/>
      <c r="X299" s="228"/>
    </row>
    <row r="300" spans="1:24" ht="16.2" customHeight="1">
      <c r="A300" s="228"/>
      <c r="B300" s="19">
        <v>297</v>
      </c>
      <c r="C300" s="20" t="s">
        <v>544</v>
      </c>
      <c r="D300" s="83">
        <v>10.1</v>
      </c>
      <c r="E300" s="229">
        <f t="shared" si="20"/>
        <v>10.1</v>
      </c>
      <c r="F300" s="230">
        <v>10</v>
      </c>
      <c r="G300" s="4">
        <f t="shared" si="21"/>
        <v>200000</v>
      </c>
      <c r="H300" s="231">
        <f t="shared" si="22"/>
        <v>101</v>
      </c>
      <c r="I300" s="143">
        <f t="shared" si="23"/>
        <v>6.0119047619047626E-5</v>
      </c>
      <c r="J300" s="75">
        <f t="shared" si="24"/>
        <v>5.0500000000000001E-5</v>
      </c>
      <c r="K300" s="228"/>
      <c r="L300" s="100"/>
      <c r="M300" s="100"/>
      <c r="N300" s="100"/>
      <c r="O300" s="100"/>
      <c r="P300" s="228"/>
      <c r="Q300" s="228"/>
      <c r="R300" s="228"/>
      <c r="S300" s="228"/>
      <c r="T300" s="228"/>
      <c r="U300" s="228"/>
      <c r="V300" s="228"/>
      <c r="W300" s="228"/>
      <c r="X300" s="228"/>
    </row>
    <row r="301" spans="1:24" ht="16.2" customHeight="1">
      <c r="A301" s="228"/>
      <c r="B301" s="19">
        <v>298</v>
      </c>
      <c r="C301" s="20" t="s">
        <v>545</v>
      </c>
      <c r="D301" s="83">
        <v>10.1</v>
      </c>
      <c r="E301" s="229">
        <f t="shared" si="20"/>
        <v>10.1</v>
      </c>
      <c r="F301" s="230">
        <v>100</v>
      </c>
      <c r="G301" s="4">
        <f t="shared" si="21"/>
        <v>20000</v>
      </c>
      <c r="H301" s="231">
        <f t="shared" si="22"/>
        <v>1010</v>
      </c>
      <c r="I301" s="143">
        <f t="shared" si="23"/>
        <v>6.011904761904763E-4</v>
      </c>
      <c r="J301" s="75">
        <f t="shared" si="24"/>
        <v>5.0500000000000002E-4</v>
      </c>
      <c r="K301" s="228"/>
      <c r="L301" s="100"/>
      <c r="M301" s="100"/>
      <c r="N301" s="100"/>
      <c r="O301" s="100"/>
      <c r="P301" s="228"/>
      <c r="Q301" s="228"/>
      <c r="R301" s="228"/>
      <c r="S301" s="228"/>
      <c r="T301" s="228"/>
      <c r="U301" s="228"/>
      <c r="V301" s="228"/>
      <c r="W301" s="228"/>
      <c r="X301" s="228"/>
    </row>
    <row r="302" spans="1:24" ht="16.2" customHeight="1">
      <c r="A302" s="228"/>
      <c r="B302" s="19">
        <v>299</v>
      </c>
      <c r="C302" s="20" t="s">
        <v>546</v>
      </c>
      <c r="D302" s="83">
        <v>10</v>
      </c>
      <c r="E302" s="229">
        <f t="shared" si="20"/>
        <v>10</v>
      </c>
      <c r="F302" s="230">
        <v>188</v>
      </c>
      <c r="G302" s="4">
        <f t="shared" si="21"/>
        <v>10638.297872340425</v>
      </c>
      <c r="H302" s="231">
        <f t="shared" si="22"/>
        <v>1880</v>
      </c>
      <c r="I302" s="143">
        <f t="shared" si="23"/>
        <v>1.1190476190476191E-3</v>
      </c>
      <c r="J302" s="75">
        <f t="shared" si="24"/>
        <v>9.3999999999999997E-4</v>
      </c>
      <c r="K302" s="228"/>
      <c r="L302" s="100"/>
      <c r="M302" s="100"/>
      <c r="N302" s="100"/>
      <c r="O302" s="100"/>
      <c r="P302" s="228"/>
      <c r="Q302" s="228"/>
      <c r="R302" s="228"/>
      <c r="S302" s="228"/>
      <c r="T302" s="228"/>
      <c r="U302" s="228"/>
      <c r="V302" s="228"/>
      <c r="W302" s="228"/>
      <c r="X302" s="228"/>
    </row>
    <row r="303" spans="1:24" ht="16.2" customHeight="1">
      <c r="A303" s="228"/>
      <c r="B303" s="19">
        <v>300</v>
      </c>
      <c r="C303" s="20" t="s">
        <v>547</v>
      </c>
      <c r="D303" s="83">
        <v>10</v>
      </c>
      <c r="E303" s="229">
        <f t="shared" si="20"/>
        <v>10</v>
      </c>
      <c r="F303" s="230">
        <v>10</v>
      </c>
      <c r="G303" s="4">
        <f t="shared" si="21"/>
        <v>200000</v>
      </c>
      <c r="H303" s="231">
        <f t="shared" si="22"/>
        <v>100</v>
      </c>
      <c r="I303" s="143">
        <f t="shared" si="23"/>
        <v>5.9523809523809531E-5</v>
      </c>
      <c r="J303" s="75">
        <f t="shared" si="24"/>
        <v>5.0000000000000002E-5</v>
      </c>
      <c r="K303" s="228"/>
      <c r="L303" s="100"/>
      <c r="M303" s="100"/>
      <c r="N303" s="100"/>
      <c r="O303" s="100"/>
      <c r="P303" s="228"/>
      <c r="Q303" s="228"/>
      <c r="R303" s="228"/>
      <c r="S303" s="228"/>
      <c r="T303" s="228"/>
      <c r="U303" s="228"/>
      <c r="V303" s="228"/>
      <c r="W303" s="228"/>
      <c r="X303" s="228"/>
    </row>
    <row r="304" spans="1:24" ht="16.2" customHeight="1">
      <c r="A304" s="228"/>
      <c r="B304" s="19">
        <v>301</v>
      </c>
      <c r="C304" s="20" t="s">
        <v>548</v>
      </c>
      <c r="D304" s="83">
        <v>10</v>
      </c>
      <c r="E304" s="229">
        <f t="shared" si="20"/>
        <v>10</v>
      </c>
      <c r="F304" s="230">
        <v>100</v>
      </c>
      <c r="G304" s="4">
        <f t="shared" si="21"/>
        <v>20000</v>
      </c>
      <c r="H304" s="231">
        <f t="shared" si="22"/>
        <v>1000</v>
      </c>
      <c r="I304" s="143">
        <f t="shared" si="23"/>
        <v>5.9523809523809529E-4</v>
      </c>
      <c r="J304" s="75">
        <f t="shared" si="24"/>
        <v>5.0000000000000001E-4</v>
      </c>
      <c r="K304" s="228"/>
      <c r="L304" s="100"/>
      <c r="M304" s="100"/>
      <c r="N304" s="100"/>
      <c r="O304" s="100"/>
      <c r="P304" s="228"/>
      <c r="Q304" s="228"/>
      <c r="R304" s="228"/>
      <c r="S304" s="228"/>
      <c r="T304" s="228"/>
      <c r="U304" s="228"/>
      <c r="V304" s="228"/>
      <c r="W304" s="228"/>
      <c r="X304" s="228"/>
    </row>
    <row r="305" spans="1:24" ht="16.2" customHeight="1">
      <c r="A305" s="228"/>
      <c r="B305" s="19">
        <v>302</v>
      </c>
      <c r="C305" s="20" t="s">
        <v>549</v>
      </c>
      <c r="D305" s="83">
        <v>10</v>
      </c>
      <c r="E305" s="229">
        <f t="shared" si="20"/>
        <v>10</v>
      </c>
      <c r="F305" s="230">
        <v>110</v>
      </c>
      <c r="G305" s="4">
        <f t="shared" si="21"/>
        <v>18181.81818181818</v>
      </c>
      <c r="H305" s="231">
        <f t="shared" si="22"/>
        <v>1100</v>
      </c>
      <c r="I305" s="143">
        <f t="shared" si="23"/>
        <v>6.5476190476190484E-4</v>
      </c>
      <c r="J305" s="75">
        <f t="shared" si="24"/>
        <v>5.5000000000000003E-4</v>
      </c>
      <c r="K305" s="228"/>
      <c r="L305" s="100"/>
      <c r="M305" s="100"/>
      <c r="N305" s="100"/>
      <c r="O305" s="100"/>
      <c r="P305" s="228"/>
      <c r="Q305" s="228"/>
      <c r="R305" s="228"/>
      <c r="S305" s="228"/>
      <c r="T305" s="228"/>
      <c r="U305" s="228"/>
      <c r="V305" s="228"/>
      <c r="W305" s="228"/>
      <c r="X305" s="228"/>
    </row>
    <row r="306" spans="1:24" ht="16.2" customHeight="1">
      <c r="A306" s="228"/>
      <c r="B306" s="19">
        <v>303</v>
      </c>
      <c r="C306" s="20" t="s">
        <v>550</v>
      </c>
      <c r="D306" s="83">
        <v>10</v>
      </c>
      <c r="E306" s="229">
        <f t="shared" si="20"/>
        <v>10</v>
      </c>
      <c r="F306" s="230">
        <v>150</v>
      </c>
      <c r="G306" s="4">
        <f t="shared" si="21"/>
        <v>13333.333333333334</v>
      </c>
      <c r="H306" s="231">
        <f t="shared" si="22"/>
        <v>1500</v>
      </c>
      <c r="I306" s="143">
        <f t="shared" si="23"/>
        <v>8.9285714285714294E-4</v>
      </c>
      <c r="J306" s="75">
        <f t="shared" si="24"/>
        <v>7.5000000000000002E-4</v>
      </c>
      <c r="K306" s="228"/>
      <c r="L306" s="100"/>
      <c r="M306" s="100"/>
      <c r="N306" s="100"/>
      <c r="O306" s="100"/>
      <c r="P306" s="228"/>
      <c r="Q306" s="228"/>
      <c r="R306" s="228"/>
      <c r="S306" s="228"/>
      <c r="T306" s="228"/>
      <c r="U306" s="228"/>
      <c r="V306" s="228"/>
      <c r="W306" s="228"/>
      <c r="X306" s="228"/>
    </row>
    <row r="307" spans="1:24" ht="16.2" customHeight="1">
      <c r="A307" s="228"/>
      <c r="B307" s="19">
        <v>304</v>
      </c>
      <c r="C307" s="20" t="s">
        <v>551</v>
      </c>
      <c r="D307" s="83">
        <v>10</v>
      </c>
      <c r="E307" s="229">
        <f t="shared" si="20"/>
        <v>10</v>
      </c>
      <c r="F307" s="230">
        <v>270</v>
      </c>
      <c r="G307" s="4">
        <f t="shared" si="21"/>
        <v>7407.4074074074078</v>
      </c>
      <c r="H307" s="231">
        <f t="shared" si="22"/>
        <v>2700</v>
      </c>
      <c r="I307" s="143">
        <f t="shared" si="23"/>
        <v>1.6071428571428573E-3</v>
      </c>
      <c r="J307" s="75">
        <f t="shared" si="24"/>
        <v>1.3500000000000001E-3</v>
      </c>
      <c r="K307" s="228"/>
      <c r="L307" s="100"/>
      <c r="M307" s="100"/>
      <c r="N307" s="100"/>
      <c r="O307" s="100"/>
      <c r="P307" s="228"/>
      <c r="Q307" s="228"/>
      <c r="R307" s="228"/>
      <c r="S307" s="228"/>
      <c r="T307" s="228"/>
      <c r="U307" s="228"/>
      <c r="V307" s="228"/>
      <c r="W307" s="228"/>
      <c r="X307" s="228"/>
    </row>
    <row r="308" spans="1:24" ht="16.2" customHeight="1">
      <c r="A308" s="228"/>
      <c r="B308" s="19">
        <v>305</v>
      </c>
      <c r="C308" s="20" t="s">
        <v>552</v>
      </c>
      <c r="D308" s="83">
        <v>10</v>
      </c>
      <c r="E308" s="229">
        <f t="shared" si="20"/>
        <v>10</v>
      </c>
      <c r="F308" s="230">
        <v>100</v>
      </c>
      <c r="G308" s="4">
        <f t="shared" si="21"/>
        <v>20000</v>
      </c>
      <c r="H308" s="231">
        <f t="shared" si="22"/>
        <v>1000</v>
      </c>
      <c r="I308" s="143">
        <f t="shared" si="23"/>
        <v>5.9523809523809529E-4</v>
      </c>
      <c r="J308" s="75">
        <f t="shared" si="24"/>
        <v>5.0000000000000001E-4</v>
      </c>
      <c r="K308" s="228"/>
      <c r="L308" s="100"/>
      <c r="M308" s="100"/>
      <c r="N308" s="100"/>
      <c r="O308" s="100"/>
      <c r="P308" s="228"/>
      <c r="Q308" s="228"/>
      <c r="R308" s="228"/>
      <c r="S308" s="228"/>
      <c r="T308" s="228"/>
      <c r="U308" s="228"/>
      <c r="V308" s="228"/>
      <c r="W308" s="228"/>
      <c r="X308" s="228"/>
    </row>
    <row r="309" spans="1:24" ht="16.2" customHeight="1">
      <c r="A309" s="228"/>
      <c r="B309" s="19">
        <v>306</v>
      </c>
      <c r="C309" s="20" t="s">
        <v>553</v>
      </c>
      <c r="D309" s="83">
        <v>10</v>
      </c>
      <c r="E309" s="229">
        <f t="shared" si="20"/>
        <v>10</v>
      </c>
      <c r="F309" s="230">
        <v>10</v>
      </c>
      <c r="G309" s="4">
        <f t="shared" si="21"/>
        <v>200000</v>
      </c>
      <c r="H309" s="231">
        <f t="shared" si="22"/>
        <v>100</v>
      </c>
      <c r="I309" s="143">
        <f t="shared" si="23"/>
        <v>5.9523809523809531E-5</v>
      </c>
      <c r="J309" s="75">
        <f t="shared" si="24"/>
        <v>5.0000000000000002E-5</v>
      </c>
      <c r="K309" s="228"/>
      <c r="L309" s="100"/>
      <c r="M309" s="100"/>
      <c r="N309" s="100"/>
      <c r="O309" s="100"/>
      <c r="P309" s="228"/>
      <c r="Q309" s="228"/>
      <c r="R309" s="228"/>
      <c r="S309" s="228"/>
      <c r="T309" s="228"/>
      <c r="U309" s="228"/>
      <c r="V309" s="228"/>
      <c r="W309" s="228"/>
      <c r="X309" s="228"/>
    </row>
    <row r="310" spans="1:24" ht="16.2" customHeight="1">
      <c r="A310" s="228"/>
      <c r="B310" s="19">
        <v>307</v>
      </c>
      <c r="C310" s="20" t="s">
        <v>554</v>
      </c>
      <c r="D310" s="83">
        <v>10</v>
      </c>
      <c r="E310" s="229">
        <f t="shared" si="20"/>
        <v>10</v>
      </c>
      <c r="F310" s="230">
        <v>70</v>
      </c>
      <c r="G310" s="4">
        <f t="shared" si="21"/>
        <v>28571.428571428572</v>
      </c>
      <c r="H310" s="231">
        <f t="shared" si="22"/>
        <v>700</v>
      </c>
      <c r="I310" s="143">
        <f t="shared" si="23"/>
        <v>4.1666666666666675E-4</v>
      </c>
      <c r="J310" s="75">
        <f t="shared" si="24"/>
        <v>3.5E-4</v>
      </c>
      <c r="K310" s="228"/>
      <c r="L310" s="100"/>
      <c r="M310" s="100"/>
      <c r="N310" s="100"/>
      <c r="O310" s="100"/>
      <c r="P310" s="228"/>
      <c r="Q310" s="228"/>
      <c r="R310" s="228"/>
      <c r="S310" s="228"/>
      <c r="T310" s="228"/>
      <c r="U310" s="228"/>
      <c r="V310" s="228"/>
      <c r="W310" s="228"/>
      <c r="X310" s="228"/>
    </row>
    <row r="311" spans="1:24" ht="16.2" customHeight="1">
      <c r="A311" s="228"/>
      <c r="B311" s="19">
        <v>308</v>
      </c>
      <c r="C311" s="20" t="s">
        <v>555</v>
      </c>
      <c r="D311" s="83">
        <v>10</v>
      </c>
      <c r="E311" s="229">
        <f t="shared" si="20"/>
        <v>10</v>
      </c>
      <c r="F311" s="230">
        <v>50</v>
      </c>
      <c r="G311" s="4">
        <f t="shared" si="21"/>
        <v>40000</v>
      </c>
      <c r="H311" s="231">
        <f t="shared" si="22"/>
        <v>500</v>
      </c>
      <c r="I311" s="143">
        <f t="shared" si="23"/>
        <v>2.9761904761904765E-4</v>
      </c>
      <c r="J311" s="75">
        <f t="shared" si="24"/>
        <v>2.5000000000000001E-4</v>
      </c>
      <c r="K311" s="228"/>
      <c r="L311" s="100"/>
      <c r="M311" s="100"/>
      <c r="N311" s="100"/>
      <c r="O311" s="100"/>
      <c r="P311" s="228"/>
      <c r="Q311" s="228"/>
      <c r="R311" s="228"/>
      <c r="S311" s="228"/>
      <c r="T311" s="228"/>
      <c r="U311" s="228"/>
      <c r="V311" s="228"/>
      <c r="W311" s="228"/>
      <c r="X311" s="228"/>
    </row>
    <row r="312" spans="1:24" ht="16.2" customHeight="1">
      <c r="A312" s="228"/>
      <c r="B312" s="19">
        <v>309</v>
      </c>
      <c r="C312" s="20" t="s">
        <v>556</v>
      </c>
      <c r="D312" s="83">
        <v>10</v>
      </c>
      <c r="E312" s="229">
        <f t="shared" si="20"/>
        <v>10</v>
      </c>
      <c r="F312" s="230">
        <v>105</v>
      </c>
      <c r="G312" s="4">
        <f t="shared" si="21"/>
        <v>19047.619047619046</v>
      </c>
      <c r="H312" s="231">
        <f t="shared" si="22"/>
        <v>1050</v>
      </c>
      <c r="I312" s="143">
        <f t="shared" si="23"/>
        <v>6.2500000000000012E-4</v>
      </c>
      <c r="J312" s="75">
        <f t="shared" si="24"/>
        <v>5.2499999999999997E-4</v>
      </c>
      <c r="K312" s="228"/>
      <c r="L312" s="100"/>
      <c r="M312" s="100"/>
      <c r="N312" s="100"/>
      <c r="O312" s="100"/>
      <c r="P312" s="228"/>
      <c r="Q312" s="228"/>
      <c r="R312" s="228"/>
      <c r="S312" s="228"/>
      <c r="T312" s="228"/>
      <c r="U312" s="228"/>
      <c r="V312" s="228"/>
      <c r="W312" s="228"/>
      <c r="X312" s="228"/>
    </row>
    <row r="313" spans="1:24" ht="16.2" customHeight="1">
      <c r="A313" s="228"/>
      <c r="B313" s="19">
        <v>310</v>
      </c>
      <c r="C313" s="20" t="s">
        <v>557</v>
      </c>
      <c r="D313" s="83">
        <v>10</v>
      </c>
      <c r="E313" s="229">
        <f t="shared" si="20"/>
        <v>10</v>
      </c>
      <c r="F313" s="230">
        <v>500</v>
      </c>
      <c r="G313" s="4">
        <f t="shared" si="21"/>
        <v>4000</v>
      </c>
      <c r="H313" s="231">
        <f t="shared" si="22"/>
        <v>5000</v>
      </c>
      <c r="I313" s="143">
        <f t="shared" si="23"/>
        <v>2.9761904761904765E-3</v>
      </c>
      <c r="J313" s="75">
        <f t="shared" si="24"/>
        <v>2.5000000000000001E-3</v>
      </c>
      <c r="K313" s="228"/>
      <c r="L313" s="100"/>
      <c r="M313" s="100"/>
      <c r="N313" s="100"/>
      <c r="O313" s="100"/>
      <c r="P313" s="228"/>
      <c r="Q313" s="228"/>
      <c r="R313" s="228"/>
      <c r="S313" s="228"/>
      <c r="T313" s="228"/>
      <c r="U313" s="228"/>
      <c r="V313" s="228"/>
      <c r="W313" s="228"/>
      <c r="X313" s="228"/>
    </row>
    <row r="314" spans="1:24" ht="16.2" customHeight="1">
      <c r="A314" s="228"/>
      <c r="B314" s="19">
        <v>311</v>
      </c>
      <c r="C314" s="20" t="s">
        <v>558</v>
      </c>
      <c r="D314" s="83">
        <v>10</v>
      </c>
      <c r="E314" s="229">
        <f t="shared" si="20"/>
        <v>10</v>
      </c>
      <c r="F314" s="230">
        <v>1100</v>
      </c>
      <c r="G314" s="4">
        <f t="shared" si="21"/>
        <v>1818.1818181818182</v>
      </c>
      <c r="H314" s="231">
        <f t="shared" si="22"/>
        <v>11000</v>
      </c>
      <c r="I314" s="143">
        <f t="shared" si="23"/>
        <v>6.5476190476190486E-3</v>
      </c>
      <c r="J314" s="75">
        <f t="shared" si="24"/>
        <v>5.4999999999999997E-3</v>
      </c>
      <c r="K314" s="228"/>
      <c r="L314" s="100"/>
      <c r="M314" s="100"/>
      <c r="N314" s="100"/>
      <c r="O314" s="100"/>
      <c r="P314" s="228"/>
      <c r="Q314" s="228"/>
      <c r="R314" s="228"/>
      <c r="S314" s="228"/>
      <c r="T314" s="228"/>
      <c r="U314" s="228"/>
      <c r="V314" s="228"/>
      <c r="W314" s="228"/>
      <c r="X314" s="228"/>
    </row>
    <row r="315" spans="1:24" ht="16.2" customHeight="1">
      <c r="A315" s="228"/>
      <c r="B315" s="19">
        <v>312</v>
      </c>
      <c r="C315" s="20" t="s">
        <v>559</v>
      </c>
      <c r="D315" s="83">
        <v>10</v>
      </c>
      <c r="E315" s="229">
        <f t="shared" si="20"/>
        <v>10</v>
      </c>
      <c r="F315" s="230">
        <v>1100</v>
      </c>
      <c r="G315" s="4">
        <f t="shared" si="21"/>
        <v>1818.1818181818182</v>
      </c>
      <c r="H315" s="231">
        <f t="shared" si="22"/>
        <v>11000</v>
      </c>
      <c r="I315" s="143">
        <f t="shared" si="23"/>
        <v>6.5476190476190486E-3</v>
      </c>
      <c r="J315" s="75">
        <f t="shared" si="24"/>
        <v>5.4999999999999997E-3</v>
      </c>
      <c r="K315" s="228"/>
      <c r="L315" s="100"/>
      <c r="M315" s="100"/>
      <c r="N315" s="100"/>
      <c r="O315" s="100"/>
      <c r="P315" s="228"/>
      <c r="Q315" s="228"/>
      <c r="R315" s="228"/>
      <c r="S315" s="228"/>
      <c r="T315" s="228"/>
      <c r="U315" s="228"/>
      <c r="V315" s="228"/>
      <c r="W315" s="228"/>
      <c r="X315" s="228"/>
    </row>
    <row r="316" spans="1:24" ht="16.2" customHeight="1">
      <c r="A316" s="228"/>
      <c r="B316" s="19">
        <v>313</v>
      </c>
      <c r="C316" s="20" t="s">
        <v>560</v>
      </c>
      <c r="D316" s="83">
        <v>10</v>
      </c>
      <c r="E316" s="229">
        <f t="shared" si="20"/>
        <v>10</v>
      </c>
      <c r="F316" s="230">
        <v>8500</v>
      </c>
      <c r="G316" s="4">
        <f t="shared" si="21"/>
        <v>235.29411764705881</v>
      </c>
      <c r="H316" s="231">
        <f t="shared" si="22"/>
        <v>85000</v>
      </c>
      <c r="I316" s="143">
        <f t="shared" si="23"/>
        <v>5.0595238095238103E-2</v>
      </c>
      <c r="J316" s="75">
        <f t="shared" si="24"/>
        <v>4.2500000000000003E-2</v>
      </c>
      <c r="K316" s="228"/>
      <c r="L316" s="100"/>
      <c r="M316" s="100"/>
      <c r="N316" s="100"/>
      <c r="O316" s="100"/>
      <c r="P316" s="228"/>
      <c r="Q316" s="228"/>
      <c r="R316" s="228"/>
      <c r="S316" s="228"/>
      <c r="T316" s="228"/>
      <c r="U316" s="228"/>
      <c r="V316" s="228"/>
      <c r="W316" s="228"/>
      <c r="X316" s="228"/>
    </row>
    <row r="317" spans="1:24" ht="16.2" customHeight="1">
      <c r="A317" s="228"/>
      <c r="B317" s="19">
        <v>314</v>
      </c>
      <c r="C317" s="20" t="s">
        <v>561</v>
      </c>
      <c r="D317" s="83">
        <v>9.5</v>
      </c>
      <c r="E317" s="229">
        <f t="shared" si="20"/>
        <v>9.5</v>
      </c>
      <c r="F317" s="230">
        <v>10</v>
      </c>
      <c r="G317" s="4">
        <f t="shared" si="21"/>
        <v>200000</v>
      </c>
      <c r="H317" s="231">
        <f t="shared" si="22"/>
        <v>95</v>
      </c>
      <c r="I317" s="143">
        <f t="shared" si="23"/>
        <v>5.6547619047619053E-5</v>
      </c>
      <c r="J317" s="75">
        <f t="shared" si="24"/>
        <v>4.7500000000000003E-5</v>
      </c>
      <c r="K317" s="228"/>
      <c r="L317" s="100"/>
      <c r="M317" s="100"/>
      <c r="N317" s="100"/>
      <c r="O317" s="100"/>
      <c r="P317" s="228"/>
      <c r="Q317" s="228"/>
      <c r="R317" s="228"/>
      <c r="S317" s="228"/>
      <c r="T317" s="228"/>
      <c r="U317" s="228"/>
      <c r="V317" s="228"/>
      <c r="W317" s="228"/>
      <c r="X317" s="228"/>
    </row>
    <row r="318" spans="1:24" ht="16.2" customHeight="1">
      <c r="A318" s="228"/>
      <c r="B318" s="19">
        <v>315</v>
      </c>
      <c r="C318" s="20" t="s">
        <v>562</v>
      </c>
      <c r="D318" s="83">
        <v>9.1</v>
      </c>
      <c r="E318" s="229">
        <f t="shared" si="20"/>
        <v>9.1</v>
      </c>
      <c r="F318" s="230">
        <v>42</v>
      </c>
      <c r="G318" s="4">
        <f t="shared" si="21"/>
        <v>47619.047619047618</v>
      </c>
      <c r="H318" s="231">
        <f t="shared" si="22"/>
        <v>382.2</v>
      </c>
      <c r="I318" s="143">
        <f t="shared" si="23"/>
        <v>2.2750000000000003E-4</v>
      </c>
      <c r="J318" s="75">
        <f t="shared" si="24"/>
        <v>1.9109999999999998E-4</v>
      </c>
      <c r="K318" s="228"/>
      <c r="L318" s="100"/>
      <c r="M318" s="100"/>
      <c r="N318" s="100"/>
      <c r="O318" s="100"/>
      <c r="P318" s="228"/>
      <c r="Q318" s="228"/>
      <c r="R318" s="228"/>
      <c r="S318" s="228"/>
      <c r="T318" s="228"/>
      <c r="U318" s="228"/>
      <c r="V318" s="228"/>
      <c r="W318" s="228"/>
      <c r="X318" s="228"/>
    </row>
    <row r="319" spans="1:24" ht="16.2" customHeight="1">
      <c r="A319" s="228"/>
      <c r="B319" s="19">
        <v>316</v>
      </c>
      <c r="C319" s="20" t="s">
        <v>563</v>
      </c>
      <c r="D319" s="83">
        <v>8.6999999999999993</v>
      </c>
      <c r="E319" s="229">
        <f t="shared" si="20"/>
        <v>8.6999999999999993</v>
      </c>
      <c r="F319" s="230">
        <v>72</v>
      </c>
      <c r="G319" s="4">
        <f t="shared" si="21"/>
        <v>27777.777777777777</v>
      </c>
      <c r="H319" s="231">
        <f t="shared" si="22"/>
        <v>626.4</v>
      </c>
      <c r="I319" s="143">
        <f t="shared" si="23"/>
        <v>3.7285714285714287E-4</v>
      </c>
      <c r="J319" s="75">
        <f t="shared" si="24"/>
        <v>3.1319999999999997E-4</v>
      </c>
      <c r="K319" s="228"/>
      <c r="L319" s="100"/>
      <c r="M319" s="100"/>
      <c r="N319" s="100"/>
      <c r="O319" s="100"/>
      <c r="P319" s="228"/>
      <c r="Q319" s="228"/>
      <c r="R319" s="228"/>
      <c r="S319" s="228"/>
      <c r="T319" s="228"/>
      <c r="U319" s="228"/>
      <c r="V319" s="228"/>
      <c r="W319" s="228"/>
      <c r="X319" s="228"/>
    </row>
    <row r="320" spans="1:24" ht="16.2" customHeight="1">
      <c r="A320" s="228"/>
      <c r="B320" s="19">
        <v>317</v>
      </c>
      <c r="C320" s="20" t="s">
        <v>564</v>
      </c>
      <c r="D320" s="83">
        <v>8.1999999999999993</v>
      </c>
      <c r="E320" s="229">
        <f t="shared" si="20"/>
        <v>8.1999999999999993</v>
      </c>
      <c r="F320" s="230">
        <v>10</v>
      </c>
      <c r="G320" s="4">
        <f t="shared" si="21"/>
        <v>200000</v>
      </c>
      <c r="H320" s="231">
        <f t="shared" si="22"/>
        <v>82</v>
      </c>
      <c r="I320" s="143">
        <f t="shared" si="23"/>
        <v>4.8809523809523818E-5</v>
      </c>
      <c r="J320" s="75">
        <f t="shared" si="24"/>
        <v>4.1E-5</v>
      </c>
      <c r="K320" s="228"/>
      <c r="L320" s="100"/>
      <c r="M320" s="100"/>
      <c r="N320" s="100"/>
      <c r="O320" s="100"/>
      <c r="P320" s="228"/>
      <c r="Q320" s="228"/>
      <c r="R320" s="228"/>
      <c r="S320" s="228"/>
      <c r="T320" s="228"/>
      <c r="U320" s="228"/>
      <c r="V320" s="228"/>
      <c r="W320" s="228"/>
      <c r="X320" s="228"/>
    </row>
    <row r="321" spans="1:24" ht="16.2" customHeight="1">
      <c r="A321" s="228"/>
      <c r="B321" s="19">
        <v>318</v>
      </c>
      <c r="C321" s="20" t="s">
        <v>565</v>
      </c>
      <c r="D321" s="83">
        <v>8</v>
      </c>
      <c r="E321" s="229">
        <f t="shared" si="20"/>
        <v>8</v>
      </c>
      <c r="F321" s="230">
        <v>53</v>
      </c>
      <c r="G321" s="4">
        <f t="shared" si="21"/>
        <v>37735.849056603773</v>
      </c>
      <c r="H321" s="231">
        <f t="shared" si="22"/>
        <v>424</v>
      </c>
      <c r="I321" s="143">
        <f t="shared" si="23"/>
        <v>2.5238095238095244E-4</v>
      </c>
      <c r="J321" s="75">
        <f t="shared" si="24"/>
        <v>2.12E-4</v>
      </c>
      <c r="K321" s="228"/>
      <c r="L321" s="100"/>
      <c r="M321" s="100"/>
      <c r="N321" s="100"/>
      <c r="O321" s="100"/>
      <c r="P321" s="228"/>
      <c r="Q321" s="228"/>
      <c r="R321" s="228"/>
      <c r="S321" s="228"/>
      <c r="T321" s="228"/>
      <c r="U321" s="228"/>
      <c r="V321" s="228"/>
      <c r="W321" s="228"/>
      <c r="X321" s="228"/>
    </row>
    <row r="322" spans="1:24" ht="16.2" customHeight="1">
      <c r="A322" s="228"/>
      <c r="B322" s="19">
        <v>319</v>
      </c>
      <c r="C322" s="20" t="s">
        <v>566</v>
      </c>
      <c r="D322" s="83">
        <v>8</v>
      </c>
      <c r="E322" s="229">
        <f t="shared" si="20"/>
        <v>8</v>
      </c>
      <c r="F322" s="230">
        <v>800</v>
      </c>
      <c r="G322" s="4">
        <f t="shared" si="21"/>
        <v>2500</v>
      </c>
      <c r="H322" s="231">
        <f t="shared" si="22"/>
        <v>6400</v>
      </c>
      <c r="I322" s="143">
        <f t="shared" si="23"/>
        <v>3.80952380952381E-3</v>
      </c>
      <c r="J322" s="75">
        <f t="shared" si="24"/>
        <v>3.2000000000000002E-3</v>
      </c>
      <c r="K322" s="228"/>
      <c r="L322" s="100"/>
      <c r="M322" s="100"/>
      <c r="N322" s="100"/>
      <c r="O322" s="100"/>
      <c r="P322" s="228"/>
      <c r="Q322" s="228"/>
      <c r="R322" s="228"/>
      <c r="S322" s="228"/>
      <c r="T322" s="228"/>
      <c r="U322" s="228"/>
      <c r="V322" s="228"/>
      <c r="W322" s="228"/>
      <c r="X322" s="228"/>
    </row>
    <row r="323" spans="1:24" ht="16.2" customHeight="1">
      <c r="A323" s="228"/>
      <c r="B323" s="19">
        <v>320</v>
      </c>
      <c r="C323" s="20" t="s">
        <v>567</v>
      </c>
      <c r="D323" s="83">
        <v>8</v>
      </c>
      <c r="E323" s="229">
        <f t="shared" si="20"/>
        <v>8</v>
      </c>
      <c r="F323" s="230">
        <v>500</v>
      </c>
      <c r="G323" s="4">
        <f t="shared" si="21"/>
        <v>4000</v>
      </c>
      <c r="H323" s="231">
        <f t="shared" si="22"/>
        <v>4000</v>
      </c>
      <c r="I323" s="143">
        <f t="shared" si="23"/>
        <v>2.3809523809523812E-3</v>
      </c>
      <c r="J323" s="75">
        <f t="shared" si="24"/>
        <v>2E-3</v>
      </c>
      <c r="K323" s="228"/>
      <c r="L323" s="100"/>
      <c r="M323" s="100"/>
      <c r="N323" s="100"/>
      <c r="O323" s="100"/>
      <c r="P323" s="228"/>
      <c r="Q323" s="228"/>
      <c r="R323" s="228"/>
      <c r="S323" s="228"/>
      <c r="T323" s="228"/>
      <c r="U323" s="228"/>
      <c r="V323" s="228"/>
      <c r="W323" s="228"/>
      <c r="X323" s="228"/>
    </row>
    <row r="324" spans="1:24" ht="16.2" customHeight="1">
      <c r="A324" s="228"/>
      <c r="B324" s="19">
        <v>321</v>
      </c>
      <c r="C324" s="20" t="s">
        <v>568</v>
      </c>
      <c r="D324" s="83">
        <v>8</v>
      </c>
      <c r="E324" s="229">
        <f t="shared" ref="E324:E387" si="25">D324*$M$7</f>
        <v>8</v>
      </c>
      <c r="F324" s="230">
        <v>500</v>
      </c>
      <c r="G324" s="4">
        <f t="shared" ref="G324:G387" si="26">$M$6/F324</f>
        <v>4000</v>
      </c>
      <c r="H324" s="231">
        <f t="shared" ref="H324:H387" si="27">F324*E324</f>
        <v>4000</v>
      </c>
      <c r="I324" s="143">
        <f t="shared" ref="I324:I387" si="28">H324/$M$9</f>
        <v>2.3809523809523812E-3</v>
      </c>
      <c r="J324" s="75">
        <f t="shared" ref="J324:J387" si="29">H324/$M$8</f>
        <v>2E-3</v>
      </c>
      <c r="K324" s="228"/>
      <c r="L324" s="100"/>
      <c r="M324" s="100"/>
      <c r="N324" s="100"/>
      <c r="O324" s="100"/>
      <c r="P324" s="228"/>
      <c r="Q324" s="228"/>
      <c r="R324" s="228"/>
      <c r="S324" s="228"/>
      <c r="T324" s="228"/>
      <c r="U324" s="228"/>
      <c r="V324" s="228"/>
      <c r="W324" s="228"/>
      <c r="X324" s="228"/>
    </row>
    <row r="325" spans="1:24" ht="16.2" customHeight="1">
      <c r="A325" s="228"/>
      <c r="B325" s="19">
        <v>322</v>
      </c>
      <c r="C325" s="20" t="s">
        <v>569</v>
      </c>
      <c r="D325" s="83">
        <v>8</v>
      </c>
      <c r="E325" s="229">
        <f t="shared" si="25"/>
        <v>8</v>
      </c>
      <c r="F325" s="230">
        <v>8500</v>
      </c>
      <c r="G325" s="4">
        <f t="shared" si="26"/>
        <v>235.29411764705881</v>
      </c>
      <c r="H325" s="231">
        <f t="shared" si="27"/>
        <v>68000</v>
      </c>
      <c r="I325" s="143">
        <f t="shared" si="28"/>
        <v>4.0476190476190485E-2</v>
      </c>
      <c r="J325" s="75">
        <f t="shared" si="29"/>
        <v>3.4000000000000002E-2</v>
      </c>
      <c r="K325" s="228"/>
      <c r="L325" s="100"/>
      <c r="M325" s="100"/>
      <c r="N325" s="100"/>
      <c r="O325" s="100"/>
      <c r="P325" s="228"/>
      <c r="Q325" s="228"/>
      <c r="R325" s="228"/>
      <c r="S325" s="228"/>
      <c r="T325" s="228"/>
      <c r="U325" s="228"/>
      <c r="V325" s="228"/>
      <c r="W325" s="228"/>
      <c r="X325" s="228"/>
    </row>
    <row r="326" spans="1:24" ht="16.2" customHeight="1">
      <c r="A326" s="228"/>
      <c r="B326" s="19">
        <v>323</v>
      </c>
      <c r="C326" s="20" t="s">
        <v>570</v>
      </c>
      <c r="D326" s="83">
        <v>7.5</v>
      </c>
      <c r="E326" s="229">
        <f t="shared" si="25"/>
        <v>7.5</v>
      </c>
      <c r="F326" s="230">
        <v>50</v>
      </c>
      <c r="G326" s="4">
        <f t="shared" si="26"/>
        <v>40000</v>
      </c>
      <c r="H326" s="231">
        <f t="shared" si="27"/>
        <v>375</v>
      </c>
      <c r="I326" s="143">
        <f t="shared" si="28"/>
        <v>2.2321428571428573E-4</v>
      </c>
      <c r="J326" s="75">
        <f t="shared" si="29"/>
        <v>1.875E-4</v>
      </c>
      <c r="K326" s="228"/>
      <c r="L326" s="100"/>
      <c r="M326" s="100"/>
      <c r="N326" s="100"/>
      <c r="O326" s="100"/>
      <c r="P326" s="228"/>
      <c r="Q326" s="228"/>
      <c r="R326" s="228"/>
      <c r="S326" s="228"/>
      <c r="T326" s="228"/>
      <c r="U326" s="228"/>
      <c r="V326" s="228"/>
      <c r="W326" s="228"/>
      <c r="X326" s="228"/>
    </row>
    <row r="327" spans="1:24" ht="16.2" customHeight="1">
      <c r="A327" s="228"/>
      <c r="B327" s="19">
        <v>324</v>
      </c>
      <c r="C327" s="20" t="s">
        <v>571</v>
      </c>
      <c r="D327" s="83">
        <v>7.2</v>
      </c>
      <c r="E327" s="229">
        <f t="shared" si="25"/>
        <v>7.2</v>
      </c>
      <c r="F327" s="230">
        <v>10</v>
      </c>
      <c r="G327" s="4">
        <f t="shared" si="26"/>
        <v>200000</v>
      </c>
      <c r="H327" s="231">
        <f t="shared" si="27"/>
        <v>72</v>
      </c>
      <c r="I327" s="143">
        <f t="shared" si="28"/>
        <v>4.2857142857142863E-5</v>
      </c>
      <c r="J327" s="75">
        <f t="shared" si="29"/>
        <v>3.6000000000000001E-5</v>
      </c>
      <c r="K327" s="228"/>
      <c r="L327" s="100"/>
      <c r="M327" s="100"/>
      <c r="N327" s="100"/>
      <c r="O327" s="100"/>
      <c r="P327" s="228"/>
      <c r="Q327" s="228"/>
      <c r="R327" s="228"/>
      <c r="S327" s="228"/>
      <c r="T327" s="228"/>
      <c r="U327" s="228"/>
      <c r="V327" s="228"/>
      <c r="W327" s="228"/>
      <c r="X327" s="228"/>
    </row>
    <row r="328" spans="1:24" ht="16.2" customHeight="1">
      <c r="A328" s="228"/>
      <c r="B328" s="19">
        <v>325</v>
      </c>
      <c r="C328" s="20" t="s">
        <v>572</v>
      </c>
      <c r="D328" s="83">
        <v>7.1</v>
      </c>
      <c r="E328" s="229">
        <f t="shared" si="25"/>
        <v>7.1</v>
      </c>
      <c r="F328" s="230">
        <v>10</v>
      </c>
      <c r="G328" s="4">
        <f t="shared" si="26"/>
        <v>200000</v>
      </c>
      <c r="H328" s="231">
        <f t="shared" si="27"/>
        <v>71</v>
      </c>
      <c r="I328" s="143">
        <f t="shared" si="28"/>
        <v>4.2261904761904768E-5</v>
      </c>
      <c r="J328" s="75">
        <f t="shared" si="29"/>
        <v>3.5500000000000002E-5</v>
      </c>
      <c r="K328" s="228"/>
      <c r="L328" s="100"/>
      <c r="M328" s="100"/>
      <c r="N328" s="100"/>
      <c r="O328" s="100"/>
      <c r="P328" s="228"/>
      <c r="Q328" s="228"/>
      <c r="R328" s="228"/>
      <c r="S328" s="228"/>
      <c r="T328" s="228"/>
      <c r="U328" s="228"/>
      <c r="V328" s="228"/>
      <c r="W328" s="228"/>
      <c r="X328" s="228"/>
    </row>
    <row r="329" spans="1:24" ht="16.2" customHeight="1">
      <c r="A329" s="228"/>
      <c r="B329" s="19">
        <v>326</v>
      </c>
      <c r="C329" s="20" t="s">
        <v>573</v>
      </c>
      <c r="D329" s="83">
        <v>7</v>
      </c>
      <c r="E329" s="229">
        <f t="shared" si="25"/>
        <v>7</v>
      </c>
      <c r="F329" s="230">
        <v>10</v>
      </c>
      <c r="G329" s="4">
        <f t="shared" si="26"/>
        <v>200000</v>
      </c>
      <c r="H329" s="231">
        <f t="shared" si="27"/>
        <v>70</v>
      </c>
      <c r="I329" s="143">
        <f t="shared" si="28"/>
        <v>4.1666666666666672E-5</v>
      </c>
      <c r="J329" s="75">
        <f t="shared" si="29"/>
        <v>3.4999999999999997E-5</v>
      </c>
      <c r="K329" s="228"/>
      <c r="L329" s="100"/>
      <c r="M329" s="100"/>
      <c r="N329" s="100"/>
      <c r="O329" s="100"/>
      <c r="P329" s="228"/>
      <c r="Q329" s="228"/>
      <c r="R329" s="228"/>
      <c r="S329" s="228"/>
      <c r="T329" s="228"/>
      <c r="U329" s="228"/>
      <c r="V329" s="228"/>
      <c r="W329" s="228"/>
      <c r="X329" s="228"/>
    </row>
    <row r="330" spans="1:24" ht="16.2" customHeight="1">
      <c r="A330" s="228"/>
      <c r="B330" s="19">
        <v>327</v>
      </c>
      <c r="C330" s="20" t="s">
        <v>574</v>
      </c>
      <c r="D330" s="83">
        <v>7</v>
      </c>
      <c r="E330" s="229">
        <f t="shared" si="25"/>
        <v>7</v>
      </c>
      <c r="F330" s="230">
        <v>10</v>
      </c>
      <c r="G330" s="4">
        <f t="shared" si="26"/>
        <v>200000</v>
      </c>
      <c r="H330" s="231">
        <f t="shared" si="27"/>
        <v>70</v>
      </c>
      <c r="I330" s="143">
        <f t="shared" si="28"/>
        <v>4.1666666666666672E-5</v>
      </c>
      <c r="J330" s="75">
        <f t="shared" si="29"/>
        <v>3.4999999999999997E-5</v>
      </c>
      <c r="K330" s="228"/>
      <c r="L330" s="100"/>
      <c r="M330" s="100"/>
      <c r="N330" s="100"/>
      <c r="O330" s="100"/>
      <c r="P330" s="228"/>
      <c r="Q330" s="228"/>
      <c r="R330" s="228"/>
      <c r="S330" s="228"/>
      <c r="T330" s="228"/>
      <c r="U330" s="228"/>
      <c r="V330" s="228"/>
      <c r="W330" s="228"/>
      <c r="X330" s="228"/>
    </row>
    <row r="331" spans="1:24" ht="16.2" customHeight="1">
      <c r="A331" s="228"/>
      <c r="B331" s="19">
        <v>328</v>
      </c>
      <c r="C331" s="20" t="s">
        <v>575</v>
      </c>
      <c r="D331" s="83">
        <v>7</v>
      </c>
      <c r="E331" s="229">
        <f t="shared" si="25"/>
        <v>7</v>
      </c>
      <c r="F331" s="230">
        <v>50</v>
      </c>
      <c r="G331" s="4">
        <f t="shared" si="26"/>
        <v>40000</v>
      </c>
      <c r="H331" s="231">
        <f t="shared" si="27"/>
        <v>350</v>
      </c>
      <c r="I331" s="143">
        <f t="shared" si="28"/>
        <v>2.0833333333333337E-4</v>
      </c>
      <c r="J331" s="75">
        <f t="shared" si="29"/>
        <v>1.75E-4</v>
      </c>
      <c r="K331" s="228"/>
      <c r="L331" s="100"/>
      <c r="M331" s="100"/>
      <c r="N331" s="100"/>
      <c r="O331" s="100"/>
      <c r="P331" s="228"/>
      <c r="Q331" s="228"/>
      <c r="R331" s="228"/>
      <c r="S331" s="228"/>
      <c r="T331" s="228"/>
      <c r="U331" s="228"/>
      <c r="V331" s="228"/>
      <c r="W331" s="228"/>
      <c r="X331" s="228"/>
    </row>
    <row r="332" spans="1:24" ht="16.2" customHeight="1">
      <c r="A332" s="228"/>
      <c r="B332" s="19">
        <v>329</v>
      </c>
      <c r="C332" s="20" t="s">
        <v>576</v>
      </c>
      <c r="D332" s="83">
        <v>7</v>
      </c>
      <c r="E332" s="229">
        <f t="shared" si="25"/>
        <v>7</v>
      </c>
      <c r="F332" s="230">
        <v>18</v>
      </c>
      <c r="G332" s="4">
        <f t="shared" si="26"/>
        <v>111111.11111111111</v>
      </c>
      <c r="H332" s="231">
        <f t="shared" si="27"/>
        <v>126</v>
      </c>
      <c r="I332" s="143">
        <f t="shared" si="28"/>
        <v>7.5000000000000007E-5</v>
      </c>
      <c r="J332" s="75">
        <f t="shared" si="29"/>
        <v>6.3E-5</v>
      </c>
      <c r="K332" s="228"/>
      <c r="L332" s="100"/>
      <c r="M332" s="100"/>
      <c r="N332" s="100"/>
      <c r="O332" s="100"/>
      <c r="P332" s="228"/>
      <c r="Q332" s="228"/>
      <c r="R332" s="228"/>
      <c r="S332" s="228"/>
      <c r="T332" s="228"/>
      <c r="U332" s="228"/>
      <c r="V332" s="228"/>
      <c r="W332" s="228"/>
      <c r="X332" s="228"/>
    </row>
    <row r="333" spans="1:24" ht="16.2" customHeight="1">
      <c r="A333" s="228"/>
      <c r="B333" s="19">
        <v>330</v>
      </c>
      <c r="C333" s="20" t="s">
        <v>577</v>
      </c>
      <c r="D333" s="83">
        <v>7</v>
      </c>
      <c r="E333" s="229">
        <f t="shared" si="25"/>
        <v>7</v>
      </c>
      <c r="F333" s="230">
        <v>14</v>
      </c>
      <c r="G333" s="4">
        <f t="shared" si="26"/>
        <v>142857.14285714287</v>
      </c>
      <c r="H333" s="231">
        <f t="shared" si="27"/>
        <v>98</v>
      </c>
      <c r="I333" s="143">
        <f t="shared" si="28"/>
        <v>5.833333333333334E-5</v>
      </c>
      <c r="J333" s="75">
        <f t="shared" si="29"/>
        <v>4.8999999999999998E-5</v>
      </c>
      <c r="K333" s="228"/>
      <c r="L333" s="100"/>
      <c r="M333" s="100"/>
      <c r="N333" s="100"/>
      <c r="O333" s="100"/>
      <c r="P333" s="228"/>
      <c r="Q333" s="228"/>
      <c r="R333" s="228"/>
      <c r="S333" s="228"/>
      <c r="T333" s="228"/>
      <c r="U333" s="228"/>
      <c r="V333" s="228"/>
      <c r="W333" s="228"/>
      <c r="X333" s="228"/>
    </row>
    <row r="334" spans="1:24" ht="16.2" customHeight="1">
      <c r="A334" s="228"/>
      <c r="B334" s="19">
        <v>331</v>
      </c>
      <c r="C334" s="20" t="s">
        <v>578</v>
      </c>
      <c r="D334" s="83">
        <v>7</v>
      </c>
      <c r="E334" s="229">
        <f t="shared" si="25"/>
        <v>7</v>
      </c>
      <c r="F334" s="230">
        <v>18</v>
      </c>
      <c r="G334" s="4">
        <f t="shared" si="26"/>
        <v>111111.11111111111</v>
      </c>
      <c r="H334" s="231">
        <f t="shared" si="27"/>
        <v>126</v>
      </c>
      <c r="I334" s="143">
        <f t="shared" si="28"/>
        <v>7.5000000000000007E-5</v>
      </c>
      <c r="J334" s="75">
        <f t="shared" si="29"/>
        <v>6.3E-5</v>
      </c>
      <c r="K334" s="228"/>
      <c r="L334" s="100"/>
      <c r="M334" s="100"/>
      <c r="N334" s="100"/>
      <c r="O334" s="100"/>
      <c r="P334" s="228"/>
      <c r="Q334" s="228"/>
      <c r="R334" s="228"/>
      <c r="S334" s="228"/>
      <c r="T334" s="228"/>
      <c r="U334" s="228"/>
      <c r="V334" s="228"/>
      <c r="W334" s="228"/>
      <c r="X334" s="228"/>
    </row>
    <row r="335" spans="1:24" ht="16.2" customHeight="1">
      <c r="A335" s="228"/>
      <c r="B335" s="19">
        <v>332</v>
      </c>
      <c r="C335" s="20" t="s">
        <v>579</v>
      </c>
      <c r="D335" s="83">
        <v>6.5</v>
      </c>
      <c r="E335" s="229">
        <f t="shared" si="25"/>
        <v>6.5</v>
      </c>
      <c r="F335" s="230">
        <v>10</v>
      </c>
      <c r="G335" s="4">
        <f t="shared" si="26"/>
        <v>200000</v>
      </c>
      <c r="H335" s="231">
        <f t="shared" si="27"/>
        <v>65</v>
      </c>
      <c r="I335" s="143">
        <f t="shared" si="28"/>
        <v>3.8690476190476195E-5</v>
      </c>
      <c r="J335" s="75">
        <f t="shared" si="29"/>
        <v>3.2499999999999997E-5</v>
      </c>
      <c r="K335" s="228"/>
      <c r="L335" s="100"/>
      <c r="M335" s="100"/>
      <c r="N335" s="100"/>
      <c r="O335" s="100"/>
      <c r="P335" s="228"/>
      <c r="Q335" s="228"/>
      <c r="R335" s="228"/>
      <c r="S335" s="228"/>
      <c r="T335" s="228"/>
      <c r="U335" s="228"/>
      <c r="V335" s="228"/>
      <c r="W335" s="228"/>
      <c r="X335" s="228"/>
    </row>
    <row r="336" spans="1:24" ht="16.2" customHeight="1">
      <c r="A336" s="228"/>
      <c r="B336" s="19">
        <v>333</v>
      </c>
      <c r="C336" s="20" t="s">
        <v>580</v>
      </c>
      <c r="D336" s="83">
        <v>6.1</v>
      </c>
      <c r="E336" s="229">
        <f t="shared" si="25"/>
        <v>6.1</v>
      </c>
      <c r="F336" s="230">
        <v>100</v>
      </c>
      <c r="G336" s="4">
        <f t="shared" si="26"/>
        <v>20000</v>
      </c>
      <c r="H336" s="231">
        <f t="shared" si="27"/>
        <v>610</v>
      </c>
      <c r="I336" s="143">
        <f t="shared" si="28"/>
        <v>3.6309523809523815E-4</v>
      </c>
      <c r="J336" s="75">
        <f t="shared" si="29"/>
        <v>3.0499999999999999E-4</v>
      </c>
      <c r="K336" s="228"/>
      <c r="L336" s="100"/>
      <c r="M336" s="100"/>
      <c r="N336" s="100"/>
      <c r="O336" s="100"/>
      <c r="P336" s="228"/>
      <c r="Q336" s="228"/>
      <c r="R336" s="228"/>
      <c r="S336" s="228"/>
      <c r="T336" s="228"/>
      <c r="U336" s="228"/>
      <c r="V336" s="228"/>
      <c r="W336" s="228"/>
      <c r="X336" s="228"/>
    </row>
    <row r="337" spans="1:24" ht="16.2" customHeight="1">
      <c r="A337" s="228"/>
      <c r="B337" s="19">
        <v>334</v>
      </c>
      <c r="C337" s="20" t="s">
        <v>581</v>
      </c>
      <c r="D337" s="83">
        <v>6</v>
      </c>
      <c r="E337" s="229">
        <f t="shared" si="25"/>
        <v>6</v>
      </c>
      <c r="F337" s="230">
        <v>188</v>
      </c>
      <c r="G337" s="4">
        <f t="shared" si="26"/>
        <v>10638.297872340425</v>
      </c>
      <c r="H337" s="231">
        <f t="shared" si="27"/>
        <v>1128</v>
      </c>
      <c r="I337" s="143">
        <f t="shared" si="28"/>
        <v>6.7142857142857152E-4</v>
      </c>
      <c r="J337" s="75">
        <f t="shared" si="29"/>
        <v>5.6400000000000005E-4</v>
      </c>
      <c r="K337" s="228"/>
      <c r="L337" s="100"/>
      <c r="M337" s="100"/>
      <c r="N337" s="100"/>
      <c r="O337" s="100"/>
      <c r="P337" s="228"/>
      <c r="Q337" s="228"/>
      <c r="R337" s="228"/>
      <c r="S337" s="228"/>
      <c r="T337" s="228"/>
      <c r="U337" s="228"/>
      <c r="V337" s="228"/>
      <c r="W337" s="228"/>
      <c r="X337" s="228"/>
    </row>
    <row r="338" spans="1:24" ht="16.2" customHeight="1">
      <c r="A338" s="228"/>
      <c r="B338" s="19">
        <v>335</v>
      </c>
      <c r="C338" s="20" t="s">
        <v>582</v>
      </c>
      <c r="D338" s="83">
        <v>5.8000000000000007</v>
      </c>
      <c r="E338" s="229">
        <f t="shared" si="25"/>
        <v>5.8000000000000007</v>
      </c>
      <c r="F338" s="230">
        <v>50</v>
      </c>
      <c r="G338" s="4">
        <f t="shared" si="26"/>
        <v>40000</v>
      </c>
      <c r="H338" s="231">
        <f t="shared" si="27"/>
        <v>290.00000000000006</v>
      </c>
      <c r="I338" s="143">
        <f t="shared" si="28"/>
        <v>1.7261904761904767E-4</v>
      </c>
      <c r="J338" s="75">
        <f t="shared" si="29"/>
        <v>1.4500000000000003E-4</v>
      </c>
      <c r="K338" s="228"/>
      <c r="L338" s="100"/>
      <c r="M338" s="100"/>
      <c r="N338" s="100"/>
      <c r="O338" s="100"/>
      <c r="P338" s="228"/>
      <c r="Q338" s="228"/>
      <c r="R338" s="228"/>
      <c r="S338" s="228"/>
      <c r="T338" s="228"/>
      <c r="U338" s="228"/>
      <c r="V338" s="228"/>
      <c r="W338" s="228"/>
      <c r="X338" s="228"/>
    </row>
    <row r="339" spans="1:24" ht="16.2" customHeight="1">
      <c r="A339" s="228"/>
      <c r="B339" s="19">
        <v>336</v>
      </c>
      <c r="C339" s="20" t="s">
        <v>583</v>
      </c>
      <c r="D339" s="83">
        <v>5.5</v>
      </c>
      <c r="E339" s="229">
        <f t="shared" si="25"/>
        <v>5.5</v>
      </c>
      <c r="F339" s="230">
        <v>100</v>
      </c>
      <c r="G339" s="4">
        <f t="shared" si="26"/>
        <v>20000</v>
      </c>
      <c r="H339" s="231">
        <f t="shared" si="27"/>
        <v>550</v>
      </c>
      <c r="I339" s="143">
        <f t="shared" si="28"/>
        <v>3.2738095238095242E-4</v>
      </c>
      <c r="J339" s="75">
        <f t="shared" si="29"/>
        <v>2.7500000000000002E-4</v>
      </c>
      <c r="K339" s="228"/>
      <c r="L339" s="100"/>
      <c r="M339" s="100"/>
      <c r="N339" s="100"/>
      <c r="O339" s="100"/>
      <c r="P339" s="228"/>
      <c r="Q339" s="228"/>
      <c r="R339" s="228"/>
      <c r="S339" s="228"/>
      <c r="T339" s="228"/>
      <c r="U339" s="228"/>
      <c r="V339" s="228"/>
      <c r="W339" s="228"/>
      <c r="X339" s="228"/>
    </row>
    <row r="340" spans="1:24" ht="16.2" customHeight="1">
      <c r="A340" s="228"/>
      <c r="B340" s="19">
        <v>337</v>
      </c>
      <c r="C340" s="20" t="s">
        <v>584</v>
      </c>
      <c r="D340" s="83">
        <v>5.5</v>
      </c>
      <c r="E340" s="229">
        <f t="shared" si="25"/>
        <v>5.5</v>
      </c>
      <c r="F340" s="230">
        <v>45</v>
      </c>
      <c r="G340" s="4">
        <f t="shared" si="26"/>
        <v>44444.444444444445</v>
      </c>
      <c r="H340" s="231">
        <f t="shared" si="27"/>
        <v>247.5</v>
      </c>
      <c r="I340" s="143">
        <f t="shared" si="28"/>
        <v>1.473214285714286E-4</v>
      </c>
      <c r="J340" s="75">
        <f t="shared" si="29"/>
        <v>1.2375E-4</v>
      </c>
      <c r="K340" s="228"/>
      <c r="L340" s="100"/>
      <c r="M340" s="100"/>
      <c r="N340" s="100"/>
      <c r="O340" s="100"/>
      <c r="P340" s="228"/>
      <c r="Q340" s="228"/>
      <c r="R340" s="228"/>
      <c r="S340" s="228"/>
      <c r="T340" s="228"/>
      <c r="U340" s="228"/>
      <c r="V340" s="228"/>
      <c r="W340" s="228"/>
      <c r="X340" s="228"/>
    </row>
    <row r="341" spans="1:24" ht="16.2" customHeight="1">
      <c r="A341" s="228"/>
      <c r="B341" s="19">
        <v>338</v>
      </c>
      <c r="C341" s="20" t="s">
        <v>585</v>
      </c>
      <c r="D341" s="83">
        <v>5.3000000000000007</v>
      </c>
      <c r="E341" s="229">
        <f t="shared" si="25"/>
        <v>5.3000000000000007</v>
      </c>
      <c r="F341" s="230">
        <v>10</v>
      </c>
      <c r="G341" s="4">
        <f t="shared" si="26"/>
        <v>200000</v>
      </c>
      <c r="H341" s="231">
        <f t="shared" si="27"/>
        <v>53.000000000000007</v>
      </c>
      <c r="I341" s="143">
        <f t="shared" si="28"/>
        <v>3.1547619047619055E-5</v>
      </c>
      <c r="J341" s="75">
        <f t="shared" si="29"/>
        <v>2.6500000000000004E-5</v>
      </c>
      <c r="K341" s="228"/>
      <c r="L341" s="100"/>
      <c r="M341" s="100"/>
      <c r="N341" s="100"/>
      <c r="O341" s="100"/>
      <c r="P341" s="228"/>
      <c r="Q341" s="228"/>
      <c r="R341" s="228"/>
      <c r="S341" s="228"/>
      <c r="T341" s="228"/>
      <c r="U341" s="228"/>
      <c r="V341" s="228"/>
      <c r="W341" s="228"/>
      <c r="X341" s="228"/>
    </row>
    <row r="342" spans="1:24" ht="16.2" customHeight="1">
      <c r="A342" s="228"/>
      <c r="B342" s="19">
        <v>339</v>
      </c>
      <c r="C342" s="20" t="s">
        <v>586</v>
      </c>
      <c r="D342" s="83">
        <v>5.2</v>
      </c>
      <c r="E342" s="229">
        <f t="shared" si="25"/>
        <v>5.2</v>
      </c>
      <c r="F342" s="230">
        <v>100</v>
      </c>
      <c r="G342" s="4">
        <f t="shared" si="26"/>
        <v>20000</v>
      </c>
      <c r="H342" s="231">
        <f t="shared" si="27"/>
        <v>520</v>
      </c>
      <c r="I342" s="143">
        <f t="shared" si="28"/>
        <v>3.0952380952380956E-4</v>
      </c>
      <c r="J342" s="75">
        <f t="shared" si="29"/>
        <v>2.5999999999999998E-4</v>
      </c>
      <c r="K342" s="228"/>
      <c r="L342" s="100"/>
      <c r="M342" s="100"/>
      <c r="N342" s="100"/>
      <c r="O342" s="100"/>
      <c r="P342" s="228"/>
      <c r="Q342" s="228"/>
      <c r="R342" s="228"/>
      <c r="S342" s="228"/>
      <c r="T342" s="228"/>
      <c r="U342" s="228"/>
      <c r="V342" s="228"/>
      <c r="W342" s="228"/>
      <c r="X342" s="228"/>
    </row>
    <row r="343" spans="1:24" ht="16.2" customHeight="1">
      <c r="A343" s="228"/>
      <c r="B343" s="19">
        <v>340</v>
      </c>
      <c r="C343" s="20" t="s">
        <v>587</v>
      </c>
      <c r="D343" s="83">
        <v>5.0999999999999996</v>
      </c>
      <c r="E343" s="229">
        <f t="shared" si="25"/>
        <v>5.0999999999999996</v>
      </c>
      <c r="F343" s="230">
        <v>10</v>
      </c>
      <c r="G343" s="4">
        <f t="shared" si="26"/>
        <v>200000</v>
      </c>
      <c r="H343" s="231">
        <f t="shared" si="27"/>
        <v>51</v>
      </c>
      <c r="I343" s="143">
        <f t="shared" si="28"/>
        <v>3.0357142857142861E-5</v>
      </c>
      <c r="J343" s="75">
        <f t="shared" si="29"/>
        <v>2.55E-5</v>
      </c>
      <c r="K343" s="228"/>
      <c r="L343" s="100"/>
      <c r="M343" s="100"/>
      <c r="N343" s="100"/>
      <c r="O343" s="100"/>
      <c r="P343" s="228"/>
      <c r="Q343" s="228"/>
      <c r="R343" s="228"/>
      <c r="S343" s="228"/>
      <c r="T343" s="228"/>
      <c r="U343" s="228"/>
      <c r="V343" s="228"/>
      <c r="W343" s="228"/>
      <c r="X343" s="228"/>
    </row>
    <row r="344" spans="1:24" ht="16.2" customHeight="1">
      <c r="A344" s="228"/>
      <c r="B344" s="19">
        <v>341</v>
      </c>
      <c r="C344" s="20" t="s">
        <v>588</v>
      </c>
      <c r="D344" s="83">
        <v>5</v>
      </c>
      <c r="E344" s="229">
        <f t="shared" si="25"/>
        <v>5</v>
      </c>
      <c r="F344" s="230">
        <v>1000</v>
      </c>
      <c r="G344" s="4">
        <f t="shared" si="26"/>
        <v>2000</v>
      </c>
      <c r="H344" s="231">
        <f t="shared" si="27"/>
        <v>5000</v>
      </c>
      <c r="I344" s="143">
        <f t="shared" si="28"/>
        <v>2.9761904761904765E-3</v>
      </c>
      <c r="J344" s="75">
        <f t="shared" si="29"/>
        <v>2.5000000000000001E-3</v>
      </c>
      <c r="K344" s="228"/>
      <c r="L344" s="100"/>
      <c r="M344" s="100"/>
      <c r="N344" s="100"/>
      <c r="O344" s="100"/>
      <c r="P344" s="228"/>
      <c r="Q344" s="228"/>
      <c r="R344" s="228"/>
      <c r="S344" s="228"/>
      <c r="T344" s="228"/>
      <c r="U344" s="228"/>
      <c r="V344" s="228"/>
      <c r="W344" s="228"/>
      <c r="X344" s="228"/>
    </row>
    <row r="345" spans="1:24" ht="16.2" customHeight="1">
      <c r="A345" s="228"/>
      <c r="B345" s="19">
        <v>342</v>
      </c>
      <c r="C345" s="20" t="s">
        <v>589</v>
      </c>
      <c r="D345" s="83">
        <v>5</v>
      </c>
      <c r="E345" s="229">
        <f t="shared" si="25"/>
        <v>5</v>
      </c>
      <c r="F345" s="230">
        <v>941</v>
      </c>
      <c r="G345" s="4">
        <f t="shared" si="26"/>
        <v>2125.3985122210415</v>
      </c>
      <c r="H345" s="231">
        <f t="shared" si="27"/>
        <v>4705</v>
      </c>
      <c r="I345" s="143">
        <f t="shared" si="28"/>
        <v>2.8005952380952383E-3</v>
      </c>
      <c r="J345" s="75">
        <f t="shared" si="29"/>
        <v>2.3525E-3</v>
      </c>
      <c r="K345" s="228"/>
      <c r="L345" s="100"/>
      <c r="M345" s="100"/>
      <c r="N345" s="100"/>
      <c r="O345" s="100"/>
      <c r="P345" s="228"/>
      <c r="Q345" s="228"/>
      <c r="R345" s="228"/>
      <c r="S345" s="228"/>
      <c r="T345" s="228"/>
      <c r="U345" s="228"/>
      <c r="V345" s="228"/>
      <c r="W345" s="228"/>
      <c r="X345" s="228"/>
    </row>
    <row r="346" spans="1:24" ht="16.2" customHeight="1">
      <c r="A346" s="228"/>
      <c r="B346" s="19">
        <v>343</v>
      </c>
      <c r="C346" s="20" t="s">
        <v>590</v>
      </c>
      <c r="D346" s="83">
        <v>5</v>
      </c>
      <c r="E346" s="229">
        <f t="shared" si="25"/>
        <v>5</v>
      </c>
      <c r="F346" s="230">
        <v>500</v>
      </c>
      <c r="G346" s="4">
        <f t="shared" si="26"/>
        <v>4000</v>
      </c>
      <c r="H346" s="231">
        <f t="shared" si="27"/>
        <v>2500</v>
      </c>
      <c r="I346" s="143">
        <f t="shared" si="28"/>
        <v>1.4880952380952382E-3</v>
      </c>
      <c r="J346" s="75">
        <f t="shared" si="29"/>
        <v>1.25E-3</v>
      </c>
      <c r="K346" s="228"/>
      <c r="L346" s="100"/>
      <c r="M346" s="100"/>
      <c r="N346" s="100"/>
      <c r="O346" s="100"/>
      <c r="P346" s="228"/>
      <c r="Q346" s="228"/>
      <c r="R346" s="228"/>
      <c r="S346" s="228"/>
      <c r="T346" s="228"/>
      <c r="U346" s="228"/>
      <c r="V346" s="228"/>
      <c r="W346" s="228"/>
      <c r="X346" s="228"/>
    </row>
    <row r="347" spans="1:24" ht="16.2" customHeight="1">
      <c r="A347" s="228"/>
      <c r="B347" s="19">
        <v>344</v>
      </c>
      <c r="C347" s="20" t="s">
        <v>591</v>
      </c>
      <c r="D347" s="83">
        <v>5</v>
      </c>
      <c r="E347" s="229">
        <f t="shared" si="25"/>
        <v>5</v>
      </c>
      <c r="F347" s="230">
        <v>941</v>
      </c>
      <c r="G347" s="4">
        <f t="shared" si="26"/>
        <v>2125.3985122210415</v>
      </c>
      <c r="H347" s="231">
        <f t="shared" si="27"/>
        <v>4705</v>
      </c>
      <c r="I347" s="143">
        <f t="shared" si="28"/>
        <v>2.8005952380952383E-3</v>
      </c>
      <c r="J347" s="75">
        <f t="shared" si="29"/>
        <v>2.3525E-3</v>
      </c>
      <c r="K347" s="228"/>
      <c r="L347" s="100"/>
      <c r="M347" s="100"/>
      <c r="N347" s="100"/>
      <c r="O347" s="100"/>
      <c r="P347" s="228"/>
      <c r="Q347" s="228"/>
      <c r="R347" s="228"/>
      <c r="S347" s="228"/>
      <c r="T347" s="228"/>
      <c r="U347" s="228"/>
      <c r="V347" s="228"/>
      <c r="W347" s="228"/>
      <c r="X347" s="228"/>
    </row>
    <row r="348" spans="1:24" ht="16.2" customHeight="1">
      <c r="A348" s="228"/>
      <c r="B348" s="19">
        <v>345</v>
      </c>
      <c r="C348" s="20" t="s">
        <v>592</v>
      </c>
      <c r="D348" s="83">
        <v>5</v>
      </c>
      <c r="E348" s="229">
        <f t="shared" si="25"/>
        <v>5</v>
      </c>
      <c r="F348" s="230">
        <v>1037</v>
      </c>
      <c r="G348" s="4">
        <f t="shared" si="26"/>
        <v>1928.6403085824493</v>
      </c>
      <c r="H348" s="231">
        <f t="shared" si="27"/>
        <v>5185</v>
      </c>
      <c r="I348" s="143">
        <f t="shared" si="28"/>
        <v>3.0863095238095242E-3</v>
      </c>
      <c r="J348" s="75">
        <f t="shared" si="29"/>
        <v>2.5925000000000002E-3</v>
      </c>
      <c r="K348" s="228"/>
      <c r="L348" s="100"/>
      <c r="M348" s="100"/>
      <c r="N348" s="100"/>
      <c r="O348" s="100"/>
      <c r="P348" s="228"/>
      <c r="Q348" s="228"/>
      <c r="R348" s="228"/>
      <c r="S348" s="228"/>
      <c r="T348" s="228"/>
      <c r="U348" s="228"/>
      <c r="V348" s="228"/>
      <c r="W348" s="228"/>
      <c r="X348" s="228"/>
    </row>
    <row r="349" spans="1:24" ht="16.2" customHeight="1">
      <c r="A349" s="228"/>
      <c r="B349" s="19">
        <v>346</v>
      </c>
      <c r="C349" s="20" t="s">
        <v>593</v>
      </c>
      <c r="D349" s="83">
        <v>5</v>
      </c>
      <c r="E349" s="229">
        <f t="shared" si="25"/>
        <v>5</v>
      </c>
      <c r="F349" s="230">
        <v>941</v>
      </c>
      <c r="G349" s="4">
        <f t="shared" si="26"/>
        <v>2125.3985122210415</v>
      </c>
      <c r="H349" s="231">
        <f t="shared" si="27"/>
        <v>4705</v>
      </c>
      <c r="I349" s="143">
        <f t="shared" si="28"/>
        <v>2.8005952380952383E-3</v>
      </c>
      <c r="J349" s="75">
        <f t="shared" si="29"/>
        <v>2.3525E-3</v>
      </c>
      <c r="K349" s="228"/>
      <c r="L349" s="100"/>
      <c r="M349" s="100"/>
      <c r="N349" s="100"/>
      <c r="O349" s="100"/>
      <c r="P349" s="228"/>
      <c r="Q349" s="228"/>
      <c r="R349" s="228"/>
      <c r="S349" s="228"/>
      <c r="T349" s="228"/>
      <c r="U349" s="228"/>
      <c r="V349" s="228"/>
      <c r="W349" s="228"/>
      <c r="X349" s="228"/>
    </row>
    <row r="350" spans="1:24" ht="16.2" customHeight="1">
      <c r="A350" s="228"/>
      <c r="B350" s="19">
        <v>347</v>
      </c>
      <c r="C350" s="20" t="s">
        <v>594</v>
      </c>
      <c r="D350" s="83">
        <v>5</v>
      </c>
      <c r="E350" s="229">
        <f t="shared" si="25"/>
        <v>5</v>
      </c>
      <c r="F350" s="230">
        <v>941</v>
      </c>
      <c r="G350" s="4">
        <f t="shared" si="26"/>
        <v>2125.3985122210415</v>
      </c>
      <c r="H350" s="231">
        <f t="shared" si="27"/>
        <v>4705</v>
      </c>
      <c r="I350" s="143">
        <f t="shared" si="28"/>
        <v>2.8005952380952383E-3</v>
      </c>
      <c r="J350" s="75">
        <f t="shared" si="29"/>
        <v>2.3525E-3</v>
      </c>
      <c r="K350" s="228"/>
      <c r="L350" s="100"/>
      <c r="M350" s="100"/>
      <c r="N350" s="100"/>
      <c r="O350" s="100"/>
      <c r="P350" s="228"/>
      <c r="Q350" s="228"/>
      <c r="R350" s="228"/>
      <c r="S350" s="228"/>
      <c r="T350" s="228"/>
      <c r="U350" s="228"/>
      <c r="V350" s="228"/>
      <c r="W350" s="228"/>
      <c r="X350" s="228"/>
    </row>
    <row r="351" spans="1:24" ht="16.2" customHeight="1">
      <c r="A351" s="228"/>
      <c r="B351" s="19">
        <v>348</v>
      </c>
      <c r="C351" s="20" t="s">
        <v>595</v>
      </c>
      <c r="D351" s="83">
        <v>5</v>
      </c>
      <c r="E351" s="229">
        <f t="shared" si="25"/>
        <v>5</v>
      </c>
      <c r="F351" s="230">
        <v>1000</v>
      </c>
      <c r="G351" s="4">
        <f t="shared" si="26"/>
        <v>2000</v>
      </c>
      <c r="H351" s="231">
        <f t="shared" si="27"/>
        <v>5000</v>
      </c>
      <c r="I351" s="143">
        <f t="shared" si="28"/>
        <v>2.9761904761904765E-3</v>
      </c>
      <c r="J351" s="75">
        <f t="shared" si="29"/>
        <v>2.5000000000000001E-3</v>
      </c>
      <c r="K351" s="228"/>
      <c r="L351" s="100"/>
      <c r="M351" s="100"/>
      <c r="N351" s="100"/>
      <c r="O351" s="100"/>
      <c r="P351" s="228"/>
      <c r="Q351" s="228"/>
      <c r="R351" s="228"/>
      <c r="S351" s="228"/>
      <c r="T351" s="228"/>
      <c r="U351" s="228"/>
      <c r="V351" s="228"/>
      <c r="W351" s="228"/>
      <c r="X351" s="228"/>
    </row>
    <row r="352" spans="1:24" ht="16.2" customHeight="1">
      <c r="A352" s="228"/>
      <c r="B352" s="19">
        <v>349</v>
      </c>
      <c r="C352" s="20" t="s">
        <v>596</v>
      </c>
      <c r="D352" s="83">
        <v>5</v>
      </c>
      <c r="E352" s="229">
        <f t="shared" si="25"/>
        <v>5</v>
      </c>
      <c r="F352" s="230">
        <v>100</v>
      </c>
      <c r="G352" s="4">
        <f t="shared" si="26"/>
        <v>20000</v>
      </c>
      <c r="H352" s="231">
        <f t="shared" si="27"/>
        <v>500</v>
      </c>
      <c r="I352" s="143">
        <f t="shared" si="28"/>
        <v>2.9761904761904765E-4</v>
      </c>
      <c r="J352" s="75">
        <f t="shared" si="29"/>
        <v>2.5000000000000001E-4</v>
      </c>
      <c r="K352" s="228"/>
      <c r="L352" s="100"/>
      <c r="M352" s="100"/>
      <c r="N352" s="100"/>
      <c r="O352" s="100"/>
      <c r="P352" s="228"/>
      <c r="Q352" s="228"/>
      <c r="R352" s="228"/>
      <c r="S352" s="228"/>
      <c r="T352" s="228"/>
      <c r="U352" s="228"/>
      <c r="V352" s="228"/>
      <c r="W352" s="228"/>
      <c r="X352" s="228"/>
    </row>
    <row r="353" spans="1:24" ht="16.2" customHeight="1">
      <c r="A353" s="228"/>
      <c r="B353" s="19">
        <v>350</v>
      </c>
      <c r="C353" s="20" t="s">
        <v>597</v>
      </c>
      <c r="D353" s="83">
        <v>5</v>
      </c>
      <c r="E353" s="229">
        <f t="shared" si="25"/>
        <v>5</v>
      </c>
      <c r="F353" s="230">
        <v>1300</v>
      </c>
      <c r="G353" s="4">
        <f t="shared" si="26"/>
        <v>1538.4615384615386</v>
      </c>
      <c r="H353" s="231">
        <f t="shared" si="27"/>
        <v>6500</v>
      </c>
      <c r="I353" s="143">
        <f t="shared" si="28"/>
        <v>3.8690476190476196E-3</v>
      </c>
      <c r="J353" s="75">
        <f t="shared" si="29"/>
        <v>3.2499999999999999E-3</v>
      </c>
      <c r="K353" s="228"/>
      <c r="L353" s="100"/>
      <c r="M353" s="100"/>
      <c r="N353" s="100"/>
      <c r="O353" s="100"/>
      <c r="P353" s="228"/>
      <c r="Q353" s="228"/>
      <c r="R353" s="228"/>
      <c r="S353" s="228"/>
      <c r="T353" s="228"/>
      <c r="U353" s="228"/>
      <c r="V353" s="228"/>
      <c r="W353" s="228"/>
      <c r="X353" s="228"/>
    </row>
    <row r="354" spans="1:24" ht="16.2" customHeight="1">
      <c r="A354" s="228"/>
      <c r="B354" s="19">
        <v>351</v>
      </c>
      <c r="C354" s="20" t="s">
        <v>598</v>
      </c>
      <c r="D354" s="83">
        <v>5</v>
      </c>
      <c r="E354" s="229">
        <f t="shared" si="25"/>
        <v>5</v>
      </c>
      <c r="F354" s="230">
        <v>50</v>
      </c>
      <c r="G354" s="4">
        <f t="shared" si="26"/>
        <v>40000</v>
      </c>
      <c r="H354" s="231">
        <f t="shared" si="27"/>
        <v>250</v>
      </c>
      <c r="I354" s="143">
        <f t="shared" si="28"/>
        <v>1.4880952380952382E-4</v>
      </c>
      <c r="J354" s="75">
        <f t="shared" si="29"/>
        <v>1.25E-4</v>
      </c>
      <c r="K354" s="228"/>
      <c r="L354" s="100"/>
      <c r="M354" s="100"/>
      <c r="N354" s="100"/>
      <c r="O354" s="100"/>
      <c r="P354" s="228"/>
      <c r="Q354" s="228"/>
      <c r="R354" s="228"/>
      <c r="S354" s="228"/>
      <c r="T354" s="228"/>
      <c r="U354" s="228"/>
      <c r="V354" s="228"/>
      <c r="W354" s="228"/>
      <c r="X354" s="228"/>
    </row>
    <row r="355" spans="1:24" ht="16.2" customHeight="1">
      <c r="A355" s="228"/>
      <c r="B355" s="19">
        <v>352</v>
      </c>
      <c r="C355" s="20" t="s">
        <v>599</v>
      </c>
      <c r="D355" s="83">
        <v>5</v>
      </c>
      <c r="E355" s="229">
        <f t="shared" si="25"/>
        <v>5</v>
      </c>
      <c r="F355" s="230">
        <v>50</v>
      </c>
      <c r="G355" s="4">
        <f t="shared" si="26"/>
        <v>40000</v>
      </c>
      <c r="H355" s="231">
        <f t="shared" si="27"/>
        <v>250</v>
      </c>
      <c r="I355" s="143">
        <f t="shared" si="28"/>
        <v>1.4880952380952382E-4</v>
      </c>
      <c r="J355" s="75">
        <f t="shared" si="29"/>
        <v>1.25E-4</v>
      </c>
      <c r="K355" s="228"/>
      <c r="L355" s="100"/>
      <c r="M355" s="100"/>
      <c r="N355" s="100"/>
      <c r="O355" s="100"/>
      <c r="P355" s="228"/>
      <c r="Q355" s="228"/>
      <c r="R355" s="228"/>
      <c r="S355" s="228"/>
      <c r="T355" s="228"/>
      <c r="U355" s="228"/>
      <c r="V355" s="228"/>
      <c r="W355" s="228"/>
      <c r="X355" s="228"/>
    </row>
    <row r="356" spans="1:24" ht="16.2" customHeight="1">
      <c r="A356" s="228"/>
      <c r="B356" s="19">
        <v>353</v>
      </c>
      <c r="C356" s="20" t="s">
        <v>600</v>
      </c>
      <c r="D356" s="83">
        <v>5</v>
      </c>
      <c r="E356" s="229">
        <f t="shared" si="25"/>
        <v>5</v>
      </c>
      <c r="F356" s="230">
        <v>7700</v>
      </c>
      <c r="G356" s="4">
        <f t="shared" si="26"/>
        <v>259.74025974025972</v>
      </c>
      <c r="H356" s="231">
        <f t="shared" si="27"/>
        <v>38500</v>
      </c>
      <c r="I356" s="143">
        <f t="shared" si="28"/>
        <v>2.2916666666666669E-2</v>
      </c>
      <c r="J356" s="75">
        <f t="shared" si="29"/>
        <v>1.925E-2</v>
      </c>
      <c r="K356" s="228"/>
      <c r="L356" s="100"/>
      <c r="M356" s="100"/>
      <c r="N356" s="100"/>
      <c r="O356" s="100"/>
      <c r="P356" s="228"/>
      <c r="Q356" s="228"/>
      <c r="R356" s="228"/>
      <c r="S356" s="228"/>
      <c r="T356" s="228"/>
      <c r="U356" s="228"/>
      <c r="V356" s="228"/>
      <c r="W356" s="228"/>
      <c r="X356" s="228"/>
    </row>
    <row r="357" spans="1:24" ht="16.2" customHeight="1">
      <c r="A357" s="228"/>
      <c r="B357" s="19">
        <v>354</v>
      </c>
      <c r="C357" s="20" t="s">
        <v>601</v>
      </c>
      <c r="D357" s="83">
        <v>4.2</v>
      </c>
      <c r="E357" s="229">
        <f t="shared" si="25"/>
        <v>4.2</v>
      </c>
      <c r="F357" s="230">
        <v>176</v>
      </c>
      <c r="G357" s="4">
        <f t="shared" si="26"/>
        <v>11363.636363636364</v>
      </c>
      <c r="H357" s="231">
        <f t="shared" si="27"/>
        <v>739.2</v>
      </c>
      <c r="I357" s="143">
        <f t="shared" si="28"/>
        <v>4.4000000000000007E-4</v>
      </c>
      <c r="J357" s="75">
        <f t="shared" si="29"/>
        <v>3.6960000000000004E-4</v>
      </c>
      <c r="K357" s="228"/>
      <c r="L357" s="100"/>
      <c r="M357" s="100"/>
      <c r="N357" s="100"/>
      <c r="O357" s="100"/>
      <c r="P357" s="228"/>
      <c r="Q357" s="228"/>
      <c r="R357" s="228"/>
      <c r="S357" s="228"/>
      <c r="T357" s="228"/>
      <c r="U357" s="228"/>
      <c r="V357" s="228"/>
      <c r="W357" s="228"/>
      <c r="X357" s="228"/>
    </row>
    <row r="358" spans="1:24" ht="16.2" customHeight="1">
      <c r="A358" s="228"/>
      <c r="B358" s="19">
        <v>355</v>
      </c>
      <c r="C358" s="20" t="s">
        <v>602</v>
      </c>
      <c r="D358" s="83">
        <v>4</v>
      </c>
      <c r="E358" s="229">
        <f t="shared" si="25"/>
        <v>4</v>
      </c>
      <c r="F358" s="230">
        <v>10</v>
      </c>
      <c r="G358" s="4">
        <f t="shared" si="26"/>
        <v>200000</v>
      </c>
      <c r="H358" s="231">
        <f t="shared" si="27"/>
        <v>40</v>
      </c>
      <c r="I358" s="143">
        <f t="shared" si="28"/>
        <v>2.3809523809523814E-5</v>
      </c>
      <c r="J358" s="75">
        <f t="shared" si="29"/>
        <v>2.0000000000000002E-5</v>
      </c>
      <c r="K358" s="228"/>
      <c r="L358" s="100"/>
      <c r="M358" s="100"/>
      <c r="N358" s="100"/>
      <c r="O358" s="100"/>
      <c r="P358" s="228"/>
      <c r="Q358" s="228"/>
      <c r="R358" s="228"/>
      <c r="S358" s="228"/>
      <c r="T358" s="228"/>
      <c r="U358" s="228"/>
      <c r="V358" s="228"/>
      <c r="W358" s="228"/>
      <c r="X358" s="228"/>
    </row>
    <row r="359" spans="1:24" ht="16.2" customHeight="1">
      <c r="A359" s="228"/>
      <c r="B359" s="19">
        <v>356</v>
      </c>
      <c r="C359" s="20" t="s">
        <v>603</v>
      </c>
      <c r="D359" s="83">
        <v>3.7</v>
      </c>
      <c r="E359" s="229">
        <f t="shared" si="25"/>
        <v>3.7</v>
      </c>
      <c r="F359" s="230">
        <v>100</v>
      </c>
      <c r="G359" s="4">
        <f t="shared" si="26"/>
        <v>20000</v>
      </c>
      <c r="H359" s="231">
        <f t="shared" si="27"/>
        <v>370</v>
      </c>
      <c r="I359" s="143">
        <f t="shared" si="28"/>
        <v>2.2023809523809526E-4</v>
      </c>
      <c r="J359" s="75">
        <f t="shared" si="29"/>
        <v>1.85E-4</v>
      </c>
      <c r="K359" s="228"/>
      <c r="L359" s="100"/>
      <c r="M359" s="100"/>
      <c r="N359" s="100"/>
      <c r="O359" s="100"/>
      <c r="P359" s="228"/>
      <c r="Q359" s="228"/>
      <c r="R359" s="228"/>
      <c r="S359" s="228"/>
      <c r="T359" s="228"/>
      <c r="U359" s="228"/>
      <c r="V359" s="228"/>
      <c r="W359" s="228"/>
      <c r="X359" s="228"/>
    </row>
    <row r="360" spans="1:24" ht="16.2" customHeight="1">
      <c r="A360" s="228"/>
      <c r="B360" s="19">
        <v>357</v>
      </c>
      <c r="C360" s="20" t="s">
        <v>604</v>
      </c>
      <c r="D360" s="83">
        <v>3.2</v>
      </c>
      <c r="E360" s="229">
        <f t="shared" si="25"/>
        <v>3.2</v>
      </c>
      <c r="F360" s="230">
        <v>400</v>
      </c>
      <c r="G360" s="4">
        <f t="shared" si="26"/>
        <v>5000</v>
      </c>
      <c r="H360" s="231">
        <f t="shared" si="27"/>
        <v>1280</v>
      </c>
      <c r="I360" s="143">
        <f t="shared" si="28"/>
        <v>7.6190476190476203E-4</v>
      </c>
      <c r="J360" s="75">
        <f t="shared" si="29"/>
        <v>6.4000000000000005E-4</v>
      </c>
      <c r="K360" s="228"/>
      <c r="L360" s="100"/>
      <c r="M360" s="100"/>
      <c r="N360" s="100"/>
      <c r="O360" s="100"/>
      <c r="P360" s="228"/>
      <c r="Q360" s="228"/>
      <c r="R360" s="228"/>
      <c r="S360" s="228"/>
      <c r="T360" s="228"/>
      <c r="U360" s="228"/>
      <c r="V360" s="228"/>
      <c r="W360" s="228"/>
      <c r="X360" s="228"/>
    </row>
    <row r="361" spans="1:24" ht="16.2" customHeight="1">
      <c r="A361" s="228"/>
      <c r="B361" s="19">
        <v>358</v>
      </c>
      <c r="C361" s="20" t="s">
        <v>605</v>
      </c>
      <c r="D361" s="83">
        <v>3.2</v>
      </c>
      <c r="E361" s="229">
        <f t="shared" si="25"/>
        <v>3.2</v>
      </c>
      <c r="F361" s="230">
        <v>109</v>
      </c>
      <c r="G361" s="4">
        <f t="shared" si="26"/>
        <v>18348.623853211007</v>
      </c>
      <c r="H361" s="231">
        <f t="shared" si="27"/>
        <v>348.8</v>
      </c>
      <c r="I361" s="143">
        <f t="shared" si="28"/>
        <v>2.0761904761904765E-4</v>
      </c>
      <c r="J361" s="75">
        <f t="shared" si="29"/>
        <v>1.7440000000000001E-4</v>
      </c>
      <c r="K361" s="228"/>
      <c r="L361" s="100"/>
      <c r="M361" s="100"/>
      <c r="N361" s="100"/>
      <c r="O361" s="100"/>
      <c r="P361" s="228"/>
      <c r="Q361" s="228"/>
      <c r="R361" s="228"/>
      <c r="S361" s="228"/>
      <c r="T361" s="228"/>
      <c r="U361" s="228"/>
      <c r="V361" s="228"/>
      <c r="W361" s="228"/>
      <c r="X361" s="228"/>
    </row>
    <row r="362" spans="1:24" ht="16.2" customHeight="1">
      <c r="A362" s="228"/>
      <c r="B362" s="19">
        <v>359</v>
      </c>
      <c r="C362" s="20" t="s">
        <v>606</v>
      </c>
      <c r="D362" s="83">
        <v>3.2</v>
      </c>
      <c r="E362" s="229">
        <f t="shared" si="25"/>
        <v>3.2</v>
      </c>
      <c r="F362" s="230">
        <v>147</v>
      </c>
      <c r="G362" s="4">
        <f t="shared" si="26"/>
        <v>13605.442176870749</v>
      </c>
      <c r="H362" s="231">
        <f t="shared" si="27"/>
        <v>470.40000000000003</v>
      </c>
      <c r="I362" s="143">
        <f t="shared" si="28"/>
        <v>2.8000000000000008E-4</v>
      </c>
      <c r="J362" s="75">
        <f t="shared" si="29"/>
        <v>2.3520000000000002E-4</v>
      </c>
      <c r="K362" s="228"/>
      <c r="L362" s="100"/>
      <c r="M362" s="100"/>
      <c r="N362" s="100"/>
      <c r="O362" s="100"/>
      <c r="P362" s="228"/>
      <c r="Q362" s="228"/>
      <c r="R362" s="228"/>
      <c r="S362" s="228"/>
      <c r="T362" s="228"/>
      <c r="U362" s="228"/>
      <c r="V362" s="228"/>
      <c r="W362" s="228"/>
      <c r="X362" s="228"/>
    </row>
    <row r="363" spans="1:24" ht="16.2" customHeight="1">
      <c r="A363" s="228"/>
      <c r="B363" s="19">
        <v>360</v>
      </c>
      <c r="C363" s="20" t="s">
        <v>607</v>
      </c>
      <c r="D363" s="83">
        <v>3.1</v>
      </c>
      <c r="E363" s="229">
        <f t="shared" si="25"/>
        <v>3.1</v>
      </c>
      <c r="F363" s="230">
        <v>18</v>
      </c>
      <c r="G363" s="4">
        <f t="shared" si="26"/>
        <v>111111.11111111111</v>
      </c>
      <c r="H363" s="231">
        <f t="shared" si="27"/>
        <v>55.800000000000004</v>
      </c>
      <c r="I363" s="143">
        <f t="shared" si="28"/>
        <v>3.3214285714285724E-5</v>
      </c>
      <c r="J363" s="75">
        <f t="shared" si="29"/>
        <v>2.7900000000000001E-5</v>
      </c>
      <c r="K363" s="228"/>
      <c r="L363" s="100"/>
      <c r="M363" s="100"/>
      <c r="N363" s="100"/>
      <c r="O363" s="100"/>
      <c r="P363" s="228"/>
      <c r="Q363" s="228"/>
      <c r="R363" s="228"/>
      <c r="S363" s="228"/>
      <c r="T363" s="228"/>
      <c r="U363" s="228"/>
      <c r="V363" s="228"/>
      <c r="W363" s="228"/>
      <c r="X363" s="228"/>
    </row>
    <row r="364" spans="1:24" ht="16.2" customHeight="1">
      <c r="A364" s="228"/>
      <c r="B364" s="19">
        <v>361</v>
      </c>
      <c r="C364" s="20" t="s">
        <v>608</v>
      </c>
      <c r="D364" s="83">
        <v>3.1</v>
      </c>
      <c r="E364" s="229">
        <f t="shared" si="25"/>
        <v>3.1</v>
      </c>
      <c r="F364" s="230">
        <v>50</v>
      </c>
      <c r="G364" s="4">
        <f t="shared" si="26"/>
        <v>40000</v>
      </c>
      <c r="H364" s="231">
        <f t="shared" si="27"/>
        <v>155</v>
      </c>
      <c r="I364" s="143">
        <f t="shared" si="28"/>
        <v>9.2261904761904777E-5</v>
      </c>
      <c r="J364" s="75">
        <f t="shared" si="29"/>
        <v>7.75E-5</v>
      </c>
      <c r="K364" s="228"/>
      <c r="L364" s="100"/>
      <c r="M364" s="100"/>
      <c r="N364" s="100"/>
      <c r="O364" s="100"/>
      <c r="P364" s="228"/>
      <c r="Q364" s="228"/>
      <c r="R364" s="228"/>
      <c r="S364" s="228"/>
      <c r="T364" s="228"/>
      <c r="U364" s="228"/>
      <c r="V364" s="228"/>
      <c r="W364" s="228"/>
      <c r="X364" s="228"/>
    </row>
    <row r="365" spans="1:24" ht="16.2" customHeight="1">
      <c r="A365" s="228"/>
      <c r="B365" s="19">
        <v>362</v>
      </c>
      <c r="C365" s="20" t="s">
        <v>609</v>
      </c>
      <c r="D365" s="83">
        <v>3</v>
      </c>
      <c r="E365" s="229">
        <f t="shared" si="25"/>
        <v>3</v>
      </c>
      <c r="F365" s="230">
        <v>1000</v>
      </c>
      <c r="G365" s="4">
        <f t="shared" si="26"/>
        <v>2000</v>
      </c>
      <c r="H365" s="231">
        <f t="shared" si="27"/>
        <v>3000</v>
      </c>
      <c r="I365" s="143">
        <f t="shared" si="28"/>
        <v>1.7857142857142859E-3</v>
      </c>
      <c r="J365" s="75">
        <f t="shared" si="29"/>
        <v>1.5E-3</v>
      </c>
      <c r="K365" s="228"/>
      <c r="L365" s="100"/>
      <c r="M365" s="100"/>
      <c r="N365" s="100"/>
      <c r="O365" s="100"/>
      <c r="P365" s="228"/>
      <c r="Q365" s="228"/>
      <c r="R365" s="228"/>
      <c r="S365" s="228"/>
      <c r="T365" s="228"/>
      <c r="U365" s="228"/>
      <c r="V365" s="228"/>
      <c r="W365" s="228"/>
      <c r="X365" s="228"/>
    </row>
    <row r="366" spans="1:24" ht="16.2" customHeight="1">
      <c r="A366" s="228"/>
      <c r="B366" s="19">
        <v>363</v>
      </c>
      <c r="C366" s="20" t="s">
        <v>610</v>
      </c>
      <c r="D366" s="83">
        <v>3</v>
      </c>
      <c r="E366" s="229">
        <f t="shared" si="25"/>
        <v>3</v>
      </c>
      <c r="F366" s="230">
        <v>1000</v>
      </c>
      <c r="G366" s="4">
        <f t="shared" si="26"/>
        <v>2000</v>
      </c>
      <c r="H366" s="231">
        <f t="shared" si="27"/>
        <v>3000</v>
      </c>
      <c r="I366" s="143">
        <f t="shared" si="28"/>
        <v>1.7857142857142859E-3</v>
      </c>
      <c r="J366" s="75">
        <f t="shared" si="29"/>
        <v>1.5E-3</v>
      </c>
      <c r="K366" s="228"/>
      <c r="L366" s="100"/>
      <c r="M366" s="100"/>
      <c r="N366" s="100"/>
      <c r="O366" s="100"/>
      <c r="P366" s="228"/>
      <c r="Q366" s="228"/>
      <c r="R366" s="228"/>
      <c r="S366" s="228"/>
      <c r="T366" s="228"/>
      <c r="U366" s="228"/>
      <c r="V366" s="228"/>
      <c r="W366" s="228"/>
      <c r="X366" s="228"/>
    </row>
    <row r="367" spans="1:24" ht="16.2" customHeight="1">
      <c r="A367" s="228"/>
      <c r="B367" s="19">
        <v>364</v>
      </c>
      <c r="C367" s="20" t="s">
        <v>611</v>
      </c>
      <c r="D367" s="83">
        <v>3</v>
      </c>
      <c r="E367" s="229">
        <f t="shared" si="25"/>
        <v>3</v>
      </c>
      <c r="F367" s="230">
        <v>2800</v>
      </c>
      <c r="G367" s="4">
        <f t="shared" si="26"/>
        <v>714.28571428571433</v>
      </c>
      <c r="H367" s="231">
        <f t="shared" si="27"/>
        <v>8400</v>
      </c>
      <c r="I367" s="143">
        <f t="shared" si="28"/>
        <v>5.000000000000001E-3</v>
      </c>
      <c r="J367" s="75">
        <f t="shared" si="29"/>
        <v>4.1999999999999997E-3</v>
      </c>
      <c r="K367" s="228"/>
      <c r="L367" s="100"/>
      <c r="M367" s="100"/>
      <c r="N367" s="100"/>
      <c r="O367" s="100"/>
      <c r="P367" s="228"/>
      <c r="Q367" s="228"/>
      <c r="R367" s="228"/>
      <c r="S367" s="228"/>
      <c r="T367" s="228"/>
      <c r="U367" s="228"/>
      <c r="V367" s="228"/>
      <c r="W367" s="228"/>
      <c r="X367" s="228"/>
    </row>
    <row r="368" spans="1:24" ht="16.2" customHeight="1">
      <c r="A368" s="228"/>
      <c r="B368" s="19">
        <v>365</v>
      </c>
      <c r="C368" s="20" t="s">
        <v>612</v>
      </c>
      <c r="D368" s="83">
        <v>3</v>
      </c>
      <c r="E368" s="229">
        <f t="shared" si="25"/>
        <v>3</v>
      </c>
      <c r="F368" s="230">
        <v>2000</v>
      </c>
      <c r="G368" s="4">
        <f t="shared" si="26"/>
        <v>1000</v>
      </c>
      <c r="H368" s="231">
        <f t="shared" si="27"/>
        <v>6000</v>
      </c>
      <c r="I368" s="143">
        <f t="shared" si="28"/>
        <v>3.5714285714285718E-3</v>
      </c>
      <c r="J368" s="75">
        <f t="shared" si="29"/>
        <v>3.0000000000000001E-3</v>
      </c>
      <c r="K368" s="228"/>
      <c r="L368" s="100"/>
      <c r="M368" s="100"/>
      <c r="N368" s="100"/>
      <c r="O368" s="100"/>
      <c r="P368" s="228"/>
      <c r="Q368" s="228"/>
      <c r="R368" s="228"/>
      <c r="S368" s="228"/>
      <c r="T368" s="228"/>
      <c r="U368" s="228"/>
      <c r="V368" s="228"/>
      <c r="W368" s="228"/>
      <c r="X368" s="228"/>
    </row>
    <row r="369" spans="1:24" ht="16.2" customHeight="1">
      <c r="A369" s="228"/>
      <c r="B369" s="19">
        <v>366</v>
      </c>
      <c r="C369" s="20" t="s">
        <v>613</v>
      </c>
      <c r="D369" s="83">
        <v>3</v>
      </c>
      <c r="E369" s="229">
        <f t="shared" si="25"/>
        <v>3</v>
      </c>
      <c r="F369" s="230">
        <v>3000</v>
      </c>
      <c r="G369" s="4">
        <f t="shared" si="26"/>
        <v>666.66666666666663</v>
      </c>
      <c r="H369" s="231">
        <f t="shared" si="27"/>
        <v>9000</v>
      </c>
      <c r="I369" s="143">
        <f t="shared" si="28"/>
        <v>5.3571428571428581E-3</v>
      </c>
      <c r="J369" s="75">
        <f t="shared" si="29"/>
        <v>4.4999999999999997E-3</v>
      </c>
      <c r="K369" s="228"/>
      <c r="L369" s="100"/>
      <c r="M369" s="100"/>
      <c r="N369" s="100"/>
      <c r="O369" s="100"/>
      <c r="P369" s="228"/>
      <c r="Q369" s="228"/>
      <c r="R369" s="228"/>
      <c r="S369" s="228"/>
      <c r="T369" s="228"/>
      <c r="U369" s="228"/>
      <c r="V369" s="228"/>
      <c r="W369" s="228"/>
      <c r="X369" s="228"/>
    </row>
    <row r="370" spans="1:24" ht="16.2" customHeight="1">
      <c r="A370" s="228"/>
      <c r="B370" s="19">
        <v>367</v>
      </c>
      <c r="C370" s="20" t="s">
        <v>614</v>
      </c>
      <c r="D370" s="83">
        <v>3</v>
      </c>
      <c r="E370" s="229">
        <f t="shared" si="25"/>
        <v>3</v>
      </c>
      <c r="F370" s="230">
        <v>4000</v>
      </c>
      <c r="G370" s="4">
        <f t="shared" si="26"/>
        <v>500</v>
      </c>
      <c r="H370" s="231">
        <f t="shared" si="27"/>
        <v>12000</v>
      </c>
      <c r="I370" s="143">
        <f t="shared" si="28"/>
        <v>7.1428571428571435E-3</v>
      </c>
      <c r="J370" s="75">
        <f t="shared" si="29"/>
        <v>6.0000000000000001E-3</v>
      </c>
      <c r="K370" s="228"/>
      <c r="L370" s="100"/>
      <c r="M370" s="100"/>
      <c r="N370" s="100"/>
      <c r="O370" s="100"/>
      <c r="P370" s="228"/>
      <c r="Q370" s="228"/>
      <c r="R370" s="228"/>
      <c r="S370" s="228"/>
      <c r="T370" s="228"/>
      <c r="U370" s="228"/>
      <c r="V370" s="228"/>
      <c r="W370" s="228"/>
      <c r="X370" s="228"/>
    </row>
    <row r="371" spans="1:24" ht="16.2" customHeight="1">
      <c r="A371" s="228"/>
      <c r="B371" s="19">
        <v>368</v>
      </c>
      <c r="C371" s="20" t="s">
        <v>615</v>
      </c>
      <c r="D371" s="83">
        <v>3</v>
      </c>
      <c r="E371" s="229">
        <f t="shared" si="25"/>
        <v>3</v>
      </c>
      <c r="F371" s="230">
        <v>188</v>
      </c>
      <c r="G371" s="4">
        <f t="shared" si="26"/>
        <v>10638.297872340425</v>
      </c>
      <c r="H371" s="231">
        <f t="shared" si="27"/>
        <v>564</v>
      </c>
      <c r="I371" s="143">
        <f t="shared" si="28"/>
        <v>3.3571428571428576E-4</v>
      </c>
      <c r="J371" s="75">
        <f t="shared" si="29"/>
        <v>2.8200000000000002E-4</v>
      </c>
      <c r="K371" s="228"/>
      <c r="L371" s="100"/>
      <c r="M371" s="100"/>
      <c r="N371" s="100"/>
      <c r="O371" s="100"/>
      <c r="P371" s="228"/>
      <c r="Q371" s="228"/>
      <c r="R371" s="228"/>
      <c r="S371" s="228"/>
      <c r="T371" s="228"/>
      <c r="U371" s="228"/>
      <c r="V371" s="228"/>
      <c r="W371" s="228"/>
      <c r="X371" s="228"/>
    </row>
    <row r="372" spans="1:24" ht="16.2" customHeight="1">
      <c r="A372" s="228"/>
      <c r="B372" s="19">
        <v>369</v>
      </c>
      <c r="C372" s="20" t="s">
        <v>616</v>
      </c>
      <c r="D372" s="83">
        <v>3</v>
      </c>
      <c r="E372" s="229">
        <f t="shared" si="25"/>
        <v>3</v>
      </c>
      <c r="F372" s="230">
        <v>188</v>
      </c>
      <c r="G372" s="4">
        <f t="shared" si="26"/>
        <v>10638.297872340425</v>
      </c>
      <c r="H372" s="231">
        <f t="shared" si="27"/>
        <v>564</v>
      </c>
      <c r="I372" s="143">
        <f t="shared" si="28"/>
        <v>3.3571428571428576E-4</v>
      </c>
      <c r="J372" s="75">
        <f t="shared" si="29"/>
        <v>2.8200000000000002E-4</v>
      </c>
      <c r="K372" s="228"/>
      <c r="L372" s="100"/>
      <c r="M372" s="100"/>
      <c r="N372" s="100"/>
      <c r="O372" s="100"/>
      <c r="P372" s="228"/>
      <c r="Q372" s="228"/>
      <c r="R372" s="228"/>
      <c r="S372" s="228"/>
      <c r="T372" s="228"/>
      <c r="U372" s="228"/>
      <c r="V372" s="228"/>
      <c r="W372" s="228"/>
      <c r="X372" s="228"/>
    </row>
    <row r="373" spans="1:24" ht="16.2" customHeight="1">
      <c r="A373" s="228"/>
      <c r="B373" s="19">
        <v>370</v>
      </c>
      <c r="C373" s="20" t="s">
        <v>617</v>
      </c>
      <c r="D373" s="83">
        <v>3</v>
      </c>
      <c r="E373" s="229">
        <f t="shared" si="25"/>
        <v>3</v>
      </c>
      <c r="F373" s="230">
        <v>1500</v>
      </c>
      <c r="G373" s="4">
        <f t="shared" si="26"/>
        <v>1333.3333333333333</v>
      </c>
      <c r="H373" s="231">
        <f t="shared" si="27"/>
        <v>4500</v>
      </c>
      <c r="I373" s="143">
        <f t="shared" si="28"/>
        <v>2.678571428571429E-3</v>
      </c>
      <c r="J373" s="75">
        <f t="shared" si="29"/>
        <v>2.2499999999999998E-3</v>
      </c>
      <c r="K373" s="228"/>
      <c r="L373" s="100"/>
      <c r="M373" s="100"/>
      <c r="N373" s="100"/>
      <c r="O373" s="100"/>
      <c r="P373" s="228"/>
      <c r="Q373" s="228"/>
      <c r="R373" s="228"/>
      <c r="S373" s="228"/>
      <c r="T373" s="228"/>
      <c r="U373" s="228"/>
      <c r="V373" s="228"/>
      <c r="W373" s="228"/>
      <c r="X373" s="228"/>
    </row>
    <row r="374" spans="1:24" ht="16.2" customHeight="1">
      <c r="A374" s="228"/>
      <c r="B374" s="19">
        <v>371</v>
      </c>
      <c r="C374" s="20" t="s">
        <v>618</v>
      </c>
      <c r="D374" s="83">
        <v>3</v>
      </c>
      <c r="E374" s="229">
        <f t="shared" si="25"/>
        <v>3</v>
      </c>
      <c r="F374" s="230">
        <v>5</v>
      </c>
      <c r="G374" s="4">
        <f t="shared" si="26"/>
        <v>400000</v>
      </c>
      <c r="H374" s="231">
        <f t="shared" si="27"/>
        <v>15</v>
      </c>
      <c r="I374" s="143">
        <f t="shared" si="28"/>
        <v>8.9285714285714292E-6</v>
      </c>
      <c r="J374" s="75">
        <f t="shared" si="29"/>
        <v>7.5000000000000002E-6</v>
      </c>
      <c r="K374" s="228"/>
      <c r="L374" s="100"/>
      <c r="M374" s="100"/>
      <c r="N374" s="100"/>
      <c r="O374" s="100"/>
      <c r="P374" s="228"/>
      <c r="Q374" s="228"/>
      <c r="R374" s="228"/>
      <c r="S374" s="228"/>
      <c r="T374" s="228"/>
      <c r="U374" s="228"/>
      <c r="V374" s="228"/>
      <c r="W374" s="228"/>
      <c r="X374" s="228"/>
    </row>
    <row r="375" spans="1:24" ht="16.2" customHeight="1">
      <c r="A375" s="228"/>
      <c r="B375" s="19">
        <v>372</v>
      </c>
      <c r="C375" s="20" t="s">
        <v>619</v>
      </c>
      <c r="D375" s="83">
        <v>3</v>
      </c>
      <c r="E375" s="229">
        <f t="shared" si="25"/>
        <v>3</v>
      </c>
      <c r="F375" s="230">
        <v>5</v>
      </c>
      <c r="G375" s="4">
        <f t="shared" si="26"/>
        <v>400000</v>
      </c>
      <c r="H375" s="231">
        <f t="shared" si="27"/>
        <v>15</v>
      </c>
      <c r="I375" s="143">
        <f t="shared" si="28"/>
        <v>8.9285714285714292E-6</v>
      </c>
      <c r="J375" s="75">
        <f t="shared" si="29"/>
        <v>7.5000000000000002E-6</v>
      </c>
      <c r="K375" s="228"/>
      <c r="L375" s="100"/>
      <c r="M375" s="100"/>
      <c r="N375" s="100"/>
      <c r="O375" s="100"/>
      <c r="P375" s="228"/>
      <c r="Q375" s="228"/>
      <c r="R375" s="228"/>
      <c r="S375" s="228"/>
      <c r="T375" s="228"/>
      <c r="U375" s="228"/>
      <c r="V375" s="228"/>
      <c r="W375" s="228"/>
      <c r="X375" s="228"/>
    </row>
    <row r="376" spans="1:24" ht="16.2" customHeight="1">
      <c r="A376" s="228"/>
      <c r="B376" s="19">
        <v>373</v>
      </c>
      <c r="C376" s="20" t="s">
        <v>620</v>
      </c>
      <c r="D376" s="83">
        <v>3</v>
      </c>
      <c r="E376" s="229">
        <f t="shared" si="25"/>
        <v>3</v>
      </c>
      <c r="F376" s="230">
        <v>3000</v>
      </c>
      <c r="G376" s="4">
        <f t="shared" si="26"/>
        <v>666.66666666666663</v>
      </c>
      <c r="H376" s="231">
        <f t="shared" si="27"/>
        <v>9000</v>
      </c>
      <c r="I376" s="143">
        <f t="shared" si="28"/>
        <v>5.3571428571428581E-3</v>
      </c>
      <c r="J376" s="75">
        <f t="shared" si="29"/>
        <v>4.4999999999999997E-3</v>
      </c>
      <c r="K376" s="228"/>
      <c r="L376" s="100"/>
      <c r="M376" s="100"/>
      <c r="N376" s="100"/>
      <c r="O376" s="100"/>
      <c r="P376" s="228"/>
      <c r="Q376" s="228"/>
      <c r="R376" s="228"/>
      <c r="S376" s="228"/>
      <c r="T376" s="228"/>
      <c r="U376" s="228"/>
      <c r="V376" s="228"/>
      <c r="W376" s="228"/>
      <c r="X376" s="228"/>
    </row>
    <row r="377" spans="1:24" ht="16.2" customHeight="1">
      <c r="A377" s="228"/>
      <c r="B377" s="19">
        <v>374</v>
      </c>
      <c r="C377" s="20" t="s">
        <v>621</v>
      </c>
      <c r="D377" s="83">
        <v>2.6</v>
      </c>
      <c r="E377" s="229">
        <f t="shared" si="25"/>
        <v>2.6</v>
      </c>
      <c r="F377" s="230">
        <v>176</v>
      </c>
      <c r="G377" s="4">
        <f t="shared" si="26"/>
        <v>11363.636363636364</v>
      </c>
      <c r="H377" s="231">
        <f t="shared" si="27"/>
        <v>457.6</v>
      </c>
      <c r="I377" s="143">
        <f t="shared" si="28"/>
        <v>2.7238095238095244E-4</v>
      </c>
      <c r="J377" s="75">
        <f t="shared" si="29"/>
        <v>2.288E-4</v>
      </c>
      <c r="K377" s="228"/>
      <c r="L377" s="100"/>
      <c r="M377" s="100"/>
      <c r="N377" s="100"/>
      <c r="O377" s="100"/>
      <c r="P377" s="228"/>
      <c r="Q377" s="228"/>
      <c r="R377" s="228"/>
      <c r="S377" s="228"/>
      <c r="T377" s="228"/>
      <c r="U377" s="228"/>
      <c r="V377" s="228"/>
      <c r="W377" s="228"/>
      <c r="X377" s="228"/>
    </row>
    <row r="378" spans="1:24" ht="16.2" customHeight="1">
      <c r="A378" s="228"/>
      <c r="B378" s="19">
        <v>375</v>
      </c>
      <c r="C378" s="20" t="s">
        <v>622</v>
      </c>
      <c r="D378" s="83">
        <v>2.5</v>
      </c>
      <c r="E378" s="229">
        <f t="shared" si="25"/>
        <v>2.5</v>
      </c>
      <c r="F378" s="230">
        <v>57</v>
      </c>
      <c r="G378" s="4">
        <f t="shared" si="26"/>
        <v>35087.719298245611</v>
      </c>
      <c r="H378" s="231">
        <f t="shared" si="27"/>
        <v>142.5</v>
      </c>
      <c r="I378" s="143">
        <f t="shared" si="28"/>
        <v>8.4821428571428583E-5</v>
      </c>
      <c r="J378" s="75">
        <f t="shared" si="29"/>
        <v>7.1249999999999997E-5</v>
      </c>
      <c r="K378" s="228"/>
      <c r="L378" s="100"/>
      <c r="M378" s="100"/>
      <c r="N378" s="100"/>
      <c r="O378" s="100"/>
      <c r="P378" s="228"/>
      <c r="Q378" s="228"/>
      <c r="R378" s="228"/>
      <c r="S378" s="228"/>
      <c r="T378" s="228"/>
      <c r="U378" s="228"/>
      <c r="V378" s="228"/>
      <c r="W378" s="228"/>
      <c r="X378" s="228"/>
    </row>
    <row r="379" spans="1:24" ht="16.2" customHeight="1">
      <c r="A379" s="228"/>
      <c r="B379" s="19">
        <v>376</v>
      </c>
      <c r="C379" s="20" t="s">
        <v>623</v>
      </c>
      <c r="D379" s="83">
        <v>2.4</v>
      </c>
      <c r="E379" s="229">
        <f t="shared" si="25"/>
        <v>2.4</v>
      </c>
      <c r="F379" s="230">
        <v>84</v>
      </c>
      <c r="G379" s="4">
        <f t="shared" si="26"/>
        <v>23809.523809523809</v>
      </c>
      <c r="H379" s="231">
        <f t="shared" si="27"/>
        <v>201.6</v>
      </c>
      <c r="I379" s="143">
        <f t="shared" si="28"/>
        <v>1.2000000000000002E-4</v>
      </c>
      <c r="J379" s="75">
        <f t="shared" si="29"/>
        <v>1.008E-4</v>
      </c>
      <c r="K379" s="228"/>
      <c r="L379" s="100"/>
      <c r="M379" s="100"/>
      <c r="N379" s="100"/>
      <c r="O379" s="100"/>
      <c r="P379" s="228"/>
      <c r="Q379" s="228"/>
      <c r="R379" s="228"/>
      <c r="S379" s="228"/>
      <c r="T379" s="228"/>
      <c r="U379" s="228"/>
      <c r="V379" s="228"/>
      <c r="W379" s="228"/>
      <c r="X379" s="228"/>
    </row>
    <row r="380" spans="1:24" ht="16.2" customHeight="1">
      <c r="A380" s="228"/>
      <c r="B380" s="19">
        <v>377</v>
      </c>
      <c r="C380" s="20" t="s">
        <v>624</v>
      </c>
      <c r="D380" s="83">
        <v>2.1</v>
      </c>
      <c r="E380" s="229">
        <f t="shared" si="25"/>
        <v>2.1</v>
      </c>
      <c r="F380" s="230">
        <v>200</v>
      </c>
      <c r="G380" s="4">
        <f t="shared" si="26"/>
        <v>10000</v>
      </c>
      <c r="H380" s="231">
        <f t="shared" si="27"/>
        <v>420</v>
      </c>
      <c r="I380" s="143">
        <f t="shared" si="28"/>
        <v>2.5000000000000006E-4</v>
      </c>
      <c r="J380" s="75">
        <f t="shared" si="29"/>
        <v>2.1000000000000001E-4</v>
      </c>
      <c r="K380" s="228"/>
      <c r="L380" s="100"/>
      <c r="M380" s="100"/>
      <c r="N380" s="100"/>
      <c r="O380" s="100"/>
      <c r="P380" s="228"/>
      <c r="Q380" s="228"/>
      <c r="R380" s="228"/>
      <c r="S380" s="228"/>
      <c r="T380" s="228"/>
      <c r="U380" s="228"/>
      <c r="V380" s="228"/>
      <c r="W380" s="228"/>
      <c r="X380" s="228"/>
    </row>
    <row r="381" spans="1:24" ht="16.2" customHeight="1">
      <c r="A381" s="228"/>
      <c r="B381" s="19">
        <v>378</v>
      </c>
      <c r="C381" s="20" t="s">
        <v>625</v>
      </c>
      <c r="D381" s="83">
        <v>2</v>
      </c>
      <c r="E381" s="229">
        <f t="shared" si="25"/>
        <v>2</v>
      </c>
      <c r="F381" s="230">
        <v>5000</v>
      </c>
      <c r="G381" s="4">
        <f t="shared" si="26"/>
        <v>400</v>
      </c>
      <c r="H381" s="231">
        <f t="shared" si="27"/>
        <v>10000</v>
      </c>
      <c r="I381" s="143">
        <f t="shared" si="28"/>
        <v>5.9523809523809529E-3</v>
      </c>
      <c r="J381" s="75">
        <f t="shared" si="29"/>
        <v>5.0000000000000001E-3</v>
      </c>
      <c r="K381" s="228"/>
      <c r="L381" s="100"/>
      <c r="M381" s="100"/>
      <c r="N381" s="100"/>
      <c r="O381" s="100"/>
      <c r="P381" s="228"/>
      <c r="Q381" s="228"/>
      <c r="R381" s="228"/>
      <c r="S381" s="228"/>
      <c r="T381" s="228"/>
      <c r="U381" s="228"/>
      <c r="V381" s="228"/>
      <c r="W381" s="228"/>
      <c r="X381" s="228"/>
    </row>
    <row r="382" spans="1:24" ht="16.2" customHeight="1">
      <c r="A382" s="228"/>
      <c r="B382" s="19">
        <v>379</v>
      </c>
      <c r="C382" s="20" t="s">
        <v>626</v>
      </c>
      <c r="D382" s="83">
        <v>2</v>
      </c>
      <c r="E382" s="229">
        <f t="shared" si="25"/>
        <v>2</v>
      </c>
      <c r="F382" s="230">
        <v>8400</v>
      </c>
      <c r="G382" s="4">
        <f t="shared" si="26"/>
        <v>238.0952380952381</v>
      </c>
      <c r="H382" s="231">
        <f t="shared" si="27"/>
        <v>16800</v>
      </c>
      <c r="I382" s="143">
        <f t="shared" si="28"/>
        <v>1.0000000000000002E-2</v>
      </c>
      <c r="J382" s="75">
        <f t="shared" si="29"/>
        <v>8.3999999999999995E-3</v>
      </c>
      <c r="K382" s="228"/>
      <c r="L382" s="100"/>
      <c r="M382" s="100"/>
      <c r="N382" s="100"/>
      <c r="O382" s="100"/>
      <c r="P382" s="228"/>
      <c r="Q382" s="228"/>
      <c r="R382" s="228"/>
      <c r="S382" s="228"/>
      <c r="T382" s="228"/>
      <c r="U382" s="228"/>
      <c r="V382" s="228"/>
      <c r="W382" s="228"/>
      <c r="X382" s="228"/>
    </row>
    <row r="383" spans="1:24" ht="16.2" customHeight="1">
      <c r="A383" s="228"/>
      <c r="B383" s="19">
        <v>380</v>
      </c>
      <c r="C383" s="20" t="s">
        <v>627</v>
      </c>
      <c r="D383" s="83">
        <v>2</v>
      </c>
      <c r="E383" s="229">
        <f t="shared" si="25"/>
        <v>2</v>
      </c>
      <c r="F383" s="230">
        <v>20000</v>
      </c>
      <c r="G383" s="4">
        <f t="shared" si="26"/>
        <v>100</v>
      </c>
      <c r="H383" s="231">
        <f t="shared" si="27"/>
        <v>40000</v>
      </c>
      <c r="I383" s="143">
        <f t="shared" si="28"/>
        <v>2.3809523809523812E-2</v>
      </c>
      <c r="J383" s="75">
        <f t="shared" si="29"/>
        <v>0.02</v>
      </c>
      <c r="K383" s="228"/>
      <c r="L383" s="100"/>
      <c r="M383" s="100"/>
      <c r="N383" s="100"/>
      <c r="O383" s="100"/>
      <c r="P383" s="228"/>
      <c r="Q383" s="228"/>
      <c r="R383" s="228"/>
      <c r="S383" s="228"/>
      <c r="T383" s="228"/>
      <c r="U383" s="228"/>
      <c r="V383" s="228"/>
      <c r="W383" s="228"/>
      <c r="X383" s="228"/>
    </row>
    <row r="384" spans="1:24" ht="16.2" customHeight="1">
      <c r="A384" s="228"/>
      <c r="B384" s="19">
        <v>381</v>
      </c>
      <c r="C384" s="20" t="s">
        <v>628</v>
      </c>
      <c r="D384" s="83">
        <v>2</v>
      </c>
      <c r="E384" s="229">
        <f t="shared" si="25"/>
        <v>2</v>
      </c>
      <c r="F384" s="230">
        <v>10000</v>
      </c>
      <c r="G384" s="4">
        <f t="shared" si="26"/>
        <v>200</v>
      </c>
      <c r="H384" s="231">
        <f t="shared" si="27"/>
        <v>20000</v>
      </c>
      <c r="I384" s="143">
        <f t="shared" si="28"/>
        <v>1.1904761904761906E-2</v>
      </c>
      <c r="J384" s="75">
        <f t="shared" si="29"/>
        <v>0.01</v>
      </c>
      <c r="K384" s="228"/>
      <c r="L384" s="100"/>
      <c r="M384" s="100"/>
      <c r="N384" s="100"/>
      <c r="O384" s="100"/>
      <c r="P384" s="228"/>
      <c r="Q384" s="228"/>
      <c r="R384" s="228"/>
      <c r="S384" s="228"/>
      <c r="T384" s="228"/>
      <c r="U384" s="228"/>
      <c r="V384" s="228"/>
      <c r="W384" s="228"/>
      <c r="X384" s="228"/>
    </row>
    <row r="385" spans="1:24" ht="16.2" customHeight="1">
      <c r="A385" s="228"/>
      <c r="B385" s="19">
        <v>382</v>
      </c>
      <c r="C385" s="20" t="s">
        <v>629</v>
      </c>
      <c r="D385" s="83">
        <v>2</v>
      </c>
      <c r="E385" s="229">
        <f t="shared" si="25"/>
        <v>2</v>
      </c>
      <c r="F385" s="230">
        <v>12000</v>
      </c>
      <c r="G385" s="4">
        <f t="shared" si="26"/>
        <v>166.66666666666666</v>
      </c>
      <c r="H385" s="231">
        <f t="shared" si="27"/>
        <v>24000</v>
      </c>
      <c r="I385" s="143">
        <f t="shared" si="28"/>
        <v>1.4285714285714287E-2</v>
      </c>
      <c r="J385" s="75">
        <f t="shared" si="29"/>
        <v>1.2E-2</v>
      </c>
      <c r="K385" s="228"/>
      <c r="L385" s="100"/>
      <c r="M385" s="100"/>
      <c r="N385" s="100"/>
      <c r="O385" s="100"/>
      <c r="P385" s="228"/>
      <c r="Q385" s="228"/>
      <c r="R385" s="228"/>
      <c r="S385" s="228"/>
      <c r="T385" s="228"/>
      <c r="U385" s="228"/>
      <c r="V385" s="228"/>
      <c r="W385" s="228"/>
      <c r="X385" s="228"/>
    </row>
    <row r="386" spans="1:24" ht="16.2" customHeight="1">
      <c r="A386" s="228"/>
      <c r="B386" s="19">
        <v>383</v>
      </c>
      <c r="C386" s="20" t="s">
        <v>630</v>
      </c>
      <c r="D386" s="83">
        <v>2</v>
      </c>
      <c r="E386" s="229">
        <f t="shared" si="25"/>
        <v>2</v>
      </c>
      <c r="F386" s="230">
        <v>7250</v>
      </c>
      <c r="G386" s="4">
        <f t="shared" si="26"/>
        <v>275.86206896551727</v>
      </c>
      <c r="H386" s="231">
        <f t="shared" si="27"/>
        <v>14500</v>
      </c>
      <c r="I386" s="143">
        <f t="shared" si="28"/>
        <v>8.6309523809523815E-3</v>
      </c>
      <c r="J386" s="75">
        <f t="shared" si="29"/>
        <v>7.2500000000000004E-3</v>
      </c>
      <c r="K386" s="228"/>
      <c r="L386" s="100"/>
      <c r="M386" s="100"/>
      <c r="N386" s="100"/>
      <c r="O386" s="100"/>
      <c r="P386" s="228"/>
      <c r="Q386" s="228"/>
      <c r="R386" s="228"/>
      <c r="S386" s="228"/>
      <c r="T386" s="228"/>
      <c r="U386" s="228"/>
      <c r="V386" s="228"/>
      <c r="W386" s="228"/>
      <c r="X386" s="228"/>
    </row>
    <row r="387" spans="1:24" ht="16.2" customHeight="1">
      <c r="A387" s="228"/>
      <c r="B387" s="19">
        <v>384</v>
      </c>
      <c r="C387" s="20" t="s">
        <v>631</v>
      </c>
      <c r="D387" s="83">
        <v>1.5</v>
      </c>
      <c r="E387" s="229">
        <f t="shared" si="25"/>
        <v>1.5</v>
      </c>
      <c r="F387" s="230">
        <v>3000</v>
      </c>
      <c r="G387" s="4">
        <f t="shared" si="26"/>
        <v>666.66666666666663</v>
      </c>
      <c r="H387" s="231">
        <f t="shared" si="27"/>
        <v>4500</v>
      </c>
      <c r="I387" s="143">
        <f t="shared" si="28"/>
        <v>2.678571428571429E-3</v>
      </c>
      <c r="J387" s="75">
        <f t="shared" si="29"/>
        <v>2.2499999999999998E-3</v>
      </c>
      <c r="K387" s="228"/>
      <c r="L387" s="100"/>
      <c r="M387" s="100"/>
      <c r="N387" s="100"/>
      <c r="O387" s="100"/>
      <c r="P387" s="228"/>
      <c r="Q387" s="228"/>
      <c r="R387" s="228"/>
      <c r="S387" s="228"/>
      <c r="T387" s="228"/>
      <c r="U387" s="228"/>
      <c r="V387" s="228"/>
      <c r="W387" s="228"/>
      <c r="X387" s="228"/>
    </row>
    <row r="388" spans="1:24" ht="16.2" customHeight="1">
      <c r="A388" s="228"/>
      <c r="B388" s="19">
        <v>385</v>
      </c>
      <c r="C388" s="20" t="s">
        <v>632</v>
      </c>
      <c r="D388" s="83">
        <v>1.3</v>
      </c>
      <c r="E388" s="229">
        <f t="shared" ref="E388:E451" si="30">D388*$M$7</f>
        <v>1.3</v>
      </c>
      <c r="F388" s="230">
        <v>167</v>
      </c>
      <c r="G388" s="4">
        <f t="shared" ref="G388:G451" si="31">$M$6/F388</f>
        <v>11976.047904191617</v>
      </c>
      <c r="H388" s="231">
        <f t="shared" ref="H388:H409" si="32">F388*E388</f>
        <v>217.1</v>
      </c>
      <c r="I388" s="143">
        <f t="shared" ref="I388:I451" si="33">H388/$M$9</f>
        <v>1.2922619047619048E-4</v>
      </c>
      <c r="J388" s="75">
        <f t="shared" ref="J388:J409" si="34">H388/$M$8</f>
        <v>1.0855E-4</v>
      </c>
      <c r="K388" s="228"/>
      <c r="L388" s="100"/>
      <c r="M388" s="100"/>
      <c r="N388" s="100"/>
      <c r="O388" s="100"/>
      <c r="P388" s="228"/>
      <c r="Q388" s="228"/>
      <c r="R388" s="228"/>
      <c r="S388" s="228"/>
      <c r="T388" s="228"/>
      <c r="U388" s="228"/>
      <c r="V388" s="228"/>
      <c r="W388" s="228"/>
      <c r="X388" s="228"/>
    </row>
    <row r="389" spans="1:24" ht="16.2" customHeight="1">
      <c r="A389" s="228"/>
      <c r="B389" s="19">
        <v>386</v>
      </c>
      <c r="C389" s="20" t="s">
        <v>633</v>
      </c>
      <c r="D389" s="83">
        <v>1.2</v>
      </c>
      <c r="E389" s="229">
        <f t="shared" si="30"/>
        <v>1.2</v>
      </c>
      <c r="F389" s="230">
        <v>20000</v>
      </c>
      <c r="G389" s="4">
        <f t="shared" si="31"/>
        <v>100</v>
      </c>
      <c r="H389" s="231">
        <f t="shared" si="32"/>
        <v>24000</v>
      </c>
      <c r="I389" s="143">
        <f t="shared" si="33"/>
        <v>1.4285714285714287E-2</v>
      </c>
      <c r="J389" s="75">
        <f t="shared" si="34"/>
        <v>1.2E-2</v>
      </c>
      <c r="K389" s="228"/>
      <c r="L389" s="100"/>
      <c r="M389" s="100"/>
      <c r="N389" s="100"/>
      <c r="O389" s="100"/>
      <c r="P389" s="228"/>
      <c r="Q389" s="228"/>
      <c r="R389" s="228"/>
      <c r="S389" s="228"/>
      <c r="T389" s="228"/>
      <c r="U389" s="228"/>
      <c r="V389" s="228"/>
      <c r="W389" s="228"/>
      <c r="X389" s="228"/>
    </row>
    <row r="390" spans="1:24" ht="16.2" customHeight="1">
      <c r="A390" s="228"/>
      <c r="B390" s="19">
        <v>387</v>
      </c>
      <c r="C390" s="20" t="s">
        <v>634</v>
      </c>
      <c r="D390" s="83">
        <v>1.2</v>
      </c>
      <c r="E390" s="229">
        <f t="shared" si="30"/>
        <v>1.2</v>
      </c>
      <c r="F390" s="230">
        <v>4000</v>
      </c>
      <c r="G390" s="4">
        <f t="shared" si="31"/>
        <v>500</v>
      </c>
      <c r="H390" s="231">
        <f t="shared" si="32"/>
        <v>4800</v>
      </c>
      <c r="I390" s="143">
        <f t="shared" si="33"/>
        <v>2.8571428571428576E-3</v>
      </c>
      <c r="J390" s="75">
        <f t="shared" si="34"/>
        <v>2.3999999999999998E-3</v>
      </c>
      <c r="K390" s="228"/>
      <c r="L390" s="100"/>
      <c r="M390" s="100"/>
      <c r="N390" s="100"/>
      <c r="O390" s="100"/>
      <c r="P390" s="228"/>
      <c r="Q390" s="228"/>
      <c r="R390" s="228"/>
      <c r="S390" s="228"/>
      <c r="T390" s="228"/>
      <c r="U390" s="228"/>
      <c r="V390" s="228"/>
      <c r="W390" s="228"/>
      <c r="X390" s="228"/>
    </row>
    <row r="391" spans="1:24" ht="16.2" customHeight="1">
      <c r="A391" s="228"/>
      <c r="B391" s="19">
        <v>388</v>
      </c>
      <c r="C391" s="20" t="s">
        <v>635</v>
      </c>
      <c r="D391" s="83">
        <v>1.1000000000000001</v>
      </c>
      <c r="E391" s="229">
        <f t="shared" si="30"/>
        <v>1.1000000000000001</v>
      </c>
      <c r="F391" s="230">
        <v>19000</v>
      </c>
      <c r="G391" s="4">
        <f t="shared" si="31"/>
        <v>105.26315789473684</v>
      </c>
      <c r="H391" s="231">
        <f t="shared" si="32"/>
        <v>20900</v>
      </c>
      <c r="I391" s="143">
        <f t="shared" si="33"/>
        <v>1.2440476190476193E-2</v>
      </c>
      <c r="J391" s="75">
        <f t="shared" si="34"/>
        <v>1.0449999999999999E-2</v>
      </c>
      <c r="K391" s="228"/>
      <c r="L391" s="100"/>
      <c r="M391" s="100"/>
      <c r="N391" s="100"/>
      <c r="O391" s="100"/>
      <c r="P391" s="228"/>
      <c r="Q391" s="228"/>
      <c r="R391" s="228"/>
      <c r="S391" s="228"/>
      <c r="T391" s="228"/>
      <c r="U391" s="228"/>
      <c r="V391" s="228"/>
      <c r="W391" s="228"/>
      <c r="X391" s="228"/>
    </row>
    <row r="392" spans="1:24" ht="16.2" customHeight="1">
      <c r="A392" s="228"/>
      <c r="B392" s="19">
        <v>389</v>
      </c>
      <c r="C392" s="20" t="s">
        <v>636</v>
      </c>
      <c r="D392" s="83">
        <v>1</v>
      </c>
      <c r="E392" s="229">
        <f t="shared" si="30"/>
        <v>1</v>
      </c>
      <c r="F392" s="230">
        <v>27000</v>
      </c>
      <c r="G392" s="4">
        <f t="shared" si="31"/>
        <v>74.074074074074076</v>
      </c>
      <c r="H392" s="231">
        <f t="shared" si="32"/>
        <v>27000</v>
      </c>
      <c r="I392" s="143">
        <f t="shared" si="33"/>
        <v>1.6071428571428573E-2</v>
      </c>
      <c r="J392" s="75">
        <f t="shared" si="34"/>
        <v>1.35E-2</v>
      </c>
      <c r="K392" s="228"/>
      <c r="L392" s="100"/>
      <c r="M392" s="100"/>
      <c r="N392" s="100"/>
      <c r="O392" s="100"/>
      <c r="P392" s="228"/>
      <c r="Q392" s="228"/>
      <c r="R392" s="228"/>
      <c r="S392" s="228"/>
      <c r="T392" s="228"/>
      <c r="U392" s="228"/>
      <c r="V392" s="228"/>
      <c r="W392" s="228"/>
      <c r="X392" s="228"/>
    </row>
    <row r="393" spans="1:24" ht="16.2" customHeight="1">
      <c r="A393" s="228"/>
      <c r="B393" s="19">
        <v>390</v>
      </c>
      <c r="C393" s="20" t="s">
        <v>637</v>
      </c>
      <c r="D393" s="83">
        <v>1</v>
      </c>
      <c r="E393" s="229">
        <f t="shared" si="30"/>
        <v>1</v>
      </c>
      <c r="F393" s="230">
        <v>30152</v>
      </c>
      <c r="G393" s="4">
        <f t="shared" si="31"/>
        <v>66.330591668877688</v>
      </c>
      <c r="H393" s="231">
        <f t="shared" si="32"/>
        <v>30152</v>
      </c>
      <c r="I393" s="143">
        <f t="shared" si="33"/>
        <v>1.7947619047619049E-2</v>
      </c>
      <c r="J393" s="75">
        <f t="shared" si="34"/>
        <v>1.5076000000000001E-2</v>
      </c>
      <c r="K393" s="228"/>
      <c r="L393" s="100"/>
      <c r="M393" s="100"/>
      <c r="N393" s="100"/>
      <c r="O393" s="100"/>
      <c r="P393" s="228"/>
      <c r="Q393" s="228"/>
      <c r="R393" s="228"/>
      <c r="S393" s="228"/>
      <c r="T393" s="228"/>
      <c r="U393" s="228"/>
      <c r="V393" s="228"/>
      <c r="W393" s="228"/>
      <c r="X393" s="228"/>
    </row>
    <row r="394" spans="1:24" ht="16.2" customHeight="1">
      <c r="A394" s="228"/>
      <c r="B394" s="19">
        <v>391</v>
      </c>
      <c r="C394" s="20" t="s">
        <v>638</v>
      </c>
      <c r="D394" s="83">
        <v>1</v>
      </c>
      <c r="E394" s="229">
        <f t="shared" si="30"/>
        <v>1</v>
      </c>
      <c r="F394" s="230">
        <v>20000</v>
      </c>
      <c r="G394" s="4">
        <f t="shared" si="31"/>
        <v>100</v>
      </c>
      <c r="H394" s="231">
        <f t="shared" si="32"/>
        <v>20000</v>
      </c>
      <c r="I394" s="143">
        <f t="shared" si="33"/>
        <v>1.1904761904761906E-2</v>
      </c>
      <c r="J394" s="75">
        <f t="shared" si="34"/>
        <v>0.01</v>
      </c>
      <c r="K394" s="228"/>
      <c r="L394" s="100"/>
      <c r="M394" s="100"/>
      <c r="N394" s="100"/>
      <c r="O394" s="100"/>
      <c r="P394" s="228"/>
      <c r="Q394" s="228"/>
      <c r="R394" s="228"/>
      <c r="S394" s="228"/>
      <c r="T394" s="228"/>
      <c r="U394" s="228"/>
      <c r="V394" s="228"/>
      <c r="W394" s="228"/>
      <c r="X394" s="228"/>
    </row>
    <row r="395" spans="1:24" ht="16.2" customHeight="1">
      <c r="A395" s="228"/>
      <c r="B395" s="19">
        <v>392</v>
      </c>
      <c r="C395" s="20" t="s">
        <v>639</v>
      </c>
      <c r="D395" s="83">
        <v>1</v>
      </c>
      <c r="E395" s="229">
        <f t="shared" si="30"/>
        <v>1</v>
      </c>
      <c r="F395" s="230">
        <v>18000</v>
      </c>
      <c r="G395" s="4">
        <f t="shared" si="31"/>
        <v>111.11111111111111</v>
      </c>
      <c r="H395" s="231">
        <f t="shared" si="32"/>
        <v>18000</v>
      </c>
      <c r="I395" s="143">
        <f t="shared" si="33"/>
        <v>1.0714285714285716E-2</v>
      </c>
      <c r="J395" s="75">
        <f t="shared" si="34"/>
        <v>8.9999999999999993E-3</v>
      </c>
      <c r="K395" s="228"/>
      <c r="L395" s="100"/>
      <c r="M395" s="100"/>
      <c r="N395" s="100"/>
      <c r="O395" s="100"/>
      <c r="P395" s="228"/>
      <c r="Q395" s="228"/>
      <c r="R395" s="228"/>
      <c r="S395" s="228"/>
      <c r="T395" s="228"/>
      <c r="U395" s="228"/>
      <c r="V395" s="228"/>
      <c r="W395" s="228"/>
      <c r="X395" s="228"/>
    </row>
    <row r="396" spans="1:24" ht="16.2" customHeight="1">
      <c r="A396" s="228"/>
      <c r="B396" s="19">
        <v>393</v>
      </c>
      <c r="C396" s="20" t="s">
        <v>640</v>
      </c>
      <c r="D396" s="83">
        <v>0.7</v>
      </c>
      <c r="E396" s="229">
        <f t="shared" si="30"/>
        <v>0.7</v>
      </c>
      <c r="F396" s="230">
        <v>5000</v>
      </c>
      <c r="G396" s="4">
        <f t="shared" si="31"/>
        <v>400</v>
      </c>
      <c r="H396" s="231">
        <f t="shared" si="32"/>
        <v>3500</v>
      </c>
      <c r="I396" s="143">
        <f t="shared" si="33"/>
        <v>2.0833333333333337E-3</v>
      </c>
      <c r="J396" s="75">
        <f t="shared" si="34"/>
        <v>1.75E-3</v>
      </c>
      <c r="K396" s="228"/>
      <c r="L396" s="100"/>
      <c r="M396" s="100"/>
      <c r="N396" s="100"/>
      <c r="O396" s="100"/>
      <c r="P396" s="228"/>
      <c r="Q396" s="228"/>
      <c r="R396" s="228"/>
      <c r="S396" s="228"/>
      <c r="T396" s="228"/>
      <c r="U396" s="228"/>
      <c r="V396" s="228"/>
      <c r="W396" s="228"/>
      <c r="X396" s="228"/>
    </row>
    <row r="397" spans="1:24" ht="16.2" customHeight="1">
      <c r="A397" s="228"/>
      <c r="B397" s="19">
        <v>394</v>
      </c>
      <c r="C397" s="20" t="s">
        <v>641</v>
      </c>
      <c r="D397" s="83">
        <v>0.7</v>
      </c>
      <c r="E397" s="229">
        <f t="shared" si="30"/>
        <v>0.7</v>
      </c>
      <c r="F397" s="230">
        <v>500</v>
      </c>
      <c r="G397" s="4">
        <f t="shared" si="31"/>
        <v>4000</v>
      </c>
      <c r="H397" s="231">
        <f t="shared" si="32"/>
        <v>350</v>
      </c>
      <c r="I397" s="143">
        <f t="shared" si="33"/>
        <v>2.0833333333333337E-4</v>
      </c>
      <c r="J397" s="75">
        <f t="shared" si="34"/>
        <v>1.75E-4</v>
      </c>
      <c r="K397" s="228"/>
      <c r="L397" s="100"/>
      <c r="M397" s="100"/>
      <c r="N397" s="100"/>
      <c r="O397" s="100"/>
      <c r="P397" s="228"/>
      <c r="Q397" s="228"/>
      <c r="R397" s="228"/>
      <c r="S397" s="228"/>
      <c r="T397" s="228"/>
      <c r="U397" s="228"/>
      <c r="V397" s="228"/>
      <c r="W397" s="228"/>
      <c r="X397" s="228"/>
    </row>
    <row r="398" spans="1:24" ht="16.2" customHeight="1">
      <c r="A398" s="228"/>
      <c r="B398" s="19">
        <v>395</v>
      </c>
      <c r="C398" s="20" t="s">
        <v>642</v>
      </c>
      <c r="D398" s="83">
        <v>0.7</v>
      </c>
      <c r="E398" s="229">
        <f t="shared" si="30"/>
        <v>0.7</v>
      </c>
      <c r="F398" s="230">
        <v>100</v>
      </c>
      <c r="G398" s="4">
        <f t="shared" si="31"/>
        <v>20000</v>
      </c>
      <c r="H398" s="231">
        <f t="shared" si="32"/>
        <v>70</v>
      </c>
      <c r="I398" s="143">
        <f t="shared" si="33"/>
        <v>4.1666666666666672E-5</v>
      </c>
      <c r="J398" s="75">
        <f t="shared" si="34"/>
        <v>3.4999999999999997E-5</v>
      </c>
      <c r="K398" s="228"/>
      <c r="L398" s="100"/>
      <c r="M398" s="100"/>
      <c r="N398" s="100"/>
      <c r="O398" s="100"/>
      <c r="P398" s="228"/>
      <c r="Q398" s="228"/>
      <c r="R398" s="228"/>
      <c r="S398" s="228"/>
      <c r="T398" s="228"/>
      <c r="U398" s="228"/>
      <c r="V398" s="228"/>
      <c r="W398" s="228"/>
      <c r="X398" s="228"/>
    </row>
    <row r="399" spans="1:24" ht="16.2" customHeight="1">
      <c r="A399" s="228"/>
      <c r="B399" s="19">
        <v>396</v>
      </c>
      <c r="C399" s="20" t="s">
        <v>643</v>
      </c>
      <c r="D399" s="83">
        <v>0.6</v>
      </c>
      <c r="E399" s="229">
        <f t="shared" si="30"/>
        <v>0.6</v>
      </c>
      <c r="F399" s="230">
        <v>5000</v>
      </c>
      <c r="G399" s="4">
        <f t="shared" si="31"/>
        <v>400</v>
      </c>
      <c r="H399" s="231">
        <f t="shared" si="32"/>
        <v>3000</v>
      </c>
      <c r="I399" s="143">
        <f t="shared" si="33"/>
        <v>1.7857142857142859E-3</v>
      </c>
      <c r="J399" s="75">
        <f t="shared" si="34"/>
        <v>1.5E-3</v>
      </c>
      <c r="K399" s="228"/>
      <c r="L399" s="100"/>
      <c r="M399" s="100"/>
      <c r="N399" s="100"/>
      <c r="O399" s="100"/>
      <c r="P399" s="228"/>
      <c r="Q399" s="228"/>
      <c r="R399" s="228"/>
      <c r="S399" s="228"/>
      <c r="T399" s="228"/>
      <c r="U399" s="228"/>
      <c r="V399" s="228"/>
      <c r="W399" s="228"/>
      <c r="X399" s="228"/>
    </row>
    <row r="400" spans="1:24" ht="16.2" customHeight="1">
      <c r="A400" s="228"/>
      <c r="B400" s="19">
        <v>397</v>
      </c>
      <c r="C400" s="20" t="s">
        <v>644</v>
      </c>
      <c r="D400" s="83">
        <v>0.6</v>
      </c>
      <c r="E400" s="229">
        <f t="shared" si="30"/>
        <v>0.6</v>
      </c>
      <c r="F400" s="230">
        <v>6000</v>
      </c>
      <c r="G400" s="4">
        <f t="shared" si="31"/>
        <v>333.33333333333331</v>
      </c>
      <c r="H400" s="231">
        <f t="shared" si="32"/>
        <v>3600</v>
      </c>
      <c r="I400" s="143">
        <f t="shared" si="33"/>
        <v>2.142857142857143E-3</v>
      </c>
      <c r="J400" s="75">
        <f t="shared" si="34"/>
        <v>1.8E-3</v>
      </c>
      <c r="K400" s="228"/>
      <c r="L400" s="100"/>
      <c r="M400" s="100"/>
      <c r="N400" s="100"/>
      <c r="O400" s="100"/>
      <c r="P400" s="228"/>
      <c r="Q400" s="228"/>
      <c r="R400" s="228"/>
      <c r="S400" s="228"/>
      <c r="T400" s="228"/>
      <c r="U400" s="228"/>
      <c r="V400" s="228"/>
      <c r="W400" s="228"/>
      <c r="X400" s="228"/>
    </row>
    <row r="401" spans="1:24" ht="16.2" customHeight="1">
      <c r="A401" s="228"/>
      <c r="B401" s="19">
        <v>398</v>
      </c>
      <c r="C401" s="20" t="s">
        <v>645</v>
      </c>
      <c r="D401" s="83">
        <v>0.5</v>
      </c>
      <c r="E401" s="229">
        <f t="shared" si="30"/>
        <v>0.5</v>
      </c>
      <c r="F401" s="230">
        <v>20000</v>
      </c>
      <c r="G401" s="4">
        <f t="shared" si="31"/>
        <v>100</v>
      </c>
      <c r="H401" s="231">
        <f t="shared" si="32"/>
        <v>10000</v>
      </c>
      <c r="I401" s="143">
        <f t="shared" si="33"/>
        <v>5.9523809523809529E-3</v>
      </c>
      <c r="J401" s="75">
        <f t="shared" si="34"/>
        <v>5.0000000000000001E-3</v>
      </c>
      <c r="K401" s="228"/>
      <c r="L401" s="100"/>
      <c r="M401" s="100"/>
      <c r="N401" s="100"/>
      <c r="O401" s="100"/>
      <c r="P401" s="228"/>
      <c r="Q401" s="228"/>
      <c r="R401" s="228"/>
      <c r="S401" s="228"/>
      <c r="T401" s="228"/>
      <c r="U401" s="228"/>
      <c r="V401" s="228"/>
      <c r="W401" s="228"/>
      <c r="X401" s="228"/>
    </row>
    <row r="402" spans="1:24" ht="16.2" customHeight="1">
      <c r="A402" s="228"/>
      <c r="B402" s="19">
        <v>399</v>
      </c>
      <c r="C402" s="20" t="s">
        <v>646</v>
      </c>
      <c r="D402" s="83">
        <v>0.5</v>
      </c>
      <c r="E402" s="229">
        <f t="shared" si="30"/>
        <v>0.5</v>
      </c>
      <c r="F402" s="230">
        <v>15000</v>
      </c>
      <c r="G402" s="4">
        <f t="shared" si="31"/>
        <v>133.33333333333334</v>
      </c>
      <c r="H402" s="231">
        <f t="shared" si="32"/>
        <v>7500</v>
      </c>
      <c r="I402" s="143">
        <f t="shared" si="33"/>
        <v>4.4642857142857149E-3</v>
      </c>
      <c r="J402" s="75">
        <f t="shared" si="34"/>
        <v>3.7499999999999999E-3</v>
      </c>
      <c r="K402" s="228"/>
      <c r="L402" s="100"/>
      <c r="M402" s="100"/>
      <c r="N402" s="100"/>
      <c r="O402" s="100"/>
      <c r="P402" s="228"/>
      <c r="Q402" s="228"/>
      <c r="R402" s="228"/>
      <c r="S402" s="228"/>
      <c r="T402" s="228"/>
      <c r="U402" s="228"/>
      <c r="V402" s="228"/>
      <c r="W402" s="228"/>
      <c r="X402" s="228"/>
    </row>
    <row r="403" spans="1:24" ht="16.2" customHeight="1">
      <c r="A403" s="228"/>
      <c r="B403" s="19">
        <v>400</v>
      </c>
      <c r="C403" s="20" t="s">
        <v>647</v>
      </c>
      <c r="D403" s="83">
        <v>0.4</v>
      </c>
      <c r="E403" s="229">
        <f t="shared" si="30"/>
        <v>0.4</v>
      </c>
      <c r="F403" s="230">
        <v>6000</v>
      </c>
      <c r="G403" s="4">
        <f t="shared" si="31"/>
        <v>333.33333333333331</v>
      </c>
      <c r="H403" s="231">
        <f t="shared" si="32"/>
        <v>2400</v>
      </c>
      <c r="I403" s="143">
        <f t="shared" si="33"/>
        <v>1.4285714285714288E-3</v>
      </c>
      <c r="J403" s="75">
        <f t="shared" si="34"/>
        <v>1.1999999999999999E-3</v>
      </c>
      <c r="K403" s="228"/>
      <c r="L403" s="100"/>
      <c r="M403" s="100"/>
      <c r="N403" s="100"/>
      <c r="O403" s="100"/>
      <c r="P403" s="228"/>
      <c r="Q403" s="228"/>
      <c r="R403" s="228"/>
      <c r="S403" s="228"/>
      <c r="T403" s="228"/>
      <c r="U403" s="228"/>
      <c r="V403" s="228"/>
      <c r="W403" s="228"/>
      <c r="X403" s="228"/>
    </row>
    <row r="404" spans="1:24" ht="16.2" customHeight="1">
      <c r="A404" s="228"/>
      <c r="B404" s="19">
        <v>401</v>
      </c>
      <c r="C404" s="20" t="s">
        <v>648</v>
      </c>
      <c r="D404" s="83">
        <v>0.3</v>
      </c>
      <c r="E404" s="229">
        <f t="shared" si="30"/>
        <v>0.3</v>
      </c>
      <c r="F404" s="230">
        <v>6000</v>
      </c>
      <c r="G404" s="4">
        <f t="shared" si="31"/>
        <v>333.33333333333331</v>
      </c>
      <c r="H404" s="231">
        <f t="shared" si="32"/>
        <v>1800</v>
      </c>
      <c r="I404" s="143">
        <f t="shared" si="33"/>
        <v>1.0714285714285715E-3</v>
      </c>
      <c r="J404" s="75">
        <f t="shared" si="34"/>
        <v>8.9999999999999998E-4</v>
      </c>
      <c r="K404" s="228"/>
      <c r="L404" s="100"/>
      <c r="M404" s="100"/>
      <c r="N404" s="100"/>
      <c r="O404" s="100"/>
      <c r="P404" s="228"/>
      <c r="Q404" s="228"/>
      <c r="R404" s="228"/>
      <c r="S404" s="228"/>
      <c r="T404" s="228"/>
      <c r="U404" s="228"/>
      <c r="V404" s="228"/>
      <c r="W404" s="228"/>
      <c r="X404" s="228"/>
    </row>
    <row r="405" spans="1:24" ht="16.2" customHeight="1">
      <c r="A405" s="228"/>
      <c r="B405" s="19">
        <v>402</v>
      </c>
      <c r="C405" s="20" t="s">
        <v>649</v>
      </c>
      <c r="D405" s="83">
        <v>0.2</v>
      </c>
      <c r="E405" s="229">
        <f t="shared" si="30"/>
        <v>0.2</v>
      </c>
      <c r="F405" s="230">
        <v>35002</v>
      </c>
      <c r="G405" s="4">
        <f t="shared" si="31"/>
        <v>57.13959202331295</v>
      </c>
      <c r="H405" s="231">
        <f t="shared" si="32"/>
        <v>7000.4000000000005</v>
      </c>
      <c r="I405" s="143">
        <f t="shared" si="33"/>
        <v>4.1669047619047632E-3</v>
      </c>
      <c r="J405" s="75">
        <f t="shared" si="34"/>
        <v>3.5002000000000002E-3</v>
      </c>
      <c r="K405" s="228"/>
      <c r="L405" s="100"/>
      <c r="M405" s="100"/>
      <c r="N405" s="100"/>
      <c r="O405" s="100"/>
      <c r="P405" s="228"/>
      <c r="Q405" s="228"/>
      <c r="R405" s="228"/>
      <c r="S405" s="228"/>
      <c r="T405" s="228"/>
      <c r="U405" s="228"/>
      <c r="V405" s="228"/>
      <c r="W405" s="228"/>
      <c r="X405" s="228"/>
    </row>
    <row r="406" spans="1:24" ht="16.2" customHeight="1">
      <c r="A406" s="228"/>
      <c r="B406" s="19">
        <v>403</v>
      </c>
      <c r="C406" s="20" t="s">
        <v>650</v>
      </c>
      <c r="D406" s="83">
        <v>0.2</v>
      </c>
      <c r="E406" s="229">
        <f t="shared" si="30"/>
        <v>0.2</v>
      </c>
      <c r="F406" s="230">
        <v>20000</v>
      </c>
      <c r="G406" s="4">
        <f t="shared" si="31"/>
        <v>100</v>
      </c>
      <c r="H406" s="231">
        <f t="shared" si="32"/>
        <v>4000</v>
      </c>
      <c r="I406" s="143">
        <f t="shared" si="33"/>
        <v>2.3809523809523812E-3</v>
      </c>
      <c r="J406" s="75">
        <f t="shared" si="34"/>
        <v>2E-3</v>
      </c>
      <c r="K406" s="228"/>
      <c r="L406" s="100"/>
      <c r="M406" s="100"/>
      <c r="N406" s="100"/>
      <c r="O406" s="100"/>
      <c r="P406" s="228"/>
      <c r="Q406" s="228"/>
      <c r="R406" s="228"/>
      <c r="S406" s="228"/>
      <c r="T406" s="228"/>
      <c r="U406" s="228"/>
      <c r="V406" s="228"/>
      <c r="W406" s="228"/>
      <c r="X406" s="228"/>
    </row>
    <row r="407" spans="1:24" ht="16.2" customHeight="1">
      <c r="A407" s="228"/>
      <c r="B407" s="19">
        <v>404</v>
      </c>
      <c r="C407" s="20" t="s">
        <v>651</v>
      </c>
      <c r="D407" s="83">
        <v>0.2</v>
      </c>
      <c r="E407" s="229">
        <f t="shared" si="30"/>
        <v>0.2</v>
      </c>
      <c r="F407" s="230">
        <v>6000</v>
      </c>
      <c r="G407" s="4">
        <f t="shared" si="31"/>
        <v>333.33333333333331</v>
      </c>
      <c r="H407" s="231">
        <f t="shared" si="32"/>
        <v>1200</v>
      </c>
      <c r="I407" s="143">
        <f t="shared" si="33"/>
        <v>7.1428571428571439E-4</v>
      </c>
      <c r="J407" s="75">
        <f t="shared" si="34"/>
        <v>5.9999999999999995E-4</v>
      </c>
      <c r="K407" s="228"/>
      <c r="L407" s="100"/>
      <c r="M407" s="100"/>
      <c r="N407" s="100"/>
      <c r="O407" s="100"/>
      <c r="P407" s="228"/>
      <c r="Q407" s="228"/>
      <c r="R407" s="228"/>
      <c r="S407" s="228"/>
      <c r="T407" s="228"/>
      <c r="U407" s="228"/>
      <c r="V407" s="228"/>
      <c r="W407" s="228"/>
      <c r="X407" s="228"/>
    </row>
    <row r="408" spans="1:24" ht="16.2" customHeight="1">
      <c r="A408" s="228"/>
      <c r="B408" s="19">
        <v>405</v>
      </c>
      <c r="C408" s="20" t="s">
        <v>652</v>
      </c>
      <c r="D408" s="83">
        <v>0.1</v>
      </c>
      <c r="E408" s="229">
        <f t="shared" si="30"/>
        <v>0.1</v>
      </c>
      <c r="F408" s="230">
        <v>48698</v>
      </c>
      <c r="G408" s="4">
        <f t="shared" si="31"/>
        <v>41.069448437307486</v>
      </c>
      <c r="H408" s="231">
        <f t="shared" si="32"/>
        <v>4869.8</v>
      </c>
      <c r="I408" s="143">
        <f t="shared" si="33"/>
        <v>2.8986904761904766E-3</v>
      </c>
      <c r="J408" s="75">
        <f t="shared" si="34"/>
        <v>2.4349000000000003E-3</v>
      </c>
      <c r="K408" s="228"/>
      <c r="L408" s="100"/>
      <c r="M408" s="100"/>
      <c r="N408" s="100"/>
      <c r="O408" s="100"/>
      <c r="P408" s="228"/>
      <c r="Q408" s="228"/>
      <c r="R408" s="228"/>
      <c r="S408" s="228"/>
      <c r="T408" s="228"/>
      <c r="U408" s="228"/>
      <c r="V408" s="228"/>
      <c r="W408" s="228"/>
      <c r="X408" s="228"/>
    </row>
    <row r="409" spans="1:24" ht="16.2" customHeight="1">
      <c r="A409" s="228"/>
      <c r="B409" s="19">
        <v>406</v>
      </c>
      <c r="C409" s="20" t="s">
        <v>653</v>
      </c>
      <c r="D409" s="83">
        <v>0.1</v>
      </c>
      <c r="E409" s="229">
        <f t="shared" si="30"/>
        <v>0.1</v>
      </c>
      <c r="F409" s="230">
        <v>25000</v>
      </c>
      <c r="G409" s="4">
        <f t="shared" si="31"/>
        <v>80</v>
      </c>
      <c r="H409" s="231">
        <f t="shared" si="32"/>
        <v>2500</v>
      </c>
      <c r="I409" s="143">
        <f t="shared" si="33"/>
        <v>1.4880952380952382E-3</v>
      </c>
      <c r="J409" s="75">
        <f t="shared" si="34"/>
        <v>1.25E-3</v>
      </c>
      <c r="K409" s="228"/>
      <c r="L409" s="100"/>
      <c r="M409" s="100"/>
      <c r="N409" s="100"/>
      <c r="O409" s="100"/>
      <c r="P409" s="228"/>
      <c r="Q409" s="228"/>
      <c r="R409" s="228"/>
      <c r="S409" s="228"/>
      <c r="T409" s="228"/>
      <c r="U409" s="228"/>
      <c r="V409" s="228"/>
      <c r="W409" s="228"/>
      <c r="X409" s="228"/>
    </row>
    <row r="410" spans="1:24" ht="13.8" customHeight="1" thickBot="1">
      <c r="A410" s="228"/>
      <c r="B410" s="43">
        <v>407</v>
      </c>
      <c r="C410" s="213" t="s">
        <v>654</v>
      </c>
      <c r="D410" s="102">
        <v>0</v>
      </c>
      <c r="E410" s="233">
        <v>0</v>
      </c>
      <c r="F410" s="234">
        <v>1486523</v>
      </c>
      <c r="G410" s="235">
        <f t="shared" si="31"/>
        <v>1.345421497010137</v>
      </c>
      <c r="H410" s="236">
        <v>0</v>
      </c>
      <c r="I410" s="237">
        <v>0</v>
      </c>
      <c r="J410" s="76">
        <v>0</v>
      </c>
      <c r="K410" s="228"/>
      <c r="L410" s="228"/>
      <c r="M410" s="228"/>
      <c r="N410" s="228"/>
      <c r="O410" s="228"/>
      <c r="P410" s="228"/>
      <c r="Q410" s="228"/>
      <c r="R410" s="228"/>
      <c r="S410" s="228"/>
      <c r="T410" s="228"/>
      <c r="U410" s="228"/>
      <c r="V410" s="228"/>
      <c r="W410" s="228"/>
      <c r="X410" s="228"/>
    </row>
    <row r="411" spans="1:24">
      <c r="A411" s="228"/>
      <c r="B411" s="228"/>
      <c r="C411" s="228"/>
      <c r="D411" s="228"/>
      <c r="E411" s="228"/>
      <c r="F411" s="230">
        <f>SUM(F4:F410)</f>
        <v>2000000</v>
      </c>
      <c r="G411" s="228"/>
      <c r="H411" s="231">
        <f>SUM(H4:H410)</f>
        <v>1679999.9999999998</v>
      </c>
      <c r="I411" s="238">
        <f>SUM(I4:I410)</f>
        <v>0.99999999999999967</v>
      </c>
      <c r="J411" s="143">
        <f>SUM(J4:J410)</f>
        <v>0.83999999999999897</v>
      </c>
      <c r="K411" s="228"/>
      <c r="L411" s="228"/>
      <c r="M411" s="228"/>
      <c r="N411" s="228"/>
      <c r="O411" s="228"/>
      <c r="P411" s="228"/>
      <c r="Q411" s="228"/>
      <c r="R411" s="228"/>
      <c r="S411" s="228"/>
      <c r="T411" s="228"/>
      <c r="U411" s="228"/>
      <c r="V411" s="228"/>
      <c r="W411" s="228"/>
      <c r="X411" s="228"/>
    </row>
    <row r="412" spans="1:24">
      <c r="A412" s="228"/>
      <c r="B412" s="228"/>
      <c r="C412" s="228"/>
      <c r="D412" s="228"/>
      <c r="E412" s="228"/>
      <c r="F412" s="228"/>
      <c r="G412" s="228"/>
      <c r="H412" s="228"/>
      <c r="I412" s="228"/>
      <c r="J412" s="228"/>
      <c r="K412" s="228"/>
      <c r="L412" s="228"/>
      <c r="M412" s="228"/>
      <c r="N412" s="228"/>
      <c r="O412" s="228"/>
      <c r="P412" s="228"/>
      <c r="Q412" s="228"/>
      <c r="R412" s="228"/>
      <c r="S412" s="228"/>
      <c r="T412" s="228"/>
      <c r="U412" s="228"/>
      <c r="V412" s="228"/>
      <c r="W412" s="228"/>
      <c r="X412" s="228"/>
    </row>
    <row r="413" spans="1:24">
      <c r="A413" s="228"/>
      <c r="B413" s="130" t="s">
        <v>190</v>
      </c>
      <c r="C413" s="131">
        <v>150000000</v>
      </c>
      <c r="D413" s="4"/>
      <c r="E413" s="228" t="s">
        <v>191</v>
      </c>
      <c r="F413" s="228"/>
      <c r="G413" s="228"/>
      <c r="H413" s="132"/>
      <c r="I413" s="133"/>
      <c r="J413" s="133"/>
      <c r="K413" s="134"/>
      <c r="L413" s="228"/>
      <c r="M413" s="228"/>
      <c r="N413" s="228"/>
      <c r="O413" s="228"/>
      <c r="P413" s="228"/>
      <c r="Q413" s="228"/>
      <c r="R413" s="228"/>
      <c r="S413" s="228"/>
      <c r="T413" s="228"/>
      <c r="U413" s="228"/>
      <c r="V413" s="228"/>
      <c r="W413" s="228"/>
      <c r="X413" s="228"/>
    </row>
    <row r="414" spans="1:24">
      <c r="A414" s="228"/>
      <c r="B414" s="130" t="s">
        <v>192</v>
      </c>
      <c r="C414" s="135">
        <v>1</v>
      </c>
      <c r="D414" s="136"/>
      <c r="E414" s="137" t="s">
        <v>193</v>
      </c>
      <c r="F414" s="138" t="s">
        <v>194</v>
      </c>
      <c r="G414" s="132" t="s">
        <v>195</v>
      </c>
      <c r="H414" s="132"/>
      <c r="I414" s="133"/>
      <c r="J414" s="133"/>
      <c r="K414" s="134"/>
      <c r="L414" s="228"/>
      <c r="M414" s="228"/>
      <c r="N414" s="228"/>
      <c r="O414" s="228"/>
      <c r="P414" s="228"/>
      <c r="Q414" s="228"/>
      <c r="R414" s="228"/>
      <c r="S414" s="228"/>
      <c r="T414" s="228"/>
      <c r="U414" s="228"/>
      <c r="V414" s="228"/>
      <c r="W414" s="228"/>
      <c r="X414" s="228"/>
    </row>
    <row r="415" spans="1:24">
      <c r="A415" s="228"/>
      <c r="B415" s="130" t="s">
        <v>196</v>
      </c>
      <c r="C415" s="139">
        <f>C413*C414</f>
        <v>150000000</v>
      </c>
      <c r="D415" s="4"/>
      <c r="E415" s="228" t="s">
        <v>197</v>
      </c>
      <c r="F415" s="137">
        <f>N422</f>
        <v>225000</v>
      </c>
      <c r="G415" s="137">
        <f>N423</f>
        <v>225000</v>
      </c>
      <c r="H415" s="132"/>
      <c r="I415" s="133"/>
      <c r="J415" s="133"/>
      <c r="K415" s="134"/>
      <c r="L415" s="228"/>
      <c r="M415" s="228"/>
      <c r="N415" s="228"/>
      <c r="O415" s="228"/>
      <c r="P415" s="228"/>
      <c r="Q415" s="228"/>
      <c r="R415" s="228"/>
      <c r="S415" s="228"/>
      <c r="T415" s="228"/>
      <c r="U415" s="228"/>
      <c r="V415" s="228"/>
      <c r="W415" s="228"/>
      <c r="X415" s="228"/>
    </row>
    <row r="416" spans="1:24">
      <c r="A416" s="228"/>
      <c r="B416" s="130" t="s">
        <v>198</v>
      </c>
      <c r="C416" s="140">
        <f>C414*C417</f>
        <v>0.03</v>
      </c>
      <c r="D416" s="141"/>
      <c r="E416" s="228" t="s">
        <v>199</v>
      </c>
      <c r="F416" s="239">
        <f>K429*100</f>
        <v>1.35</v>
      </c>
      <c r="G416" s="239">
        <f>K430*100</f>
        <v>1.35</v>
      </c>
      <c r="H416" s="132"/>
      <c r="I416" s="133"/>
      <c r="J416" s="133"/>
      <c r="K416" s="134"/>
      <c r="L416" s="228"/>
      <c r="M416" s="228"/>
      <c r="N416" s="228"/>
      <c r="O416" s="228"/>
      <c r="P416" s="228"/>
      <c r="Q416" s="228"/>
      <c r="R416" s="228"/>
      <c r="S416" s="228"/>
      <c r="T416" s="228"/>
      <c r="U416" s="228"/>
      <c r="V416" s="228"/>
      <c r="W416" s="228"/>
      <c r="X416" s="228"/>
    </row>
    <row r="417" spans="1:24">
      <c r="A417" s="228"/>
      <c r="B417" s="130" t="s">
        <v>200</v>
      </c>
      <c r="C417" s="142">
        <f>W426</f>
        <v>0.03</v>
      </c>
      <c r="D417" s="143"/>
      <c r="E417" s="144"/>
      <c r="F417" s="228"/>
      <c r="G417" s="138"/>
      <c r="H417" s="132"/>
      <c r="I417" s="133"/>
      <c r="J417" s="133"/>
      <c r="K417" s="134"/>
      <c r="L417" s="228"/>
      <c r="M417" s="228"/>
      <c r="N417" s="228"/>
      <c r="O417" s="228"/>
      <c r="P417" s="228"/>
      <c r="Q417" s="228"/>
      <c r="R417" s="228"/>
      <c r="S417" s="228"/>
      <c r="T417" s="228"/>
      <c r="U417" s="228"/>
      <c r="V417" s="228"/>
      <c r="W417" s="228"/>
      <c r="X417" s="228"/>
    </row>
    <row r="418" spans="1:24">
      <c r="A418" s="228"/>
      <c r="B418" s="130" t="s">
        <v>201</v>
      </c>
      <c r="C418" s="131">
        <v>450000</v>
      </c>
      <c r="D418" s="4"/>
      <c r="E418" s="144"/>
      <c r="F418" s="137"/>
      <c r="G418" s="138"/>
      <c r="H418" s="132"/>
      <c r="I418" s="133"/>
      <c r="J418" s="133"/>
      <c r="K418" s="134"/>
      <c r="L418" s="228"/>
      <c r="M418" s="228"/>
      <c r="N418" s="228"/>
      <c r="O418" s="228"/>
      <c r="P418" s="228"/>
      <c r="Q418" s="228"/>
      <c r="R418" s="228"/>
      <c r="S418" s="228"/>
      <c r="T418" s="228"/>
      <c r="U418" s="228"/>
      <c r="V418" s="228"/>
      <c r="W418" s="228"/>
      <c r="X418" s="228"/>
    </row>
    <row r="419" spans="1:24">
      <c r="A419" s="228"/>
      <c r="B419" s="145"/>
      <c r="C419" s="19"/>
      <c r="D419" s="19"/>
      <c r="E419" s="144"/>
      <c r="F419" s="137"/>
      <c r="G419" s="138"/>
      <c r="H419" s="132"/>
      <c r="I419" s="133"/>
      <c r="J419" s="133"/>
      <c r="K419" s="134"/>
      <c r="L419" s="228"/>
      <c r="M419" s="228"/>
      <c r="N419" s="228"/>
      <c r="O419" s="228"/>
      <c r="P419" s="228"/>
      <c r="Q419" s="228"/>
      <c r="R419" s="228"/>
      <c r="S419" s="228"/>
      <c r="T419" s="228"/>
      <c r="U419" s="228"/>
      <c r="V419" s="228"/>
      <c r="W419" s="228"/>
      <c r="X419" s="228"/>
    </row>
    <row r="420" spans="1:24" ht="13.8" customHeight="1" thickBot="1">
      <c r="A420" s="228"/>
      <c r="B420" s="146" t="s">
        <v>202</v>
      </c>
      <c r="C420" s="19"/>
      <c r="D420" s="19"/>
      <c r="E420" s="144"/>
      <c r="F420" s="137"/>
      <c r="G420" s="138"/>
      <c r="H420" s="132"/>
      <c r="I420" s="133"/>
      <c r="J420" s="133"/>
      <c r="K420" s="147">
        <f>C417-C432</f>
        <v>2.9999999999999992E-3</v>
      </c>
      <c r="L420" s="228"/>
      <c r="M420" s="133" t="s">
        <v>203</v>
      </c>
      <c r="N420" s="228"/>
      <c r="O420" s="228"/>
      <c r="P420" s="228"/>
      <c r="Q420" s="228"/>
      <c r="R420" s="228"/>
      <c r="S420" s="228"/>
      <c r="T420" s="228"/>
      <c r="U420" s="228"/>
      <c r="V420" s="228"/>
      <c r="W420" s="228"/>
      <c r="X420" s="228"/>
    </row>
    <row r="421" spans="1:24" ht="13.8" customHeight="1" thickBot="1">
      <c r="A421" s="228"/>
      <c r="B421" s="240" t="s">
        <v>204</v>
      </c>
      <c r="C421" s="130" t="s">
        <v>205</v>
      </c>
      <c r="D421" s="130" t="s">
        <v>206</v>
      </c>
      <c r="E421" s="148" t="s">
        <v>2</v>
      </c>
      <c r="F421" s="149" t="s">
        <v>207</v>
      </c>
      <c r="G421" s="150" t="s">
        <v>208</v>
      </c>
      <c r="H421" s="151" t="s">
        <v>209</v>
      </c>
      <c r="I421" s="151" t="s">
        <v>210</v>
      </c>
      <c r="J421" s="151" t="s">
        <v>211</v>
      </c>
      <c r="K421" s="151" t="s">
        <v>198</v>
      </c>
      <c r="L421" s="228"/>
      <c r="M421" s="241" t="s">
        <v>212</v>
      </c>
      <c r="N421" s="242" t="s">
        <v>202</v>
      </c>
      <c r="O421" s="242" t="s">
        <v>213</v>
      </c>
      <c r="P421" s="242" t="s">
        <v>214</v>
      </c>
      <c r="Q421" s="243" t="s">
        <v>208</v>
      </c>
      <c r="R421" s="244" t="s">
        <v>215</v>
      </c>
      <c r="S421" s="242" t="s">
        <v>210</v>
      </c>
      <c r="T421" s="244" t="s">
        <v>216</v>
      </c>
      <c r="U421" s="242" t="s">
        <v>217</v>
      </c>
      <c r="V421" s="242" t="s">
        <v>218</v>
      </c>
      <c r="W421" s="242" t="s">
        <v>219</v>
      </c>
      <c r="X421" s="245"/>
    </row>
    <row r="422" spans="1:24">
      <c r="A422" s="228"/>
      <c r="B422" s="7">
        <v>1</v>
      </c>
      <c r="C422" s="157" t="s">
        <v>194</v>
      </c>
      <c r="D422" s="157" t="s">
        <v>220</v>
      </c>
      <c r="E422" s="158">
        <f>N422</f>
        <v>225000</v>
      </c>
      <c r="F422" s="159">
        <f>C414*M422</f>
        <v>1</v>
      </c>
      <c r="G422" s="158">
        <f>C413</f>
        <v>150000000</v>
      </c>
      <c r="H422" s="158">
        <f>G422/F422</f>
        <v>150000000</v>
      </c>
      <c r="I422" s="158">
        <f>E422*F422</f>
        <v>225000</v>
      </c>
      <c r="J422" s="160">
        <f>I422/I425</f>
        <v>0.5</v>
      </c>
      <c r="K422" s="161">
        <f>S426*J422*C414</f>
        <v>1.5E-3</v>
      </c>
      <c r="L422" s="228"/>
      <c r="M422" s="168">
        <v>1</v>
      </c>
      <c r="N422" s="169">
        <v>225000</v>
      </c>
      <c r="O422" s="169">
        <v>2250000</v>
      </c>
      <c r="P422" s="170">
        <v>4</v>
      </c>
      <c r="Q422" s="127">
        <f>C413</f>
        <v>150000000</v>
      </c>
      <c r="R422" s="127">
        <f>Q422/F422</f>
        <v>150000000</v>
      </c>
      <c r="S422" s="127">
        <f>M422*E422</f>
        <v>225000</v>
      </c>
      <c r="T422" s="127">
        <f>O422-N422</f>
        <v>2025000</v>
      </c>
      <c r="U422" s="127">
        <f>T422*M422</f>
        <v>2025000</v>
      </c>
      <c r="V422" s="127">
        <f>U422/U425</f>
        <v>0.5</v>
      </c>
      <c r="W422" s="171">
        <f>O422*M422</f>
        <v>2250000</v>
      </c>
      <c r="X422" s="172"/>
    </row>
    <row r="423" spans="1:24" ht="13.8" customHeight="1" thickBot="1">
      <c r="A423" s="228"/>
      <c r="B423" s="7">
        <v>2</v>
      </c>
      <c r="C423" s="157" t="s">
        <v>195</v>
      </c>
      <c r="D423" s="157" t="s">
        <v>221</v>
      </c>
      <c r="E423" s="158">
        <f>N423</f>
        <v>225000</v>
      </c>
      <c r="F423" s="159">
        <f>C414*M423</f>
        <v>1</v>
      </c>
      <c r="G423" s="158">
        <f>C413</f>
        <v>150000000</v>
      </c>
      <c r="H423" s="158">
        <f>G423/F423</f>
        <v>150000000</v>
      </c>
      <c r="I423" s="158">
        <f>E423*F423</f>
        <v>225000</v>
      </c>
      <c r="J423" s="160">
        <f>I423/I425</f>
        <v>0.5</v>
      </c>
      <c r="K423" s="161">
        <f>S426*J423*C414</f>
        <v>1.5E-3</v>
      </c>
      <c r="L423" s="228"/>
      <c r="M423" s="173">
        <v>1</v>
      </c>
      <c r="N423" s="174">
        <v>225000</v>
      </c>
      <c r="O423" s="174">
        <v>2250000</v>
      </c>
      <c r="P423" s="175">
        <v>4</v>
      </c>
      <c r="Q423" s="176">
        <f>C413</f>
        <v>150000000</v>
      </c>
      <c r="R423" s="176">
        <f>Q423/F423</f>
        <v>150000000</v>
      </c>
      <c r="S423" s="176">
        <f>M423*E423</f>
        <v>225000</v>
      </c>
      <c r="T423" s="176">
        <f>O423-N423</f>
        <v>2025000</v>
      </c>
      <c r="U423" s="176">
        <f>T423*M423</f>
        <v>2025000</v>
      </c>
      <c r="V423" s="176">
        <f>U423/U425</f>
        <v>0.5</v>
      </c>
      <c r="W423" s="177">
        <f>O423*M423</f>
        <v>2250000</v>
      </c>
      <c r="X423" s="178"/>
    </row>
    <row r="424" spans="1:24">
      <c r="A424" s="228"/>
      <c r="B424" s="130"/>
      <c r="C424" s="148"/>
      <c r="D424" s="148"/>
      <c r="E424" s="179"/>
      <c r="F424" s="246"/>
      <c r="G424" s="246"/>
      <c r="H424" s="246"/>
      <c r="I424" s="246"/>
      <c r="J424" s="160"/>
      <c r="K424" s="161"/>
      <c r="L424" s="228"/>
      <c r="M424" s="183"/>
      <c r="N424" s="184"/>
      <c r="O424" s="184"/>
      <c r="P424" s="1"/>
      <c r="Q424" s="185"/>
      <c r="R424" s="186"/>
      <c r="S424" s="184"/>
      <c r="T424" s="186"/>
      <c r="U424" s="127"/>
      <c r="V424" s="186"/>
      <c r="W424" s="1"/>
      <c r="X424" s="127"/>
    </row>
    <row r="425" spans="1:24">
      <c r="A425" s="228"/>
      <c r="B425" s="130" t="s">
        <v>222</v>
      </c>
      <c r="C425" s="147">
        <f>I425/C415</f>
        <v>3.0000000000000001E-3</v>
      </c>
      <c r="D425" s="147"/>
      <c r="E425" s="179"/>
      <c r="F425" s="180">
        <f>SUM(F422:F424)</f>
        <v>2</v>
      </c>
      <c r="G425" s="247"/>
      <c r="H425" s="181">
        <f>C413/F425</f>
        <v>75000000</v>
      </c>
      <c r="I425" s="180">
        <f>SUM(I422:I424)</f>
        <v>450000</v>
      </c>
      <c r="J425" s="151">
        <f>SUM(J422:J424)</f>
        <v>1</v>
      </c>
      <c r="K425" s="182">
        <f>SUM(K422:K424)</f>
        <v>3.0000000000000001E-3</v>
      </c>
      <c r="L425" s="228"/>
      <c r="M425" s="187">
        <f>SUM(M422:M424)</f>
        <v>2</v>
      </c>
      <c r="N425" s="5"/>
      <c r="O425" s="184"/>
      <c r="P425" s="184"/>
      <c r="Q425" s="1"/>
      <c r="R425" s="1"/>
      <c r="S425" s="184">
        <f>SUM(S422:S424)</f>
        <v>450000</v>
      </c>
      <c r="T425" s="188"/>
      <c r="U425" s="184">
        <f>SUM(U422:U424)</f>
        <v>4050000</v>
      </c>
      <c r="V425" s="188">
        <f>SUM(V422:V424)</f>
        <v>1</v>
      </c>
      <c r="W425" s="184">
        <f>SUM(W422:W424)</f>
        <v>4500000</v>
      </c>
      <c r="X425" s="184"/>
    </row>
    <row r="426" spans="1:24">
      <c r="A426" s="228"/>
      <c r="B426" s="145"/>
      <c r="C426" s="19"/>
      <c r="D426" s="19"/>
      <c r="E426" s="144"/>
      <c r="F426" s="137"/>
      <c r="G426" s="138"/>
      <c r="H426" s="132"/>
      <c r="I426" s="133"/>
      <c r="J426" s="133"/>
      <c r="K426" s="134"/>
      <c r="L426" s="228"/>
      <c r="M426" s="145"/>
      <c r="N426" s="83"/>
      <c r="O426" s="228"/>
      <c r="P426" s="228"/>
      <c r="Q426" s="228"/>
      <c r="R426" s="228"/>
      <c r="S426" s="228">
        <f>S425/C413</f>
        <v>3.0000000000000001E-3</v>
      </c>
      <c r="T426" s="228"/>
      <c r="U426" s="228">
        <f>U425/C413</f>
        <v>2.7E-2</v>
      </c>
      <c r="V426" s="228"/>
      <c r="W426" s="228">
        <f>W425/C413</f>
        <v>0.03</v>
      </c>
      <c r="X426" s="228"/>
    </row>
    <row r="427" spans="1:24">
      <c r="A427" s="228"/>
      <c r="B427" s="146" t="s">
        <v>223</v>
      </c>
      <c r="C427" s="19"/>
      <c r="D427" s="19"/>
      <c r="E427" s="144"/>
      <c r="F427" s="137"/>
      <c r="G427" s="138"/>
      <c r="H427" s="132"/>
      <c r="I427" s="133"/>
      <c r="J427" s="133"/>
      <c r="K427" s="147">
        <f>C417-C425</f>
        <v>2.7E-2</v>
      </c>
      <c r="L427" s="228"/>
      <c r="M427" s="145"/>
      <c r="N427" s="83"/>
      <c r="O427" s="144"/>
      <c r="P427" s="18"/>
      <c r="Q427" s="137"/>
      <c r="R427" s="138"/>
      <c r="S427" s="228"/>
      <c r="T427" s="18"/>
      <c r="U427" s="228"/>
      <c r="V427" s="18"/>
      <c r="W427" s="228"/>
      <c r="X427" s="228"/>
    </row>
    <row r="428" spans="1:24">
      <c r="A428" s="228"/>
      <c r="B428" s="240" t="s">
        <v>204</v>
      </c>
      <c r="C428" s="130" t="s">
        <v>205</v>
      </c>
      <c r="D428" s="130" t="s">
        <v>206</v>
      </c>
      <c r="E428" s="148" t="s">
        <v>224</v>
      </c>
      <c r="F428" s="149" t="s">
        <v>207</v>
      </c>
      <c r="G428" s="150" t="s">
        <v>208</v>
      </c>
      <c r="H428" s="151" t="s">
        <v>209</v>
      </c>
      <c r="I428" s="151" t="s">
        <v>210</v>
      </c>
      <c r="J428" s="151" t="s">
        <v>211</v>
      </c>
      <c r="K428" s="151" t="s">
        <v>198</v>
      </c>
      <c r="L428" s="228"/>
      <c r="M428" s="145"/>
      <c r="N428" s="143"/>
      <c r="O428" s="144"/>
      <c r="P428" s="137"/>
      <c r="Q428" s="138"/>
      <c r="R428" s="134"/>
      <c r="S428" s="133"/>
      <c r="T428" s="133"/>
      <c r="U428" s="134"/>
      <c r="V428" s="228"/>
      <c r="W428" s="228"/>
      <c r="X428" s="228"/>
    </row>
    <row r="429" spans="1:24">
      <c r="A429" s="228"/>
      <c r="B429" s="7">
        <v>1</v>
      </c>
      <c r="C429" s="157" t="s">
        <v>194</v>
      </c>
      <c r="D429" s="157" t="s">
        <v>220</v>
      </c>
      <c r="E429" s="158">
        <f>K429*H429</f>
        <v>2025000</v>
      </c>
      <c r="F429" s="159">
        <f>C414*M422</f>
        <v>1</v>
      </c>
      <c r="G429" s="158">
        <f>C413</f>
        <v>150000000</v>
      </c>
      <c r="H429" s="158">
        <f>G429/F429</f>
        <v>150000000</v>
      </c>
      <c r="I429" s="158">
        <f>E429*F429</f>
        <v>2025000</v>
      </c>
      <c r="J429" s="160">
        <f>V422</f>
        <v>0.5</v>
      </c>
      <c r="K429" s="161">
        <f>U426*J429*C414</f>
        <v>1.35E-2</v>
      </c>
      <c r="L429" s="228"/>
      <c r="M429" s="145"/>
      <c r="N429" s="190"/>
      <c r="O429" s="144"/>
      <c r="P429" s="137"/>
      <c r="Q429" s="138"/>
      <c r="R429" s="134"/>
      <c r="S429" s="133"/>
      <c r="T429" s="133"/>
      <c r="U429" s="134"/>
      <c r="V429" s="228"/>
      <c r="W429" s="228"/>
      <c r="X429" s="228"/>
    </row>
    <row r="430" spans="1:24">
      <c r="A430" s="228"/>
      <c r="B430" s="7">
        <v>2</v>
      </c>
      <c r="C430" s="157" t="s">
        <v>195</v>
      </c>
      <c r="D430" s="157" t="s">
        <v>221</v>
      </c>
      <c r="E430" s="158">
        <f>K430*H430</f>
        <v>2025000</v>
      </c>
      <c r="F430" s="159">
        <f>C414*M423</f>
        <v>1</v>
      </c>
      <c r="G430" s="158">
        <f>C413</f>
        <v>150000000</v>
      </c>
      <c r="H430" s="158">
        <f>G430/F430</f>
        <v>150000000</v>
      </c>
      <c r="I430" s="158">
        <f>E430*F430</f>
        <v>2025000</v>
      </c>
      <c r="J430" s="160">
        <f>V423</f>
        <v>0.5</v>
      </c>
      <c r="K430" s="161">
        <f>U426*J430*C414</f>
        <v>1.35E-2</v>
      </c>
      <c r="L430" s="228"/>
      <c r="M430" s="228"/>
      <c r="N430" s="228"/>
      <c r="O430" s="228"/>
      <c r="P430" s="228"/>
      <c r="Q430" s="228"/>
      <c r="R430" s="228"/>
      <c r="S430" s="228"/>
      <c r="T430" s="228"/>
      <c r="U430" s="228"/>
      <c r="V430" s="228"/>
      <c r="W430" s="228"/>
      <c r="X430" s="228"/>
    </row>
    <row r="431" spans="1:24">
      <c r="A431" s="228"/>
      <c r="B431" s="130"/>
      <c r="C431" s="148"/>
      <c r="D431" s="148"/>
      <c r="E431" s="179"/>
      <c r="F431" s="149"/>
      <c r="G431" s="150"/>
      <c r="H431" s="191"/>
      <c r="I431" s="246"/>
      <c r="J431" s="160"/>
      <c r="K431" s="246"/>
      <c r="L431" s="228"/>
      <c r="M431" s="145"/>
      <c r="N431" s="190"/>
      <c r="O431" s="228"/>
      <c r="P431" s="228"/>
      <c r="Q431" s="228"/>
      <c r="R431" s="228"/>
      <c r="S431" s="228"/>
      <c r="T431" s="228"/>
      <c r="U431" s="228"/>
      <c r="V431" s="228"/>
      <c r="W431" s="228"/>
      <c r="X431" s="228"/>
    </row>
    <row r="432" spans="1:24">
      <c r="A432" s="228"/>
      <c r="B432" s="130" t="s">
        <v>222</v>
      </c>
      <c r="C432" s="147">
        <f>I432/C415</f>
        <v>2.7E-2</v>
      </c>
      <c r="D432" s="147"/>
      <c r="E432" s="179"/>
      <c r="F432" s="151"/>
      <c r="G432" s="150"/>
      <c r="H432" s="191"/>
      <c r="I432" s="180">
        <f>SUM(I429:I431)</f>
        <v>4050000</v>
      </c>
      <c r="J432" s="151">
        <f>SUM(J429:J431)</f>
        <v>1</v>
      </c>
      <c r="K432" s="182">
        <f>SUM(K429:K431)</f>
        <v>2.7E-2</v>
      </c>
      <c r="L432" s="228"/>
      <c r="M432" s="228"/>
      <c r="N432" s="228"/>
      <c r="O432" s="228"/>
      <c r="P432" s="228"/>
      <c r="Q432" s="228"/>
      <c r="R432" s="228"/>
      <c r="S432" s="228"/>
      <c r="T432" s="228"/>
      <c r="U432" s="228"/>
      <c r="V432" s="228"/>
      <c r="W432" s="228"/>
      <c r="X432" s="228"/>
    </row>
    <row r="433" spans="1:24">
      <c r="A433" s="228"/>
      <c r="B433" s="228"/>
      <c r="C433" s="228"/>
      <c r="D433" s="228"/>
      <c r="E433" s="228"/>
      <c r="F433" s="228"/>
      <c r="G433" s="228"/>
      <c r="H433" s="228"/>
      <c r="I433" s="228"/>
      <c r="J433" s="228"/>
      <c r="K433" s="228"/>
      <c r="L433" s="228"/>
      <c r="M433" s="228"/>
      <c r="N433" s="228"/>
      <c r="O433" s="228"/>
      <c r="P433" s="228"/>
      <c r="Q433" s="228"/>
      <c r="R433" s="228"/>
      <c r="S433" s="228"/>
      <c r="T433" s="228"/>
      <c r="U433" s="228"/>
      <c r="V433" s="228"/>
      <c r="W433" s="228"/>
      <c r="X433" s="228"/>
    </row>
    <row r="434" spans="1:24">
      <c r="A434" s="228"/>
      <c r="B434" s="228"/>
      <c r="C434" s="228"/>
      <c r="D434" s="228"/>
      <c r="E434" s="228"/>
      <c r="F434" s="228"/>
      <c r="G434" s="228"/>
      <c r="H434" s="228"/>
      <c r="I434" s="228"/>
      <c r="J434" s="228"/>
      <c r="K434" s="228"/>
      <c r="L434" s="228"/>
      <c r="M434" s="228"/>
      <c r="N434" s="228"/>
      <c r="O434" s="228"/>
      <c r="P434" s="228"/>
      <c r="Q434" s="228"/>
      <c r="R434" s="228"/>
      <c r="S434" s="228"/>
      <c r="T434" s="228"/>
      <c r="U434" s="228"/>
      <c r="V434" s="228"/>
      <c r="W434" s="228"/>
      <c r="X434" s="228"/>
    </row>
    <row r="435" spans="1:24">
      <c r="A435" s="228"/>
      <c r="B435" s="146" t="s">
        <v>225</v>
      </c>
      <c r="C435" s="19"/>
      <c r="D435" s="228"/>
      <c r="E435" s="228"/>
      <c r="F435" s="228"/>
      <c r="G435" s="228"/>
      <c r="H435" s="228"/>
      <c r="I435" s="228"/>
      <c r="J435" s="228"/>
      <c r="K435" s="228"/>
      <c r="L435" s="228"/>
      <c r="M435" s="228"/>
      <c r="N435" s="228"/>
      <c r="O435" s="228"/>
      <c r="P435" s="228"/>
      <c r="Q435" s="228"/>
      <c r="R435" s="228"/>
      <c r="S435" s="228"/>
      <c r="T435" s="228"/>
      <c r="U435" s="228"/>
      <c r="V435" s="228"/>
      <c r="W435" s="228"/>
      <c r="X435" s="228"/>
    </row>
    <row r="436" spans="1:24">
      <c r="A436" s="228"/>
      <c r="B436" s="192" t="s">
        <v>226</v>
      </c>
      <c r="C436" s="193">
        <f>C413/F425</f>
        <v>75000000</v>
      </c>
      <c r="D436" s="228"/>
      <c r="E436" s="228"/>
      <c r="F436" s="228"/>
      <c r="G436" s="228"/>
      <c r="H436" s="228"/>
      <c r="I436" s="228"/>
      <c r="J436" s="228"/>
      <c r="K436" s="228"/>
      <c r="L436" s="228"/>
      <c r="M436" s="228"/>
      <c r="N436" s="228"/>
      <c r="O436" s="228"/>
      <c r="P436" s="228"/>
      <c r="Q436" s="228"/>
      <c r="R436" s="228"/>
      <c r="S436" s="228"/>
      <c r="T436" s="228"/>
      <c r="U436" s="228"/>
      <c r="V436" s="228"/>
      <c r="W436" s="228"/>
      <c r="X436" s="228"/>
    </row>
    <row r="437" spans="1:24">
      <c r="A437" s="228"/>
      <c r="B437" s="192" t="s">
        <v>227</v>
      </c>
      <c r="C437" s="193" t="e">
        <f>1/((1/C436) + (1/Frequency!N426))</f>
        <v>#DIV/0!</v>
      </c>
      <c r="D437" s="228"/>
      <c r="E437" s="228"/>
      <c r="F437" s="228"/>
      <c r="G437" s="228"/>
      <c r="H437" s="228"/>
      <c r="I437" s="228"/>
      <c r="J437" s="228"/>
      <c r="K437" s="228"/>
      <c r="L437" s="228"/>
      <c r="M437" s="228"/>
      <c r="N437" s="228"/>
      <c r="O437" s="228"/>
      <c r="P437" s="228"/>
      <c r="Q437" s="228"/>
      <c r="R437" s="228"/>
      <c r="S437" s="228"/>
      <c r="T437" s="228"/>
      <c r="U437" s="228"/>
      <c r="V437" s="228"/>
      <c r="W437" s="228"/>
      <c r="X437" s="228"/>
    </row>
    <row r="438" spans="1:24">
      <c r="A438" s="228"/>
      <c r="B438" s="192" t="s">
        <v>228</v>
      </c>
      <c r="C438" s="193" t="e">
        <f>Frequency!N417-(F425/(G423/Frequency!N417)+Frequency!N425)</f>
        <v>#DIV/0!</v>
      </c>
      <c r="D438" s="228"/>
      <c r="E438" s="228"/>
      <c r="F438" s="228"/>
      <c r="G438" s="228"/>
      <c r="H438" s="228"/>
      <c r="I438" s="228"/>
      <c r="J438" s="228"/>
      <c r="K438" s="228"/>
      <c r="L438" s="228"/>
      <c r="M438" s="228"/>
      <c r="N438" s="228"/>
      <c r="O438" s="228"/>
      <c r="P438" s="228"/>
      <c r="Q438" s="228"/>
      <c r="R438" s="228"/>
      <c r="S438" s="228"/>
      <c r="T438" s="228"/>
      <c r="U438" s="228"/>
      <c r="V438" s="228"/>
      <c r="W438" s="228"/>
      <c r="X438" s="228"/>
    </row>
    <row r="439" spans="1:24">
      <c r="A439" s="228"/>
      <c r="B439" s="192" t="s">
        <v>229</v>
      </c>
      <c r="C439" s="193">
        <f>Frequency!N417</f>
        <v>0</v>
      </c>
      <c r="D439" s="228"/>
      <c r="E439" s="228"/>
      <c r="F439" s="228"/>
      <c r="G439" s="228"/>
      <c r="H439" s="228"/>
      <c r="I439" s="228"/>
      <c r="J439" s="228"/>
      <c r="K439" s="228"/>
      <c r="L439" s="228"/>
      <c r="M439" s="228"/>
      <c r="N439" s="228"/>
      <c r="O439" s="228"/>
      <c r="P439" s="228"/>
      <c r="Q439" s="228"/>
      <c r="R439" s="228"/>
      <c r="S439" s="228"/>
      <c r="T439" s="228"/>
      <c r="U439" s="228"/>
      <c r="V439" s="228"/>
      <c r="W439" s="228"/>
      <c r="X439" s="228"/>
    </row>
    <row r="440" spans="1:24">
      <c r="A440" s="228"/>
      <c r="B440" s="192" t="s">
        <v>230</v>
      </c>
      <c r="C440" s="194">
        <f>Frequency!N422</f>
        <v>0</v>
      </c>
      <c r="D440" s="228"/>
      <c r="E440" s="228"/>
      <c r="F440" s="228"/>
      <c r="G440" s="228"/>
      <c r="H440" s="228"/>
      <c r="I440" s="228"/>
      <c r="J440" s="228"/>
      <c r="K440" s="228"/>
      <c r="L440" s="228"/>
      <c r="M440" s="228"/>
      <c r="N440" s="228"/>
      <c r="O440" s="228"/>
      <c r="P440" s="228"/>
      <c r="Q440" s="228"/>
      <c r="R440" s="228"/>
      <c r="S440" s="228"/>
      <c r="T440" s="228"/>
      <c r="U440" s="228"/>
      <c r="V440" s="228"/>
      <c r="W440" s="228"/>
      <c r="X440" s="228"/>
    </row>
    <row r="441" spans="1:24">
      <c r="A441" s="228"/>
      <c r="B441" s="192" t="s">
        <v>231</v>
      </c>
      <c r="C441" s="194">
        <f>C425</f>
        <v>3.0000000000000001E-3</v>
      </c>
      <c r="D441" s="228"/>
      <c r="E441" s="228"/>
      <c r="F441" s="228"/>
      <c r="G441" s="228"/>
      <c r="H441" s="228"/>
      <c r="I441" s="228"/>
      <c r="J441" s="228"/>
      <c r="K441" s="228"/>
      <c r="L441" s="228"/>
      <c r="M441" s="228"/>
      <c r="N441" s="228"/>
      <c r="O441" s="228"/>
      <c r="P441" s="228"/>
      <c r="Q441" s="228"/>
      <c r="R441" s="228"/>
      <c r="S441" s="228"/>
      <c r="T441" s="228"/>
      <c r="U441" s="228"/>
      <c r="V441" s="228"/>
      <c r="W441" s="228"/>
      <c r="X441" s="228"/>
    </row>
    <row r="442" spans="1:24">
      <c r="A442" s="228"/>
      <c r="B442" s="192" t="s">
        <v>232</v>
      </c>
      <c r="C442" s="194">
        <f>C432</f>
        <v>2.7E-2</v>
      </c>
      <c r="D442" s="228"/>
      <c r="E442" s="228"/>
      <c r="F442" s="228"/>
      <c r="G442" s="228"/>
      <c r="H442" s="228"/>
      <c r="I442" s="228"/>
      <c r="J442" s="228"/>
      <c r="K442" s="228"/>
      <c r="L442" s="228"/>
      <c r="M442" s="228"/>
      <c r="N442" s="228"/>
      <c r="O442" s="228"/>
      <c r="P442" s="228"/>
      <c r="Q442" s="228"/>
      <c r="R442" s="228"/>
      <c r="S442" s="228"/>
      <c r="T442" s="228"/>
      <c r="U442" s="228"/>
      <c r="V442" s="228"/>
      <c r="W442" s="228"/>
      <c r="X442" s="228"/>
    </row>
    <row r="443" spans="1:24">
      <c r="A443" s="228"/>
      <c r="B443" s="192" t="s">
        <v>233</v>
      </c>
      <c r="C443" s="194">
        <f>C440+C441+C442</f>
        <v>0.03</v>
      </c>
      <c r="D443" s="228"/>
      <c r="E443" s="228"/>
      <c r="F443" s="228"/>
      <c r="G443" s="228"/>
      <c r="H443" s="228"/>
      <c r="I443" s="228"/>
      <c r="J443" s="228"/>
      <c r="K443" s="228"/>
      <c r="L443" s="228"/>
      <c r="M443" s="228"/>
      <c r="N443" s="228"/>
      <c r="O443" s="228"/>
      <c r="P443" s="228"/>
      <c r="Q443" s="228"/>
      <c r="R443" s="228"/>
      <c r="S443" s="228"/>
      <c r="T443" s="228"/>
      <c r="U443" s="228"/>
      <c r="V443" s="228"/>
      <c r="W443" s="228"/>
      <c r="X443" s="228"/>
    </row>
  </sheetData>
  <mergeCells count="10">
    <mergeCell ref="H2:H3"/>
    <mergeCell ref="D2:D3"/>
    <mergeCell ref="B2:B3"/>
    <mergeCell ref="L17:O21"/>
    <mergeCell ref="C2:C3"/>
    <mergeCell ref="F2:F3"/>
    <mergeCell ref="E2:E3"/>
    <mergeCell ref="J2:J3"/>
    <mergeCell ref="I2:I3"/>
    <mergeCell ref="G2:G3"/>
  </mergeCells>
  <dataValidations count="1">
    <dataValidation type="list" allowBlank="1" showInputMessage="1" showErrorMessage="1" sqref="D237" xr:uid="{00000000-0002-0000-0200-000000000000}">
      <formula1>$M$262:$M$271</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79998168889431442"/>
  </sheetPr>
  <dimension ref="A1:Q181"/>
  <sheetViews>
    <sheetView workbookViewId="0"/>
  </sheetViews>
  <sheetFormatPr defaultRowHeight="13.2"/>
  <cols>
    <col min="1" max="1" width="12.5546875" customWidth="1"/>
    <col min="2" max="2" width="15.109375" customWidth="1"/>
    <col min="3" max="3" width="18.77734375" bestFit="1" customWidth="1"/>
    <col min="4" max="4" width="15.109375" customWidth="1"/>
    <col min="5" max="5" width="18.77734375" bestFit="1" customWidth="1"/>
    <col min="6" max="6" width="15.109375" customWidth="1"/>
    <col min="7" max="7" width="18.77734375" bestFit="1" customWidth="1"/>
    <col min="8" max="8" width="15.109375" customWidth="1"/>
    <col min="9" max="9" width="18.77734375" bestFit="1" customWidth="1"/>
    <col min="10" max="10" width="15.109375" customWidth="1"/>
    <col min="11" max="11" width="18.77734375" bestFit="1" customWidth="1"/>
    <col min="12" max="12" width="15.109375" customWidth="1"/>
    <col min="13" max="13" width="18.77734375" bestFit="1" customWidth="1"/>
    <col min="14" max="14" width="15.109375" customWidth="1"/>
    <col min="15" max="15" width="18.77734375" bestFit="1" customWidth="1"/>
    <col min="16" max="16" width="15.109375" customWidth="1"/>
    <col min="17" max="17" width="18.77734375" bestFit="1" customWidth="1"/>
  </cols>
  <sheetData>
    <row r="1" spans="1:17" ht="13.8" customHeight="1" thickBot="1">
      <c r="A1" s="248" t="s">
        <v>655</v>
      </c>
      <c r="B1" s="249">
        <v>0.5</v>
      </c>
      <c r="C1" s="250" t="s">
        <v>656</v>
      </c>
      <c r="D1" s="249">
        <v>1</v>
      </c>
      <c r="E1" s="250" t="s">
        <v>656</v>
      </c>
      <c r="F1" s="249">
        <v>2</v>
      </c>
      <c r="G1" s="250" t="s">
        <v>656</v>
      </c>
      <c r="H1" s="249">
        <v>5</v>
      </c>
      <c r="I1" s="250" t="s">
        <v>656</v>
      </c>
      <c r="J1" s="249">
        <v>10</v>
      </c>
      <c r="K1" s="250" t="s">
        <v>656</v>
      </c>
      <c r="L1" s="249">
        <v>20</v>
      </c>
      <c r="M1" s="250" t="s">
        <v>656</v>
      </c>
      <c r="N1" s="249">
        <v>30</v>
      </c>
      <c r="O1" s="250" t="s">
        <v>656</v>
      </c>
      <c r="P1" s="249">
        <v>50</v>
      </c>
      <c r="Q1" s="251" t="s">
        <v>656</v>
      </c>
    </row>
    <row r="2" spans="1:17">
      <c r="A2" s="248" t="s">
        <v>657</v>
      </c>
      <c r="B2" s="252" t="s">
        <v>658</v>
      </c>
      <c r="C2" s="253">
        <f>E2*($D$1/$B$1)</f>
        <v>300000000</v>
      </c>
      <c r="D2" s="252" t="s">
        <v>658</v>
      </c>
      <c r="E2" s="253">
        <v>150000000</v>
      </c>
      <c r="F2" s="252" t="s">
        <v>658</v>
      </c>
      <c r="G2" s="253">
        <f>E2/F$1</f>
        <v>75000000</v>
      </c>
      <c r="H2" s="252" t="s">
        <v>658</v>
      </c>
      <c r="I2" s="253">
        <f>E2/H$1</f>
        <v>30000000</v>
      </c>
      <c r="J2" s="252" t="s">
        <v>658</v>
      </c>
      <c r="K2" s="253">
        <f>E2/J$1</f>
        <v>15000000</v>
      </c>
      <c r="L2" s="252" t="s">
        <v>658</v>
      </c>
      <c r="M2" s="253">
        <f>E2/L$1</f>
        <v>7500000</v>
      </c>
      <c r="N2" s="252" t="s">
        <v>658</v>
      </c>
      <c r="O2" s="253">
        <f>E2/N$1</f>
        <v>5000000</v>
      </c>
      <c r="P2" s="252" t="s">
        <v>658</v>
      </c>
      <c r="Q2" s="253">
        <f>E2/P$1</f>
        <v>3000000</v>
      </c>
    </row>
    <row r="3" spans="1:17">
      <c r="A3" s="248" t="s">
        <v>659</v>
      </c>
      <c r="B3" s="254" t="s">
        <v>658</v>
      </c>
      <c r="C3" s="253">
        <f>E3*($D$1/$B$1)</f>
        <v>300000000</v>
      </c>
      <c r="D3" s="254" t="s">
        <v>658</v>
      </c>
      <c r="E3" s="253">
        <v>150000000</v>
      </c>
      <c r="F3" s="254" t="s">
        <v>658</v>
      </c>
      <c r="G3" s="253">
        <f>E3/F$1</f>
        <v>75000000</v>
      </c>
      <c r="H3" s="254" t="s">
        <v>658</v>
      </c>
      <c r="I3" s="253">
        <f>E3/H$1</f>
        <v>30000000</v>
      </c>
      <c r="J3" s="254" t="s">
        <v>658</v>
      </c>
      <c r="K3" s="253">
        <f>E3/J$1</f>
        <v>15000000</v>
      </c>
      <c r="L3" s="254" t="s">
        <v>658</v>
      </c>
      <c r="M3" s="253">
        <f>E3/L$1</f>
        <v>7500000</v>
      </c>
      <c r="N3" s="254" t="s">
        <v>658</v>
      </c>
      <c r="O3" s="253">
        <f>E3/N$1</f>
        <v>5000000</v>
      </c>
      <c r="P3" s="254" t="s">
        <v>658</v>
      </c>
      <c r="Q3" s="253">
        <f>E3/P$1</f>
        <v>3000000</v>
      </c>
    </row>
    <row r="4" spans="1:17">
      <c r="A4" s="248" t="s">
        <v>2</v>
      </c>
      <c r="B4" s="248">
        <f t="shared" ref="B4:B35" si="0">$D4*B$1</f>
        <v>500</v>
      </c>
      <c r="C4" s="255">
        <f t="shared" ref="C4:C35" si="1">$E4</f>
        <v>2000000</v>
      </c>
      <c r="D4" s="248">
        <v>1000</v>
      </c>
      <c r="E4" s="255">
        <v>2000000</v>
      </c>
      <c r="F4" s="248">
        <f t="shared" ref="F4:F35" si="2">$D4*F$1</f>
        <v>2000</v>
      </c>
      <c r="G4" s="255">
        <f t="shared" ref="G4:G35" si="3">$E4</f>
        <v>2000000</v>
      </c>
      <c r="H4" s="248">
        <f t="shared" ref="H4:H35" si="4">$D4*H$1</f>
        <v>5000</v>
      </c>
      <c r="I4" s="255">
        <f t="shared" ref="I4:I35" si="5">$E4</f>
        <v>2000000</v>
      </c>
      <c r="J4" s="248">
        <f t="shared" ref="J4:J35" si="6">$D4*J$1</f>
        <v>10000</v>
      </c>
      <c r="K4" s="255">
        <f t="shared" ref="K4:K35" si="7">$E4</f>
        <v>2000000</v>
      </c>
      <c r="L4" s="248">
        <f t="shared" ref="L4:L35" si="8">$D4*L$1</f>
        <v>20000</v>
      </c>
      <c r="M4" s="255">
        <f t="shared" ref="M4:M35" si="9">$E4</f>
        <v>2000000</v>
      </c>
      <c r="N4" s="248">
        <f t="shared" ref="N4:N35" si="10">$D4*N$1</f>
        <v>30000</v>
      </c>
      <c r="O4" s="255">
        <f t="shared" ref="O4:O35" si="11">$E4</f>
        <v>2000000</v>
      </c>
      <c r="P4" s="248">
        <f t="shared" ref="P4:P35" si="12">$D4*P$1</f>
        <v>50000</v>
      </c>
      <c r="Q4" s="255">
        <f t="shared" ref="Q4:Q35" si="13">$E4</f>
        <v>2000000</v>
      </c>
    </row>
    <row r="5" spans="1:17">
      <c r="A5" s="248"/>
      <c r="B5" s="248">
        <f t="shared" si="0"/>
        <v>250</v>
      </c>
      <c r="C5" s="255">
        <f t="shared" si="1"/>
        <v>2000000</v>
      </c>
      <c r="D5" s="248">
        <v>500</v>
      </c>
      <c r="E5" s="255">
        <v>2000000</v>
      </c>
      <c r="F5" s="248">
        <f t="shared" si="2"/>
        <v>1000</v>
      </c>
      <c r="G5" s="255">
        <f t="shared" si="3"/>
        <v>2000000</v>
      </c>
      <c r="H5" s="248">
        <f t="shared" si="4"/>
        <v>2500</v>
      </c>
      <c r="I5" s="255">
        <f t="shared" si="5"/>
        <v>2000000</v>
      </c>
      <c r="J5" s="248">
        <f t="shared" si="6"/>
        <v>5000</v>
      </c>
      <c r="K5" s="255">
        <f t="shared" si="7"/>
        <v>2000000</v>
      </c>
      <c r="L5" s="248">
        <f t="shared" si="8"/>
        <v>10000</v>
      </c>
      <c r="M5" s="255">
        <f t="shared" si="9"/>
        <v>2000000</v>
      </c>
      <c r="N5" s="248">
        <f t="shared" si="10"/>
        <v>15000</v>
      </c>
      <c r="O5" s="255">
        <f t="shared" si="11"/>
        <v>2000000</v>
      </c>
      <c r="P5" s="248">
        <f t="shared" si="12"/>
        <v>25000</v>
      </c>
      <c r="Q5" s="255">
        <f t="shared" si="13"/>
        <v>2000000</v>
      </c>
    </row>
    <row r="6" spans="1:17">
      <c r="A6" s="248"/>
      <c r="B6" s="248">
        <f t="shared" si="0"/>
        <v>100</v>
      </c>
      <c r="C6" s="255">
        <f t="shared" si="1"/>
        <v>666666.66666666663</v>
      </c>
      <c r="D6" s="248">
        <v>200</v>
      </c>
      <c r="E6" s="255">
        <v>666666.66666666663</v>
      </c>
      <c r="F6" s="248">
        <f t="shared" si="2"/>
        <v>400</v>
      </c>
      <c r="G6" s="255">
        <f t="shared" si="3"/>
        <v>666666.66666666663</v>
      </c>
      <c r="H6" s="248">
        <f t="shared" si="4"/>
        <v>1000</v>
      </c>
      <c r="I6" s="255">
        <f t="shared" si="5"/>
        <v>666666.66666666663</v>
      </c>
      <c r="J6" s="248">
        <f t="shared" si="6"/>
        <v>2000</v>
      </c>
      <c r="K6" s="255">
        <f t="shared" si="7"/>
        <v>666666.66666666663</v>
      </c>
      <c r="L6" s="248">
        <f t="shared" si="8"/>
        <v>4000</v>
      </c>
      <c r="M6" s="255">
        <f t="shared" si="9"/>
        <v>666666.66666666663</v>
      </c>
      <c r="N6" s="248">
        <f t="shared" si="10"/>
        <v>6000</v>
      </c>
      <c r="O6" s="255">
        <f t="shared" si="11"/>
        <v>666666.66666666663</v>
      </c>
      <c r="P6" s="248">
        <f t="shared" si="12"/>
        <v>10000</v>
      </c>
      <c r="Q6" s="255">
        <f t="shared" si="13"/>
        <v>666666.66666666663</v>
      </c>
    </row>
    <row r="7" spans="1:17">
      <c r="A7" s="248"/>
      <c r="B7" s="248">
        <f t="shared" si="0"/>
        <v>61.85</v>
      </c>
      <c r="C7" s="255">
        <f t="shared" si="1"/>
        <v>1000000</v>
      </c>
      <c r="D7" s="248">
        <v>123.7</v>
      </c>
      <c r="E7" s="255">
        <v>1000000</v>
      </c>
      <c r="F7" s="248">
        <f t="shared" si="2"/>
        <v>247.4</v>
      </c>
      <c r="G7" s="255">
        <f t="shared" si="3"/>
        <v>1000000</v>
      </c>
      <c r="H7" s="248">
        <f t="shared" si="4"/>
        <v>618.5</v>
      </c>
      <c r="I7" s="255">
        <f t="shared" si="5"/>
        <v>1000000</v>
      </c>
      <c r="J7" s="248">
        <f t="shared" si="6"/>
        <v>1237</v>
      </c>
      <c r="K7" s="255">
        <f t="shared" si="7"/>
        <v>1000000</v>
      </c>
      <c r="L7" s="248">
        <f t="shared" si="8"/>
        <v>2474</v>
      </c>
      <c r="M7" s="255">
        <f t="shared" si="9"/>
        <v>1000000</v>
      </c>
      <c r="N7" s="248">
        <f t="shared" si="10"/>
        <v>3711</v>
      </c>
      <c r="O7" s="255">
        <f t="shared" si="11"/>
        <v>1000000</v>
      </c>
      <c r="P7" s="248">
        <f t="shared" si="12"/>
        <v>6185</v>
      </c>
      <c r="Q7" s="255">
        <f t="shared" si="13"/>
        <v>1000000</v>
      </c>
    </row>
    <row r="8" spans="1:17">
      <c r="A8" s="248"/>
      <c r="B8" s="248">
        <f t="shared" si="0"/>
        <v>57.5</v>
      </c>
      <c r="C8" s="255">
        <f t="shared" si="1"/>
        <v>133333.33333333331</v>
      </c>
      <c r="D8" s="248">
        <v>115</v>
      </c>
      <c r="E8" s="255">
        <v>133333.33333333331</v>
      </c>
      <c r="F8" s="248">
        <f t="shared" si="2"/>
        <v>230</v>
      </c>
      <c r="G8" s="255">
        <f t="shared" si="3"/>
        <v>133333.33333333331</v>
      </c>
      <c r="H8" s="248">
        <f t="shared" si="4"/>
        <v>575</v>
      </c>
      <c r="I8" s="255">
        <f t="shared" si="5"/>
        <v>133333.33333333331</v>
      </c>
      <c r="J8" s="248">
        <f t="shared" si="6"/>
        <v>1150</v>
      </c>
      <c r="K8" s="255">
        <f t="shared" si="7"/>
        <v>133333.33333333331</v>
      </c>
      <c r="L8" s="248">
        <f t="shared" si="8"/>
        <v>2300</v>
      </c>
      <c r="M8" s="255">
        <f t="shared" si="9"/>
        <v>133333.33333333331</v>
      </c>
      <c r="N8" s="248">
        <f t="shared" si="10"/>
        <v>3450</v>
      </c>
      <c r="O8" s="255">
        <f t="shared" si="11"/>
        <v>133333.33333333331</v>
      </c>
      <c r="P8" s="248">
        <f t="shared" si="12"/>
        <v>5750</v>
      </c>
      <c r="Q8" s="255">
        <f t="shared" si="13"/>
        <v>133333.33333333331</v>
      </c>
    </row>
    <row r="9" spans="1:17">
      <c r="A9" s="248"/>
      <c r="B9" s="248">
        <f t="shared" si="0"/>
        <v>54.05</v>
      </c>
      <c r="C9" s="255">
        <f t="shared" si="1"/>
        <v>1000000</v>
      </c>
      <c r="D9" s="248">
        <v>108.1</v>
      </c>
      <c r="E9" s="255">
        <v>1000000</v>
      </c>
      <c r="F9" s="248">
        <f t="shared" si="2"/>
        <v>216.2</v>
      </c>
      <c r="G9" s="255">
        <f t="shared" si="3"/>
        <v>1000000</v>
      </c>
      <c r="H9" s="248">
        <f t="shared" si="4"/>
        <v>540.5</v>
      </c>
      <c r="I9" s="255">
        <f t="shared" si="5"/>
        <v>1000000</v>
      </c>
      <c r="J9" s="248">
        <f t="shared" si="6"/>
        <v>1081</v>
      </c>
      <c r="K9" s="255">
        <f t="shared" si="7"/>
        <v>1000000</v>
      </c>
      <c r="L9" s="248">
        <f t="shared" si="8"/>
        <v>2162</v>
      </c>
      <c r="M9" s="255">
        <f t="shared" si="9"/>
        <v>1000000</v>
      </c>
      <c r="N9" s="248">
        <f t="shared" si="10"/>
        <v>3243</v>
      </c>
      <c r="O9" s="255">
        <f t="shared" si="11"/>
        <v>1000000</v>
      </c>
      <c r="P9" s="248">
        <f t="shared" si="12"/>
        <v>5405</v>
      </c>
      <c r="Q9" s="255">
        <f t="shared" si="13"/>
        <v>1000000</v>
      </c>
    </row>
    <row r="10" spans="1:17">
      <c r="A10" s="248"/>
      <c r="B10" s="248">
        <f t="shared" si="0"/>
        <v>54</v>
      </c>
      <c r="C10" s="255">
        <f t="shared" si="1"/>
        <v>666666.66666666663</v>
      </c>
      <c r="D10" s="248">
        <v>108</v>
      </c>
      <c r="E10" s="255">
        <v>666666.66666666663</v>
      </c>
      <c r="F10" s="248">
        <f t="shared" si="2"/>
        <v>216</v>
      </c>
      <c r="G10" s="255">
        <f t="shared" si="3"/>
        <v>666666.66666666663</v>
      </c>
      <c r="H10" s="248">
        <f t="shared" si="4"/>
        <v>540</v>
      </c>
      <c r="I10" s="255">
        <f t="shared" si="5"/>
        <v>666666.66666666663</v>
      </c>
      <c r="J10" s="248">
        <f t="shared" si="6"/>
        <v>1080</v>
      </c>
      <c r="K10" s="255">
        <f t="shared" si="7"/>
        <v>666666.66666666663</v>
      </c>
      <c r="L10" s="248">
        <f t="shared" si="8"/>
        <v>2160</v>
      </c>
      <c r="M10" s="255">
        <f t="shared" si="9"/>
        <v>666666.66666666663</v>
      </c>
      <c r="N10" s="248">
        <f t="shared" si="10"/>
        <v>3240</v>
      </c>
      <c r="O10" s="255">
        <f t="shared" si="11"/>
        <v>666666.66666666663</v>
      </c>
      <c r="P10" s="248">
        <f t="shared" si="12"/>
        <v>5400</v>
      </c>
      <c r="Q10" s="255">
        <f t="shared" si="13"/>
        <v>666666.66666666663</v>
      </c>
    </row>
    <row r="11" spans="1:17">
      <c r="A11" s="248"/>
      <c r="B11" s="248">
        <f t="shared" si="0"/>
        <v>52.55</v>
      </c>
      <c r="C11" s="255">
        <f t="shared" si="1"/>
        <v>1000000</v>
      </c>
      <c r="D11" s="248">
        <v>105.1</v>
      </c>
      <c r="E11" s="255">
        <v>1000000</v>
      </c>
      <c r="F11" s="248">
        <f t="shared" si="2"/>
        <v>210.2</v>
      </c>
      <c r="G11" s="255">
        <f t="shared" si="3"/>
        <v>1000000</v>
      </c>
      <c r="H11" s="248">
        <f t="shared" si="4"/>
        <v>525.5</v>
      </c>
      <c r="I11" s="255">
        <f t="shared" si="5"/>
        <v>1000000</v>
      </c>
      <c r="J11" s="248">
        <f t="shared" si="6"/>
        <v>1051</v>
      </c>
      <c r="K11" s="255">
        <f t="shared" si="7"/>
        <v>1000000</v>
      </c>
      <c r="L11" s="248">
        <f t="shared" si="8"/>
        <v>2102</v>
      </c>
      <c r="M11" s="255">
        <f t="shared" si="9"/>
        <v>1000000</v>
      </c>
      <c r="N11" s="248">
        <f t="shared" si="10"/>
        <v>3153</v>
      </c>
      <c r="O11" s="255">
        <f t="shared" si="11"/>
        <v>1000000</v>
      </c>
      <c r="P11" s="248">
        <f t="shared" si="12"/>
        <v>5255</v>
      </c>
      <c r="Q11" s="255">
        <f t="shared" si="13"/>
        <v>1000000</v>
      </c>
    </row>
    <row r="12" spans="1:17">
      <c r="A12" s="248"/>
      <c r="B12" s="248">
        <f t="shared" si="0"/>
        <v>51.5</v>
      </c>
      <c r="C12" s="255">
        <f t="shared" si="1"/>
        <v>1000000</v>
      </c>
      <c r="D12" s="248">
        <v>103</v>
      </c>
      <c r="E12" s="255">
        <v>1000000</v>
      </c>
      <c r="F12" s="248">
        <f t="shared" si="2"/>
        <v>206</v>
      </c>
      <c r="G12" s="255">
        <f t="shared" si="3"/>
        <v>1000000</v>
      </c>
      <c r="H12" s="248">
        <f t="shared" si="4"/>
        <v>515</v>
      </c>
      <c r="I12" s="255">
        <f t="shared" si="5"/>
        <v>1000000</v>
      </c>
      <c r="J12" s="248">
        <f t="shared" si="6"/>
        <v>1030</v>
      </c>
      <c r="K12" s="255">
        <f t="shared" si="7"/>
        <v>1000000</v>
      </c>
      <c r="L12" s="248">
        <f t="shared" si="8"/>
        <v>2060</v>
      </c>
      <c r="M12" s="255">
        <f t="shared" si="9"/>
        <v>1000000</v>
      </c>
      <c r="N12" s="248">
        <f t="shared" si="10"/>
        <v>3090</v>
      </c>
      <c r="O12" s="255">
        <f t="shared" si="11"/>
        <v>1000000</v>
      </c>
      <c r="P12" s="248">
        <f t="shared" si="12"/>
        <v>5150</v>
      </c>
      <c r="Q12" s="255">
        <f t="shared" si="13"/>
        <v>1000000</v>
      </c>
    </row>
    <row r="13" spans="1:17">
      <c r="A13" s="248"/>
      <c r="B13" s="248">
        <f t="shared" si="0"/>
        <v>50</v>
      </c>
      <c r="C13" s="255">
        <f t="shared" si="1"/>
        <v>12578.616352201259</v>
      </c>
      <c r="D13" s="248">
        <v>100</v>
      </c>
      <c r="E13" s="255">
        <v>12578.616352201259</v>
      </c>
      <c r="F13" s="248">
        <f t="shared" si="2"/>
        <v>200</v>
      </c>
      <c r="G13" s="255">
        <f t="shared" si="3"/>
        <v>12578.616352201259</v>
      </c>
      <c r="H13" s="248">
        <f t="shared" si="4"/>
        <v>500</v>
      </c>
      <c r="I13" s="255">
        <f t="shared" si="5"/>
        <v>12578.616352201259</v>
      </c>
      <c r="J13" s="248">
        <f t="shared" si="6"/>
        <v>1000</v>
      </c>
      <c r="K13" s="255">
        <f t="shared" si="7"/>
        <v>12578.616352201259</v>
      </c>
      <c r="L13" s="248">
        <f t="shared" si="8"/>
        <v>2000</v>
      </c>
      <c r="M13" s="255">
        <f t="shared" si="9"/>
        <v>12578.616352201259</v>
      </c>
      <c r="N13" s="248">
        <f t="shared" si="10"/>
        <v>3000</v>
      </c>
      <c r="O13" s="255">
        <f t="shared" si="11"/>
        <v>12578.616352201259</v>
      </c>
      <c r="P13" s="248">
        <f t="shared" si="12"/>
        <v>5000</v>
      </c>
      <c r="Q13" s="255">
        <f t="shared" si="13"/>
        <v>12578.616352201259</v>
      </c>
    </row>
    <row r="14" spans="1:17">
      <c r="A14" s="248"/>
      <c r="B14" s="248">
        <f t="shared" si="0"/>
        <v>30.1</v>
      </c>
      <c r="C14" s="255">
        <f t="shared" si="1"/>
        <v>1000000</v>
      </c>
      <c r="D14" s="248">
        <v>60.2</v>
      </c>
      <c r="E14" s="255">
        <v>1000000</v>
      </c>
      <c r="F14" s="248">
        <f t="shared" si="2"/>
        <v>120.4</v>
      </c>
      <c r="G14" s="255">
        <f t="shared" si="3"/>
        <v>1000000</v>
      </c>
      <c r="H14" s="248">
        <f t="shared" si="4"/>
        <v>301</v>
      </c>
      <c r="I14" s="255">
        <f t="shared" si="5"/>
        <v>1000000</v>
      </c>
      <c r="J14" s="248">
        <f t="shared" si="6"/>
        <v>602</v>
      </c>
      <c r="K14" s="255">
        <f t="shared" si="7"/>
        <v>1000000</v>
      </c>
      <c r="L14" s="248">
        <f t="shared" si="8"/>
        <v>1204</v>
      </c>
      <c r="M14" s="255">
        <f t="shared" si="9"/>
        <v>1000000</v>
      </c>
      <c r="N14" s="248">
        <f t="shared" si="10"/>
        <v>1806</v>
      </c>
      <c r="O14" s="255">
        <f t="shared" si="11"/>
        <v>1000000</v>
      </c>
      <c r="P14" s="248">
        <f t="shared" si="12"/>
        <v>3010</v>
      </c>
      <c r="Q14" s="255">
        <f t="shared" si="13"/>
        <v>1000000</v>
      </c>
    </row>
    <row r="15" spans="1:17">
      <c r="A15" s="248"/>
      <c r="B15" s="248">
        <f t="shared" si="0"/>
        <v>28.5</v>
      </c>
      <c r="C15" s="255">
        <f t="shared" si="1"/>
        <v>333333.33333333331</v>
      </c>
      <c r="D15" s="248">
        <v>57</v>
      </c>
      <c r="E15" s="255">
        <v>333333.33333333331</v>
      </c>
      <c r="F15" s="248">
        <f t="shared" si="2"/>
        <v>114</v>
      </c>
      <c r="G15" s="255">
        <f t="shared" si="3"/>
        <v>333333.33333333331</v>
      </c>
      <c r="H15" s="248">
        <f t="shared" si="4"/>
        <v>285</v>
      </c>
      <c r="I15" s="255">
        <f t="shared" si="5"/>
        <v>333333.33333333331</v>
      </c>
      <c r="J15" s="248">
        <f t="shared" si="6"/>
        <v>570</v>
      </c>
      <c r="K15" s="255">
        <f t="shared" si="7"/>
        <v>333333.33333333331</v>
      </c>
      <c r="L15" s="248">
        <f t="shared" si="8"/>
        <v>1140</v>
      </c>
      <c r="M15" s="255">
        <f t="shared" si="9"/>
        <v>333333.33333333331</v>
      </c>
      <c r="N15" s="248">
        <f t="shared" si="10"/>
        <v>1710</v>
      </c>
      <c r="O15" s="255">
        <f t="shared" si="11"/>
        <v>333333.33333333331</v>
      </c>
      <c r="P15" s="248">
        <f t="shared" si="12"/>
        <v>2850</v>
      </c>
      <c r="Q15" s="255">
        <f t="shared" si="13"/>
        <v>333333.33333333331</v>
      </c>
    </row>
    <row r="16" spans="1:17">
      <c r="A16" s="248"/>
      <c r="B16" s="248">
        <f t="shared" si="0"/>
        <v>27.200000000000006</v>
      </c>
      <c r="C16" s="255">
        <f t="shared" si="1"/>
        <v>200000</v>
      </c>
      <c r="D16" s="248">
        <v>54.400000000000013</v>
      </c>
      <c r="E16" s="255">
        <v>200000</v>
      </c>
      <c r="F16" s="248">
        <f t="shared" si="2"/>
        <v>108.80000000000003</v>
      </c>
      <c r="G16" s="255">
        <f t="shared" si="3"/>
        <v>200000</v>
      </c>
      <c r="H16" s="248">
        <f t="shared" si="4"/>
        <v>272.00000000000006</v>
      </c>
      <c r="I16" s="255">
        <f t="shared" si="5"/>
        <v>200000</v>
      </c>
      <c r="J16" s="248">
        <f t="shared" si="6"/>
        <v>544.00000000000011</v>
      </c>
      <c r="K16" s="255">
        <f t="shared" si="7"/>
        <v>200000</v>
      </c>
      <c r="L16" s="248">
        <f t="shared" si="8"/>
        <v>1088.0000000000002</v>
      </c>
      <c r="M16" s="255">
        <f t="shared" si="9"/>
        <v>200000</v>
      </c>
      <c r="N16" s="248">
        <f t="shared" si="10"/>
        <v>1632.0000000000005</v>
      </c>
      <c r="O16" s="255">
        <f t="shared" si="11"/>
        <v>200000</v>
      </c>
      <c r="P16" s="248">
        <f t="shared" si="12"/>
        <v>2720.0000000000005</v>
      </c>
      <c r="Q16" s="255">
        <f t="shared" si="13"/>
        <v>200000</v>
      </c>
    </row>
    <row r="17" spans="1:17">
      <c r="A17" s="248"/>
      <c r="B17" s="248">
        <f t="shared" si="0"/>
        <v>25.85</v>
      </c>
      <c r="C17" s="255">
        <f t="shared" si="1"/>
        <v>200000</v>
      </c>
      <c r="D17" s="248">
        <v>51.7</v>
      </c>
      <c r="E17" s="255">
        <v>200000</v>
      </c>
      <c r="F17" s="248">
        <f t="shared" si="2"/>
        <v>103.4</v>
      </c>
      <c r="G17" s="255">
        <f t="shared" si="3"/>
        <v>200000</v>
      </c>
      <c r="H17" s="248">
        <f t="shared" si="4"/>
        <v>258.5</v>
      </c>
      <c r="I17" s="255">
        <f t="shared" si="5"/>
        <v>200000</v>
      </c>
      <c r="J17" s="248">
        <f t="shared" si="6"/>
        <v>517</v>
      </c>
      <c r="K17" s="255">
        <f t="shared" si="7"/>
        <v>200000</v>
      </c>
      <c r="L17" s="248">
        <f t="shared" si="8"/>
        <v>1034</v>
      </c>
      <c r="M17" s="255">
        <f t="shared" si="9"/>
        <v>200000</v>
      </c>
      <c r="N17" s="248">
        <f t="shared" si="10"/>
        <v>1551</v>
      </c>
      <c r="O17" s="255">
        <f t="shared" si="11"/>
        <v>200000</v>
      </c>
      <c r="P17" s="248">
        <f t="shared" si="12"/>
        <v>2585</v>
      </c>
      <c r="Q17" s="255">
        <f t="shared" si="13"/>
        <v>200000</v>
      </c>
    </row>
    <row r="18" spans="1:17">
      <c r="A18" s="248"/>
      <c r="B18" s="248">
        <f t="shared" si="0"/>
        <v>25.25</v>
      </c>
      <c r="C18" s="255">
        <f t="shared" si="1"/>
        <v>1000000</v>
      </c>
      <c r="D18" s="248">
        <v>50.5</v>
      </c>
      <c r="E18" s="255">
        <v>1000000</v>
      </c>
      <c r="F18" s="248">
        <f t="shared" si="2"/>
        <v>101</v>
      </c>
      <c r="G18" s="255">
        <f t="shared" si="3"/>
        <v>1000000</v>
      </c>
      <c r="H18" s="248">
        <f t="shared" si="4"/>
        <v>252.5</v>
      </c>
      <c r="I18" s="255">
        <f t="shared" si="5"/>
        <v>1000000</v>
      </c>
      <c r="J18" s="248">
        <f t="shared" si="6"/>
        <v>505</v>
      </c>
      <c r="K18" s="255">
        <f t="shared" si="7"/>
        <v>1000000</v>
      </c>
      <c r="L18" s="248">
        <f t="shared" si="8"/>
        <v>1010</v>
      </c>
      <c r="M18" s="255">
        <f t="shared" si="9"/>
        <v>1000000</v>
      </c>
      <c r="N18" s="248">
        <f t="shared" si="10"/>
        <v>1515</v>
      </c>
      <c r="O18" s="255">
        <f t="shared" si="11"/>
        <v>1000000</v>
      </c>
      <c r="P18" s="248">
        <f t="shared" si="12"/>
        <v>2525</v>
      </c>
      <c r="Q18" s="255">
        <f t="shared" si="13"/>
        <v>1000000</v>
      </c>
    </row>
    <row r="19" spans="1:17">
      <c r="A19" s="248"/>
      <c r="B19" s="248">
        <f t="shared" si="0"/>
        <v>25</v>
      </c>
      <c r="C19" s="255">
        <f t="shared" si="1"/>
        <v>2000</v>
      </c>
      <c r="D19" s="248">
        <v>50</v>
      </c>
      <c r="E19" s="255">
        <v>2000</v>
      </c>
      <c r="F19" s="248">
        <f t="shared" si="2"/>
        <v>100</v>
      </c>
      <c r="G19" s="255">
        <f t="shared" si="3"/>
        <v>2000</v>
      </c>
      <c r="H19" s="248">
        <f t="shared" si="4"/>
        <v>250</v>
      </c>
      <c r="I19" s="255">
        <f t="shared" si="5"/>
        <v>2000</v>
      </c>
      <c r="J19" s="248">
        <f t="shared" si="6"/>
        <v>500</v>
      </c>
      <c r="K19" s="255">
        <f t="shared" si="7"/>
        <v>2000</v>
      </c>
      <c r="L19" s="248">
        <f t="shared" si="8"/>
        <v>1000</v>
      </c>
      <c r="M19" s="255">
        <f t="shared" si="9"/>
        <v>2000</v>
      </c>
      <c r="N19" s="248">
        <f t="shared" si="10"/>
        <v>1500</v>
      </c>
      <c r="O19" s="255">
        <f t="shared" si="11"/>
        <v>2000</v>
      </c>
      <c r="P19" s="248">
        <f t="shared" si="12"/>
        <v>2500</v>
      </c>
      <c r="Q19" s="255">
        <f t="shared" si="13"/>
        <v>2000</v>
      </c>
    </row>
    <row r="20" spans="1:17">
      <c r="A20" s="248"/>
      <c r="B20" s="248">
        <f t="shared" si="0"/>
        <v>24.75</v>
      </c>
      <c r="C20" s="255">
        <f t="shared" si="1"/>
        <v>100000</v>
      </c>
      <c r="D20" s="248">
        <v>49.5</v>
      </c>
      <c r="E20" s="255">
        <v>100000</v>
      </c>
      <c r="F20" s="248">
        <f t="shared" si="2"/>
        <v>99</v>
      </c>
      <c r="G20" s="255">
        <f t="shared" si="3"/>
        <v>100000</v>
      </c>
      <c r="H20" s="248">
        <f t="shared" si="4"/>
        <v>247.5</v>
      </c>
      <c r="I20" s="255">
        <f t="shared" si="5"/>
        <v>100000</v>
      </c>
      <c r="J20" s="248">
        <f t="shared" si="6"/>
        <v>495</v>
      </c>
      <c r="K20" s="255">
        <f t="shared" si="7"/>
        <v>100000</v>
      </c>
      <c r="L20" s="248">
        <f t="shared" si="8"/>
        <v>990</v>
      </c>
      <c r="M20" s="255">
        <f t="shared" si="9"/>
        <v>100000</v>
      </c>
      <c r="N20" s="248">
        <f t="shared" si="10"/>
        <v>1485</v>
      </c>
      <c r="O20" s="255">
        <f t="shared" si="11"/>
        <v>100000</v>
      </c>
      <c r="P20" s="248">
        <f t="shared" si="12"/>
        <v>2475</v>
      </c>
      <c r="Q20" s="255">
        <f t="shared" si="13"/>
        <v>100000</v>
      </c>
    </row>
    <row r="21" spans="1:17">
      <c r="A21" s="248"/>
      <c r="B21" s="248">
        <f t="shared" si="0"/>
        <v>24.05</v>
      </c>
      <c r="C21" s="255">
        <f t="shared" si="1"/>
        <v>400000</v>
      </c>
      <c r="D21" s="248">
        <v>48.1</v>
      </c>
      <c r="E21" s="255">
        <v>400000</v>
      </c>
      <c r="F21" s="248">
        <f t="shared" si="2"/>
        <v>96.2</v>
      </c>
      <c r="G21" s="255">
        <f t="shared" si="3"/>
        <v>400000</v>
      </c>
      <c r="H21" s="248">
        <f t="shared" si="4"/>
        <v>240.5</v>
      </c>
      <c r="I21" s="255">
        <f t="shared" si="5"/>
        <v>400000</v>
      </c>
      <c r="J21" s="248">
        <f t="shared" si="6"/>
        <v>481</v>
      </c>
      <c r="K21" s="255">
        <f t="shared" si="7"/>
        <v>400000</v>
      </c>
      <c r="L21" s="248">
        <f t="shared" si="8"/>
        <v>962</v>
      </c>
      <c r="M21" s="255">
        <f t="shared" si="9"/>
        <v>400000</v>
      </c>
      <c r="N21" s="248">
        <f t="shared" si="10"/>
        <v>1443</v>
      </c>
      <c r="O21" s="255">
        <f t="shared" si="11"/>
        <v>400000</v>
      </c>
      <c r="P21" s="248">
        <f t="shared" si="12"/>
        <v>2405</v>
      </c>
      <c r="Q21" s="255">
        <f t="shared" si="13"/>
        <v>400000</v>
      </c>
    </row>
    <row r="22" spans="1:17">
      <c r="A22" s="248"/>
      <c r="B22" s="248">
        <f t="shared" si="0"/>
        <v>22.55</v>
      </c>
      <c r="C22" s="255">
        <f t="shared" si="1"/>
        <v>200000</v>
      </c>
      <c r="D22" s="248">
        <v>45.1</v>
      </c>
      <c r="E22" s="255">
        <v>200000</v>
      </c>
      <c r="F22" s="248">
        <f t="shared" si="2"/>
        <v>90.2</v>
      </c>
      <c r="G22" s="255">
        <f t="shared" si="3"/>
        <v>200000</v>
      </c>
      <c r="H22" s="248">
        <f t="shared" si="4"/>
        <v>225.5</v>
      </c>
      <c r="I22" s="255">
        <f t="shared" si="5"/>
        <v>200000</v>
      </c>
      <c r="J22" s="248">
        <f t="shared" si="6"/>
        <v>451</v>
      </c>
      <c r="K22" s="255">
        <f t="shared" si="7"/>
        <v>200000</v>
      </c>
      <c r="L22" s="248">
        <f t="shared" si="8"/>
        <v>902</v>
      </c>
      <c r="M22" s="255">
        <f t="shared" si="9"/>
        <v>200000</v>
      </c>
      <c r="N22" s="248">
        <f t="shared" si="10"/>
        <v>1353</v>
      </c>
      <c r="O22" s="255">
        <f t="shared" si="11"/>
        <v>200000</v>
      </c>
      <c r="P22" s="248">
        <f t="shared" si="12"/>
        <v>2255</v>
      </c>
      <c r="Q22" s="255">
        <f t="shared" si="13"/>
        <v>200000</v>
      </c>
    </row>
    <row r="23" spans="1:17">
      <c r="A23" s="248"/>
      <c r="B23" s="248">
        <f t="shared" si="0"/>
        <v>22.05</v>
      </c>
      <c r="C23" s="255">
        <f t="shared" si="1"/>
        <v>100000</v>
      </c>
      <c r="D23" s="248">
        <v>44.1</v>
      </c>
      <c r="E23" s="255">
        <v>100000</v>
      </c>
      <c r="F23" s="248">
        <f t="shared" si="2"/>
        <v>88.2</v>
      </c>
      <c r="G23" s="255">
        <f t="shared" si="3"/>
        <v>100000</v>
      </c>
      <c r="H23" s="248">
        <f t="shared" si="4"/>
        <v>220.5</v>
      </c>
      <c r="I23" s="255">
        <f t="shared" si="5"/>
        <v>100000</v>
      </c>
      <c r="J23" s="248">
        <f t="shared" si="6"/>
        <v>441</v>
      </c>
      <c r="K23" s="255">
        <f t="shared" si="7"/>
        <v>100000</v>
      </c>
      <c r="L23" s="248">
        <f t="shared" si="8"/>
        <v>882</v>
      </c>
      <c r="M23" s="255">
        <f t="shared" si="9"/>
        <v>100000</v>
      </c>
      <c r="N23" s="248">
        <f t="shared" si="10"/>
        <v>1323</v>
      </c>
      <c r="O23" s="255">
        <f t="shared" si="11"/>
        <v>100000</v>
      </c>
      <c r="P23" s="248">
        <f t="shared" si="12"/>
        <v>2205</v>
      </c>
      <c r="Q23" s="255">
        <f t="shared" si="13"/>
        <v>100000</v>
      </c>
    </row>
    <row r="24" spans="1:17">
      <c r="A24" s="248"/>
      <c r="B24" s="248">
        <f t="shared" si="0"/>
        <v>21.6</v>
      </c>
      <c r="C24" s="255">
        <f t="shared" si="1"/>
        <v>40000</v>
      </c>
      <c r="D24" s="248">
        <v>43.2</v>
      </c>
      <c r="E24" s="255">
        <v>40000</v>
      </c>
      <c r="F24" s="248">
        <f t="shared" si="2"/>
        <v>86.4</v>
      </c>
      <c r="G24" s="255">
        <f t="shared" si="3"/>
        <v>40000</v>
      </c>
      <c r="H24" s="248">
        <f t="shared" si="4"/>
        <v>216</v>
      </c>
      <c r="I24" s="255">
        <f t="shared" si="5"/>
        <v>40000</v>
      </c>
      <c r="J24" s="248">
        <f t="shared" si="6"/>
        <v>432</v>
      </c>
      <c r="K24" s="255">
        <f t="shared" si="7"/>
        <v>40000</v>
      </c>
      <c r="L24" s="248">
        <f t="shared" si="8"/>
        <v>864</v>
      </c>
      <c r="M24" s="255">
        <f t="shared" si="9"/>
        <v>40000</v>
      </c>
      <c r="N24" s="248">
        <f t="shared" si="10"/>
        <v>1296</v>
      </c>
      <c r="O24" s="255">
        <f t="shared" si="11"/>
        <v>40000</v>
      </c>
      <c r="P24" s="248">
        <f t="shared" si="12"/>
        <v>2160</v>
      </c>
      <c r="Q24" s="255">
        <f t="shared" si="13"/>
        <v>40000</v>
      </c>
    </row>
    <row r="25" spans="1:17">
      <c r="A25" s="248"/>
      <c r="B25" s="248">
        <f t="shared" si="0"/>
        <v>21.1</v>
      </c>
      <c r="C25" s="255">
        <f t="shared" si="1"/>
        <v>200000</v>
      </c>
      <c r="D25" s="248">
        <v>42.2</v>
      </c>
      <c r="E25" s="255">
        <v>200000</v>
      </c>
      <c r="F25" s="248">
        <f t="shared" si="2"/>
        <v>84.4</v>
      </c>
      <c r="G25" s="255">
        <f t="shared" si="3"/>
        <v>200000</v>
      </c>
      <c r="H25" s="248">
        <f t="shared" si="4"/>
        <v>211</v>
      </c>
      <c r="I25" s="255">
        <f t="shared" si="5"/>
        <v>200000</v>
      </c>
      <c r="J25" s="248">
        <f t="shared" si="6"/>
        <v>422</v>
      </c>
      <c r="K25" s="255">
        <f t="shared" si="7"/>
        <v>200000</v>
      </c>
      <c r="L25" s="248">
        <f t="shared" si="8"/>
        <v>844</v>
      </c>
      <c r="M25" s="255">
        <f t="shared" si="9"/>
        <v>200000</v>
      </c>
      <c r="N25" s="248">
        <f t="shared" si="10"/>
        <v>1266</v>
      </c>
      <c r="O25" s="255">
        <f t="shared" si="11"/>
        <v>200000</v>
      </c>
      <c r="P25" s="248">
        <f t="shared" si="12"/>
        <v>2110</v>
      </c>
      <c r="Q25" s="255">
        <f t="shared" si="13"/>
        <v>200000</v>
      </c>
    </row>
    <row r="26" spans="1:17">
      <c r="A26" s="248"/>
      <c r="B26" s="248">
        <f t="shared" si="0"/>
        <v>21</v>
      </c>
      <c r="C26" s="255">
        <f t="shared" si="1"/>
        <v>1000000</v>
      </c>
      <c r="D26" s="248">
        <v>42</v>
      </c>
      <c r="E26" s="255">
        <v>1000000</v>
      </c>
      <c r="F26" s="248">
        <f t="shared" si="2"/>
        <v>84</v>
      </c>
      <c r="G26" s="255">
        <f t="shared" si="3"/>
        <v>1000000</v>
      </c>
      <c r="H26" s="248">
        <f t="shared" si="4"/>
        <v>210</v>
      </c>
      <c r="I26" s="255">
        <f t="shared" si="5"/>
        <v>1000000</v>
      </c>
      <c r="J26" s="248">
        <f t="shared" si="6"/>
        <v>420</v>
      </c>
      <c r="K26" s="255">
        <f t="shared" si="7"/>
        <v>1000000</v>
      </c>
      <c r="L26" s="248">
        <f t="shared" si="8"/>
        <v>840</v>
      </c>
      <c r="M26" s="255">
        <f t="shared" si="9"/>
        <v>1000000</v>
      </c>
      <c r="N26" s="248">
        <f t="shared" si="10"/>
        <v>1260</v>
      </c>
      <c r="O26" s="255">
        <f t="shared" si="11"/>
        <v>1000000</v>
      </c>
      <c r="P26" s="248">
        <f t="shared" si="12"/>
        <v>2100</v>
      </c>
      <c r="Q26" s="255">
        <f t="shared" si="13"/>
        <v>1000000</v>
      </c>
    </row>
    <row r="27" spans="1:17">
      <c r="A27" s="248"/>
      <c r="B27" s="248">
        <f t="shared" si="0"/>
        <v>20.399999999999999</v>
      </c>
      <c r="C27" s="255">
        <f t="shared" si="1"/>
        <v>400000</v>
      </c>
      <c r="D27" s="248">
        <v>40.799999999999997</v>
      </c>
      <c r="E27" s="255">
        <v>400000</v>
      </c>
      <c r="F27" s="248">
        <f t="shared" si="2"/>
        <v>81.599999999999994</v>
      </c>
      <c r="G27" s="255">
        <f t="shared" si="3"/>
        <v>400000</v>
      </c>
      <c r="H27" s="248">
        <f t="shared" si="4"/>
        <v>204</v>
      </c>
      <c r="I27" s="255">
        <f t="shared" si="5"/>
        <v>400000</v>
      </c>
      <c r="J27" s="248">
        <f t="shared" si="6"/>
        <v>408</v>
      </c>
      <c r="K27" s="255">
        <f t="shared" si="7"/>
        <v>400000</v>
      </c>
      <c r="L27" s="248">
        <f t="shared" si="8"/>
        <v>816</v>
      </c>
      <c r="M27" s="255">
        <f t="shared" si="9"/>
        <v>400000</v>
      </c>
      <c r="N27" s="248">
        <f t="shared" si="10"/>
        <v>1224</v>
      </c>
      <c r="O27" s="255">
        <f t="shared" si="11"/>
        <v>400000</v>
      </c>
      <c r="P27" s="248">
        <f t="shared" si="12"/>
        <v>2039.9999999999998</v>
      </c>
      <c r="Q27" s="255">
        <f t="shared" si="13"/>
        <v>400000</v>
      </c>
    </row>
    <row r="28" spans="1:17">
      <c r="A28" s="248"/>
      <c r="B28" s="248">
        <f t="shared" si="0"/>
        <v>20</v>
      </c>
      <c r="C28" s="255">
        <f t="shared" si="1"/>
        <v>80000</v>
      </c>
      <c r="D28" s="248">
        <v>40</v>
      </c>
      <c r="E28" s="255">
        <v>80000</v>
      </c>
      <c r="F28" s="248">
        <f t="shared" si="2"/>
        <v>80</v>
      </c>
      <c r="G28" s="255">
        <f t="shared" si="3"/>
        <v>80000</v>
      </c>
      <c r="H28" s="248">
        <f t="shared" si="4"/>
        <v>200</v>
      </c>
      <c r="I28" s="255">
        <f t="shared" si="5"/>
        <v>80000</v>
      </c>
      <c r="J28" s="248">
        <f t="shared" si="6"/>
        <v>400</v>
      </c>
      <c r="K28" s="255">
        <f t="shared" si="7"/>
        <v>80000</v>
      </c>
      <c r="L28" s="248">
        <f t="shared" si="8"/>
        <v>800</v>
      </c>
      <c r="M28" s="255">
        <f t="shared" si="9"/>
        <v>80000</v>
      </c>
      <c r="N28" s="248">
        <f t="shared" si="10"/>
        <v>1200</v>
      </c>
      <c r="O28" s="255">
        <f t="shared" si="11"/>
        <v>80000</v>
      </c>
      <c r="P28" s="248">
        <f t="shared" si="12"/>
        <v>2000</v>
      </c>
      <c r="Q28" s="255">
        <f t="shared" si="13"/>
        <v>80000</v>
      </c>
    </row>
    <row r="29" spans="1:17">
      <c r="A29" s="248"/>
      <c r="B29" s="248">
        <f t="shared" si="0"/>
        <v>19.5</v>
      </c>
      <c r="C29" s="255">
        <f t="shared" si="1"/>
        <v>133333.33333333331</v>
      </c>
      <c r="D29" s="248">
        <v>39</v>
      </c>
      <c r="E29" s="255">
        <v>133333.33333333331</v>
      </c>
      <c r="F29" s="248">
        <f t="shared" si="2"/>
        <v>78</v>
      </c>
      <c r="G29" s="255">
        <f t="shared" si="3"/>
        <v>133333.33333333331</v>
      </c>
      <c r="H29" s="248">
        <f t="shared" si="4"/>
        <v>195</v>
      </c>
      <c r="I29" s="255">
        <f t="shared" si="5"/>
        <v>133333.33333333331</v>
      </c>
      <c r="J29" s="248">
        <f t="shared" si="6"/>
        <v>390</v>
      </c>
      <c r="K29" s="255">
        <f t="shared" si="7"/>
        <v>133333.33333333331</v>
      </c>
      <c r="L29" s="248">
        <f t="shared" si="8"/>
        <v>780</v>
      </c>
      <c r="M29" s="255">
        <f t="shared" si="9"/>
        <v>133333.33333333331</v>
      </c>
      <c r="N29" s="248">
        <f t="shared" si="10"/>
        <v>1170</v>
      </c>
      <c r="O29" s="255">
        <f t="shared" si="11"/>
        <v>133333.33333333331</v>
      </c>
      <c r="P29" s="248">
        <f t="shared" si="12"/>
        <v>1950</v>
      </c>
      <c r="Q29" s="255">
        <f t="shared" si="13"/>
        <v>133333.33333333331</v>
      </c>
    </row>
    <row r="30" spans="1:17">
      <c r="A30" s="248"/>
      <c r="B30" s="248">
        <f t="shared" si="0"/>
        <v>18.899999999999999</v>
      </c>
      <c r="C30" s="255">
        <f t="shared" si="1"/>
        <v>200000</v>
      </c>
      <c r="D30" s="248">
        <v>37.799999999999997</v>
      </c>
      <c r="E30" s="255">
        <v>200000</v>
      </c>
      <c r="F30" s="248">
        <f t="shared" si="2"/>
        <v>75.599999999999994</v>
      </c>
      <c r="G30" s="255">
        <f t="shared" si="3"/>
        <v>200000</v>
      </c>
      <c r="H30" s="248">
        <f t="shared" si="4"/>
        <v>189</v>
      </c>
      <c r="I30" s="255">
        <f t="shared" si="5"/>
        <v>200000</v>
      </c>
      <c r="J30" s="248">
        <f t="shared" si="6"/>
        <v>378</v>
      </c>
      <c r="K30" s="255">
        <f t="shared" si="7"/>
        <v>200000</v>
      </c>
      <c r="L30" s="248">
        <f t="shared" si="8"/>
        <v>756</v>
      </c>
      <c r="M30" s="255">
        <f t="shared" si="9"/>
        <v>200000</v>
      </c>
      <c r="N30" s="248">
        <f t="shared" si="10"/>
        <v>1134</v>
      </c>
      <c r="O30" s="255">
        <f t="shared" si="11"/>
        <v>200000</v>
      </c>
      <c r="P30" s="248">
        <f t="shared" si="12"/>
        <v>1889.9999999999998</v>
      </c>
      <c r="Q30" s="255">
        <f t="shared" si="13"/>
        <v>200000</v>
      </c>
    </row>
    <row r="31" spans="1:17">
      <c r="A31" s="248"/>
      <c r="B31" s="248">
        <f t="shared" si="0"/>
        <v>18.649999999999999</v>
      </c>
      <c r="C31" s="255">
        <f t="shared" si="1"/>
        <v>100000</v>
      </c>
      <c r="D31" s="248">
        <v>37.299999999999997</v>
      </c>
      <c r="E31" s="255">
        <v>100000</v>
      </c>
      <c r="F31" s="248">
        <f t="shared" si="2"/>
        <v>74.599999999999994</v>
      </c>
      <c r="G31" s="255">
        <f t="shared" si="3"/>
        <v>100000</v>
      </c>
      <c r="H31" s="248">
        <f t="shared" si="4"/>
        <v>186.5</v>
      </c>
      <c r="I31" s="255">
        <f t="shared" si="5"/>
        <v>100000</v>
      </c>
      <c r="J31" s="248">
        <f t="shared" si="6"/>
        <v>373</v>
      </c>
      <c r="K31" s="255">
        <f t="shared" si="7"/>
        <v>100000</v>
      </c>
      <c r="L31" s="248">
        <f t="shared" si="8"/>
        <v>746</v>
      </c>
      <c r="M31" s="255">
        <f t="shared" si="9"/>
        <v>100000</v>
      </c>
      <c r="N31" s="248">
        <f t="shared" si="10"/>
        <v>1119</v>
      </c>
      <c r="O31" s="255">
        <f t="shared" si="11"/>
        <v>100000</v>
      </c>
      <c r="P31" s="248">
        <f t="shared" si="12"/>
        <v>1864.9999999999998</v>
      </c>
      <c r="Q31" s="255">
        <f t="shared" si="13"/>
        <v>100000</v>
      </c>
    </row>
    <row r="32" spans="1:17">
      <c r="A32" s="248"/>
      <c r="B32" s="248">
        <f t="shared" si="0"/>
        <v>18.600000000000001</v>
      </c>
      <c r="C32" s="255">
        <f t="shared" si="1"/>
        <v>200000</v>
      </c>
      <c r="D32" s="248">
        <v>37.200000000000003</v>
      </c>
      <c r="E32" s="255">
        <v>200000</v>
      </c>
      <c r="F32" s="248">
        <f t="shared" si="2"/>
        <v>74.400000000000006</v>
      </c>
      <c r="G32" s="255">
        <f t="shared" si="3"/>
        <v>200000</v>
      </c>
      <c r="H32" s="248">
        <f t="shared" si="4"/>
        <v>186</v>
      </c>
      <c r="I32" s="255">
        <f t="shared" si="5"/>
        <v>200000</v>
      </c>
      <c r="J32" s="248">
        <f t="shared" si="6"/>
        <v>372</v>
      </c>
      <c r="K32" s="255">
        <f t="shared" si="7"/>
        <v>200000</v>
      </c>
      <c r="L32" s="248">
        <f t="shared" si="8"/>
        <v>744</v>
      </c>
      <c r="M32" s="255">
        <f t="shared" si="9"/>
        <v>200000</v>
      </c>
      <c r="N32" s="248">
        <f t="shared" si="10"/>
        <v>1116</v>
      </c>
      <c r="O32" s="255">
        <f t="shared" si="11"/>
        <v>200000</v>
      </c>
      <c r="P32" s="248">
        <f t="shared" si="12"/>
        <v>1860.0000000000002</v>
      </c>
      <c r="Q32" s="255">
        <f t="shared" si="13"/>
        <v>200000</v>
      </c>
    </row>
    <row r="33" spans="1:17">
      <c r="A33" s="248"/>
      <c r="B33" s="248">
        <f t="shared" si="0"/>
        <v>18.5</v>
      </c>
      <c r="C33" s="255">
        <f t="shared" si="1"/>
        <v>66666.666666666672</v>
      </c>
      <c r="D33" s="248">
        <v>37</v>
      </c>
      <c r="E33" s="255">
        <v>66666.666666666672</v>
      </c>
      <c r="F33" s="248">
        <f t="shared" si="2"/>
        <v>74</v>
      </c>
      <c r="G33" s="255">
        <f t="shared" si="3"/>
        <v>66666.666666666672</v>
      </c>
      <c r="H33" s="248">
        <f t="shared" si="4"/>
        <v>185</v>
      </c>
      <c r="I33" s="255">
        <f t="shared" si="5"/>
        <v>66666.666666666672</v>
      </c>
      <c r="J33" s="248">
        <f t="shared" si="6"/>
        <v>370</v>
      </c>
      <c r="K33" s="255">
        <f t="shared" si="7"/>
        <v>66666.666666666672</v>
      </c>
      <c r="L33" s="248">
        <f t="shared" si="8"/>
        <v>740</v>
      </c>
      <c r="M33" s="255">
        <f t="shared" si="9"/>
        <v>66666.666666666672</v>
      </c>
      <c r="N33" s="248">
        <f t="shared" si="10"/>
        <v>1110</v>
      </c>
      <c r="O33" s="255">
        <f t="shared" si="11"/>
        <v>66666.666666666672</v>
      </c>
      <c r="P33" s="248">
        <f t="shared" si="12"/>
        <v>1850</v>
      </c>
      <c r="Q33" s="255">
        <f t="shared" si="13"/>
        <v>66666.666666666672</v>
      </c>
    </row>
    <row r="34" spans="1:17">
      <c r="A34" s="248"/>
      <c r="B34" s="248">
        <f t="shared" si="0"/>
        <v>18.200000000000006</v>
      </c>
      <c r="C34" s="255">
        <f t="shared" si="1"/>
        <v>80000</v>
      </c>
      <c r="D34" s="248">
        <v>36.400000000000013</v>
      </c>
      <c r="E34" s="255">
        <v>80000</v>
      </c>
      <c r="F34" s="248">
        <f t="shared" si="2"/>
        <v>72.800000000000026</v>
      </c>
      <c r="G34" s="255">
        <f t="shared" si="3"/>
        <v>80000</v>
      </c>
      <c r="H34" s="248">
        <f t="shared" si="4"/>
        <v>182.00000000000006</v>
      </c>
      <c r="I34" s="255">
        <f t="shared" si="5"/>
        <v>80000</v>
      </c>
      <c r="J34" s="248">
        <f t="shared" si="6"/>
        <v>364.00000000000011</v>
      </c>
      <c r="K34" s="255">
        <f t="shared" si="7"/>
        <v>80000</v>
      </c>
      <c r="L34" s="248">
        <f t="shared" si="8"/>
        <v>728.00000000000023</v>
      </c>
      <c r="M34" s="255">
        <f t="shared" si="9"/>
        <v>80000</v>
      </c>
      <c r="N34" s="248">
        <f t="shared" si="10"/>
        <v>1092.0000000000005</v>
      </c>
      <c r="O34" s="255">
        <f t="shared" si="11"/>
        <v>80000</v>
      </c>
      <c r="P34" s="248">
        <f t="shared" si="12"/>
        <v>1820.0000000000007</v>
      </c>
      <c r="Q34" s="255">
        <f t="shared" si="13"/>
        <v>80000</v>
      </c>
    </row>
    <row r="35" spans="1:17">
      <c r="A35" s="248"/>
      <c r="B35" s="248">
        <f t="shared" si="0"/>
        <v>18</v>
      </c>
      <c r="C35" s="255">
        <f t="shared" si="1"/>
        <v>200000</v>
      </c>
      <c r="D35" s="248">
        <v>36</v>
      </c>
      <c r="E35" s="255">
        <v>200000</v>
      </c>
      <c r="F35" s="248">
        <f t="shared" si="2"/>
        <v>72</v>
      </c>
      <c r="G35" s="255">
        <f t="shared" si="3"/>
        <v>200000</v>
      </c>
      <c r="H35" s="248">
        <f t="shared" si="4"/>
        <v>180</v>
      </c>
      <c r="I35" s="255">
        <f t="shared" si="5"/>
        <v>200000</v>
      </c>
      <c r="J35" s="248">
        <f t="shared" si="6"/>
        <v>360</v>
      </c>
      <c r="K35" s="255">
        <f t="shared" si="7"/>
        <v>200000</v>
      </c>
      <c r="L35" s="248">
        <f t="shared" si="8"/>
        <v>720</v>
      </c>
      <c r="M35" s="255">
        <f t="shared" si="9"/>
        <v>200000</v>
      </c>
      <c r="N35" s="248">
        <f t="shared" si="10"/>
        <v>1080</v>
      </c>
      <c r="O35" s="255">
        <f t="shared" si="11"/>
        <v>200000</v>
      </c>
      <c r="P35" s="248">
        <f t="shared" si="12"/>
        <v>1800</v>
      </c>
      <c r="Q35" s="255">
        <f t="shared" si="13"/>
        <v>200000</v>
      </c>
    </row>
    <row r="36" spans="1:17">
      <c r="A36" s="248"/>
      <c r="B36" s="248">
        <f t="shared" ref="B36:B67" si="14">$D36*B$1</f>
        <v>17.8</v>
      </c>
      <c r="C36" s="255">
        <f t="shared" ref="C36:C67" si="15">$E36</f>
        <v>40000</v>
      </c>
      <c r="D36" s="248">
        <v>35.6</v>
      </c>
      <c r="E36" s="255">
        <v>40000</v>
      </c>
      <c r="F36" s="248">
        <f t="shared" ref="F36:F67" si="16">$D36*F$1</f>
        <v>71.2</v>
      </c>
      <c r="G36" s="255">
        <f t="shared" ref="G36:G67" si="17">$E36</f>
        <v>40000</v>
      </c>
      <c r="H36" s="248">
        <f t="shared" ref="H36:H67" si="18">$D36*H$1</f>
        <v>178</v>
      </c>
      <c r="I36" s="255">
        <f t="shared" ref="I36:I67" si="19">$E36</f>
        <v>40000</v>
      </c>
      <c r="J36" s="248">
        <f t="shared" ref="J36:J67" si="20">$D36*J$1</f>
        <v>356</v>
      </c>
      <c r="K36" s="255">
        <f t="shared" ref="K36:K67" si="21">$E36</f>
        <v>40000</v>
      </c>
      <c r="L36" s="248">
        <f t="shared" ref="L36:L67" si="22">$D36*L$1</f>
        <v>712</v>
      </c>
      <c r="M36" s="255">
        <f t="shared" ref="M36:M67" si="23">$E36</f>
        <v>40000</v>
      </c>
      <c r="N36" s="248">
        <f t="shared" ref="N36:N67" si="24">$D36*N$1</f>
        <v>1068</v>
      </c>
      <c r="O36" s="255">
        <f t="shared" ref="O36:O67" si="25">$E36</f>
        <v>40000</v>
      </c>
      <c r="P36" s="248">
        <f t="shared" ref="P36:P67" si="26">$D36*P$1</f>
        <v>1780</v>
      </c>
      <c r="Q36" s="255">
        <f t="shared" ref="Q36:Q67" si="27">$E36</f>
        <v>40000</v>
      </c>
    </row>
    <row r="37" spans="1:17">
      <c r="A37" s="248"/>
      <c r="B37" s="248">
        <f t="shared" si="14"/>
        <v>17.75</v>
      </c>
      <c r="C37" s="255">
        <f t="shared" si="15"/>
        <v>200000</v>
      </c>
      <c r="D37" s="248">
        <v>35.5</v>
      </c>
      <c r="E37" s="255">
        <v>200000</v>
      </c>
      <c r="F37" s="248">
        <f t="shared" si="16"/>
        <v>71</v>
      </c>
      <c r="G37" s="255">
        <f t="shared" si="17"/>
        <v>200000</v>
      </c>
      <c r="H37" s="248">
        <f t="shared" si="18"/>
        <v>177.5</v>
      </c>
      <c r="I37" s="255">
        <f t="shared" si="19"/>
        <v>200000</v>
      </c>
      <c r="J37" s="248">
        <f t="shared" si="20"/>
        <v>355</v>
      </c>
      <c r="K37" s="255">
        <f t="shared" si="21"/>
        <v>200000</v>
      </c>
      <c r="L37" s="248">
        <f t="shared" si="22"/>
        <v>710</v>
      </c>
      <c r="M37" s="255">
        <f t="shared" si="23"/>
        <v>200000</v>
      </c>
      <c r="N37" s="248">
        <f t="shared" si="24"/>
        <v>1065</v>
      </c>
      <c r="O37" s="255">
        <f t="shared" si="25"/>
        <v>200000</v>
      </c>
      <c r="P37" s="248">
        <f t="shared" si="26"/>
        <v>1775</v>
      </c>
      <c r="Q37" s="255">
        <f t="shared" si="27"/>
        <v>200000</v>
      </c>
    </row>
    <row r="38" spans="1:17">
      <c r="A38" s="248"/>
      <c r="B38" s="248">
        <f t="shared" si="14"/>
        <v>17.7</v>
      </c>
      <c r="C38" s="255">
        <f t="shared" si="15"/>
        <v>100000</v>
      </c>
      <c r="D38" s="248">
        <v>35.4</v>
      </c>
      <c r="E38" s="255">
        <v>100000</v>
      </c>
      <c r="F38" s="248">
        <f t="shared" si="16"/>
        <v>70.8</v>
      </c>
      <c r="G38" s="255">
        <f t="shared" si="17"/>
        <v>100000</v>
      </c>
      <c r="H38" s="248">
        <f t="shared" si="18"/>
        <v>177</v>
      </c>
      <c r="I38" s="255">
        <f t="shared" si="19"/>
        <v>100000</v>
      </c>
      <c r="J38" s="248">
        <f t="shared" si="20"/>
        <v>354</v>
      </c>
      <c r="K38" s="255">
        <f t="shared" si="21"/>
        <v>100000</v>
      </c>
      <c r="L38" s="248">
        <f t="shared" si="22"/>
        <v>708</v>
      </c>
      <c r="M38" s="255">
        <f t="shared" si="23"/>
        <v>100000</v>
      </c>
      <c r="N38" s="248">
        <f t="shared" si="24"/>
        <v>1062</v>
      </c>
      <c r="O38" s="255">
        <f t="shared" si="25"/>
        <v>100000</v>
      </c>
      <c r="P38" s="248">
        <f t="shared" si="26"/>
        <v>1770</v>
      </c>
      <c r="Q38" s="255">
        <f t="shared" si="27"/>
        <v>100000</v>
      </c>
    </row>
    <row r="39" spans="1:17">
      <c r="A39" s="248"/>
      <c r="B39" s="248">
        <f t="shared" si="14"/>
        <v>17.649999999999999</v>
      </c>
      <c r="C39" s="255">
        <f t="shared" si="15"/>
        <v>200000</v>
      </c>
      <c r="D39" s="248">
        <v>35.299999999999997</v>
      </c>
      <c r="E39" s="255">
        <v>200000</v>
      </c>
      <c r="F39" s="248">
        <f t="shared" si="16"/>
        <v>70.599999999999994</v>
      </c>
      <c r="G39" s="255">
        <f t="shared" si="17"/>
        <v>200000</v>
      </c>
      <c r="H39" s="248">
        <f t="shared" si="18"/>
        <v>176.5</v>
      </c>
      <c r="I39" s="255">
        <f t="shared" si="19"/>
        <v>200000</v>
      </c>
      <c r="J39" s="248">
        <f t="shared" si="20"/>
        <v>353</v>
      </c>
      <c r="K39" s="255">
        <f t="shared" si="21"/>
        <v>200000</v>
      </c>
      <c r="L39" s="248">
        <f t="shared" si="22"/>
        <v>706</v>
      </c>
      <c r="M39" s="255">
        <f t="shared" si="23"/>
        <v>200000</v>
      </c>
      <c r="N39" s="248">
        <f t="shared" si="24"/>
        <v>1059</v>
      </c>
      <c r="O39" s="255">
        <f t="shared" si="25"/>
        <v>200000</v>
      </c>
      <c r="P39" s="248">
        <f t="shared" si="26"/>
        <v>1764.9999999999998</v>
      </c>
      <c r="Q39" s="255">
        <f t="shared" si="27"/>
        <v>200000</v>
      </c>
    </row>
    <row r="40" spans="1:17">
      <c r="A40" s="248"/>
      <c r="B40" s="248">
        <f t="shared" si="14"/>
        <v>17.600000000000001</v>
      </c>
      <c r="C40" s="255">
        <f t="shared" si="15"/>
        <v>200000</v>
      </c>
      <c r="D40" s="248">
        <v>35.200000000000003</v>
      </c>
      <c r="E40" s="255">
        <v>200000</v>
      </c>
      <c r="F40" s="248">
        <f t="shared" si="16"/>
        <v>70.400000000000006</v>
      </c>
      <c r="G40" s="255">
        <f t="shared" si="17"/>
        <v>200000</v>
      </c>
      <c r="H40" s="248">
        <f t="shared" si="18"/>
        <v>176</v>
      </c>
      <c r="I40" s="255">
        <f t="shared" si="19"/>
        <v>200000</v>
      </c>
      <c r="J40" s="248">
        <f t="shared" si="20"/>
        <v>352</v>
      </c>
      <c r="K40" s="255">
        <f t="shared" si="21"/>
        <v>200000</v>
      </c>
      <c r="L40" s="248">
        <f t="shared" si="22"/>
        <v>704</v>
      </c>
      <c r="M40" s="255">
        <f t="shared" si="23"/>
        <v>200000</v>
      </c>
      <c r="N40" s="248">
        <f t="shared" si="24"/>
        <v>1056</v>
      </c>
      <c r="O40" s="255">
        <f t="shared" si="25"/>
        <v>200000</v>
      </c>
      <c r="P40" s="248">
        <f t="shared" si="26"/>
        <v>1760.0000000000002</v>
      </c>
      <c r="Q40" s="255">
        <f t="shared" si="27"/>
        <v>200000</v>
      </c>
    </row>
    <row r="41" spans="1:17">
      <c r="A41" s="248"/>
      <c r="B41" s="248">
        <f t="shared" si="14"/>
        <v>17.5</v>
      </c>
      <c r="C41" s="255">
        <f t="shared" si="15"/>
        <v>100000</v>
      </c>
      <c r="D41" s="248">
        <v>35</v>
      </c>
      <c r="E41" s="255">
        <v>100000</v>
      </c>
      <c r="F41" s="248">
        <f t="shared" si="16"/>
        <v>70</v>
      </c>
      <c r="G41" s="255">
        <f t="shared" si="17"/>
        <v>100000</v>
      </c>
      <c r="H41" s="248">
        <f t="shared" si="18"/>
        <v>175</v>
      </c>
      <c r="I41" s="255">
        <f t="shared" si="19"/>
        <v>100000</v>
      </c>
      <c r="J41" s="248">
        <f t="shared" si="20"/>
        <v>350</v>
      </c>
      <c r="K41" s="255">
        <f t="shared" si="21"/>
        <v>100000</v>
      </c>
      <c r="L41" s="248">
        <f t="shared" si="22"/>
        <v>700</v>
      </c>
      <c r="M41" s="255">
        <f t="shared" si="23"/>
        <v>100000</v>
      </c>
      <c r="N41" s="248">
        <f t="shared" si="24"/>
        <v>1050</v>
      </c>
      <c r="O41" s="255">
        <f t="shared" si="25"/>
        <v>100000</v>
      </c>
      <c r="P41" s="248">
        <f t="shared" si="26"/>
        <v>1750</v>
      </c>
      <c r="Q41" s="255">
        <f t="shared" si="27"/>
        <v>100000</v>
      </c>
    </row>
    <row r="42" spans="1:17">
      <c r="A42" s="248"/>
      <c r="B42" s="248">
        <f t="shared" si="14"/>
        <v>17.450000000000006</v>
      </c>
      <c r="C42" s="255">
        <f t="shared" si="15"/>
        <v>100000</v>
      </c>
      <c r="D42" s="248">
        <v>34.900000000000013</v>
      </c>
      <c r="E42" s="255">
        <v>100000</v>
      </c>
      <c r="F42" s="248">
        <f t="shared" si="16"/>
        <v>69.800000000000026</v>
      </c>
      <c r="G42" s="255">
        <f t="shared" si="17"/>
        <v>100000</v>
      </c>
      <c r="H42" s="248">
        <f t="shared" si="18"/>
        <v>174.50000000000006</v>
      </c>
      <c r="I42" s="255">
        <f t="shared" si="19"/>
        <v>100000</v>
      </c>
      <c r="J42" s="248">
        <f t="shared" si="20"/>
        <v>349.00000000000011</v>
      </c>
      <c r="K42" s="255">
        <f t="shared" si="21"/>
        <v>100000</v>
      </c>
      <c r="L42" s="248">
        <f t="shared" si="22"/>
        <v>698.00000000000023</v>
      </c>
      <c r="M42" s="255">
        <f t="shared" si="23"/>
        <v>100000</v>
      </c>
      <c r="N42" s="248">
        <f t="shared" si="24"/>
        <v>1047.0000000000005</v>
      </c>
      <c r="O42" s="255">
        <f t="shared" si="25"/>
        <v>100000</v>
      </c>
      <c r="P42" s="248">
        <f t="shared" si="26"/>
        <v>1745.0000000000007</v>
      </c>
      <c r="Q42" s="255">
        <f t="shared" si="27"/>
        <v>100000</v>
      </c>
    </row>
    <row r="43" spans="1:17">
      <c r="A43" s="248"/>
      <c r="B43" s="248">
        <f t="shared" si="14"/>
        <v>17.350000000000001</v>
      </c>
      <c r="C43" s="255">
        <f t="shared" si="15"/>
        <v>100000</v>
      </c>
      <c r="D43" s="248">
        <v>34.700000000000003</v>
      </c>
      <c r="E43" s="255">
        <v>100000</v>
      </c>
      <c r="F43" s="248">
        <f t="shared" si="16"/>
        <v>69.400000000000006</v>
      </c>
      <c r="G43" s="255">
        <f t="shared" si="17"/>
        <v>100000</v>
      </c>
      <c r="H43" s="248">
        <f t="shared" si="18"/>
        <v>173.5</v>
      </c>
      <c r="I43" s="255">
        <f t="shared" si="19"/>
        <v>100000</v>
      </c>
      <c r="J43" s="248">
        <f t="shared" si="20"/>
        <v>347</v>
      </c>
      <c r="K43" s="255">
        <f t="shared" si="21"/>
        <v>100000</v>
      </c>
      <c r="L43" s="248">
        <f t="shared" si="22"/>
        <v>694</v>
      </c>
      <c r="M43" s="255">
        <f t="shared" si="23"/>
        <v>100000</v>
      </c>
      <c r="N43" s="248">
        <f t="shared" si="24"/>
        <v>1041</v>
      </c>
      <c r="O43" s="255">
        <f t="shared" si="25"/>
        <v>100000</v>
      </c>
      <c r="P43" s="248">
        <f t="shared" si="26"/>
        <v>1735.0000000000002</v>
      </c>
      <c r="Q43" s="255">
        <f t="shared" si="27"/>
        <v>100000</v>
      </c>
    </row>
    <row r="44" spans="1:17">
      <c r="A44" s="248"/>
      <c r="B44" s="248">
        <f t="shared" si="14"/>
        <v>17</v>
      </c>
      <c r="C44" s="255">
        <f t="shared" si="15"/>
        <v>40000</v>
      </c>
      <c r="D44" s="248">
        <v>34</v>
      </c>
      <c r="E44" s="255">
        <v>40000</v>
      </c>
      <c r="F44" s="248">
        <f t="shared" si="16"/>
        <v>68</v>
      </c>
      <c r="G44" s="255">
        <f t="shared" si="17"/>
        <v>40000</v>
      </c>
      <c r="H44" s="248">
        <f t="shared" si="18"/>
        <v>170</v>
      </c>
      <c r="I44" s="255">
        <f t="shared" si="19"/>
        <v>40000</v>
      </c>
      <c r="J44" s="248">
        <f t="shared" si="20"/>
        <v>340</v>
      </c>
      <c r="K44" s="255">
        <f t="shared" si="21"/>
        <v>40000</v>
      </c>
      <c r="L44" s="248">
        <f t="shared" si="22"/>
        <v>680</v>
      </c>
      <c r="M44" s="255">
        <f t="shared" si="23"/>
        <v>40000</v>
      </c>
      <c r="N44" s="248">
        <f t="shared" si="24"/>
        <v>1020</v>
      </c>
      <c r="O44" s="255">
        <f t="shared" si="25"/>
        <v>40000</v>
      </c>
      <c r="P44" s="248">
        <f t="shared" si="26"/>
        <v>1700</v>
      </c>
      <c r="Q44" s="255">
        <f t="shared" si="27"/>
        <v>40000</v>
      </c>
    </row>
    <row r="45" spans="1:17">
      <c r="A45" s="248"/>
      <c r="B45" s="248">
        <f t="shared" si="14"/>
        <v>16.850000000000001</v>
      </c>
      <c r="C45" s="255">
        <f t="shared" si="15"/>
        <v>100000</v>
      </c>
      <c r="D45" s="248">
        <v>33.700000000000003</v>
      </c>
      <c r="E45" s="255">
        <v>100000</v>
      </c>
      <c r="F45" s="248">
        <f t="shared" si="16"/>
        <v>67.400000000000006</v>
      </c>
      <c r="G45" s="255">
        <f t="shared" si="17"/>
        <v>100000</v>
      </c>
      <c r="H45" s="248">
        <f t="shared" si="18"/>
        <v>168.5</v>
      </c>
      <c r="I45" s="255">
        <f t="shared" si="19"/>
        <v>100000</v>
      </c>
      <c r="J45" s="248">
        <f t="shared" si="20"/>
        <v>337</v>
      </c>
      <c r="K45" s="255">
        <f t="shared" si="21"/>
        <v>100000</v>
      </c>
      <c r="L45" s="248">
        <f t="shared" si="22"/>
        <v>674</v>
      </c>
      <c r="M45" s="255">
        <f t="shared" si="23"/>
        <v>100000</v>
      </c>
      <c r="N45" s="248">
        <f t="shared" si="24"/>
        <v>1011.0000000000001</v>
      </c>
      <c r="O45" s="255">
        <f t="shared" si="25"/>
        <v>100000</v>
      </c>
      <c r="P45" s="248">
        <f t="shared" si="26"/>
        <v>1685.0000000000002</v>
      </c>
      <c r="Q45" s="255">
        <f t="shared" si="27"/>
        <v>100000</v>
      </c>
    </row>
    <row r="46" spans="1:17">
      <c r="A46" s="248"/>
      <c r="B46" s="248">
        <f t="shared" si="14"/>
        <v>16.7</v>
      </c>
      <c r="C46" s="255">
        <f t="shared" si="15"/>
        <v>200000</v>
      </c>
      <c r="D46" s="248">
        <v>33.4</v>
      </c>
      <c r="E46" s="255">
        <v>200000</v>
      </c>
      <c r="F46" s="248">
        <f t="shared" si="16"/>
        <v>66.8</v>
      </c>
      <c r="G46" s="255">
        <f t="shared" si="17"/>
        <v>200000</v>
      </c>
      <c r="H46" s="248">
        <f t="shared" si="18"/>
        <v>167</v>
      </c>
      <c r="I46" s="255">
        <f t="shared" si="19"/>
        <v>200000</v>
      </c>
      <c r="J46" s="248">
        <f t="shared" si="20"/>
        <v>334</v>
      </c>
      <c r="K46" s="255">
        <f t="shared" si="21"/>
        <v>200000</v>
      </c>
      <c r="L46" s="248">
        <f t="shared" si="22"/>
        <v>668</v>
      </c>
      <c r="M46" s="255">
        <f t="shared" si="23"/>
        <v>200000</v>
      </c>
      <c r="N46" s="248">
        <f t="shared" si="24"/>
        <v>1002</v>
      </c>
      <c r="O46" s="255">
        <f t="shared" si="25"/>
        <v>200000</v>
      </c>
      <c r="P46" s="248">
        <f t="shared" si="26"/>
        <v>1670</v>
      </c>
      <c r="Q46" s="255">
        <f t="shared" si="27"/>
        <v>200000</v>
      </c>
    </row>
    <row r="47" spans="1:17">
      <c r="A47" s="248"/>
      <c r="B47" s="248">
        <f t="shared" si="14"/>
        <v>16.5</v>
      </c>
      <c r="C47" s="255">
        <f t="shared" si="15"/>
        <v>36363.63636363636</v>
      </c>
      <c r="D47" s="248">
        <v>33</v>
      </c>
      <c r="E47" s="255">
        <v>36363.63636363636</v>
      </c>
      <c r="F47" s="248">
        <f t="shared" si="16"/>
        <v>66</v>
      </c>
      <c r="G47" s="255">
        <f t="shared" si="17"/>
        <v>36363.63636363636</v>
      </c>
      <c r="H47" s="248">
        <f t="shared" si="18"/>
        <v>165</v>
      </c>
      <c r="I47" s="255">
        <f t="shared" si="19"/>
        <v>36363.63636363636</v>
      </c>
      <c r="J47" s="248">
        <f t="shared" si="20"/>
        <v>330</v>
      </c>
      <c r="K47" s="255">
        <f t="shared" si="21"/>
        <v>36363.63636363636</v>
      </c>
      <c r="L47" s="248">
        <f t="shared" si="22"/>
        <v>660</v>
      </c>
      <c r="M47" s="255">
        <f t="shared" si="23"/>
        <v>36363.63636363636</v>
      </c>
      <c r="N47" s="248">
        <f t="shared" si="24"/>
        <v>990</v>
      </c>
      <c r="O47" s="255">
        <f t="shared" si="25"/>
        <v>36363.63636363636</v>
      </c>
      <c r="P47" s="248">
        <f t="shared" si="26"/>
        <v>1650</v>
      </c>
      <c r="Q47" s="255">
        <f t="shared" si="27"/>
        <v>36363.63636363636</v>
      </c>
    </row>
    <row r="48" spans="1:17">
      <c r="A48" s="248"/>
      <c r="B48" s="248">
        <f t="shared" si="14"/>
        <v>16.2</v>
      </c>
      <c r="C48" s="255">
        <f t="shared" si="15"/>
        <v>100000</v>
      </c>
      <c r="D48" s="248">
        <v>32.4</v>
      </c>
      <c r="E48" s="255">
        <v>100000</v>
      </c>
      <c r="F48" s="248">
        <f t="shared" si="16"/>
        <v>64.8</v>
      </c>
      <c r="G48" s="255">
        <f t="shared" si="17"/>
        <v>100000</v>
      </c>
      <c r="H48" s="248">
        <f t="shared" si="18"/>
        <v>162</v>
      </c>
      <c r="I48" s="255">
        <f t="shared" si="19"/>
        <v>100000</v>
      </c>
      <c r="J48" s="248">
        <f t="shared" si="20"/>
        <v>324</v>
      </c>
      <c r="K48" s="255">
        <f t="shared" si="21"/>
        <v>100000</v>
      </c>
      <c r="L48" s="248">
        <f t="shared" si="22"/>
        <v>648</v>
      </c>
      <c r="M48" s="255">
        <f t="shared" si="23"/>
        <v>100000</v>
      </c>
      <c r="N48" s="248">
        <f t="shared" si="24"/>
        <v>972</v>
      </c>
      <c r="O48" s="255">
        <f t="shared" si="25"/>
        <v>100000</v>
      </c>
      <c r="P48" s="248">
        <f t="shared" si="26"/>
        <v>1620</v>
      </c>
      <c r="Q48" s="255">
        <f t="shared" si="27"/>
        <v>100000</v>
      </c>
    </row>
    <row r="49" spans="1:17">
      <c r="A49" s="248"/>
      <c r="B49" s="248">
        <f t="shared" si="14"/>
        <v>16.149999999999999</v>
      </c>
      <c r="C49" s="255">
        <f t="shared" si="15"/>
        <v>100000</v>
      </c>
      <c r="D49" s="248">
        <v>32.299999999999997</v>
      </c>
      <c r="E49" s="255">
        <v>100000</v>
      </c>
      <c r="F49" s="248">
        <f t="shared" si="16"/>
        <v>64.599999999999994</v>
      </c>
      <c r="G49" s="255">
        <f t="shared" si="17"/>
        <v>100000</v>
      </c>
      <c r="H49" s="248">
        <f t="shared" si="18"/>
        <v>161.5</v>
      </c>
      <c r="I49" s="255">
        <f t="shared" si="19"/>
        <v>100000</v>
      </c>
      <c r="J49" s="248">
        <f t="shared" si="20"/>
        <v>323</v>
      </c>
      <c r="K49" s="255">
        <f t="shared" si="21"/>
        <v>100000</v>
      </c>
      <c r="L49" s="248">
        <f t="shared" si="22"/>
        <v>646</v>
      </c>
      <c r="M49" s="255">
        <f t="shared" si="23"/>
        <v>100000</v>
      </c>
      <c r="N49" s="248">
        <f t="shared" si="24"/>
        <v>968.99999999999989</v>
      </c>
      <c r="O49" s="255">
        <f t="shared" si="25"/>
        <v>100000</v>
      </c>
      <c r="P49" s="248">
        <f t="shared" si="26"/>
        <v>1614.9999999999998</v>
      </c>
      <c r="Q49" s="255">
        <f t="shared" si="27"/>
        <v>100000</v>
      </c>
    </row>
    <row r="50" spans="1:17">
      <c r="A50" s="248"/>
      <c r="B50" s="248">
        <f t="shared" si="14"/>
        <v>16.100000000000001</v>
      </c>
      <c r="C50" s="255">
        <f t="shared" si="15"/>
        <v>28571.428571428569</v>
      </c>
      <c r="D50" s="248">
        <v>32.200000000000003</v>
      </c>
      <c r="E50" s="255">
        <v>28571.428571428569</v>
      </c>
      <c r="F50" s="248">
        <f t="shared" si="16"/>
        <v>64.400000000000006</v>
      </c>
      <c r="G50" s="255">
        <f t="shared" si="17"/>
        <v>28571.428571428569</v>
      </c>
      <c r="H50" s="248">
        <f t="shared" si="18"/>
        <v>161</v>
      </c>
      <c r="I50" s="255">
        <f t="shared" si="19"/>
        <v>28571.428571428569</v>
      </c>
      <c r="J50" s="248">
        <f t="shared" si="20"/>
        <v>322</v>
      </c>
      <c r="K50" s="255">
        <f t="shared" si="21"/>
        <v>28571.428571428569</v>
      </c>
      <c r="L50" s="248">
        <f t="shared" si="22"/>
        <v>644</v>
      </c>
      <c r="M50" s="255">
        <f t="shared" si="23"/>
        <v>28571.428571428569</v>
      </c>
      <c r="N50" s="248">
        <f t="shared" si="24"/>
        <v>966.00000000000011</v>
      </c>
      <c r="O50" s="255">
        <f t="shared" si="25"/>
        <v>28571.428571428569</v>
      </c>
      <c r="P50" s="248">
        <f t="shared" si="26"/>
        <v>1610.0000000000002</v>
      </c>
      <c r="Q50" s="255">
        <f t="shared" si="27"/>
        <v>28571.428571428569</v>
      </c>
    </row>
    <row r="51" spans="1:17">
      <c r="A51" s="248"/>
      <c r="B51" s="248">
        <f t="shared" si="14"/>
        <v>16.05</v>
      </c>
      <c r="C51" s="255">
        <f t="shared" si="15"/>
        <v>100000</v>
      </c>
      <c r="D51" s="248">
        <v>32.1</v>
      </c>
      <c r="E51" s="255">
        <v>100000</v>
      </c>
      <c r="F51" s="248">
        <f t="shared" si="16"/>
        <v>64.2</v>
      </c>
      <c r="G51" s="255">
        <f t="shared" si="17"/>
        <v>100000</v>
      </c>
      <c r="H51" s="248">
        <f t="shared" si="18"/>
        <v>160.5</v>
      </c>
      <c r="I51" s="255">
        <f t="shared" si="19"/>
        <v>100000</v>
      </c>
      <c r="J51" s="248">
        <f t="shared" si="20"/>
        <v>321</v>
      </c>
      <c r="K51" s="255">
        <f t="shared" si="21"/>
        <v>100000</v>
      </c>
      <c r="L51" s="248">
        <f t="shared" si="22"/>
        <v>642</v>
      </c>
      <c r="M51" s="255">
        <f t="shared" si="23"/>
        <v>100000</v>
      </c>
      <c r="N51" s="248">
        <f t="shared" si="24"/>
        <v>963</v>
      </c>
      <c r="O51" s="255">
        <f t="shared" si="25"/>
        <v>100000</v>
      </c>
      <c r="P51" s="248">
        <f t="shared" si="26"/>
        <v>1605</v>
      </c>
      <c r="Q51" s="255">
        <f t="shared" si="27"/>
        <v>100000</v>
      </c>
    </row>
    <row r="52" spans="1:17">
      <c r="A52" s="248"/>
      <c r="B52" s="248">
        <f t="shared" si="14"/>
        <v>16</v>
      </c>
      <c r="C52" s="255">
        <f t="shared" si="15"/>
        <v>80000</v>
      </c>
      <c r="D52" s="248">
        <v>32</v>
      </c>
      <c r="E52" s="255">
        <v>80000</v>
      </c>
      <c r="F52" s="248">
        <f t="shared" si="16"/>
        <v>64</v>
      </c>
      <c r="G52" s="255">
        <f t="shared" si="17"/>
        <v>80000</v>
      </c>
      <c r="H52" s="248">
        <f t="shared" si="18"/>
        <v>160</v>
      </c>
      <c r="I52" s="255">
        <f t="shared" si="19"/>
        <v>80000</v>
      </c>
      <c r="J52" s="248">
        <f t="shared" si="20"/>
        <v>320</v>
      </c>
      <c r="K52" s="255">
        <f t="shared" si="21"/>
        <v>80000</v>
      </c>
      <c r="L52" s="248">
        <f t="shared" si="22"/>
        <v>640</v>
      </c>
      <c r="M52" s="255">
        <f t="shared" si="23"/>
        <v>80000</v>
      </c>
      <c r="N52" s="248">
        <f t="shared" si="24"/>
        <v>960</v>
      </c>
      <c r="O52" s="255">
        <f t="shared" si="25"/>
        <v>80000</v>
      </c>
      <c r="P52" s="248">
        <f t="shared" si="26"/>
        <v>1600</v>
      </c>
      <c r="Q52" s="255">
        <f t="shared" si="27"/>
        <v>80000</v>
      </c>
    </row>
    <row r="53" spans="1:17">
      <c r="A53" s="248"/>
      <c r="B53" s="248">
        <f t="shared" si="14"/>
        <v>15.6</v>
      </c>
      <c r="C53" s="255">
        <f t="shared" si="15"/>
        <v>200000</v>
      </c>
      <c r="D53" s="248">
        <v>31.2</v>
      </c>
      <c r="E53" s="255">
        <v>200000</v>
      </c>
      <c r="F53" s="248">
        <f t="shared" si="16"/>
        <v>62.4</v>
      </c>
      <c r="G53" s="255">
        <f t="shared" si="17"/>
        <v>200000</v>
      </c>
      <c r="H53" s="248">
        <f t="shared" si="18"/>
        <v>156</v>
      </c>
      <c r="I53" s="255">
        <f t="shared" si="19"/>
        <v>200000</v>
      </c>
      <c r="J53" s="248">
        <f t="shared" si="20"/>
        <v>312</v>
      </c>
      <c r="K53" s="255">
        <f t="shared" si="21"/>
        <v>200000</v>
      </c>
      <c r="L53" s="248">
        <f t="shared" si="22"/>
        <v>624</v>
      </c>
      <c r="M53" s="255">
        <f t="shared" si="23"/>
        <v>200000</v>
      </c>
      <c r="N53" s="248">
        <f t="shared" si="24"/>
        <v>936</v>
      </c>
      <c r="O53" s="255">
        <f t="shared" si="25"/>
        <v>200000</v>
      </c>
      <c r="P53" s="248">
        <f t="shared" si="26"/>
        <v>1560</v>
      </c>
      <c r="Q53" s="255">
        <f t="shared" si="27"/>
        <v>200000</v>
      </c>
    </row>
    <row r="54" spans="1:17">
      <c r="A54" s="248"/>
      <c r="B54" s="248">
        <f t="shared" si="14"/>
        <v>15.5</v>
      </c>
      <c r="C54" s="255">
        <f t="shared" si="15"/>
        <v>62500</v>
      </c>
      <c r="D54" s="248">
        <v>31</v>
      </c>
      <c r="E54" s="255">
        <v>62500</v>
      </c>
      <c r="F54" s="248">
        <f t="shared" si="16"/>
        <v>62</v>
      </c>
      <c r="G54" s="255">
        <f t="shared" si="17"/>
        <v>62500</v>
      </c>
      <c r="H54" s="248">
        <f t="shared" si="18"/>
        <v>155</v>
      </c>
      <c r="I54" s="255">
        <f t="shared" si="19"/>
        <v>62500</v>
      </c>
      <c r="J54" s="248">
        <f t="shared" si="20"/>
        <v>310</v>
      </c>
      <c r="K54" s="255">
        <f t="shared" si="21"/>
        <v>62500</v>
      </c>
      <c r="L54" s="248">
        <f t="shared" si="22"/>
        <v>620</v>
      </c>
      <c r="M54" s="255">
        <f t="shared" si="23"/>
        <v>62500</v>
      </c>
      <c r="N54" s="248">
        <f t="shared" si="24"/>
        <v>930</v>
      </c>
      <c r="O54" s="255">
        <f t="shared" si="25"/>
        <v>62500</v>
      </c>
      <c r="P54" s="248">
        <f t="shared" si="26"/>
        <v>1550</v>
      </c>
      <c r="Q54" s="255">
        <f t="shared" si="27"/>
        <v>62500</v>
      </c>
    </row>
    <row r="55" spans="1:17">
      <c r="A55" s="248"/>
      <c r="B55" s="248">
        <f t="shared" si="14"/>
        <v>15.45</v>
      </c>
      <c r="C55" s="255">
        <f t="shared" si="15"/>
        <v>200000</v>
      </c>
      <c r="D55" s="248">
        <v>30.9</v>
      </c>
      <c r="E55" s="255">
        <v>200000</v>
      </c>
      <c r="F55" s="248">
        <f t="shared" si="16"/>
        <v>61.8</v>
      </c>
      <c r="G55" s="255">
        <f t="shared" si="17"/>
        <v>200000</v>
      </c>
      <c r="H55" s="248">
        <f t="shared" si="18"/>
        <v>154.5</v>
      </c>
      <c r="I55" s="255">
        <f t="shared" si="19"/>
        <v>200000</v>
      </c>
      <c r="J55" s="248">
        <f t="shared" si="20"/>
        <v>309</v>
      </c>
      <c r="K55" s="255">
        <f t="shared" si="21"/>
        <v>200000</v>
      </c>
      <c r="L55" s="248">
        <f t="shared" si="22"/>
        <v>618</v>
      </c>
      <c r="M55" s="255">
        <f t="shared" si="23"/>
        <v>200000</v>
      </c>
      <c r="N55" s="248">
        <f t="shared" si="24"/>
        <v>927</v>
      </c>
      <c r="O55" s="255">
        <f t="shared" si="25"/>
        <v>200000</v>
      </c>
      <c r="P55" s="248">
        <f t="shared" si="26"/>
        <v>1545</v>
      </c>
      <c r="Q55" s="255">
        <f t="shared" si="27"/>
        <v>200000</v>
      </c>
    </row>
    <row r="56" spans="1:17">
      <c r="A56" s="248"/>
      <c r="B56" s="248">
        <f t="shared" si="14"/>
        <v>15.35</v>
      </c>
      <c r="C56" s="255">
        <f t="shared" si="15"/>
        <v>400000</v>
      </c>
      <c r="D56" s="248">
        <v>30.7</v>
      </c>
      <c r="E56" s="255">
        <v>400000</v>
      </c>
      <c r="F56" s="248">
        <f t="shared" si="16"/>
        <v>61.4</v>
      </c>
      <c r="G56" s="255">
        <f t="shared" si="17"/>
        <v>400000</v>
      </c>
      <c r="H56" s="248">
        <f t="shared" si="18"/>
        <v>153.5</v>
      </c>
      <c r="I56" s="255">
        <f t="shared" si="19"/>
        <v>400000</v>
      </c>
      <c r="J56" s="248">
        <f t="shared" si="20"/>
        <v>307</v>
      </c>
      <c r="K56" s="255">
        <f t="shared" si="21"/>
        <v>400000</v>
      </c>
      <c r="L56" s="248">
        <f t="shared" si="22"/>
        <v>614</v>
      </c>
      <c r="M56" s="255">
        <f t="shared" si="23"/>
        <v>400000</v>
      </c>
      <c r="N56" s="248">
        <f t="shared" si="24"/>
        <v>921</v>
      </c>
      <c r="O56" s="255">
        <f t="shared" si="25"/>
        <v>400000</v>
      </c>
      <c r="P56" s="248">
        <f t="shared" si="26"/>
        <v>1535</v>
      </c>
      <c r="Q56" s="255">
        <f t="shared" si="27"/>
        <v>400000</v>
      </c>
    </row>
    <row r="57" spans="1:17">
      <c r="A57" s="248"/>
      <c r="B57" s="248">
        <f t="shared" si="14"/>
        <v>15.1</v>
      </c>
      <c r="C57" s="255">
        <f t="shared" si="15"/>
        <v>74074.074074074073</v>
      </c>
      <c r="D57" s="248">
        <v>30.2</v>
      </c>
      <c r="E57" s="255">
        <v>74074.074074074073</v>
      </c>
      <c r="F57" s="248">
        <f t="shared" si="16"/>
        <v>60.4</v>
      </c>
      <c r="G57" s="255">
        <f t="shared" si="17"/>
        <v>74074.074074074073</v>
      </c>
      <c r="H57" s="248">
        <f t="shared" si="18"/>
        <v>151</v>
      </c>
      <c r="I57" s="255">
        <f t="shared" si="19"/>
        <v>74074.074074074073</v>
      </c>
      <c r="J57" s="248">
        <f t="shared" si="20"/>
        <v>302</v>
      </c>
      <c r="K57" s="255">
        <f t="shared" si="21"/>
        <v>74074.074074074073</v>
      </c>
      <c r="L57" s="248">
        <f t="shared" si="22"/>
        <v>604</v>
      </c>
      <c r="M57" s="255">
        <f t="shared" si="23"/>
        <v>74074.074074074073</v>
      </c>
      <c r="N57" s="248">
        <f t="shared" si="24"/>
        <v>906</v>
      </c>
      <c r="O57" s="255">
        <f t="shared" si="25"/>
        <v>74074.074074074073</v>
      </c>
      <c r="P57" s="248">
        <f t="shared" si="26"/>
        <v>1510</v>
      </c>
      <c r="Q57" s="255">
        <f t="shared" si="27"/>
        <v>74074.074074074073</v>
      </c>
    </row>
    <row r="58" spans="1:17">
      <c r="A58" s="248"/>
      <c r="B58" s="248">
        <f t="shared" si="14"/>
        <v>15.05</v>
      </c>
      <c r="C58" s="255">
        <f t="shared" si="15"/>
        <v>35714.285714285717</v>
      </c>
      <c r="D58" s="248">
        <v>30.1</v>
      </c>
      <c r="E58" s="255">
        <v>35714.285714285717</v>
      </c>
      <c r="F58" s="248">
        <f t="shared" si="16"/>
        <v>60.2</v>
      </c>
      <c r="G58" s="255">
        <f t="shared" si="17"/>
        <v>35714.285714285717</v>
      </c>
      <c r="H58" s="248">
        <f t="shared" si="18"/>
        <v>150.5</v>
      </c>
      <c r="I58" s="255">
        <f t="shared" si="19"/>
        <v>35714.285714285717</v>
      </c>
      <c r="J58" s="248">
        <f t="shared" si="20"/>
        <v>301</v>
      </c>
      <c r="K58" s="255">
        <f t="shared" si="21"/>
        <v>35714.285714285717</v>
      </c>
      <c r="L58" s="248">
        <f t="shared" si="22"/>
        <v>602</v>
      </c>
      <c r="M58" s="255">
        <f t="shared" si="23"/>
        <v>35714.285714285717</v>
      </c>
      <c r="N58" s="248">
        <f t="shared" si="24"/>
        <v>903</v>
      </c>
      <c r="O58" s="255">
        <f t="shared" si="25"/>
        <v>35714.285714285717</v>
      </c>
      <c r="P58" s="248">
        <f t="shared" si="26"/>
        <v>1505</v>
      </c>
      <c r="Q58" s="255">
        <f t="shared" si="27"/>
        <v>35714.285714285717</v>
      </c>
    </row>
    <row r="59" spans="1:17">
      <c r="A59" s="248"/>
      <c r="B59" s="248">
        <f t="shared" si="14"/>
        <v>15</v>
      </c>
      <c r="C59" s="255">
        <f t="shared" si="15"/>
        <v>488.99755501222501</v>
      </c>
      <c r="D59" s="248">
        <v>30</v>
      </c>
      <c r="E59" s="255">
        <v>488.99755501222501</v>
      </c>
      <c r="F59" s="248">
        <f t="shared" si="16"/>
        <v>60</v>
      </c>
      <c r="G59" s="255">
        <f t="shared" si="17"/>
        <v>488.99755501222501</v>
      </c>
      <c r="H59" s="248">
        <f t="shared" si="18"/>
        <v>150</v>
      </c>
      <c r="I59" s="255">
        <f t="shared" si="19"/>
        <v>488.99755501222501</v>
      </c>
      <c r="J59" s="248">
        <f t="shared" si="20"/>
        <v>300</v>
      </c>
      <c r="K59" s="255">
        <f t="shared" si="21"/>
        <v>488.99755501222501</v>
      </c>
      <c r="L59" s="248">
        <f t="shared" si="22"/>
        <v>600</v>
      </c>
      <c r="M59" s="255">
        <f t="shared" si="23"/>
        <v>488.99755501222501</v>
      </c>
      <c r="N59" s="248">
        <f t="shared" si="24"/>
        <v>900</v>
      </c>
      <c r="O59" s="255">
        <f t="shared" si="25"/>
        <v>488.99755501222501</v>
      </c>
      <c r="P59" s="248">
        <f t="shared" si="26"/>
        <v>1500</v>
      </c>
      <c r="Q59" s="255">
        <f t="shared" si="27"/>
        <v>488.99755501222501</v>
      </c>
    </row>
    <row r="60" spans="1:17">
      <c r="A60" s="248"/>
      <c r="B60" s="248">
        <f t="shared" si="14"/>
        <v>14.75</v>
      </c>
      <c r="C60" s="255">
        <f t="shared" si="15"/>
        <v>200000</v>
      </c>
      <c r="D60" s="248">
        <v>29.5</v>
      </c>
      <c r="E60" s="255">
        <v>200000</v>
      </c>
      <c r="F60" s="248">
        <f t="shared" si="16"/>
        <v>59</v>
      </c>
      <c r="G60" s="255">
        <f t="shared" si="17"/>
        <v>200000</v>
      </c>
      <c r="H60" s="248">
        <f t="shared" si="18"/>
        <v>147.5</v>
      </c>
      <c r="I60" s="255">
        <f t="shared" si="19"/>
        <v>200000</v>
      </c>
      <c r="J60" s="248">
        <f t="shared" si="20"/>
        <v>295</v>
      </c>
      <c r="K60" s="255">
        <f t="shared" si="21"/>
        <v>200000</v>
      </c>
      <c r="L60" s="248">
        <f t="shared" si="22"/>
        <v>590</v>
      </c>
      <c r="M60" s="255">
        <f t="shared" si="23"/>
        <v>200000</v>
      </c>
      <c r="N60" s="248">
        <f t="shared" si="24"/>
        <v>885</v>
      </c>
      <c r="O60" s="255">
        <f t="shared" si="25"/>
        <v>200000</v>
      </c>
      <c r="P60" s="248">
        <f t="shared" si="26"/>
        <v>1475</v>
      </c>
      <c r="Q60" s="255">
        <f t="shared" si="27"/>
        <v>200000</v>
      </c>
    </row>
    <row r="61" spans="1:17">
      <c r="A61" s="248"/>
      <c r="B61" s="248">
        <f t="shared" si="14"/>
        <v>14.65</v>
      </c>
      <c r="C61" s="255">
        <f t="shared" si="15"/>
        <v>200000</v>
      </c>
      <c r="D61" s="248">
        <v>29.3</v>
      </c>
      <c r="E61" s="255">
        <v>200000</v>
      </c>
      <c r="F61" s="248">
        <f t="shared" si="16"/>
        <v>58.6</v>
      </c>
      <c r="G61" s="255">
        <f t="shared" si="17"/>
        <v>200000</v>
      </c>
      <c r="H61" s="248">
        <f t="shared" si="18"/>
        <v>146.5</v>
      </c>
      <c r="I61" s="255">
        <f t="shared" si="19"/>
        <v>200000</v>
      </c>
      <c r="J61" s="248">
        <f t="shared" si="20"/>
        <v>293</v>
      </c>
      <c r="K61" s="255">
        <f t="shared" si="21"/>
        <v>200000</v>
      </c>
      <c r="L61" s="248">
        <f t="shared" si="22"/>
        <v>586</v>
      </c>
      <c r="M61" s="255">
        <f t="shared" si="23"/>
        <v>200000</v>
      </c>
      <c r="N61" s="248">
        <f t="shared" si="24"/>
        <v>879</v>
      </c>
      <c r="O61" s="255">
        <f t="shared" si="25"/>
        <v>200000</v>
      </c>
      <c r="P61" s="248">
        <f t="shared" si="26"/>
        <v>1465</v>
      </c>
      <c r="Q61" s="255">
        <f t="shared" si="27"/>
        <v>200000</v>
      </c>
    </row>
    <row r="62" spans="1:17">
      <c r="A62" s="248"/>
      <c r="B62" s="248">
        <f t="shared" si="14"/>
        <v>14.55</v>
      </c>
      <c r="C62" s="255">
        <f t="shared" si="15"/>
        <v>40000</v>
      </c>
      <c r="D62" s="248">
        <v>29.1</v>
      </c>
      <c r="E62" s="255">
        <v>40000</v>
      </c>
      <c r="F62" s="248">
        <f t="shared" si="16"/>
        <v>58.2</v>
      </c>
      <c r="G62" s="255">
        <f t="shared" si="17"/>
        <v>40000</v>
      </c>
      <c r="H62" s="248">
        <f t="shared" si="18"/>
        <v>145.5</v>
      </c>
      <c r="I62" s="255">
        <f t="shared" si="19"/>
        <v>40000</v>
      </c>
      <c r="J62" s="248">
        <f t="shared" si="20"/>
        <v>291</v>
      </c>
      <c r="K62" s="255">
        <f t="shared" si="21"/>
        <v>40000</v>
      </c>
      <c r="L62" s="248">
        <f t="shared" si="22"/>
        <v>582</v>
      </c>
      <c r="M62" s="255">
        <f t="shared" si="23"/>
        <v>40000</v>
      </c>
      <c r="N62" s="248">
        <f t="shared" si="24"/>
        <v>873</v>
      </c>
      <c r="O62" s="255">
        <f t="shared" si="25"/>
        <v>40000</v>
      </c>
      <c r="P62" s="248">
        <f t="shared" si="26"/>
        <v>1455</v>
      </c>
      <c r="Q62" s="255">
        <f t="shared" si="27"/>
        <v>40000</v>
      </c>
    </row>
    <row r="63" spans="1:17">
      <c r="A63" s="248"/>
      <c r="B63" s="248">
        <f t="shared" si="14"/>
        <v>14.5</v>
      </c>
      <c r="C63" s="255">
        <f t="shared" si="15"/>
        <v>26666.666666666672</v>
      </c>
      <c r="D63" s="248">
        <v>29</v>
      </c>
      <c r="E63" s="255">
        <v>26666.666666666672</v>
      </c>
      <c r="F63" s="248">
        <f t="shared" si="16"/>
        <v>58</v>
      </c>
      <c r="G63" s="255">
        <f t="shared" si="17"/>
        <v>26666.666666666672</v>
      </c>
      <c r="H63" s="248">
        <f t="shared" si="18"/>
        <v>145</v>
      </c>
      <c r="I63" s="255">
        <f t="shared" si="19"/>
        <v>26666.666666666672</v>
      </c>
      <c r="J63" s="248">
        <f t="shared" si="20"/>
        <v>290</v>
      </c>
      <c r="K63" s="255">
        <f t="shared" si="21"/>
        <v>26666.666666666672</v>
      </c>
      <c r="L63" s="248">
        <f t="shared" si="22"/>
        <v>580</v>
      </c>
      <c r="M63" s="255">
        <f t="shared" si="23"/>
        <v>26666.666666666672</v>
      </c>
      <c r="N63" s="248">
        <f t="shared" si="24"/>
        <v>870</v>
      </c>
      <c r="O63" s="255">
        <f t="shared" si="25"/>
        <v>26666.666666666672</v>
      </c>
      <c r="P63" s="248">
        <f t="shared" si="26"/>
        <v>1450</v>
      </c>
      <c r="Q63" s="255">
        <f t="shared" si="27"/>
        <v>26666.666666666672</v>
      </c>
    </row>
    <row r="64" spans="1:17">
      <c r="A64" s="248"/>
      <c r="B64" s="248">
        <f t="shared" si="14"/>
        <v>14</v>
      </c>
      <c r="C64" s="255">
        <f t="shared" si="15"/>
        <v>18691.58878504673</v>
      </c>
      <c r="D64" s="248">
        <v>28</v>
      </c>
      <c r="E64" s="255">
        <v>18691.58878504673</v>
      </c>
      <c r="F64" s="248">
        <f t="shared" si="16"/>
        <v>56</v>
      </c>
      <c r="G64" s="255">
        <f t="shared" si="17"/>
        <v>18691.58878504673</v>
      </c>
      <c r="H64" s="248">
        <f t="shared" si="18"/>
        <v>140</v>
      </c>
      <c r="I64" s="255">
        <f t="shared" si="19"/>
        <v>18691.58878504673</v>
      </c>
      <c r="J64" s="248">
        <f t="shared" si="20"/>
        <v>280</v>
      </c>
      <c r="K64" s="255">
        <f t="shared" si="21"/>
        <v>18691.58878504673</v>
      </c>
      <c r="L64" s="248">
        <f t="shared" si="22"/>
        <v>560</v>
      </c>
      <c r="M64" s="255">
        <f t="shared" si="23"/>
        <v>18691.58878504673</v>
      </c>
      <c r="N64" s="248">
        <f t="shared" si="24"/>
        <v>840</v>
      </c>
      <c r="O64" s="255">
        <f t="shared" si="25"/>
        <v>18691.58878504673</v>
      </c>
      <c r="P64" s="248">
        <f t="shared" si="26"/>
        <v>1400</v>
      </c>
      <c r="Q64" s="255">
        <f t="shared" si="27"/>
        <v>18691.58878504673</v>
      </c>
    </row>
    <row r="65" spans="1:17">
      <c r="A65" s="248"/>
      <c r="B65" s="248">
        <f t="shared" si="14"/>
        <v>13.85</v>
      </c>
      <c r="C65" s="255">
        <f t="shared" si="15"/>
        <v>200000</v>
      </c>
      <c r="D65" s="248">
        <v>27.7</v>
      </c>
      <c r="E65" s="255">
        <v>200000</v>
      </c>
      <c r="F65" s="248">
        <f t="shared" si="16"/>
        <v>55.4</v>
      </c>
      <c r="G65" s="255">
        <f t="shared" si="17"/>
        <v>200000</v>
      </c>
      <c r="H65" s="248">
        <f t="shared" si="18"/>
        <v>138.5</v>
      </c>
      <c r="I65" s="255">
        <f t="shared" si="19"/>
        <v>200000</v>
      </c>
      <c r="J65" s="248">
        <f t="shared" si="20"/>
        <v>277</v>
      </c>
      <c r="K65" s="255">
        <f t="shared" si="21"/>
        <v>200000</v>
      </c>
      <c r="L65" s="248">
        <f t="shared" si="22"/>
        <v>554</v>
      </c>
      <c r="M65" s="255">
        <f t="shared" si="23"/>
        <v>200000</v>
      </c>
      <c r="N65" s="248">
        <f t="shared" si="24"/>
        <v>831</v>
      </c>
      <c r="O65" s="255">
        <f t="shared" si="25"/>
        <v>200000</v>
      </c>
      <c r="P65" s="248">
        <f t="shared" si="26"/>
        <v>1385</v>
      </c>
      <c r="Q65" s="255">
        <f t="shared" si="27"/>
        <v>200000</v>
      </c>
    </row>
    <row r="66" spans="1:17">
      <c r="A66" s="248"/>
      <c r="B66" s="248">
        <f t="shared" si="14"/>
        <v>13.7</v>
      </c>
      <c r="C66" s="255">
        <f t="shared" si="15"/>
        <v>200000</v>
      </c>
      <c r="D66" s="248">
        <v>27.4</v>
      </c>
      <c r="E66" s="255">
        <v>200000</v>
      </c>
      <c r="F66" s="248">
        <f t="shared" si="16"/>
        <v>54.8</v>
      </c>
      <c r="G66" s="255">
        <f t="shared" si="17"/>
        <v>200000</v>
      </c>
      <c r="H66" s="248">
        <f t="shared" si="18"/>
        <v>137</v>
      </c>
      <c r="I66" s="255">
        <f t="shared" si="19"/>
        <v>200000</v>
      </c>
      <c r="J66" s="248">
        <f t="shared" si="20"/>
        <v>274</v>
      </c>
      <c r="K66" s="255">
        <f t="shared" si="21"/>
        <v>200000</v>
      </c>
      <c r="L66" s="248">
        <f t="shared" si="22"/>
        <v>548</v>
      </c>
      <c r="M66" s="255">
        <f t="shared" si="23"/>
        <v>200000</v>
      </c>
      <c r="N66" s="248">
        <f t="shared" si="24"/>
        <v>822</v>
      </c>
      <c r="O66" s="255">
        <f t="shared" si="25"/>
        <v>200000</v>
      </c>
      <c r="P66" s="248">
        <f t="shared" si="26"/>
        <v>1370</v>
      </c>
      <c r="Q66" s="255">
        <f t="shared" si="27"/>
        <v>200000</v>
      </c>
    </row>
    <row r="67" spans="1:17">
      <c r="A67" s="248"/>
      <c r="B67" s="248">
        <f t="shared" si="14"/>
        <v>13.65</v>
      </c>
      <c r="C67" s="255">
        <f t="shared" si="15"/>
        <v>400000</v>
      </c>
      <c r="D67" s="248">
        <v>27.3</v>
      </c>
      <c r="E67" s="255">
        <v>400000</v>
      </c>
      <c r="F67" s="248">
        <f t="shared" si="16"/>
        <v>54.6</v>
      </c>
      <c r="G67" s="255">
        <f t="shared" si="17"/>
        <v>400000</v>
      </c>
      <c r="H67" s="248">
        <f t="shared" si="18"/>
        <v>136.5</v>
      </c>
      <c r="I67" s="255">
        <f t="shared" si="19"/>
        <v>400000</v>
      </c>
      <c r="J67" s="248">
        <f t="shared" si="20"/>
        <v>273</v>
      </c>
      <c r="K67" s="255">
        <f t="shared" si="21"/>
        <v>400000</v>
      </c>
      <c r="L67" s="248">
        <f t="shared" si="22"/>
        <v>546</v>
      </c>
      <c r="M67" s="255">
        <f t="shared" si="23"/>
        <v>400000</v>
      </c>
      <c r="N67" s="248">
        <f t="shared" si="24"/>
        <v>819</v>
      </c>
      <c r="O67" s="255">
        <f t="shared" si="25"/>
        <v>400000</v>
      </c>
      <c r="P67" s="248">
        <f t="shared" si="26"/>
        <v>1365</v>
      </c>
      <c r="Q67" s="255">
        <f t="shared" si="27"/>
        <v>400000</v>
      </c>
    </row>
    <row r="68" spans="1:17">
      <c r="A68" s="248"/>
      <c r="B68" s="248">
        <f t="shared" ref="B68:B99" si="28">$D68*B$1</f>
        <v>13.6</v>
      </c>
      <c r="C68" s="255">
        <f t="shared" ref="C68:C99" si="29">$E68</f>
        <v>71428.571428571435</v>
      </c>
      <c r="D68" s="248">
        <v>27.2</v>
      </c>
      <c r="E68" s="255">
        <v>71428.571428571435</v>
      </c>
      <c r="F68" s="248">
        <f t="shared" ref="F68:F99" si="30">$D68*F$1</f>
        <v>54.4</v>
      </c>
      <c r="G68" s="255">
        <f t="shared" ref="G68:G99" si="31">$E68</f>
        <v>71428.571428571435</v>
      </c>
      <c r="H68" s="248">
        <f t="shared" ref="H68:H99" si="32">$D68*H$1</f>
        <v>136</v>
      </c>
      <c r="I68" s="255">
        <f t="shared" ref="I68:I99" si="33">$E68</f>
        <v>71428.571428571435</v>
      </c>
      <c r="J68" s="248">
        <f t="shared" ref="J68:J99" si="34">$D68*J$1</f>
        <v>272</v>
      </c>
      <c r="K68" s="255">
        <f t="shared" ref="K68:K99" si="35">$E68</f>
        <v>71428.571428571435</v>
      </c>
      <c r="L68" s="248">
        <f t="shared" ref="L68:L99" si="36">$D68*L$1</f>
        <v>544</v>
      </c>
      <c r="M68" s="255">
        <f t="shared" ref="M68:M99" si="37">$E68</f>
        <v>71428.571428571435</v>
      </c>
      <c r="N68" s="248">
        <f t="shared" ref="N68:N99" si="38">$D68*N$1</f>
        <v>816</v>
      </c>
      <c r="O68" s="255">
        <f t="shared" ref="O68:O99" si="39">$E68</f>
        <v>71428.571428571435</v>
      </c>
      <c r="P68" s="248">
        <f t="shared" ref="P68:P99" si="40">$D68*P$1</f>
        <v>1360</v>
      </c>
      <c r="Q68" s="255">
        <f t="shared" ref="Q68:Q99" si="41">$E68</f>
        <v>71428.571428571435</v>
      </c>
    </row>
    <row r="69" spans="1:17">
      <c r="A69" s="248"/>
      <c r="B69" s="248">
        <f t="shared" si="28"/>
        <v>13.55</v>
      </c>
      <c r="C69" s="255">
        <f t="shared" si="29"/>
        <v>95238.095238095237</v>
      </c>
      <c r="D69" s="248">
        <v>27.1</v>
      </c>
      <c r="E69" s="255">
        <v>95238.095238095237</v>
      </c>
      <c r="F69" s="248">
        <f t="shared" si="30"/>
        <v>54.2</v>
      </c>
      <c r="G69" s="255">
        <f t="shared" si="31"/>
        <v>95238.095238095237</v>
      </c>
      <c r="H69" s="248">
        <f t="shared" si="32"/>
        <v>135.5</v>
      </c>
      <c r="I69" s="255">
        <f t="shared" si="33"/>
        <v>95238.095238095237</v>
      </c>
      <c r="J69" s="248">
        <f t="shared" si="34"/>
        <v>271</v>
      </c>
      <c r="K69" s="255">
        <f t="shared" si="35"/>
        <v>95238.095238095237</v>
      </c>
      <c r="L69" s="248">
        <f t="shared" si="36"/>
        <v>542</v>
      </c>
      <c r="M69" s="255">
        <f t="shared" si="37"/>
        <v>95238.095238095237</v>
      </c>
      <c r="N69" s="248">
        <f t="shared" si="38"/>
        <v>813</v>
      </c>
      <c r="O69" s="255">
        <f t="shared" si="39"/>
        <v>95238.095238095237</v>
      </c>
      <c r="P69" s="248">
        <f t="shared" si="40"/>
        <v>1355</v>
      </c>
      <c r="Q69" s="255">
        <f t="shared" si="41"/>
        <v>95238.095238095237</v>
      </c>
    </row>
    <row r="70" spans="1:17">
      <c r="A70" s="248"/>
      <c r="B70" s="248">
        <f t="shared" si="28"/>
        <v>13.5</v>
      </c>
      <c r="C70" s="255">
        <f t="shared" si="29"/>
        <v>12500</v>
      </c>
      <c r="D70" s="248">
        <v>27</v>
      </c>
      <c r="E70" s="255">
        <v>12500</v>
      </c>
      <c r="F70" s="248">
        <f t="shared" si="30"/>
        <v>54</v>
      </c>
      <c r="G70" s="255">
        <f t="shared" si="31"/>
        <v>12500</v>
      </c>
      <c r="H70" s="248">
        <f t="shared" si="32"/>
        <v>135</v>
      </c>
      <c r="I70" s="255">
        <f t="shared" si="33"/>
        <v>12500</v>
      </c>
      <c r="J70" s="248">
        <f t="shared" si="34"/>
        <v>270</v>
      </c>
      <c r="K70" s="255">
        <f t="shared" si="35"/>
        <v>12500</v>
      </c>
      <c r="L70" s="248">
        <f t="shared" si="36"/>
        <v>540</v>
      </c>
      <c r="M70" s="255">
        <f t="shared" si="37"/>
        <v>12500</v>
      </c>
      <c r="N70" s="248">
        <f t="shared" si="38"/>
        <v>810</v>
      </c>
      <c r="O70" s="255">
        <f t="shared" si="39"/>
        <v>12500</v>
      </c>
      <c r="P70" s="248">
        <f t="shared" si="40"/>
        <v>1350</v>
      </c>
      <c r="Q70" s="255">
        <f t="shared" si="41"/>
        <v>12500</v>
      </c>
    </row>
    <row r="71" spans="1:17">
      <c r="A71" s="248"/>
      <c r="B71" s="248">
        <f t="shared" si="28"/>
        <v>13.35</v>
      </c>
      <c r="C71" s="255">
        <f t="shared" si="29"/>
        <v>20000</v>
      </c>
      <c r="D71" s="248">
        <v>26.7</v>
      </c>
      <c r="E71" s="255">
        <v>20000</v>
      </c>
      <c r="F71" s="248">
        <f t="shared" si="30"/>
        <v>53.4</v>
      </c>
      <c r="G71" s="255">
        <f t="shared" si="31"/>
        <v>20000</v>
      </c>
      <c r="H71" s="248">
        <f t="shared" si="32"/>
        <v>133.5</v>
      </c>
      <c r="I71" s="255">
        <f t="shared" si="33"/>
        <v>20000</v>
      </c>
      <c r="J71" s="248">
        <f t="shared" si="34"/>
        <v>267</v>
      </c>
      <c r="K71" s="255">
        <f t="shared" si="35"/>
        <v>20000</v>
      </c>
      <c r="L71" s="248">
        <f t="shared" si="36"/>
        <v>534</v>
      </c>
      <c r="M71" s="255">
        <f t="shared" si="37"/>
        <v>20000</v>
      </c>
      <c r="N71" s="248">
        <f t="shared" si="38"/>
        <v>801</v>
      </c>
      <c r="O71" s="255">
        <f t="shared" si="39"/>
        <v>20000</v>
      </c>
      <c r="P71" s="248">
        <f t="shared" si="40"/>
        <v>1335</v>
      </c>
      <c r="Q71" s="255">
        <f t="shared" si="41"/>
        <v>20000</v>
      </c>
    </row>
    <row r="72" spans="1:17">
      <c r="A72" s="248"/>
      <c r="B72" s="248">
        <f t="shared" si="28"/>
        <v>13.1</v>
      </c>
      <c r="C72" s="255">
        <f t="shared" si="29"/>
        <v>100000</v>
      </c>
      <c r="D72" s="248">
        <v>26.2</v>
      </c>
      <c r="E72" s="255">
        <v>100000</v>
      </c>
      <c r="F72" s="248">
        <f t="shared" si="30"/>
        <v>52.4</v>
      </c>
      <c r="G72" s="255">
        <f t="shared" si="31"/>
        <v>100000</v>
      </c>
      <c r="H72" s="248">
        <f t="shared" si="32"/>
        <v>131</v>
      </c>
      <c r="I72" s="255">
        <f t="shared" si="33"/>
        <v>100000</v>
      </c>
      <c r="J72" s="248">
        <f t="shared" si="34"/>
        <v>262</v>
      </c>
      <c r="K72" s="255">
        <f t="shared" si="35"/>
        <v>100000</v>
      </c>
      <c r="L72" s="248">
        <f t="shared" si="36"/>
        <v>524</v>
      </c>
      <c r="M72" s="255">
        <f t="shared" si="37"/>
        <v>100000</v>
      </c>
      <c r="N72" s="248">
        <f t="shared" si="38"/>
        <v>786</v>
      </c>
      <c r="O72" s="255">
        <f t="shared" si="39"/>
        <v>100000</v>
      </c>
      <c r="P72" s="248">
        <f t="shared" si="40"/>
        <v>1310</v>
      </c>
      <c r="Q72" s="255">
        <f t="shared" si="41"/>
        <v>100000</v>
      </c>
    </row>
    <row r="73" spans="1:17">
      <c r="A73" s="248"/>
      <c r="B73" s="248">
        <f t="shared" si="28"/>
        <v>12.75</v>
      </c>
      <c r="C73" s="255">
        <f t="shared" si="29"/>
        <v>36363.63636363636</v>
      </c>
      <c r="D73" s="248">
        <v>25.5</v>
      </c>
      <c r="E73" s="255">
        <v>36363.63636363636</v>
      </c>
      <c r="F73" s="248">
        <f t="shared" si="30"/>
        <v>51</v>
      </c>
      <c r="G73" s="255">
        <f t="shared" si="31"/>
        <v>36363.63636363636</v>
      </c>
      <c r="H73" s="248">
        <f t="shared" si="32"/>
        <v>127.5</v>
      </c>
      <c r="I73" s="255">
        <f t="shared" si="33"/>
        <v>36363.63636363636</v>
      </c>
      <c r="J73" s="248">
        <f t="shared" si="34"/>
        <v>255</v>
      </c>
      <c r="K73" s="255">
        <f t="shared" si="35"/>
        <v>36363.63636363636</v>
      </c>
      <c r="L73" s="248">
        <f t="shared" si="36"/>
        <v>510</v>
      </c>
      <c r="M73" s="255">
        <f t="shared" si="37"/>
        <v>36363.63636363636</v>
      </c>
      <c r="N73" s="248">
        <f t="shared" si="38"/>
        <v>765</v>
      </c>
      <c r="O73" s="255">
        <f t="shared" si="39"/>
        <v>36363.63636363636</v>
      </c>
      <c r="P73" s="248">
        <f t="shared" si="40"/>
        <v>1275</v>
      </c>
      <c r="Q73" s="255">
        <f t="shared" si="41"/>
        <v>36363.63636363636</v>
      </c>
    </row>
    <row r="74" spans="1:17">
      <c r="A74" s="248"/>
      <c r="B74" s="248">
        <f t="shared" si="28"/>
        <v>12.65</v>
      </c>
      <c r="C74" s="255">
        <f t="shared" si="29"/>
        <v>20000</v>
      </c>
      <c r="D74" s="248">
        <v>25.3</v>
      </c>
      <c r="E74" s="255">
        <v>20000</v>
      </c>
      <c r="F74" s="248">
        <f t="shared" si="30"/>
        <v>50.6</v>
      </c>
      <c r="G74" s="255">
        <f t="shared" si="31"/>
        <v>20000</v>
      </c>
      <c r="H74" s="248">
        <f t="shared" si="32"/>
        <v>126.5</v>
      </c>
      <c r="I74" s="255">
        <f t="shared" si="33"/>
        <v>20000</v>
      </c>
      <c r="J74" s="248">
        <f t="shared" si="34"/>
        <v>253</v>
      </c>
      <c r="K74" s="255">
        <f t="shared" si="35"/>
        <v>20000</v>
      </c>
      <c r="L74" s="248">
        <f t="shared" si="36"/>
        <v>506</v>
      </c>
      <c r="M74" s="255">
        <f t="shared" si="37"/>
        <v>20000</v>
      </c>
      <c r="N74" s="248">
        <f t="shared" si="38"/>
        <v>759</v>
      </c>
      <c r="O74" s="255">
        <f t="shared" si="39"/>
        <v>20000</v>
      </c>
      <c r="P74" s="248">
        <f t="shared" si="40"/>
        <v>1265</v>
      </c>
      <c r="Q74" s="255">
        <f t="shared" si="41"/>
        <v>20000</v>
      </c>
    </row>
    <row r="75" spans="1:17">
      <c r="A75" s="248"/>
      <c r="B75" s="248">
        <f t="shared" si="28"/>
        <v>12.6</v>
      </c>
      <c r="C75" s="255">
        <f t="shared" si="29"/>
        <v>18348.623853211011</v>
      </c>
      <c r="D75" s="248">
        <v>25.2</v>
      </c>
      <c r="E75" s="255">
        <v>18348.623853211011</v>
      </c>
      <c r="F75" s="248">
        <f t="shared" si="30"/>
        <v>50.4</v>
      </c>
      <c r="G75" s="255">
        <f t="shared" si="31"/>
        <v>18348.623853211011</v>
      </c>
      <c r="H75" s="248">
        <f t="shared" si="32"/>
        <v>126</v>
      </c>
      <c r="I75" s="255">
        <f t="shared" si="33"/>
        <v>18348.623853211011</v>
      </c>
      <c r="J75" s="248">
        <f t="shared" si="34"/>
        <v>252</v>
      </c>
      <c r="K75" s="255">
        <f t="shared" si="35"/>
        <v>18348.623853211011</v>
      </c>
      <c r="L75" s="248">
        <f t="shared" si="36"/>
        <v>504</v>
      </c>
      <c r="M75" s="255">
        <f t="shared" si="37"/>
        <v>18348.623853211011</v>
      </c>
      <c r="N75" s="248">
        <f t="shared" si="38"/>
        <v>756</v>
      </c>
      <c r="O75" s="255">
        <f t="shared" si="39"/>
        <v>18348.623853211011</v>
      </c>
      <c r="P75" s="248">
        <f t="shared" si="40"/>
        <v>1260</v>
      </c>
      <c r="Q75" s="255">
        <f t="shared" si="41"/>
        <v>18348.623853211011</v>
      </c>
    </row>
    <row r="76" spans="1:17">
      <c r="A76" s="248"/>
      <c r="B76" s="248">
        <f t="shared" si="28"/>
        <v>12.55</v>
      </c>
      <c r="C76" s="255">
        <f t="shared" si="29"/>
        <v>100000</v>
      </c>
      <c r="D76" s="248">
        <v>25.1</v>
      </c>
      <c r="E76" s="255">
        <v>100000</v>
      </c>
      <c r="F76" s="248">
        <f t="shared" si="30"/>
        <v>50.2</v>
      </c>
      <c r="G76" s="255">
        <f t="shared" si="31"/>
        <v>100000</v>
      </c>
      <c r="H76" s="248">
        <f t="shared" si="32"/>
        <v>125.5</v>
      </c>
      <c r="I76" s="255">
        <f t="shared" si="33"/>
        <v>100000</v>
      </c>
      <c r="J76" s="248">
        <f t="shared" si="34"/>
        <v>251</v>
      </c>
      <c r="K76" s="255">
        <f t="shared" si="35"/>
        <v>100000</v>
      </c>
      <c r="L76" s="248">
        <f t="shared" si="36"/>
        <v>502</v>
      </c>
      <c r="M76" s="255">
        <f t="shared" si="37"/>
        <v>100000</v>
      </c>
      <c r="N76" s="248">
        <f t="shared" si="38"/>
        <v>753</v>
      </c>
      <c r="O76" s="255">
        <f t="shared" si="39"/>
        <v>100000</v>
      </c>
      <c r="P76" s="248">
        <f t="shared" si="40"/>
        <v>1255</v>
      </c>
      <c r="Q76" s="255">
        <f t="shared" si="41"/>
        <v>100000</v>
      </c>
    </row>
    <row r="77" spans="1:17">
      <c r="A77" s="248"/>
      <c r="B77" s="248">
        <f t="shared" si="28"/>
        <v>12.5</v>
      </c>
      <c r="C77" s="255">
        <f t="shared" si="29"/>
        <v>303.21406913280782</v>
      </c>
      <c r="D77" s="248">
        <v>25</v>
      </c>
      <c r="E77" s="255">
        <v>303.21406913280782</v>
      </c>
      <c r="F77" s="248">
        <f t="shared" si="30"/>
        <v>50</v>
      </c>
      <c r="G77" s="255">
        <f t="shared" si="31"/>
        <v>303.21406913280782</v>
      </c>
      <c r="H77" s="248">
        <f t="shared" si="32"/>
        <v>125</v>
      </c>
      <c r="I77" s="255">
        <f t="shared" si="33"/>
        <v>303.21406913280782</v>
      </c>
      <c r="J77" s="248">
        <f t="shared" si="34"/>
        <v>250</v>
      </c>
      <c r="K77" s="255">
        <f t="shared" si="35"/>
        <v>303.21406913280782</v>
      </c>
      <c r="L77" s="248">
        <f t="shared" si="36"/>
        <v>500</v>
      </c>
      <c r="M77" s="255">
        <f t="shared" si="37"/>
        <v>303.21406913280782</v>
      </c>
      <c r="N77" s="248">
        <f t="shared" si="38"/>
        <v>750</v>
      </c>
      <c r="O77" s="255">
        <f t="shared" si="39"/>
        <v>303.21406913280782</v>
      </c>
      <c r="P77" s="248">
        <f t="shared" si="40"/>
        <v>1250</v>
      </c>
      <c r="Q77" s="255">
        <f t="shared" si="41"/>
        <v>303.21406913280782</v>
      </c>
    </row>
    <row r="78" spans="1:17">
      <c r="A78" s="248"/>
      <c r="B78" s="248">
        <f t="shared" si="28"/>
        <v>12.35</v>
      </c>
      <c r="C78" s="255">
        <f t="shared" si="29"/>
        <v>20000</v>
      </c>
      <c r="D78" s="248">
        <v>24.7</v>
      </c>
      <c r="E78" s="255">
        <v>20000</v>
      </c>
      <c r="F78" s="248">
        <f t="shared" si="30"/>
        <v>49.4</v>
      </c>
      <c r="G78" s="255">
        <f t="shared" si="31"/>
        <v>20000</v>
      </c>
      <c r="H78" s="248">
        <f t="shared" si="32"/>
        <v>123.5</v>
      </c>
      <c r="I78" s="255">
        <f t="shared" si="33"/>
        <v>20000</v>
      </c>
      <c r="J78" s="248">
        <f t="shared" si="34"/>
        <v>247</v>
      </c>
      <c r="K78" s="255">
        <f t="shared" si="35"/>
        <v>20000</v>
      </c>
      <c r="L78" s="248">
        <f t="shared" si="36"/>
        <v>494</v>
      </c>
      <c r="M78" s="255">
        <f t="shared" si="37"/>
        <v>20000</v>
      </c>
      <c r="N78" s="248">
        <f t="shared" si="38"/>
        <v>741</v>
      </c>
      <c r="O78" s="255">
        <f t="shared" si="39"/>
        <v>20000</v>
      </c>
      <c r="P78" s="248">
        <f t="shared" si="40"/>
        <v>1235</v>
      </c>
      <c r="Q78" s="255">
        <f t="shared" si="41"/>
        <v>20000</v>
      </c>
    </row>
    <row r="79" spans="1:17">
      <c r="A79" s="248"/>
      <c r="B79" s="248">
        <f t="shared" si="28"/>
        <v>12.05</v>
      </c>
      <c r="C79" s="255">
        <f t="shared" si="29"/>
        <v>200000</v>
      </c>
      <c r="D79" s="248">
        <v>24.1</v>
      </c>
      <c r="E79" s="255">
        <v>200000</v>
      </c>
      <c r="F79" s="248">
        <f t="shared" si="30"/>
        <v>48.2</v>
      </c>
      <c r="G79" s="255">
        <f t="shared" si="31"/>
        <v>200000</v>
      </c>
      <c r="H79" s="248">
        <f t="shared" si="32"/>
        <v>120.5</v>
      </c>
      <c r="I79" s="255">
        <f t="shared" si="33"/>
        <v>200000</v>
      </c>
      <c r="J79" s="248">
        <f t="shared" si="34"/>
        <v>241</v>
      </c>
      <c r="K79" s="255">
        <f t="shared" si="35"/>
        <v>200000</v>
      </c>
      <c r="L79" s="248">
        <f t="shared" si="36"/>
        <v>482</v>
      </c>
      <c r="M79" s="255">
        <f t="shared" si="37"/>
        <v>200000</v>
      </c>
      <c r="N79" s="248">
        <f t="shared" si="38"/>
        <v>723</v>
      </c>
      <c r="O79" s="255">
        <f t="shared" si="39"/>
        <v>200000</v>
      </c>
      <c r="P79" s="248">
        <f t="shared" si="40"/>
        <v>1205</v>
      </c>
      <c r="Q79" s="255">
        <f t="shared" si="41"/>
        <v>200000</v>
      </c>
    </row>
    <row r="80" spans="1:17">
      <c r="A80" s="248"/>
      <c r="B80" s="248">
        <f t="shared" si="28"/>
        <v>12</v>
      </c>
      <c r="C80" s="255">
        <f t="shared" si="29"/>
        <v>40000</v>
      </c>
      <c r="D80" s="248">
        <v>24</v>
      </c>
      <c r="E80" s="255">
        <v>40000</v>
      </c>
      <c r="F80" s="248">
        <f t="shared" si="30"/>
        <v>48</v>
      </c>
      <c r="G80" s="255">
        <f t="shared" si="31"/>
        <v>40000</v>
      </c>
      <c r="H80" s="248">
        <f t="shared" si="32"/>
        <v>120</v>
      </c>
      <c r="I80" s="255">
        <f t="shared" si="33"/>
        <v>40000</v>
      </c>
      <c r="J80" s="248">
        <f t="shared" si="34"/>
        <v>240</v>
      </c>
      <c r="K80" s="255">
        <f t="shared" si="35"/>
        <v>40000</v>
      </c>
      <c r="L80" s="248">
        <f t="shared" si="36"/>
        <v>480</v>
      </c>
      <c r="M80" s="255">
        <f t="shared" si="37"/>
        <v>40000</v>
      </c>
      <c r="N80" s="248">
        <f t="shared" si="38"/>
        <v>720</v>
      </c>
      <c r="O80" s="255">
        <f t="shared" si="39"/>
        <v>40000</v>
      </c>
      <c r="P80" s="248">
        <f t="shared" si="40"/>
        <v>1200</v>
      </c>
      <c r="Q80" s="255">
        <f t="shared" si="41"/>
        <v>40000</v>
      </c>
    </row>
    <row r="81" spans="1:17">
      <c r="A81" s="248"/>
      <c r="B81" s="248">
        <f t="shared" si="28"/>
        <v>11.8</v>
      </c>
      <c r="C81" s="255">
        <f t="shared" si="29"/>
        <v>200000</v>
      </c>
      <c r="D81" s="248">
        <v>23.6</v>
      </c>
      <c r="E81" s="255">
        <v>200000</v>
      </c>
      <c r="F81" s="248">
        <f t="shared" si="30"/>
        <v>47.2</v>
      </c>
      <c r="G81" s="255">
        <f t="shared" si="31"/>
        <v>200000</v>
      </c>
      <c r="H81" s="248">
        <f t="shared" si="32"/>
        <v>118</v>
      </c>
      <c r="I81" s="255">
        <f t="shared" si="33"/>
        <v>200000</v>
      </c>
      <c r="J81" s="248">
        <f t="shared" si="34"/>
        <v>236</v>
      </c>
      <c r="K81" s="255">
        <f t="shared" si="35"/>
        <v>200000</v>
      </c>
      <c r="L81" s="248">
        <f t="shared" si="36"/>
        <v>472</v>
      </c>
      <c r="M81" s="255">
        <f t="shared" si="37"/>
        <v>200000</v>
      </c>
      <c r="N81" s="248">
        <f t="shared" si="38"/>
        <v>708</v>
      </c>
      <c r="O81" s="255">
        <f t="shared" si="39"/>
        <v>200000</v>
      </c>
      <c r="P81" s="248">
        <f t="shared" si="40"/>
        <v>1180</v>
      </c>
      <c r="Q81" s="255">
        <f t="shared" si="41"/>
        <v>200000</v>
      </c>
    </row>
    <row r="82" spans="1:17">
      <c r="A82" s="248"/>
      <c r="B82" s="248">
        <f t="shared" si="28"/>
        <v>11.75</v>
      </c>
      <c r="C82" s="255">
        <f t="shared" si="29"/>
        <v>133333.33333333331</v>
      </c>
      <c r="D82" s="248">
        <v>23.5</v>
      </c>
      <c r="E82" s="255">
        <v>133333.33333333331</v>
      </c>
      <c r="F82" s="248">
        <f t="shared" si="30"/>
        <v>47</v>
      </c>
      <c r="G82" s="255">
        <f t="shared" si="31"/>
        <v>133333.33333333331</v>
      </c>
      <c r="H82" s="248">
        <f t="shared" si="32"/>
        <v>117.5</v>
      </c>
      <c r="I82" s="255">
        <f t="shared" si="33"/>
        <v>133333.33333333331</v>
      </c>
      <c r="J82" s="248">
        <f t="shared" si="34"/>
        <v>235</v>
      </c>
      <c r="K82" s="255">
        <f t="shared" si="35"/>
        <v>133333.33333333331</v>
      </c>
      <c r="L82" s="248">
        <f t="shared" si="36"/>
        <v>470</v>
      </c>
      <c r="M82" s="255">
        <f t="shared" si="37"/>
        <v>133333.33333333331</v>
      </c>
      <c r="N82" s="248">
        <f t="shared" si="38"/>
        <v>705</v>
      </c>
      <c r="O82" s="255">
        <f t="shared" si="39"/>
        <v>133333.33333333331</v>
      </c>
      <c r="P82" s="248">
        <f t="shared" si="40"/>
        <v>1175</v>
      </c>
      <c r="Q82" s="255">
        <f t="shared" si="41"/>
        <v>133333.33333333331</v>
      </c>
    </row>
    <row r="83" spans="1:17">
      <c r="A83" s="248"/>
      <c r="B83" s="248">
        <f t="shared" si="28"/>
        <v>11.6</v>
      </c>
      <c r="C83" s="255">
        <f t="shared" si="29"/>
        <v>200000</v>
      </c>
      <c r="D83" s="248">
        <v>23.2</v>
      </c>
      <c r="E83" s="255">
        <v>200000</v>
      </c>
      <c r="F83" s="248">
        <f t="shared" si="30"/>
        <v>46.4</v>
      </c>
      <c r="G83" s="255">
        <f t="shared" si="31"/>
        <v>200000</v>
      </c>
      <c r="H83" s="248">
        <f t="shared" si="32"/>
        <v>116</v>
      </c>
      <c r="I83" s="255">
        <f t="shared" si="33"/>
        <v>200000</v>
      </c>
      <c r="J83" s="248">
        <f t="shared" si="34"/>
        <v>232</v>
      </c>
      <c r="K83" s="255">
        <f t="shared" si="35"/>
        <v>200000</v>
      </c>
      <c r="L83" s="248">
        <f t="shared" si="36"/>
        <v>464</v>
      </c>
      <c r="M83" s="255">
        <f t="shared" si="37"/>
        <v>200000</v>
      </c>
      <c r="N83" s="248">
        <f t="shared" si="38"/>
        <v>696</v>
      </c>
      <c r="O83" s="255">
        <f t="shared" si="39"/>
        <v>200000</v>
      </c>
      <c r="P83" s="248">
        <f t="shared" si="40"/>
        <v>1160</v>
      </c>
      <c r="Q83" s="255">
        <f t="shared" si="41"/>
        <v>200000</v>
      </c>
    </row>
    <row r="84" spans="1:17">
      <c r="A84" s="248"/>
      <c r="B84" s="248">
        <f t="shared" si="28"/>
        <v>11.55</v>
      </c>
      <c r="C84" s="255">
        <f t="shared" si="29"/>
        <v>20000</v>
      </c>
      <c r="D84" s="248">
        <v>23.1</v>
      </c>
      <c r="E84" s="255">
        <v>20000</v>
      </c>
      <c r="F84" s="248">
        <f t="shared" si="30"/>
        <v>46.2</v>
      </c>
      <c r="G84" s="255">
        <f t="shared" si="31"/>
        <v>20000</v>
      </c>
      <c r="H84" s="248">
        <f t="shared" si="32"/>
        <v>115.5</v>
      </c>
      <c r="I84" s="255">
        <f t="shared" si="33"/>
        <v>20000</v>
      </c>
      <c r="J84" s="248">
        <f t="shared" si="34"/>
        <v>231</v>
      </c>
      <c r="K84" s="255">
        <f t="shared" si="35"/>
        <v>20000</v>
      </c>
      <c r="L84" s="248">
        <f t="shared" si="36"/>
        <v>462</v>
      </c>
      <c r="M84" s="255">
        <f t="shared" si="37"/>
        <v>20000</v>
      </c>
      <c r="N84" s="248">
        <f t="shared" si="38"/>
        <v>693</v>
      </c>
      <c r="O84" s="255">
        <f t="shared" si="39"/>
        <v>20000</v>
      </c>
      <c r="P84" s="248">
        <f t="shared" si="40"/>
        <v>1155</v>
      </c>
      <c r="Q84" s="255">
        <f t="shared" si="41"/>
        <v>20000</v>
      </c>
    </row>
    <row r="85" spans="1:17">
      <c r="A85" s="248"/>
      <c r="B85" s="248">
        <f t="shared" si="28"/>
        <v>11.5</v>
      </c>
      <c r="C85" s="255">
        <f t="shared" si="29"/>
        <v>19607.843137254898</v>
      </c>
      <c r="D85" s="248">
        <v>23</v>
      </c>
      <c r="E85" s="255">
        <v>19607.843137254898</v>
      </c>
      <c r="F85" s="248">
        <f t="shared" si="30"/>
        <v>46</v>
      </c>
      <c r="G85" s="255">
        <f t="shared" si="31"/>
        <v>19607.843137254898</v>
      </c>
      <c r="H85" s="248">
        <f t="shared" si="32"/>
        <v>115</v>
      </c>
      <c r="I85" s="255">
        <f t="shared" si="33"/>
        <v>19607.843137254898</v>
      </c>
      <c r="J85" s="248">
        <f t="shared" si="34"/>
        <v>230</v>
      </c>
      <c r="K85" s="255">
        <f t="shared" si="35"/>
        <v>19607.843137254898</v>
      </c>
      <c r="L85" s="248">
        <f t="shared" si="36"/>
        <v>460</v>
      </c>
      <c r="M85" s="255">
        <f t="shared" si="37"/>
        <v>19607.843137254898</v>
      </c>
      <c r="N85" s="248">
        <f t="shared" si="38"/>
        <v>690</v>
      </c>
      <c r="O85" s="255">
        <f t="shared" si="39"/>
        <v>19607.843137254898</v>
      </c>
      <c r="P85" s="248">
        <f t="shared" si="40"/>
        <v>1150</v>
      </c>
      <c r="Q85" s="255">
        <f t="shared" si="41"/>
        <v>19607.843137254898</v>
      </c>
    </row>
    <row r="86" spans="1:17">
      <c r="A86" s="248"/>
      <c r="B86" s="248">
        <f t="shared" si="28"/>
        <v>11.4</v>
      </c>
      <c r="C86" s="255">
        <f t="shared" si="29"/>
        <v>200000</v>
      </c>
      <c r="D86" s="248">
        <v>22.8</v>
      </c>
      <c r="E86" s="255">
        <v>200000</v>
      </c>
      <c r="F86" s="248">
        <f t="shared" si="30"/>
        <v>45.6</v>
      </c>
      <c r="G86" s="255">
        <f t="shared" si="31"/>
        <v>200000</v>
      </c>
      <c r="H86" s="248">
        <f t="shared" si="32"/>
        <v>114</v>
      </c>
      <c r="I86" s="255">
        <f t="shared" si="33"/>
        <v>200000</v>
      </c>
      <c r="J86" s="248">
        <f t="shared" si="34"/>
        <v>228</v>
      </c>
      <c r="K86" s="255">
        <f t="shared" si="35"/>
        <v>200000</v>
      </c>
      <c r="L86" s="248">
        <f t="shared" si="36"/>
        <v>456</v>
      </c>
      <c r="M86" s="255">
        <f t="shared" si="37"/>
        <v>200000</v>
      </c>
      <c r="N86" s="248">
        <f t="shared" si="38"/>
        <v>684</v>
      </c>
      <c r="O86" s="255">
        <f t="shared" si="39"/>
        <v>200000</v>
      </c>
      <c r="P86" s="248">
        <f t="shared" si="40"/>
        <v>1140</v>
      </c>
      <c r="Q86" s="255">
        <f t="shared" si="41"/>
        <v>200000</v>
      </c>
    </row>
    <row r="87" spans="1:17">
      <c r="A87" s="248"/>
      <c r="B87" s="248">
        <f t="shared" si="28"/>
        <v>11.25</v>
      </c>
      <c r="C87" s="255">
        <f t="shared" si="29"/>
        <v>25000</v>
      </c>
      <c r="D87" s="248">
        <v>22.5</v>
      </c>
      <c r="E87" s="255">
        <v>25000</v>
      </c>
      <c r="F87" s="248">
        <f t="shared" si="30"/>
        <v>45</v>
      </c>
      <c r="G87" s="255">
        <f t="shared" si="31"/>
        <v>25000</v>
      </c>
      <c r="H87" s="248">
        <f t="shared" si="32"/>
        <v>112.5</v>
      </c>
      <c r="I87" s="255">
        <f t="shared" si="33"/>
        <v>25000</v>
      </c>
      <c r="J87" s="248">
        <f t="shared" si="34"/>
        <v>225</v>
      </c>
      <c r="K87" s="255">
        <f t="shared" si="35"/>
        <v>25000</v>
      </c>
      <c r="L87" s="248">
        <f t="shared" si="36"/>
        <v>450</v>
      </c>
      <c r="M87" s="255">
        <f t="shared" si="37"/>
        <v>25000</v>
      </c>
      <c r="N87" s="248">
        <f t="shared" si="38"/>
        <v>675</v>
      </c>
      <c r="O87" s="255">
        <f t="shared" si="39"/>
        <v>25000</v>
      </c>
      <c r="P87" s="248">
        <f t="shared" si="40"/>
        <v>1125</v>
      </c>
      <c r="Q87" s="255">
        <f t="shared" si="41"/>
        <v>25000</v>
      </c>
    </row>
    <row r="88" spans="1:17">
      <c r="A88" s="248"/>
      <c r="B88" s="248">
        <f t="shared" si="28"/>
        <v>11.2</v>
      </c>
      <c r="C88" s="255">
        <f t="shared" si="29"/>
        <v>100000</v>
      </c>
      <c r="D88" s="248">
        <v>22.4</v>
      </c>
      <c r="E88" s="255">
        <v>100000</v>
      </c>
      <c r="F88" s="248">
        <f t="shared" si="30"/>
        <v>44.8</v>
      </c>
      <c r="G88" s="255">
        <f t="shared" si="31"/>
        <v>100000</v>
      </c>
      <c r="H88" s="248">
        <f t="shared" si="32"/>
        <v>112</v>
      </c>
      <c r="I88" s="255">
        <f t="shared" si="33"/>
        <v>100000</v>
      </c>
      <c r="J88" s="248">
        <f t="shared" si="34"/>
        <v>224</v>
      </c>
      <c r="K88" s="255">
        <f t="shared" si="35"/>
        <v>100000</v>
      </c>
      <c r="L88" s="248">
        <f t="shared" si="36"/>
        <v>448</v>
      </c>
      <c r="M88" s="255">
        <f t="shared" si="37"/>
        <v>100000</v>
      </c>
      <c r="N88" s="248">
        <f t="shared" si="38"/>
        <v>672</v>
      </c>
      <c r="O88" s="255">
        <f t="shared" si="39"/>
        <v>100000</v>
      </c>
      <c r="P88" s="248">
        <f t="shared" si="40"/>
        <v>1120</v>
      </c>
      <c r="Q88" s="255">
        <f t="shared" si="41"/>
        <v>100000</v>
      </c>
    </row>
    <row r="89" spans="1:17">
      <c r="A89" s="248"/>
      <c r="B89" s="248">
        <f t="shared" si="28"/>
        <v>11.05</v>
      </c>
      <c r="C89" s="255">
        <f t="shared" si="29"/>
        <v>10309.27835051546</v>
      </c>
      <c r="D89" s="248">
        <v>22.1</v>
      </c>
      <c r="E89" s="255">
        <v>10309.27835051546</v>
      </c>
      <c r="F89" s="248">
        <f t="shared" si="30"/>
        <v>44.2</v>
      </c>
      <c r="G89" s="255">
        <f t="shared" si="31"/>
        <v>10309.27835051546</v>
      </c>
      <c r="H89" s="248">
        <f t="shared" si="32"/>
        <v>110.5</v>
      </c>
      <c r="I89" s="255">
        <f t="shared" si="33"/>
        <v>10309.27835051546</v>
      </c>
      <c r="J89" s="248">
        <f t="shared" si="34"/>
        <v>221</v>
      </c>
      <c r="K89" s="255">
        <f t="shared" si="35"/>
        <v>10309.27835051546</v>
      </c>
      <c r="L89" s="248">
        <f t="shared" si="36"/>
        <v>442</v>
      </c>
      <c r="M89" s="255">
        <f t="shared" si="37"/>
        <v>10309.27835051546</v>
      </c>
      <c r="N89" s="248">
        <f t="shared" si="38"/>
        <v>663</v>
      </c>
      <c r="O89" s="255">
        <f t="shared" si="39"/>
        <v>10309.27835051546</v>
      </c>
      <c r="P89" s="248">
        <f t="shared" si="40"/>
        <v>1105</v>
      </c>
      <c r="Q89" s="255">
        <f t="shared" si="41"/>
        <v>10309.27835051546</v>
      </c>
    </row>
    <row r="90" spans="1:17">
      <c r="A90" s="248"/>
      <c r="B90" s="248">
        <f t="shared" si="28"/>
        <v>11</v>
      </c>
      <c r="C90" s="255">
        <f t="shared" si="29"/>
        <v>20833.333333333328</v>
      </c>
      <c r="D90" s="248">
        <v>22</v>
      </c>
      <c r="E90" s="255">
        <v>20833.333333333328</v>
      </c>
      <c r="F90" s="248">
        <f t="shared" si="30"/>
        <v>44</v>
      </c>
      <c r="G90" s="255">
        <f t="shared" si="31"/>
        <v>20833.333333333328</v>
      </c>
      <c r="H90" s="248">
        <f t="shared" si="32"/>
        <v>110</v>
      </c>
      <c r="I90" s="255">
        <f t="shared" si="33"/>
        <v>20833.333333333328</v>
      </c>
      <c r="J90" s="248">
        <f t="shared" si="34"/>
        <v>220</v>
      </c>
      <c r="K90" s="255">
        <f t="shared" si="35"/>
        <v>20833.333333333328</v>
      </c>
      <c r="L90" s="248">
        <f t="shared" si="36"/>
        <v>440</v>
      </c>
      <c r="M90" s="255">
        <f t="shared" si="37"/>
        <v>20833.333333333328</v>
      </c>
      <c r="N90" s="248">
        <f t="shared" si="38"/>
        <v>660</v>
      </c>
      <c r="O90" s="255">
        <f t="shared" si="39"/>
        <v>20833.333333333328</v>
      </c>
      <c r="P90" s="248">
        <f t="shared" si="40"/>
        <v>1100</v>
      </c>
      <c r="Q90" s="255">
        <f t="shared" si="41"/>
        <v>20833.333333333328</v>
      </c>
    </row>
    <row r="91" spans="1:17">
      <c r="A91" s="248"/>
      <c r="B91" s="248">
        <f t="shared" si="28"/>
        <v>10.8</v>
      </c>
      <c r="C91" s="255">
        <f t="shared" si="29"/>
        <v>64516.129032258068</v>
      </c>
      <c r="D91" s="248">
        <v>21.6</v>
      </c>
      <c r="E91" s="255">
        <v>64516.129032258068</v>
      </c>
      <c r="F91" s="248">
        <f t="shared" si="30"/>
        <v>43.2</v>
      </c>
      <c r="G91" s="255">
        <f t="shared" si="31"/>
        <v>64516.129032258068</v>
      </c>
      <c r="H91" s="248">
        <f t="shared" si="32"/>
        <v>108</v>
      </c>
      <c r="I91" s="255">
        <f t="shared" si="33"/>
        <v>64516.129032258068</v>
      </c>
      <c r="J91" s="248">
        <f t="shared" si="34"/>
        <v>216</v>
      </c>
      <c r="K91" s="255">
        <f t="shared" si="35"/>
        <v>64516.129032258068</v>
      </c>
      <c r="L91" s="248">
        <f t="shared" si="36"/>
        <v>432</v>
      </c>
      <c r="M91" s="255">
        <f t="shared" si="37"/>
        <v>64516.129032258068</v>
      </c>
      <c r="N91" s="248">
        <f t="shared" si="38"/>
        <v>648</v>
      </c>
      <c r="O91" s="255">
        <f t="shared" si="39"/>
        <v>64516.129032258068</v>
      </c>
      <c r="P91" s="248">
        <f t="shared" si="40"/>
        <v>1080</v>
      </c>
      <c r="Q91" s="255">
        <f t="shared" si="41"/>
        <v>64516.129032258068</v>
      </c>
    </row>
    <row r="92" spans="1:17">
      <c r="A92" s="248"/>
      <c r="B92" s="248">
        <f t="shared" si="28"/>
        <v>10.6</v>
      </c>
      <c r="C92" s="255">
        <f t="shared" si="29"/>
        <v>400000</v>
      </c>
      <c r="D92" s="248">
        <v>21.2</v>
      </c>
      <c r="E92" s="255">
        <v>400000</v>
      </c>
      <c r="F92" s="248">
        <f t="shared" si="30"/>
        <v>42.4</v>
      </c>
      <c r="G92" s="255">
        <f t="shared" si="31"/>
        <v>400000</v>
      </c>
      <c r="H92" s="248">
        <f t="shared" si="32"/>
        <v>106</v>
      </c>
      <c r="I92" s="255">
        <f t="shared" si="33"/>
        <v>400000</v>
      </c>
      <c r="J92" s="248">
        <f t="shared" si="34"/>
        <v>212</v>
      </c>
      <c r="K92" s="255">
        <f t="shared" si="35"/>
        <v>400000</v>
      </c>
      <c r="L92" s="248">
        <f t="shared" si="36"/>
        <v>424</v>
      </c>
      <c r="M92" s="255">
        <f t="shared" si="37"/>
        <v>400000</v>
      </c>
      <c r="N92" s="248">
        <f t="shared" si="38"/>
        <v>636</v>
      </c>
      <c r="O92" s="255">
        <f t="shared" si="39"/>
        <v>400000</v>
      </c>
      <c r="P92" s="248">
        <f t="shared" si="40"/>
        <v>1060</v>
      </c>
      <c r="Q92" s="255">
        <f t="shared" si="41"/>
        <v>400000</v>
      </c>
    </row>
    <row r="93" spans="1:17">
      <c r="A93" s="248"/>
      <c r="B93" s="248">
        <f t="shared" si="28"/>
        <v>10.5</v>
      </c>
      <c r="C93" s="255">
        <f t="shared" si="29"/>
        <v>200000</v>
      </c>
      <c r="D93" s="248">
        <v>21</v>
      </c>
      <c r="E93" s="255">
        <v>200000</v>
      </c>
      <c r="F93" s="248">
        <f t="shared" si="30"/>
        <v>42</v>
      </c>
      <c r="G93" s="255">
        <f t="shared" si="31"/>
        <v>200000</v>
      </c>
      <c r="H93" s="248">
        <f t="shared" si="32"/>
        <v>105</v>
      </c>
      <c r="I93" s="255">
        <f t="shared" si="33"/>
        <v>200000</v>
      </c>
      <c r="J93" s="248">
        <f t="shared" si="34"/>
        <v>210</v>
      </c>
      <c r="K93" s="255">
        <f t="shared" si="35"/>
        <v>200000</v>
      </c>
      <c r="L93" s="248">
        <f t="shared" si="36"/>
        <v>420</v>
      </c>
      <c r="M93" s="255">
        <f t="shared" si="37"/>
        <v>200000</v>
      </c>
      <c r="N93" s="248">
        <f t="shared" si="38"/>
        <v>630</v>
      </c>
      <c r="O93" s="255">
        <f t="shared" si="39"/>
        <v>200000</v>
      </c>
      <c r="P93" s="248">
        <f t="shared" si="40"/>
        <v>1050</v>
      </c>
      <c r="Q93" s="255">
        <f t="shared" si="41"/>
        <v>200000</v>
      </c>
    </row>
    <row r="94" spans="1:17">
      <c r="A94" s="248"/>
      <c r="B94" s="248">
        <f t="shared" si="28"/>
        <v>10.35</v>
      </c>
      <c r="C94" s="255">
        <f t="shared" si="29"/>
        <v>20000</v>
      </c>
      <c r="D94" s="248">
        <v>20.7</v>
      </c>
      <c r="E94" s="255">
        <v>20000</v>
      </c>
      <c r="F94" s="248">
        <f t="shared" si="30"/>
        <v>41.4</v>
      </c>
      <c r="G94" s="255">
        <f t="shared" si="31"/>
        <v>20000</v>
      </c>
      <c r="H94" s="248">
        <f t="shared" si="32"/>
        <v>103.5</v>
      </c>
      <c r="I94" s="255">
        <f t="shared" si="33"/>
        <v>20000</v>
      </c>
      <c r="J94" s="248">
        <f t="shared" si="34"/>
        <v>207</v>
      </c>
      <c r="K94" s="255">
        <f t="shared" si="35"/>
        <v>20000</v>
      </c>
      <c r="L94" s="248">
        <f t="shared" si="36"/>
        <v>414</v>
      </c>
      <c r="M94" s="255">
        <f t="shared" si="37"/>
        <v>20000</v>
      </c>
      <c r="N94" s="248">
        <f t="shared" si="38"/>
        <v>621</v>
      </c>
      <c r="O94" s="255">
        <f t="shared" si="39"/>
        <v>20000</v>
      </c>
      <c r="P94" s="248">
        <f t="shared" si="40"/>
        <v>1035</v>
      </c>
      <c r="Q94" s="255">
        <f t="shared" si="41"/>
        <v>20000</v>
      </c>
    </row>
    <row r="95" spans="1:17">
      <c r="A95" s="248"/>
      <c r="B95" s="248">
        <f t="shared" si="28"/>
        <v>10.3</v>
      </c>
      <c r="C95" s="255">
        <f t="shared" si="29"/>
        <v>18181.81818181818</v>
      </c>
      <c r="D95" s="248">
        <v>20.6</v>
      </c>
      <c r="E95" s="255">
        <v>18181.81818181818</v>
      </c>
      <c r="F95" s="248">
        <f t="shared" si="30"/>
        <v>41.2</v>
      </c>
      <c r="G95" s="255">
        <f t="shared" si="31"/>
        <v>18181.81818181818</v>
      </c>
      <c r="H95" s="248">
        <f t="shared" si="32"/>
        <v>103</v>
      </c>
      <c r="I95" s="255">
        <f t="shared" si="33"/>
        <v>18181.81818181818</v>
      </c>
      <c r="J95" s="248">
        <f t="shared" si="34"/>
        <v>206</v>
      </c>
      <c r="K95" s="255">
        <f t="shared" si="35"/>
        <v>18181.81818181818</v>
      </c>
      <c r="L95" s="248">
        <f t="shared" si="36"/>
        <v>412</v>
      </c>
      <c r="M95" s="255">
        <f t="shared" si="37"/>
        <v>18181.81818181818</v>
      </c>
      <c r="N95" s="248">
        <f t="shared" si="38"/>
        <v>618</v>
      </c>
      <c r="O95" s="255">
        <f t="shared" si="39"/>
        <v>18181.81818181818</v>
      </c>
      <c r="P95" s="248">
        <f t="shared" si="40"/>
        <v>1030</v>
      </c>
      <c r="Q95" s="255">
        <f t="shared" si="41"/>
        <v>18181.81818181818</v>
      </c>
    </row>
    <row r="96" spans="1:17">
      <c r="A96" s="248"/>
      <c r="B96" s="248">
        <f t="shared" si="28"/>
        <v>10.15</v>
      </c>
      <c r="C96" s="255">
        <f t="shared" si="29"/>
        <v>15873.015873015869</v>
      </c>
      <c r="D96" s="248">
        <v>20.3</v>
      </c>
      <c r="E96" s="255">
        <v>15873.015873015869</v>
      </c>
      <c r="F96" s="248">
        <f t="shared" si="30"/>
        <v>40.6</v>
      </c>
      <c r="G96" s="255">
        <f t="shared" si="31"/>
        <v>15873.015873015869</v>
      </c>
      <c r="H96" s="248">
        <f t="shared" si="32"/>
        <v>101.5</v>
      </c>
      <c r="I96" s="255">
        <f t="shared" si="33"/>
        <v>15873.015873015869</v>
      </c>
      <c r="J96" s="248">
        <f t="shared" si="34"/>
        <v>203</v>
      </c>
      <c r="K96" s="255">
        <f t="shared" si="35"/>
        <v>15873.015873015869</v>
      </c>
      <c r="L96" s="248">
        <f t="shared" si="36"/>
        <v>406</v>
      </c>
      <c r="M96" s="255">
        <f t="shared" si="37"/>
        <v>15873.015873015869</v>
      </c>
      <c r="N96" s="248">
        <f t="shared" si="38"/>
        <v>609</v>
      </c>
      <c r="O96" s="255">
        <f t="shared" si="39"/>
        <v>15873.015873015869</v>
      </c>
      <c r="P96" s="248">
        <f t="shared" si="40"/>
        <v>1015</v>
      </c>
      <c r="Q96" s="255">
        <f t="shared" si="41"/>
        <v>15873.015873015869</v>
      </c>
    </row>
    <row r="97" spans="1:17">
      <c r="A97" s="248"/>
      <c r="B97" s="248">
        <f t="shared" si="28"/>
        <v>10.1</v>
      </c>
      <c r="C97" s="255">
        <f t="shared" si="29"/>
        <v>20000</v>
      </c>
      <c r="D97" s="248">
        <v>20.2</v>
      </c>
      <c r="E97" s="255">
        <v>20000</v>
      </c>
      <c r="F97" s="248">
        <f t="shared" si="30"/>
        <v>40.4</v>
      </c>
      <c r="G97" s="255">
        <f t="shared" si="31"/>
        <v>20000</v>
      </c>
      <c r="H97" s="248">
        <f t="shared" si="32"/>
        <v>101</v>
      </c>
      <c r="I97" s="255">
        <f t="shared" si="33"/>
        <v>20000</v>
      </c>
      <c r="J97" s="248">
        <f t="shared" si="34"/>
        <v>202</v>
      </c>
      <c r="K97" s="255">
        <f t="shared" si="35"/>
        <v>20000</v>
      </c>
      <c r="L97" s="248">
        <f t="shared" si="36"/>
        <v>404</v>
      </c>
      <c r="M97" s="255">
        <f t="shared" si="37"/>
        <v>20000</v>
      </c>
      <c r="N97" s="248">
        <f t="shared" si="38"/>
        <v>606</v>
      </c>
      <c r="O97" s="255">
        <f t="shared" si="39"/>
        <v>20000</v>
      </c>
      <c r="P97" s="248">
        <f t="shared" si="40"/>
        <v>1010</v>
      </c>
      <c r="Q97" s="255">
        <f t="shared" si="41"/>
        <v>20000</v>
      </c>
    </row>
    <row r="98" spans="1:17">
      <c r="A98" s="248"/>
      <c r="B98" s="248">
        <f t="shared" si="28"/>
        <v>10.050000000000001</v>
      </c>
      <c r="C98" s="255">
        <f t="shared" si="29"/>
        <v>12500</v>
      </c>
      <c r="D98" s="248">
        <v>20.100000000000001</v>
      </c>
      <c r="E98" s="255">
        <v>12500</v>
      </c>
      <c r="F98" s="248">
        <f t="shared" si="30"/>
        <v>40.200000000000003</v>
      </c>
      <c r="G98" s="255">
        <f t="shared" si="31"/>
        <v>12500</v>
      </c>
      <c r="H98" s="248">
        <f t="shared" si="32"/>
        <v>100.5</v>
      </c>
      <c r="I98" s="255">
        <f t="shared" si="33"/>
        <v>12500</v>
      </c>
      <c r="J98" s="248">
        <f t="shared" si="34"/>
        <v>201</v>
      </c>
      <c r="K98" s="255">
        <f t="shared" si="35"/>
        <v>12500</v>
      </c>
      <c r="L98" s="248">
        <f t="shared" si="36"/>
        <v>402</v>
      </c>
      <c r="M98" s="255">
        <f t="shared" si="37"/>
        <v>12500</v>
      </c>
      <c r="N98" s="248">
        <f t="shared" si="38"/>
        <v>603</v>
      </c>
      <c r="O98" s="255">
        <f t="shared" si="39"/>
        <v>12500</v>
      </c>
      <c r="P98" s="248">
        <f t="shared" si="40"/>
        <v>1005.0000000000001</v>
      </c>
      <c r="Q98" s="255">
        <f t="shared" si="41"/>
        <v>12500</v>
      </c>
    </row>
    <row r="99" spans="1:17">
      <c r="A99" s="248"/>
      <c r="B99" s="248">
        <f t="shared" si="28"/>
        <v>10</v>
      </c>
      <c r="C99" s="255">
        <f t="shared" si="29"/>
        <v>212.31422505307859</v>
      </c>
      <c r="D99" s="248">
        <v>20</v>
      </c>
      <c r="E99" s="255">
        <v>212.31422505307859</v>
      </c>
      <c r="F99" s="248">
        <f t="shared" si="30"/>
        <v>40</v>
      </c>
      <c r="G99" s="255">
        <f t="shared" si="31"/>
        <v>212.31422505307859</v>
      </c>
      <c r="H99" s="248">
        <f t="shared" si="32"/>
        <v>100</v>
      </c>
      <c r="I99" s="255">
        <f t="shared" si="33"/>
        <v>212.31422505307859</v>
      </c>
      <c r="J99" s="248">
        <f t="shared" si="34"/>
        <v>200</v>
      </c>
      <c r="K99" s="255">
        <f t="shared" si="35"/>
        <v>212.31422505307859</v>
      </c>
      <c r="L99" s="248">
        <f t="shared" si="36"/>
        <v>400</v>
      </c>
      <c r="M99" s="255">
        <f t="shared" si="37"/>
        <v>212.31422505307859</v>
      </c>
      <c r="N99" s="248">
        <f t="shared" si="38"/>
        <v>600</v>
      </c>
      <c r="O99" s="255">
        <f t="shared" si="39"/>
        <v>212.31422505307859</v>
      </c>
      <c r="P99" s="248">
        <f t="shared" si="40"/>
        <v>1000</v>
      </c>
      <c r="Q99" s="255">
        <f t="shared" si="41"/>
        <v>212.31422505307859</v>
      </c>
    </row>
    <row r="100" spans="1:17">
      <c r="A100" s="248"/>
      <c r="B100" s="248">
        <f t="shared" ref="B100:B131" si="42">$D100*B$1</f>
        <v>9.85</v>
      </c>
      <c r="C100" s="255">
        <f t="shared" ref="C100:C131" si="43">$E100</f>
        <v>100000</v>
      </c>
      <c r="D100" s="248">
        <v>19.7</v>
      </c>
      <c r="E100" s="255">
        <v>100000</v>
      </c>
      <c r="F100" s="248">
        <f t="shared" ref="F100:F131" si="44">$D100*F$1</f>
        <v>39.4</v>
      </c>
      <c r="G100" s="255">
        <f t="shared" ref="G100:G131" si="45">$E100</f>
        <v>100000</v>
      </c>
      <c r="H100" s="248">
        <f t="shared" ref="H100:H131" si="46">$D100*H$1</f>
        <v>98.5</v>
      </c>
      <c r="I100" s="255">
        <f t="shared" ref="I100:I131" si="47">$E100</f>
        <v>100000</v>
      </c>
      <c r="J100" s="248">
        <f t="shared" ref="J100:J131" si="48">$D100*J$1</f>
        <v>197</v>
      </c>
      <c r="K100" s="255">
        <f t="shared" ref="K100:K131" si="49">$E100</f>
        <v>100000</v>
      </c>
      <c r="L100" s="248">
        <f t="shared" ref="L100:L131" si="50">$D100*L$1</f>
        <v>394</v>
      </c>
      <c r="M100" s="255">
        <f t="shared" ref="M100:M131" si="51">$E100</f>
        <v>100000</v>
      </c>
      <c r="N100" s="248">
        <f t="shared" ref="N100:N131" si="52">$D100*N$1</f>
        <v>591</v>
      </c>
      <c r="O100" s="255">
        <f t="shared" ref="O100:O131" si="53">$E100</f>
        <v>100000</v>
      </c>
      <c r="P100" s="248">
        <f t="shared" ref="P100:P131" si="54">$D100*P$1</f>
        <v>985</v>
      </c>
      <c r="Q100" s="255">
        <f t="shared" ref="Q100:Q131" si="55">$E100</f>
        <v>100000</v>
      </c>
    </row>
    <row r="101" spans="1:17">
      <c r="A101" s="248"/>
      <c r="B101" s="248">
        <f t="shared" si="42"/>
        <v>9.75</v>
      </c>
      <c r="C101" s="255">
        <f t="shared" si="43"/>
        <v>66666.666666666672</v>
      </c>
      <c r="D101" s="248">
        <v>19.5</v>
      </c>
      <c r="E101" s="255">
        <v>66666.666666666672</v>
      </c>
      <c r="F101" s="248">
        <f t="shared" si="44"/>
        <v>39</v>
      </c>
      <c r="G101" s="255">
        <f t="shared" si="45"/>
        <v>66666.666666666672</v>
      </c>
      <c r="H101" s="248">
        <f t="shared" si="46"/>
        <v>97.5</v>
      </c>
      <c r="I101" s="255">
        <f t="shared" si="47"/>
        <v>66666.666666666672</v>
      </c>
      <c r="J101" s="248">
        <f t="shared" si="48"/>
        <v>195</v>
      </c>
      <c r="K101" s="255">
        <f t="shared" si="49"/>
        <v>66666.666666666672</v>
      </c>
      <c r="L101" s="248">
        <f t="shared" si="50"/>
        <v>390</v>
      </c>
      <c r="M101" s="255">
        <f t="shared" si="51"/>
        <v>66666.666666666672</v>
      </c>
      <c r="N101" s="248">
        <f t="shared" si="52"/>
        <v>585</v>
      </c>
      <c r="O101" s="255">
        <f t="shared" si="53"/>
        <v>66666.666666666672</v>
      </c>
      <c r="P101" s="248">
        <f t="shared" si="54"/>
        <v>975</v>
      </c>
      <c r="Q101" s="255">
        <f t="shared" si="55"/>
        <v>66666.666666666672</v>
      </c>
    </row>
    <row r="102" spans="1:17">
      <c r="A102" s="248"/>
      <c r="B102" s="248">
        <f t="shared" si="42"/>
        <v>9.6999999999999993</v>
      </c>
      <c r="C102" s="255">
        <f t="shared" si="43"/>
        <v>40000</v>
      </c>
      <c r="D102" s="248">
        <v>19.399999999999999</v>
      </c>
      <c r="E102" s="255">
        <v>40000</v>
      </c>
      <c r="F102" s="248">
        <f t="shared" si="44"/>
        <v>38.799999999999997</v>
      </c>
      <c r="G102" s="255">
        <f t="shared" si="45"/>
        <v>40000</v>
      </c>
      <c r="H102" s="248">
        <f t="shared" si="46"/>
        <v>97</v>
      </c>
      <c r="I102" s="255">
        <f t="shared" si="47"/>
        <v>40000</v>
      </c>
      <c r="J102" s="248">
        <f t="shared" si="48"/>
        <v>194</v>
      </c>
      <c r="K102" s="255">
        <f t="shared" si="49"/>
        <v>40000</v>
      </c>
      <c r="L102" s="248">
        <f t="shared" si="50"/>
        <v>388</v>
      </c>
      <c r="M102" s="255">
        <f t="shared" si="51"/>
        <v>40000</v>
      </c>
      <c r="N102" s="248">
        <f t="shared" si="52"/>
        <v>582</v>
      </c>
      <c r="O102" s="255">
        <f t="shared" si="53"/>
        <v>40000</v>
      </c>
      <c r="P102" s="248">
        <f t="shared" si="54"/>
        <v>969.99999999999989</v>
      </c>
      <c r="Q102" s="255">
        <f t="shared" si="55"/>
        <v>40000</v>
      </c>
    </row>
    <row r="103" spans="1:17">
      <c r="A103" s="248"/>
      <c r="B103" s="248">
        <f t="shared" si="42"/>
        <v>9.6</v>
      </c>
      <c r="C103" s="255">
        <f t="shared" si="43"/>
        <v>15873.015873015869</v>
      </c>
      <c r="D103" s="248">
        <v>19.2</v>
      </c>
      <c r="E103" s="255">
        <v>15873.015873015869</v>
      </c>
      <c r="F103" s="248">
        <f t="shared" si="44"/>
        <v>38.4</v>
      </c>
      <c r="G103" s="255">
        <f t="shared" si="45"/>
        <v>15873.015873015869</v>
      </c>
      <c r="H103" s="248">
        <f t="shared" si="46"/>
        <v>96</v>
      </c>
      <c r="I103" s="255">
        <f t="shared" si="47"/>
        <v>15873.015873015869</v>
      </c>
      <c r="J103" s="248">
        <f t="shared" si="48"/>
        <v>192</v>
      </c>
      <c r="K103" s="255">
        <f t="shared" si="49"/>
        <v>15873.015873015869</v>
      </c>
      <c r="L103" s="248">
        <f t="shared" si="50"/>
        <v>384</v>
      </c>
      <c r="M103" s="255">
        <f t="shared" si="51"/>
        <v>15873.015873015869</v>
      </c>
      <c r="N103" s="248">
        <f t="shared" si="52"/>
        <v>576</v>
      </c>
      <c r="O103" s="255">
        <f t="shared" si="53"/>
        <v>15873.015873015869</v>
      </c>
      <c r="P103" s="248">
        <f t="shared" si="54"/>
        <v>960</v>
      </c>
      <c r="Q103" s="255">
        <f t="shared" si="55"/>
        <v>15873.015873015869</v>
      </c>
    </row>
    <row r="104" spans="1:17">
      <c r="A104" s="248"/>
      <c r="B104" s="248">
        <f t="shared" si="42"/>
        <v>9.5500000000000007</v>
      </c>
      <c r="C104" s="255">
        <f t="shared" si="43"/>
        <v>200000</v>
      </c>
      <c r="D104" s="248">
        <v>19.100000000000001</v>
      </c>
      <c r="E104" s="255">
        <v>200000</v>
      </c>
      <c r="F104" s="248">
        <f t="shared" si="44"/>
        <v>38.200000000000003</v>
      </c>
      <c r="G104" s="255">
        <f t="shared" si="45"/>
        <v>200000</v>
      </c>
      <c r="H104" s="248">
        <f t="shared" si="46"/>
        <v>95.5</v>
      </c>
      <c r="I104" s="255">
        <f t="shared" si="47"/>
        <v>200000</v>
      </c>
      <c r="J104" s="248">
        <f t="shared" si="48"/>
        <v>191</v>
      </c>
      <c r="K104" s="255">
        <f t="shared" si="49"/>
        <v>200000</v>
      </c>
      <c r="L104" s="248">
        <f t="shared" si="50"/>
        <v>382</v>
      </c>
      <c r="M104" s="255">
        <f t="shared" si="51"/>
        <v>200000</v>
      </c>
      <c r="N104" s="248">
        <f t="shared" si="52"/>
        <v>573</v>
      </c>
      <c r="O104" s="255">
        <f t="shared" si="53"/>
        <v>200000</v>
      </c>
      <c r="P104" s="248">
        <f t="shared" si="54"/>
        <v>955.00000000000011</v>
      </c>
      <c r="Q104" s="255">
        <f t="shared" si="55"/>
        <v>200000</v>
      </c>
    </row>
    <row r="105" spans="1:17">
      <c r="A105" s="248"/>
      <c r="B105" s="248">
        <f t="shared" si="42"/>
        <v>9.5</v>
      </c>
      <c r="C105" s="255">
        <f t="shared" si="43"/>
        <v>74074.074074074073</v>
      </c>
      <c r="D105" s="248">
        <v>19</v>
      </c>
      <c r="E105" s="255">
        <v>74074.074074074073</v>
      </c>
      <c r="F105" s="248">
        <f t="shared" si="44"/>
        <v>38</v>
      </c>
      <c r="G105" s="255">
        <f t="shared" si="45"/>
        <v>74074.074074074073</v>
      </c>
      <c r="H105" s="248">
        <f t="shared" si="46"/>
        <v>95</v>
      </c>
      <c r="I105" s="255">
        <f t="shared" si="47"/>
        <v>74074.074074074073</v>
      </c>
      <c r="J105" s="248">
        <f t="shared" si="48"/>
        <v>190</v>
      </c>
      <c r="K105" s="255">
        <f t="shared" si="49"/>
        <v>74074.074074074073</v>
      </c>
      <c r="L105" s="248">
        <f t="shared" si="50"/>
        <v>380</v>
      </c>
      <c r="M105" s="255">
        <f t="shared" si="51"/>
        <v>74074.074074074073</v>
      </c>
      <c r="N105" s="248">
        <f t="shared" si="52"/>
        <v>570</v>
      </c>
      <c r="O105" s="255">
        <f t="shared" si="53"/>
        <v>74074.074074074073</v>
      </c>
      <c r="P105" s="248">
        <f t="shared" si="54"/>
        <v>950</v>
      </c>
      <c r="Q105" s="255">
        <f t="shared" si="55"/>
        <v>74074.074074074073</v>
      </c>
    </row>
    <row r="106" spans="1:17">
      <c r="A106" s="248"/>
      <c r="B106" s="248">
        <f t="shared" si="42"/>
        <v>9.25</v>
      </c>
      <c r="C106" s="255">
        <f t="shared" si="43"/>
        <v>5555.5555555555557</v>
      </c>
      <c r="D106" s="248">
        <v>18.5</v>
      </c>
      <c r="E106" s="255">
        <v>5555.5555555555557</v>
      </c>
      <c r="F106" s="248">
        <f t="shared" si="44"/>
        <v>37</v>
      </c>
      <c r="G106" s="255">
        <f t="shared" si="45"/>
        <v>5555.5555555555557</v>
      </c>
      <c r="H106" s="248">
        <f t="shared" si="46"/>
        <v>92.5</v>
      </c>
      <c r="I106" s="255">
        <f t="shared" si="47"/>
        <v>5555.5555555555557</v>
      </c>
      <c r="J106" s="248">
        <f t="shared" si="48"/>
        <v>185</v>
      </c>
      <c r="K106" s="255">
        <f t="shared" si="49"/>
        <v>5555.5555555555557</v>
      </c>
      <c r="L106" s="248">
        <f t="shared" si="50"/>
        <v>370</v>
      </c>
      <c r="M106" s="255">
        <f t="shared" si="51"/>
        <v>5555.5555555555557</v>
      </c>
      <c r="N106" s="248">
        <f t="shared" si="52"/>
        <v>555</v>
      </c>
      <c r="O106" s="255">
        <f t="shared" si="53"/>
        <v>5555.5555555555557</v>
      </c>
      <c r="P106" s="248">
        <f t="shared" si="54"/>
        <v>925</v>
      </c>
      <c r="Q106" s="255">
        <f t="shared" si="55"/>
        <v>5555.5555555555557</v>
      </c>
    </row>
    <row r="107" spans="1:17">
      <c r="A107" s="248"/>
      <c r="B107" s="248">
        <f t="shared" si="42"/>
        <v>9.1</v>
      </c>
      <c r="C107" s="255">
        <f t="shared" si="43"/>
        <v>20000</v>
      </c>
      <c r="D107" s="248">
        <v>18.2</v>
      </c>
      <c r="E107" s="255">
        <v>20000</v>
      </c>
      <c r="F107" s="248">
        <f t="shared" si="44"/>
        <v>36.4</v>
      </c>
      <c r="G107" s="255">
        <f t="shared" si="45"/>
        <v>20000</v>
      </c>
      <c r="H107" s="248">
        <f t="shared" si="46"/>
        <v>91</v>
      </c>
      <c r="I107" s="255">
        <f t="shared" si="47"/>
        <v>20000</v>
      </c>
      <c r="J107" s="248">
        <f t="shared" si="48"/>
        <v>182</v>
      </c>
      <c r="K107" s="255">
        <f t="shared" si="49"/>
        <v>20000</v>
      </c>
      <c r="L107" s="248">
        <f t="shared" si="50"/>
        <v>364</v>
      </c>
      <c r="M107" s="255">
        <f t="shared" si="51"/>
        <v>20000</v>
      </c>
      <c r="N107" s="248">
        <f t="shared" si="52"/>
        <v>546</v>
      </c>
      <c r="O107" s="255">
        <f t="shared" si="53"/>
        <v>20000</v>
      </c>
      <c r="P107" s="248">
        <f t="shared" si="54"/>
        <v>910</v>
      </c>
      <c r="Q107" s="255">
        <f t="shared" si="55"/>
        <v>20000</v>
      </c>
    </row>
    <row r="108" spans="1:17">
      <c r="A108" s="248"/>
      <c r="B108" s="248">
        <f t="shared" si="42"/>
        <v>9.0500000000000007</v>
      </c>
      <c r="C108" s="255">
        <f t="shared" si="43"/>
        <v>24691.358024691359</v>
      </c>
      <c r="D108" s="248">
        <v>18.100000000000001</v>
      </c>
      <c r="E108" s="255">
        <v>24691.358024691359</v>
      </c>
      <c r="F108" s="248">
        <f t="shared" si="44"/>
        <v>36.200000000000003</v>
      </c>
      <c r="G108" s="255">
        <f t="shared" si="45"/>
        <v>24691.358024691359</v>
      </c>
      <c r="H108" s="248">
        <f t="shared" si="46"/>
        <v>90.5</v>
      </c>
      <c r="I108" s="255">
        <f t="shared" si="47"/>
        <v>24691.358024691359</v>
      </c>
      <c r="J108" s="248">
        <f t="shared" si="48"/>
        <v>181</v>
      </c>
      <c r="K108" s="255">
        <f t="shared" si="49"/>
        <v>24691.358024691359</v>
      </c>
      <c r="L108" s="248">
        <f t="shared" si="50"/>
        <v>362</v>
      </c>
      <c r="M108" s="255">
        <f t="shared" si="51"/>
        <v>24691.358024691359</v>
      </c>
      <c r="N108" s="248">
        <f t="shared" si="52"/>
        <v>543</v>
      </c>
      <c r="O108" s="255">
        <f t="shared" si="53"/>
        <v>24691.358024691359</v>
      </c>
      <c r="P108" s="248">
        <f t="shared" si="54"/>
        <v>905.00000000000011</v>
      </c>
      <c r="Q108" s="255">
        <f t="shared" si="55"/>
        <v>24691.358024691359</v>
      </c>
    </row>
    <row r="109" spans="1:17">
      <c r="A109" s="248"/>
      <c r="B109" s="248">
        <f t="shared" si="42"/>
        <v>9</v>
      </c>
      <c r="C109" s="255">
        <f t="shared" si="43"/>
        <v>13333.33333333333</v>
      </c>
      <c r="D109" s="248">
        <v>18</v>
      </c>
      <c r="E109" s="255">
        <v>13333.33333333333</v>
      </c>
      <c r="F109" s="248">
        <f t="shared" si="44"/>
        <v>36</v>
      </c>
      <c r="G109" s="255">
        <f t="shared" si="45"/>
        <v>13333.33333333333</v>
      </c>
      <c r="H109" s="248">
        <f t="shared" si="46"/>
        <v>90</v>
      </c>
      <c r="I109" s="255">
        <f t="shared" si="47"/>
        <v>13333.33333333333</v>
      </c>
      <c r="J109" s="248">
        <f t="shared" si="48"/>
        <v>180</v>
      </c>
      <c r="K109" s="255">
        <f t="shared" si="49"/>
        <v>13333.33333333333</v>
      </c>
      <c r="L109" s="248">
        <f t="shared" si="50"/>
        <v>360</v>
      </c>
      <c r="M109" s="255">
        <f t="shared" si="51"/>
        <v>13333.33333333333</v>
      </c>
      <c r="N109" s="248">
        <f t="shared" si="52"/>
        <v>540</v>
      </c>
      <c r="O109" s="255">
        <f t="shared" si="53"/>
        <v>13333.33333333333</v>
      </c>
      <c r="P109" s="248">
        <f t="shared" si="54"/>
        <v>900</v>
      </c>
      <c r="Q109" s="255">
        <f t="shared" si="55"/>
        <v>13333.33333333333</v>
      </c>
    </row>
    <row r="110" spans="1:17">
      <c r="A110" s="248"/>
      <c r="B110" s="248">
        <f t="shared" si="42"/>
        <v>8.85</v>
      </c>
      <c r="C110" s="255">
        <f t="shared" si="43"/>
        <v>5000</v>
      </c>
      <c r="D110" s="248">
        <v>17.7</v>
      </c>
      <c r="E110" s="255">
        <v>5000</v>
      </c>
      <c r="F110" s="248">
        <f t="shared" si="44"/>
        <v>35.4</v>
      </c>
      <c r="G110" s="255">
        <f t="shared" si="45"/>
        <v>5000</v>
      </c>
      <c r="H110" s="248">
        <f t="shared" si="46"/>
        <v>88.5</v>
      </c>
      <c r="I110" s="255">
        <f t="shared" si="47"/>
        <v>5000</v>
      </c>
      <c r="J110" s="248">
        <f t="shared" si="48"/>
        <v>177</v>
      </c>
      <c r="K110" s="255">
        <f t="shared" si="49"/>
        <v>5000</v>
      </c>
      <c r="L110" s="248">
        <f t="shared" si="50"/>
        <v>354</v>
      </c>
      <c r="M110" s="255">
        <f t="shared" si="51"/>
        <v>5000</v>
      </c>
      <c r="N110" s="248">
        <f t="shared" si="52"/>
        <v>531</v>
      </c>
      <c r="O110" s="255">
        <f t="shared" si="53"/>
        <v>5000</v>
      </c>
      <c r="P110" s="248">
        <f t="shared" si="54"/>
        <v>885</v>
      </c>
      <c r="Q110" s="255">
        <f t="shared" si="55"/>
        <v>5000</v>
      </c>
    </row>
    <row r="111" spans="1:17">
      <c r="A111" s="248"/>
      <c r="B111" s="248">
        <f t="shared" si="42"/>
        <v>8.6</v>
      </c>
      <c r="C111" s="255">
        <f t="shared" si="43"/>
        <v>3333.333333333333</v>
      </c>
      <c r="D111" s="248">
        <v>17.2</v>
      </c>
      <c r="E111" s="255">
        <v>3333.333333333333</v>
      </c>
      <c r="F111" s="248">
        <f t="shared" si="44"/>
        <v>34.4</v>
      </c>
      <c r="G111" s="255">
        <f t="shared" si="45"/>
        <v>3333.333333333333</v>
      </c>
      <c r="H111" s="248">
        <f t="shared" si="46"/>
        <v>86</v>
      </c>
      <c r="I111" s="255">
        <f t="shared" si="47"/>
        <v>3333.333333333333</v>
      </c>
      <c r="J111" s="248">
        <f t="shared" si="48"/>
        <v>172</v>
      </c>
      <c r="K111" s="255">
        <f t="shared" si="49"/>
        <v>3333.333333333333</v>
      </c>
      <c r="L111" s="248">
        <f t="shared" si="50"/>
        <v>344</v>
      </c>
      <c r="M111" s="255">
        <f t="shared" si="51"/>
        <v>3333.333333333333</v>
      </c>
      <c r="N111" s="248">
        <f t="shared" si="52"/>
        <v>516</v>
      </c>
      <c r="O111" s="255">
        <f t="shared" si="53"/>
        <v>3333.333333333333</v>
      </c>
      <c r="P111" s="248">
        <f t="shared" si="54"/>
        <v>860</v>
      </c>
      <c r="Q111" s="255">
        <f t="shared" si="55"/>
        <v>3333.333333333333</v>
      </c>
    </row>
    <row r="112" spans="1:17">
      <c r="A112" s="248"/>
      <c r="B112" s="248">
        <f t="shared" si="42"/>
        <v>8.5500000000000007</v>
      </c>
      <c r="C112" s="255">
        <f t="shared" si="43"/>
        <v>12500</v>
      </c>
      <c r="D112" s="248">
        <v>17.100000000000001</v>
      </c>
      <c r="E112" s="255">
        <v>12500</v>
      </c>
      <c r="F112" s="248">
        <f t="shared" si="44"/>
        <v>34.200000000000003</v>
      </c>
      <c r="G112" s="255">
        <f t="shared" si="45"/>
        <v>12500</v>
      </c>
      <c r="H112" s="248">
        <f t="shared" si="46"/>
        <v>85.5</v>
      </c>
      <c r="I112" s="255">
        <f t="shared" si="47"/>
        <v>12500</v>
      </c>
      <c r="J112" s="248">
        <f t="shared" si="48"/>
        <v>171</v>
      </c>
      <c r="K112" s="255">
        <f t="shared" si="49"/>
        <v>12500</v>
      </c>
      <c r="L112" s="248">
        <f t="shared" si="50"/>
        <v>342</v>
      </c>
      <c r="M112" s="255">
        <f t="shared" si="51"/>
        <v>12500</v>
      </c>
      <c r="N112" s="248">
        <f t="shared" si="52"/>
        <v>513</v>
      </c>
      <c r="O112" s="255">
        <f t="shared" si="53"/>
        <v>12500</v>
      </c>
      <c r="P112" s="248">
        <f t="shared" si="54"/>
        <v>855.00000000000011</v>
      </c>
      <c r="Q112" s="255">
        <f t="shared" si="55"/>
        <v>12500</v>
      </c>
    </row>
    <row r="113" spans="1:17">
      <c r="A113" s="248"/>
      <c r="B113" s="248">
        <f t="shared" si="42"/>
        <v>8.5</v>
      </c>
      <c r="C113" s="255">
        <f t="shared" si="43"/>
        <v>9302.3255813953492</v>
      </c>
      <c r="D113" s="248">
        <v>17</v>
      </c>
      <c r="E113" s="255">
        <v>9302.3255813953492</v>
      </c>
      <c r="F113" s="248">
        <f t="shared" si="44"/>
        <v>34</v>
      </c>
      <c r="G113" s="255">
        <f t="shared" si="45"/>
        <v>9302.3255813953492</v>
      </c>
      <c r="H113" s="248">
        <f t="shared" si="46"/>
        <v>85</v>
      </c>
      <c r="I113" s="255">
        <f t="shared" si="47"/>
        <v>9302.3255813953492</v>
      </c>
      <c r="J113" s="248">
        <f t="shared" si="48"/>
        <v>170</v>
      </c>
      <c r="K113" s="255">
        <f t="shared" si="49"/>
        <v>9302.3255813953492</v>
      </c>
      <c r="L113" s="248">
        <f t="shared" si="50"/>
        <v>340</v>
      </c>
      <c r="M113" s="255">
        <f t="shared" si="51"/>
        <v>9302.3255813953492</v>
      </c>
      <c r="N113" s="248">
        <f t="shared" si="52"/>
        <v>510</v>
      </c>
      <c r="O113" s="255">
        <f t="shared" si="53"/>
        <v>9302.3255813953492</v>
      </c>
      <c r="P113" s="248">
        <f t="shared" si="54"/>
        <v>850</v>
      </c>
      <c r="Q113" s="255">
        <f t="shared" si="55"/>
        <v>9302.3255813953492</v>
      </c>
    </row>
    <row r="114" spans="1:17">
      <c r="A114" s="248"/>
      <c r="B114" s="248">
        <f t="shared" si="42"/>
        <v>8.35</v>
      </c>
      <c r="C114" s="255">
        <f t="shared" si="43"/>
        <v>20000</v>
      </c>
      <c r="D114" s="248">
        <v>16.7</v>
      </c>
      <c r="E114" s="255">
        <v>20000</v>
      </c>
      <c r="F114" s="248">
        <f t="shared" si="44"/>
        <v>33.4</v>
      </c>
      <c r="G114" s="255">
        <f t="shared" si="45"/>
        <v>20000</v>
      </c>
      <c r="H114" s="248">
        <f t="shared" si="46"/>
        <v>83.5</v>
      </c>
      <c r="I114" s="255">
        <f t="shared" si="47"/>
        <v>20000</v>
      </c>
      <c r="J114" s="248">
        <f t="shared" si="48"/>
        <v>167</v>
      </c>
      <c r="K114" s="255">
        <f t="shared" si="49"/>
        <v>20000</v>
      </c>
      <c r="L114" s="248">
        <f t="shared" si="50"/>
        <v>334</v>
      </c>
      <c r="M114" s="255">
        <f t="shared" si="51"/>
        <v>20000</v>
      </c>
      <c r="N114" s="248">
        <f t="shared" si="52"/>
        <v>501</v>
      </c>
      <c r="O114" s="255">
        <f t="shared" si="53"/>
        <v>20000</v>
      </c>
      <c r="P114" s="248">
        <f t="shared" si="54"/>
        <v>835</v>
      </c>
      <c r="Q114" s="255">
        <f t="shared" si="55"/>
        <v>20000</v>
      </c>
    </row>
    <row r="115" spans="1:17">
      <c r="A115" s="248"/>
      <c r="B115" s="248">
        <f t="shared" si="42"/>
        <v>8</v>
      </c>
      <c r="C115" s="255">
        <f t="shared" si="43"/>
        <v>2869.440459110474</v>
      </c>
      <c r="D115" s="248">
        <v>16</v>
      </c>
      <c r="E115" s="255">
        <v>2869.440459110474</v>
      </c>
      <c r="F115" s="248">
        <f t="shared" si="44"/>
        <v>32</v>
      </c>
      <c r="G115" s="255">
        <f t="shared" si="45"/>
        <v>2869.440459110474</v>
      </c>
      <c r="H115" s="248">
        <f t="shared" si="46"/>
        <v>80</v>
      </c>
      <c r="I115" s="255">
        <f t="shared" si="47"/>
        <v>2869.440459110474</v>
      </c>
      <c r="J115" s="248">
        <f t="shared" si="48"/>
        <v>160</v>
      </c>
      <c r="K115" s="255">
        <f t="shared" si="49"/>
        <v>2869.440459110474</v>
      </c>
      <c r="L115" s="248">
        <f t="shared" si="50"/>
        <v>320</v>
      </c>
      <c r="M115" s="255">
        <f t="shared" si="51"/>
        <v>2869.440459110474</v>
      </c>
      <c r="N115" s="248">
        <f t="shared" si="52"/>
        <v>480</v>
      </c>
      <c r="O115" s="255">
        <f t="shared" si="53"/>
        <v>2869.440459110474</v>
      </c>
      <c r="P115" s="248">
        <f t="shared" si="54"/>
        <v>800</v>
      </c>
      <c r="Q115" s="255">
        <f t="shared" si="55"/>
        <v>2869.440459110474</v>
      </c>
    </row>
    <row r="116" spans="1:17">
      <c r="A116" s="248"/>
      <c r="B116" s="248">
        <f t="shared" si="42"/>
        <v>7.65</v>
      </c>
      <c r="C116" s="255">
        <f t="shared" si="43"/>
        <v>125000</v>
      </c>
      <c r="D116" s="248">
        <v>15.3</v>
      </c>
      <c r="E116" s="255">
        <v>125000</v>
      </c>
      <c r="F116" s="248">
        <f t="shared" si="44"/>
        <v>30.6</v>
      </c>
      <c r="G116" s="255">
        <f t="shared" si="45"/>
        <v>125000</v>
      </c>
      <c r="H116" s="248">
        <f t="shared" si="46"/>
        <v>76.5</v>
      </c>
      <c r="I116" s="255">
        <f t="shared" si="47"/>
        <v>125000</v>
      </c>
      <c r="J116" s="248">
        <f t="shared" si="48"/>
        <v>153</v>
      </c>
      <c r="K116" s="255">
        <f t="shared" si="49"/>
        <v>125000</v>
      </c>
      <c r="L116" s="248">
        <f t="shared" si="50"/>
        <v>306</v>
      </c>
      <c r="M116" s="255">
        <f t="shared" si="51"/>
        <v>125000</v>
      </c>
      <c r="N116" s="248">
        <f t="shared" si="52"/>
        <v>459</v>
      </c>
      <c r="O116" s="255">
        <f t="shared" si="53"/>
        <v>125000</v>
      </c>
      <c r="P116" s="248">
        <f t="shared" si="54"/>
        <v>765</v>
      </c>
      <c r="Q116" s="255">
        <f t="shared" si="55"/>
        <v>125000</v>
      </c>
    </row>
    <row r="117" spans="1:17">
      <c r="A117" s="248"/>
      <c r="B117" s="248">
        <f t="shared" si="42"/>
        <v>7.6</v>
      </c>
      <c r="C117" s="255">
        <f t="shared" si="43"/>
        <v>200000</v>
      </c>
      <c r="D117" s="248">
        <v>15.2</v>
      </c>
      <c r="E117" s="255">
        <v>200000</v>
      </c>
      <c r="F117" s="248">
        <f t="shared" si="44"/>
        <v>30.4</v>
      </c>
      <c r="G117" s="255">
        <f t="shared" si="45"/>
        <v>200000</v>
      </c>
      <c r="H117" s="248">
        <f t="shared" si="46"/>
        <v>76</v>
      </c>
      <c r="I117" s="255">
        <f t="shared" si="47"/>
        <v>200000</v>
      </c>
      <c r="J117" s="248">
        <f t="shared" si="48"/>
        <v>152</v>
      </c>
      <c r="K117" s="255">
        <f t="shared" si="49"/>
        <v>200000</v>
      </c>
      <c r="L117" s="248">
        <f t="shared" si="50"/>
        <v>304</v>
      </c>
      <c r="M117" s="255">
        <f t="shared" si="51"/>
        <v>200000</v>
      </c>
      <c r="N117" s="248">
        <f t="shared" si="52"/>
        <v>456</v>
      </c>
      <c r="O117" s="255">
        <f t="shared" si="53"/>
        <v>200000</v>
      </c>
      <c r="P117" s="248">
        <f t="shared" si="54"/>
        <v>760</v>
      </c>
      <c r="Q117" s="255">
        <f t="shared" si="55"/>
        <v>200000</v>
      </c>
    </row>
    <row r="118" spans="1:17">
      <c r="A118" s="248"/>
      <c r="B118" s="248">
        <f t="shared" si="42"/>
        <v>7.55</v>
      </c>
      <c r="C118" s="255">
        <f t="shared" si="43"/>
        <v>18181.81818181818</v>
      </c>
      <c r="D118" s="248">
        <v>15.1</v>
      </c>
      <c r="E118" s="255">
        <v>18181.81818181818</v>
      </c>
      <c r="F118" s="248">
        <f t="shared" si="44"/>
        <v>30.2</v>
      </c>
      <c r="G118" s="255">
        <f t="shared" si="45"/>
        <v>18181.81818181818</v>
      </c>
      <c r="H118" s="248">
        <f t="shared" si="46"/>
        <v>75.5</v>
      </c>
      <c r="I118" s="255">
        <f t="shared" si="47"/>
        <v>18181.81818181818</v>
      </c>
      <c r="J118" s="248">
        <f t="shared" si="48"/>
        <v>151</v>
      </c>
      <c r="K118" s="255">
        <f t="shared" si="49"/>
        <v>18181.81818181818</v>
      </c>
      <c r="L118" s="248">
        <f t="shared" si="50"/>
        <v>302</v>
      </c>
      <c r="M118" s="255">
        <f t="shared" si="51"/>
        <v>18181.81818181818</v>
      </c>
      <c r="N118" s="248">
        <f t="shared" si="52"/>
        <v>453</v>
      </c>
      <c r="O118" s="255">
        <f t="shared" si="53"/>
        <v>18181.81818181818</v>
      </c>
      <c r="P118" s="248">
        <f t="shared" si="54"/>
        <v>755</v>
      </c>
      <c r="Q118" s="255">
        <f t="shared" si="55"/>
        <v>18181.81818181818</v>
      </c>
    </row>
    <row r="119" spans="1:17">
      <c r="A119" s="248"/>
      <c r="B119" s="248">
        <f t="shared" si="42"/>
        <v>7.5</v>
      </c>
      <c r="C119" s="255">
        <f t="shared" si="43"/>
        <v>195.52253397204029</v>
      </c>
      <c r="D119" s="248">
        <v>15</v>
      </c>
      <c r="E119" s="255">
        <v>195.52253397204029</v>
      </c>
      <c r="F119" s="248">
        <f t="shared" si="44"/>
        <v>30</v>
      </c>
      <c r="G119" s="255">
        <f t="shared" si="45"/>
        <v>195.52253397204029</v>
      </c>
      <c r="H119" s="248">
        <f t="shared" si="46"/>
        <v>75</v>
      </c>
      <c r="I119" s="255">
        <f t="shared" si="47"/>
        <v>195.52253397204029</v>
      </c>
      <c r="J119" s="248">
        <f t="shared" si="48"/>
        <v>150</v>
      </c>
      <c r="K119" s="255">
        <f t="shared" si="49"/>
        <v>195.52253397204029</v>
      </c>
      <c r="L119" s="248">
        <f t="shared" si="50"/>
        <v>300</v>
      </c>
      <c r="M119" s="255">
        <f t="shared" si="51"/>
        <v>195.52253397204029</v>
      </c>
      <c r="N119" s="248">
        <f t="shared" si="52"/>
        <v>450</v>
      </c>
      <c r="O119" s="255">
        <f t="shared" si="53"/>
        <v>195.52253397204029</v>
      </c>
      <c r="P119" s="248">
        <f t="shared" si="54"/>
        <v>750</v>
      </c>
      <c r="Q119" s="255">
        <f t="shared" si="55"/>
        <v>195.52253397204029</v>
      </c>
    </row>
    <row r="120" spans="1:17">
      <c r="A120" s="248"/>
      <c r="B120" s="248">
        <f t="shared" si="42"/>
        <v>7.15</v>
      </c>
      <c r="C120" s="255">
        <f t="shared" si="43"/>
        <v>40000</v>
      </c>
      <c r="D120" s="248">
        <v>14.3</v>
      </c>
      <c r="E120" s="255">
        <v>40000</v>
      </c>
      <c r="F120" s="248">
        <f t="shared" si="44"/>
        <v>28.6</v>
      </c>
      <c r="G120" s="255">
        <f t="shared" si="45"/>
        <v>40000</v>
      </c>
      <c r="H120" s="248">
        <f t="shared" si="46"/>
        <v>71.5</v>
      </c>
      <c r="I120" s="255">
        <f t="shared" si="47"/>
        <v>40000</v>
      </c>
      <c r="J120" s="248">
        <f t="shared" si="48"/>
        <v>143</v>
      </c>
      <c r="K120" s="255">
        <f t="shared" si="49"/>
        <v>40000</v>
      </c>
      <c r="L120" s="248">
        <f t="shared" si="50"/>
        <v>286</v>
      </c>
      <c r="M120" s="255">
        <f t="shared" si="51"/>
        <v>40000</v>
      </c>
      <c r="N120" s="248">
        <f t="shared" si="52"/>
        <v>429</v>
      </c>
      <c r="O120" s="255">
        <f t="shared" si="53"/>
        <v>40000</v>
      </c>
      <c r="P120" s="248">
        <f t="shared" si="54"/>
        <v>715</v>
      </c>
      <c r="Q120" s="255">
        <f t="shared" si="55"/>
        <v>40000</v>
      </c>
    </row>
    <row r="121" spans="1:17">
      <c r="A121" s="248"/>
      <c r="B121" s="248">
        <f t="shared" si="42"/>
        <v>7.1</v>
      </c>
      <c r="C121" s="255">
        <f t="shared" si="43"/>
        <v>40000</v>
      </c>
      <c r="D121" s="248">
        <v>14.2</v>
      </c>
      <c r="E121" s="255">
        <v>40000</v>
      </c>
      <c r="F121" s="248">
        <f t="shared" si="44"/>
        <v>28.4</v>
      </c>
      <c r="G121" s="255">
        <f t="shared" si="45"/>
        <v>40000</v>
      </c>
      <c r="H121" s="248">
        <f t="shared" si="46"/>
        <v>71</v>
      </c>
      <c r="I121" s="255">
        <f t="shared" si="47"/>
        <v>40000</v>
      </c>
      <c r="J121" s="248">
        <f t="shared" si="48"/>
        <v>142</v>
      </c>
      <c r="K121" s="255">
        <f t="shared" si="49"/>
        <v>40000</v>
      </c>
      <c r="L121" s="248">
        <f t="shared" si="50"/>
        <v>284</v>
      </c>
      <c r="M121" s="255">
        <f t="shared" si="51"/>
        <v>40000</v>
      </c>
      <c r="N121" s="248">
        <f t="shared" si="52"/>
        <v>426</v>
      </c>
      <c r="O121" s="255">
        <f t="shared" si="53"/>
        <v>40000</v>
      </c>
      <c r="P121" s="248">
        <f t="shared" si="54"/>
        <v>710</v>
      </c>
      <c r="Q121" s="255">
        <f t="shared" si="55"/>
        <v>40000</v>
      </c>
    </row>
    <row r="122" spans="1:17">
      <c r="A122" s="248"/>
      <c r="B122" s="248">
        <f t="shared" si="42"/>
        <v>7.05</v>
      </c>
      <c r="C122" s="255">
        <f t="shared" si="43"/>
        <v>66666.666666666672</v>
      </c>
      <c r="D122" s="248">
        <v>14.1</v>
      </c>
      <c r="E122" s="255">
        <v>66666.666666666672</v>
      </c>
      <c r="F122" s="248">
        <f t="shared" si="44"/>
        <v>28.2</v>
      </c>
      <c r="G122" s="255">
        <f t="shared" si="45"/>
        <v>66666.666666666672</v>
      </c>
      <c r="H122" s="248">
        <f t="shared" si="46"/>
        <v>70.5</v>
      </c>
      <c r="I122" s="255">
        <f t="shared" si="47"/>
        <v>66666.666666666672</v>
      </c>
      <c r="J122" s="248">
        <f t="shared" si="48"/>
        <v>141</v>
      </c>
      <c r="K122" s="255">
        <f t="shared" si="49"/>
        <v>66666.666666666672</v>
      </c>
      <c r="L122" s="248">
        <f t="shared" si="50"/>
        <v>282</v>
      </c>
      <c r="M122" s="255">
        <f t="shared" si="51"/>
        <v>66666.666666666672</v>
      </c>
      <c r="N122" s="248">
        <f t="shared" si="52"/>
        <v>423</v>
      </c>
      <c r="O122" s="255">
        <f t="shared" si="53"/>
        <v>66666.666666666672</v>
      </c>
      <c r="P122" s="248">
        <f t="shared" si="54"/>
        <v>705</v>
      </c>
      <c r="Q122" s="255">
        <f t="shared" si="55"/>
        <v>66666.666666666672</v>
      </c>
    </row>
    <row r="123" spans="1:17">
      <c r="A123" s="248"/>
      <c r="B123" s="248">
        <f t="shared" si="42"/>
        <v>7</v>
      </c>
      <c r="C123" s="255">
        <f t="shared" si="43"/>
        <v>200000</v>
      </c>
      <c r="D123" s="248">
        <v>14</v>
      </c>
      <c r="E123" s="255">
        <v>200000</v>
      </c>
      <c r="F123" s="248">
        <f t="shared" si="44"/>
        <v>28</v>
      </c>
      <c r="G123" s="255">
        <f t="shared" si="45"/>
        <v>200000</v>
      </c>
      <c r="H123" s="248">
        <f t="shared" si="46"/>
        <v>70</v>
      </c>
      <c r="I123" s="255">
        <f t="shared" si="47"/>
        <v>200000</v>
      </c>
      <c r="J123" s="248">
        <f t="shared" si="48"/>
        <v>140</v>
      </c>
      <c r="K123" s="255">
        <f t="shared" si="49"/>
        <v>200000</v>
      </c>
      <c r="L123" s="248">
        <f t="shared" si="50"/>
        <v>280</v>
      </c>
      <c r="M123" s="255">
        <f t="shared" si="51"/>
        <v>200000</v>
      </c>
      <c r="N123" s="248">
        <f t="shared" si="52"/>
        <v>420</v>
      </c>
      <c r="O123" s="255">
        <f t="shared" si="53"/>
        <v>200000</v>
      </c>
      <c r="P123" s="248">
        <f t="shared" si="54"/>
        <v>700</v>
      </c>
      <c r="Q123" s="255">
        <f t="shared" si="55"/>
        <v>200000</v>
      </c>
    </row>
    <row r="124" spans="1:17">
      <c r="A124" s="248"/>
      <c r="B124" s="248">
        <f t="shared" si="42"/>
        <v>6.9</v>
      </c>
      <c r="C124" s="255">
        <f t="shared" si="43"/>
        <v>74074.074074074073</v>
      </c>
      <c r="D124" s="248">
        <v>13.8</v>
      </c>
      <c r="E124" s="255">
        <v>74074.074074074073</v>
      </c>
      <c r="F124" s="248">
        <f t="shared" si="44"/>
        <v>27.6</v>
      </c>
      <c r="G124" s="255">
        <f t="shared" si="45"/>
        <v>74074.074074074073</v>
      </c>
      <c r="H124" s="248">
        <f t="shared" si="46"/>
        <v>69</v>
      </c>
      <c r="I124" s="255">
        <f t="shared" si="47"/>
        <v>74074.074074074073</v>
      </c>
      <c r="J124" s="248">
        <f t="shared" si="48"/>
        <v>138</v>
      </c>
      <c r="K124" s="255">
        <f t="shared" si="49"/>
        <v>74074.074074074073</v>
      </c>
      <c r="L124" s="248">
        <f t="shared" si="50"/>
        <v>276</v>
      </c>
      <c r="M124" s="255">
        <f t="shared" si="51"/>
        <v>74074.074074074073</v>
      </c>
      <c r="N124" s="248">
        <f t="shared" si="52"/>
        <v>414</v>
      </c>
      <c r="O124" s="255">
        <f t="shared" si="53"/>
        <v>74074.074074074073</v>
      </c>
      <c r="P124" s="248">
        <f t="shared" si="54"/>
        <v>690</v>
      </c>
      <c r="Q124" s="255">
        <f t="shared" si="55"/>
        <v>74074.074074074073</v>
      </c>
    </row>
    <row r="125" spans="1:17">
      <c r="A125" s="248"/>
      <c r="B125" s="248">
        <f t="shared" si="42"/>
        <v>6.85</v>
      </c>
      <c r="C125" s="255">
        <f t="shared" si="43"/>
        <v>4000</v>
      </c>
      <c r="D125" s="248">
        <v>13.7</v>
      </c>
      <c r="E125" s="255">
        <v>4000</v>
      </c>
      <c r="F125" s="248">
        <f t="shared" si="44"/>
        <v>27.4</v>
      </c>
      <c r="G125" s="255">
        <f t="shared" si="45"/>
        <v>4000</v>
      </c>
      <c r="H125" s="248">
        <f t="shared" si="46"/>
        <v>68.5</v>
      </c>
      <c r="I125" s="255">
        <f t="shared" si="47"/>
        <v>4000</v>
      </c>
      <c r="J125" s="248">
        <f t="shared" si="48"/>
        <v>137</v>
      </c>
      <c r="K125" s="255">
        <f t="shared" si="49"/>
        <v>4000</v>
      </c>
      <c r="L125" s="248">
        <f t="shared" si="50"/>
        <v>274</v>
      </c>
      <c r="M125" s="255">
        <f t="shared" si="51"/>
        <v>4000</v>
      </c>
      <c r="N125" s="248">
        <f t="shared" si="52"/>
        <v>411</v>
      </c>
      <c r="O125" s="255">
        <f t="shared" si="53"/>
        <v>4000</v>
      </c>
      <c r="P125" s="248">
        <f t="shared" si="54"/>
        <v>685</v>
      </c>
      <c r="Q125" s="255">
        <f t="shared" si="55"/>
        <v>4000</v>
      </c>
    </row>
    <row r="126" spans="1:17">
      <c r="A126" s="248"/>
      <c r="B126" s="248">
        <f t="shared" si="42"/>
        <v>6.6</v>
      </c>
      <c r="C126" s="255">
        <f t="shared" si="43"/>
        <v>200000</v>
      </c>
      <c r="D126" s="248">
        <v>13.2</v>
      </c>
      <c r="E126" s="255">
        <v>200000</v>
      </c>
      <c r="F126" s="248">
        <f t="shared" si="44"/>
        <v>26.4</v>
      </c>
      <c r="G126" s="255">
        <f t="shared" si="45"/>
        <v>200000</v>
      </c>
      <c r="H126" s="248">
        <f t="shared" si="46"/>
        <v>66</v>
      </c>
      <c r="I126" s="255">
        <f t="shared" si="47"/>
        <v>200000</v>
      </c>
      <c r="J126" s="248">
        <f t="shared" si="48"/>
        <v>132</v>
      </c>
      <c r="K126" s="255">
        <f t="shared" si="49"/>
        <v>200000</v>
      </c>
      <c r="L126" s="248">
        <f t="shared" si="50"/>
        <v>264</v>
      </c>
      <c r="M126" s="255">
        <f t="shared" si="51"/>
        <v>200000</v>
      </c>
      <c r="N126" s="248">
        <f t="shared" si="52"/>
        <v>396</v>
      </c>
      <c r="O126" s="255">
        <f t="shared" si="53"/>
        <v>200000</v>
      </c>
      <c r="P126" s="248">
        <f t="shared" si="54"/>
        <v>660</v>
      </c>
      <c r="Q126" s="255">
        <f t="shared" si="55"/>
        <v>200000</v>
      </c>
    </row>
    <row r="127" spans="1:17">
      <c r="A127" s="248"/>
      <c r="B127" s="248">
        <f t="shared" si="42"/>
        <v>6.5</v>
      </c>
      <c r="C127" s="255">
        <f t="shared" si="43"/>
        <v>15267.17557251908</v>
      </c>
      <c r="D127" s="248">
        <v>13</v>
      </c>
      <c r="E127" s="255">
        <v>15267.17557251908</v>
      </c>
      <c r="F127" s="248">
        <f t="shared" si="44"/>
        <v>26</v>
      </c>
      <c r="G127" s="255">
        <f t="shared" si="45"/>
        <v>15267.17557251908</v>
      </c>
      <c r="H127" s="248">
        <f t="shared" si="46"/>
        <v>65</v>
      </c>
      <c r="I127" s="255">
        <f t="shared" si="47"/>
        <v>15267.17557251908</v>
      </c>
      <c r="J127" s="248">
        <f t="shared" si="48"/>
        <v>130</v>
      </c>
      <c r="K127" s="255">
        <f t="shared" si="49"/>
        <v>15267.17557251908</v>
      </c>
      <c r="L127" s="248">
        <f t="shared" si="50"/>
        <v>260</v>
      </c>
      <c r="M127" s="255">
        <f t="shared" si="51"/>
        <v>15267.17557251908</v>
      </c>
      <c r="N127" s="248">
        <f t="shared" si="52"/>
        <v>390</v>
      </c>
      <c r="O127" s="255">
        <f t="shared" si="53"/>
        <v>15267.17557251908</v>
      </c>
      <c r="P127" s="248">
        <f t="shared" si="54"/>
        <v>650</v>
      </c>
      <c r="Q127" s="255">
        <f t="shared" si="55"/>
        <v>15267.17557251908</v>
      </c>
    </row>
    <row r="128" spans="1:17">
      <c r="A128" s="248"/>
      <c r="B128" s="248">
        <f t="shared" si="42"/>
        <v>6.25</v>
      </c>
      <c r="C128" s="255">
        <f t="shared" si="43"/>
        <v>20000</v>
      </c>
      <c r="D128" s="248">
        <v>12.5</v>
      </c>
      <c r="E128" s="255">
        <v>20000</v>
      </c>
      <c r="F128" s="248">
        <f t="shared" si="44"/>
        <v>25</v>
      </c>
      <c r="G128" s="255">
        <f t="shared" si="45"/>
        <v>20000</v>
      </c>
      <c r="H128" s="248">
        <f t="shared" si="46"/>
        <v>62.5</v>
      </c>
      <c r="I128" s="255">
        <f t="shared" si="47"/>
        <v>20000</v>
      </c>
      <c r="J128" s="248">
        <f t="shared" si="48"/>
        <v>125</v>
      </c>
      <c r="K128" s="255">
        <f t="shared" si="49"/>
        <v>20000</v>
      </c>
      <c r="L128" s="248">
        <f t="shared" si="50"/>
        <v>250</v>
      </c>
      <c r="M128" s="255">
        <f t="shared" si="51"/>
        <v>20000</v>
      </c>
      <c r="N128" s="248">
        <f t="shared" si="52"/>
        <v>375</v>
      </c>
      <c r="O128" s="255">
        <f t="shared" si="53"/>
        <v>20000</v>
      </c>
      <c r="P128" s="248">
        <f t="shared" si="54"/>
        <v>625</v>
      </c>
      <c r="Q128" s="255">
        <f t="shared" si="55"/>
        <v>20000</v>
      </c>
    </row>
    <row r="129" spans="1:17">
      <c r="A129" s="248"/>
      <c r="B129" s="248">
        <f t="shared" si="42"/>
        <v>6.15</v>
      </c>
      <c r="C129" s="255">
        <f t="shared" si="43"/>
        <v>4000</v>
      </c>
      <c r="D129" s="248">
        <v>12.3</v>
      </c>
      <c r="E129" s="255">
        <v>4000</v>
      </c>
      <c r="F129" s="248">
        <f t="shared" si="44"/>
        <v>24.6</v>
      </c>
      <c r="G129" s="255">
        <f t="shared" si="45"/>
        <v>4000</v>
      </c>
      <c r="H129" s="248">
        <f t="shared" si="46"/>
        <v>61.5</v>
      </c>
      <c r="I129" s="255">
        <f t="shared" si="47"/>
        <v>4000</v>
      </c>
      <c r="J129" s="248">
        <f t="shared" si="48"/>
        <v>123</v>
      </c>
      <c r="K129" s="255">
        <f t="shared" si="49"/>
        <v>4000</v>
      </c>
      <c r="L129" s="248">
        <f t="shared" si="50"/>
        <v>246</v>
      </c>
      <c r="M129" s="255">
        <f t="shared" si="51"/>
        <v>4000</v>
      </c>
      <c r="N129" s="248">
        <f t="shared" si="52"/>
        <v>369</v>
      </c>
      <c r="O129" s="255">
        <f t="shared" si="53"/>
        <v>4000</v>
      </c>
      <c r="P129" s="248">
        <f t="shared" si="54"/>
        <v>615</v>
      </c>
      <c r="Q129" s="255">
        <f t="shared" si="55"/>
        <v>4000</v>
      </c>
    </row>
    <row r="130" spans="1:17">
      <c r="A130" s="248"/>
      <c r="B130" s="248">
        <f t="shared" si="42"/>
        <v>6.05</v>
      </c>
      <c r="C130" s="255">
        <f t="shared" si="43"/>
        <v>100000</v>
      </c>
      <c r="D130" s="248">
        <v>12.1</v>
      </c>
      <c r="E130" s="255">
        <v>100000</v>
      </c>
      <c r="F130" s="248">
        <f t="shared" si="44"/>
        <v>24.2</v>
      </c>
      <c r="G130" s="255">
        <f t="shared" si="45"/>
        <v>100000</v>
      </c>
      <c r="H130" s="248">
        <f t="shared" si="46"/>
        <v>60.5</v>
      </c>
      <c r="I130" s="255">
        <f t="shared" si="47"/>
        <v>100000</v>
      </c>
      <c r="J130" s="248">
        <f t="shared" si="48"/>
        <v>121</v>
      </c>
      <c r="K130" s="255">
        <f t="shared" si="49"/>
        <v>100000</v>
      </c>
      <c r="L130" s="248">
        <f t="shared" si="50"/>
        <v>242</v>
      </c>
      <c r="M130" s="255">
        <f t="shared" si="51"/>
        <v>100000</v>
      </c>
      <c r="N130" s="248">
        <f t="shared" si="52"/>
        <v>363</v>
      </c>
      <c r="O130" s="255">
        <f t="shared" si="53"/>
        <v>100000</v>
      </c>
      <c r="P130" s="248">
        <f t="shared" si="54"/>
        <v>605</v>
      </c>
      <c r="Q130" s="255">
        <f t="shared" si="55"/>
        <v>100000</v>
      </c>
    </row>
    <row r="131" spans="1:17">
      <c r="A131" s="248"/>
      <c r="B131" s="248">
        <f t="shared" si="42"/>
        <v>6</v>
      </c>
      <c r="C131" s="255">
        <f t="shared" si="43"/>
        <v>221.68033695411219</v>
      </c>
      <c r="D131" s="248">
        <v>12</v>
      </c>
      <c r="E131" s="255">
        <v>221.68033695411219</v>
      </c>
      <c r="F131" s="248">
        <f t="shared" si="44"/>
        <v>24</v>
      </c>
      <c r="G131" s="255">
        <f t="shared" si="45"/>
        <v>221.68033695411219</v>
      </c>
      <c r="H131" s="248">
        <f t="shared" si="46"/>
        <v>60</v>
      </c>
      <c r="I131" s="255">
        <f t="shared" si="47"/>
        <v>221.68033695411219</v>
      </c>
      <c r="J131" s="248">
        <f t="shared" si="48"/>
        <v>120</v>
      </c>
      <c r="K131" s="255">
        <f t="shared" si="49"/>
        <v>221.68033695411219</v>
      </c>
      <c r="L131" s="248">
        <f t="shared" si="50"/>
        <v>240</v>
      </c>
      <c r="M131" s="255">
        <f t="shared" si="51"/>
        <v>221.68033695411219</v>
      </c>
      <c r="N131" s="248">
        <f t="shared" si="52"/>
        <v>360</v>
      </c>
      <c r="O131" s="255">
        <f t="shared" si="53"/>
        <v>221.68033695411219</v>
      </c>
      <c r="P131" s="248">
        <f t="shared" si="54"/>
        <v>600</v>
      </c>
      <c r="Q131" s="255">
        <f t="shared" si="55"/>
        <v>221.68033695411219</v>
      </c>
    </row>
    <row r="132" spans="1:17">
      <c r="A132" s="248"/>
      <c r="B132" s="248">
        <f t="shared" ref="B132:B163" si="56">$D132*B$1</f>
        <v>5.9</v>
      </c>
      <c r="C132" s="255">
        <f t="shared" ref="C132:C163" si="57">$E132</f>
        <v>3448.275862068966</v>
      </c>
      <c r="D132" s="248">
        <v>11.8</v>
      </c>
      <c r="E132" s="255">
        <v>3448.275862068966</v>
      </c>
      <c r="F132" s="248">
        <f t="shared" ref="F132:F163" si="58">$D132*F$1</f>
        <v>23.6</v>
      </c>
      <c r="G132" s="255">
        <f t="shared" ref="G132:G163" si="59">$E132</f>
        <v>3448.275862068966</v>
      </c>
      <c r="H132" s="248">
        <f t="shared" ref="H132:H163" si="60">$D132*H$1</f>
        <v>59</v>
      </c>
      <c r="I132" s="255">
        <f t="shared" ref="I132:I163" si="61">$E132</f>
        <v>3448.275862068966</v>
      </c>
      <c r="J132" s="248">
        <f t="shared" ref="J132:J163" si="62">$D132*J$1</f>
        <v>118</v>
      </c>
      <c r="K132" s="255">
        <f t="shared" ref="K132:K163" si="63">$E132</f>
        <v>3448.275862068966</v>
      </c>
      <c r="L132" s="248">
        <f t="shared" ref="L132:L163" si="64">$D132*L$1</f>
        <v>236</v>
      </c>
      <c r="M132" s="255">
        <f t="shared" ref="M132:M163" si="65">$E132</f>
        <v>3448.275862068966</v>
      </c>
      <c r="N132" s="248">
        <f t="shared" ref="N132:N163" si="66">$D132*N$1</f>
        <v>354</v>
      </c>
      <c r="O132" s="255">
        <f t="shared" ref="O132:O163" si="67">$E132</f>
        <v>3448.275862068966</v>
      </c>
      <c r="P132" s="248">
        <f t="shared" ref="P132:P163" si="68">$D132*P$1</f>
        <v>590</v>
      </c>
      <c r="Q132" s="255">
        <f t="shared" ref="Q132:Q163" si="69">$E132</f>
        <v>3448.275862068966</v>
      </c>
    </row>
    <row r="133" spans="1:17">
      <c r="A133" s="248"/>
      <c r="B133" s="248">
        <f t="shared" si="56"/>
        <v>5.7</v>
      </c>
      <c r="C133" s="255">
        <f t="shared" si="57"/>
        <v>3333.333333333333</v>
      </c>
      <c r="D133" s="248">
        <v>11.4</v>
      </c>
      <c r="E133" s="255">
        <v>3333.333333333333</v>
      </c>
      <c r="F133" s="248">
        <f t="shared" si="58"/>
        <v>22.8</v>
      </c>
      <c r="G133" s="255">
        <f t="shared" si="59"/>
        <v>3333.333333333333</v>
      </c>
      <c r="H133" s="248">
        <f t="shared" si="60"/>
        <v>57</v>
      </c>
      <c r="I133" s="255">
        <f t="shared" si="61"/>
        <v>3333.333333333333</v>
      </c>
      <c r="J133" s="248">
        <f t="shared" si="62"/>
        <v>114</v>
      </c>
      <c r="K133" s="255">
        <f t="shared" si="63"/>
        <v>3333.333333333333</v>
      </c>
      <c r="L133" s="248">
        <f t="shared" si="64"/>
        <v>228</v>
      </c>
      <c r="M133" s="255">
        <f t="shared" si="65"/>
        <v>3333.333333333333</v>
      </c>
      <c r="N133" s="248">
        <f t="shared" si="66"/>
        <v>342</v>
      </c>
      <c r="O133" s="255">
        <f t="shared" si="67"/>
        <v>3333.333333333333</v>
      </c>
      <c r="P133" s="248">
        <f t="shared" si="68"/>
        <v>570</v>
      </c>
      <c r="Q133" s="255">
        <f t="shared" si="69"/>
        <v>3333.333333333333</v>
      </c>
    </row>
    <row r="134" spans="1:17">
      <c r="A134" s="248"/>
      <c r="B134" s="248">
        <f t="shared" si="56"/>
        <v>5.6</v>
      </c>
      <c r="C134" s="255">
        <f t="shared" si="57"/>
        <v>200000</v>
      </c>
      <c r="D134" s="248">
        <v>11.2</v>
      </c>
      <c r="E134" s="255">
        <v>200000</v>
      </c>
      <c r="F134" s="248">
        <f t="shared" si="58"/>
        <v>22.4</v>
      </c>
      <c r="G134" s="255">
        <f t="shared" si="59"/>
        <v>200000</v>
      </c>
      <c r="H134" s="248">
        <f t="shared" si="60"/>
        <v>56</v>
      </c>
      <c r="I134" s="255">
        <f t="shared" si="61"/>
        <v>200000</v>
      </c>
      <c r="J134" s="248">
        <f t="shared" si="62"/>
        <v>112</v>
      </c>
      <c r="K134" s="255">
        <f t="shared" si="63"/>
        <v>200000</v>
      </c>
      <c r="L134" s="248">
        <f t="shared" si="64"/>
        <v>224</v>
      </c>
      <c r="M134" s="255">
        <f t="shared" si="65"/>
        <v>200000</v>
      </c>
      <c r="N134" s="248">
        <f t="shared" si="66"/>
        <v>336</v>
      </c>
      <c r="O134" s="255">
        <f t="shared" si="67"/>
        <v>200000</v>
      </c>
      <c r="P134" s="248">
        <f t="shared" si="68"/>
        <v>560</v>
      </c>
      <c r="Q134" s="255">
        <f t="shared" si="69"/>
        <v>200000</v>
      </c>
    </row>
    <row r="135" spans="1:17">
      <c r="A135" s="248"/>
      <c r="B135" s="248">
        <f t="shared" si="56"/>
        <v>5.5</v>
      </c>
      <c r="C135" s="255">
        <f t="shared" si="57"/>
        <v>3717.4721189591078</v>
      </c>
      <c r="D135" s="248">
        <v>11</v>
      </c>
      <c r="E135" s="255">
        <v>3717.4721189591078</v>
      </c>
      <c r="F135" s="248">
        <f t="shared" si="58"/>
        <v>22</v>
      </c>
      <c r="G135" s="255">
        <f t="shared" si="59"/>
        <v>3717.4721189591078</v>
      </c>
      <c r="H135" s="248">
        <f t="shared" si="60"/>
        <v>55</v>
      </c>
      <c r="I135" s="255">
        <f t="shared" si="61"/>
        <v>3717.4721189591078</v>
      </c>
      <c r="J135" s="248">
        <f t="shared" si="62"/>
        <v>110</v>
      </c>
      <c r="K135" s="255">
        <f t="shared" si="63"/>
        <v>3717.4721189591078</v>
      </c>
      <c r="L135" s="248">
        <f t="shared" si="64"/>
        <v>220</v>
      </c>
      <c r="M135" s="255">
        <f t="shared" si="65"/>
        <v>3717.4721189591078</v>
      </c>
      <c r="N135" s="248">
        <f t="shared" si="66"/>
        <v>330</v>
      </c>
      <c r="O135" s="255">
        <f t="shared" si="67"/>
        <v>3717.4721189591078</v>
      </c>
      <c r="P135" s="248">
        <f t="shared" si="68"/>
        <v>550</v>
      </c>
      <c r="Q135" s="255">
        <f t="shared" si="69"/>
        <v>3717.4721189591078</v>
      </c>
    </row>
    <row r="136" spans="1:17">
      <c r="A136" s="248"/>
      <c r="B136" s="248">
        <f t="shared" si="56"/>
        <v>5.3</v>
      </c>
      <c r="C136" s="255">
        <f t="shared" si="57"/>
        <v>4000</v>
      </c>
      <c r="D136" s="248">
        <v>10.6</v>
      </c>
      <c r="E136" s="255">
        <v>4000</v>
      </c>
      <c r="F136" s="248">
        <f t="shared" si="58"/>
        <v>21.2</v>
      </c>
      <c r="G136" s="255">
        <f t="shared" si="59"/>
        <v>4000</v>
      </c>
      <c r="H136" s="248">
        <f t="shared" si="60"/>
        <v>53</v>
      </c>
      <c r="I136" s="255">
        <f t="shared" si="61"/>
        <v>4000</v>
      </c>
      <c r="J136" s="248">
        <f t="shared" si="62"/>
        <v>106</v>
      </c>
      <c r="K136" s="255">
        <f t="shared" si="63"/>
        <v>4000</v>
      </c>
      <c r="L136" s="248">
        <f t="shared" si="64"/>
        <v>212</v>
      </c>
      <c r="M136" s="255">
        <f t="shared" si="65"/>
        <v>4000</v>
      </c>
      <c r="N136" s="248">
        <f t="shared" si="66"/>
        <v>318</v>
      </c>
      <c r="O136" s="255">
        <f t="shared" si="67"/>
        <v>4000</v>
      </c>
      <c r="P136" s="248">
        <f t="shared" si="68"/>
        <v>530</v>
      </c>
      <c r="Q136" s="255">
        <f t="shared" si="69"/>
        <v>4000</v>
      </c>
    </row>
    <row r="137" spans="1:17">
      <c r="A137" s="248"/>
      <c r="B137" s="248">
        <f t="shared" si="56"/>
        <v>5.0999999999999996</v>
      </c>
      <c r="C137" s="255">
        <f t="shared" si="57"/>
        <v>40000</v>
      </c>
      <c r="D137" s="248">
        <v>10.199999999999999</v>
      </c>
      <c r="E137" s="255">
        <v>40000</v>
      </c>
      <c r="F137" s="248">
        <f t="shared" si="58"/>
        <v>20.399999999999999</v>
      </c>
      <c r="G137" s="255">
        <f t="shared" si="59"/>
        <v>40000</v>
      </c>
      <c r="H137" s="248">
        <f t="shared" si="60"/>
        <v>51</v>
      </c>
      <c r="I137" s="255">
        <f t="shared" si="61"/>
        <v>40000</v>
      </c>
      <c r="J137" s="248">
        <f t="shared" si="62"/>
        <v>102</v>
      </c>
      <c r="K137" s="255">
        <f t="shared" si="63"/>
        <v>40000</v>
      </c>
      <c r="L137" s="248">
        <f t="shared" si="64"/>
        <v>204</v>
      </c>
      <c r="M137" s="255">
        <f t="shared" si="65"/>
        <v>40000</v>
      </c>
      <c r="N137" s="248">
        <f t="shared" si="66"/>
        <v>306</v>
      </c>
      <c r="O137" s="255">
        <f t="shared" si="67"/>
        <v>40000</v>
      </c>
      <c r="P137" s="248">
        <f t="shared" si="68"/>
        <v>509.99999999999994</v>
      </c>
      <c r="Q137" s="255">
        <f t="shared" si="69"/>
        <v>40000</v>
      </c>
    </row>
    <row r="138" spans="1:17">
      <c r="A138" s="248"/>
      <c r="B138" s="248">
        <f t="shared" si="56"/>
        <v>5.05</v>
      </c>
      <c r="C138" s="255">
        <f t="shared" si="57"/>
        <v>18181.81818181818</v>
      </c>
      <c r="D138" s="248">
        <v>10.1</v>
      </c>
      <c r="E138" s="255">
        <v>18181.81818181818</v>
      </c>
      <c r="F138" s="248">
        <f t="shared" si="58"/>
        <v>20.2</v>
      </c>
      <c r="G138" s="255">
        <f t="shared" si="59"/>
        <v>18181.81818181818</v>
      </c>
      <c r="H138" s="248">
        <f t="shared" si="60"/>
        <v>50.5</v>
      </c>
      <c r="I138" s="255">
        <f t="shared" si="61"/>
        <v>18181.81818181818</v>
      </c>
      <c r="J138" s="248">
        <f t="shared" si="62"/>
        <v>101</v>
      </c>
      <c r="K138" s="255">
        <f t="shared" si="63"/>
        <v>18181.81818181818</v>
      </c>
      <c r="L138" s="248">
        <f t="shared" si="64"/>
        <v>202</v>
      </c>
      <c r="M138" s="255">
        <f t="shared" si="65"/>
        <v>18181.81818181818</v>
      </c>
      <c r="N138" s="248">
        <f t="shared" si="66"/>
        <v>303</v>
      </c>
      <c r="O138" s="255">
        <f t="shared" si="67"/>
        <v>18181.81818181818</v>
      </c>
      <c r="P138" s="248">
        <f t="shared" si="68"/>
        <v>505</v>
      </c>
      <c r="Q138" s="255">
        <f t="shared" si="69"/>
        <v>18181.81818181818</v>
      </c>
    </row>
    <row r="139" spans="1:17">
      <c r="A139" s="248"/>
      <c r="B139" s="248">
        <f t="shared" si="56"/>
        <v>5</v>
      </c>
      <c r="C139" s="255">
        <f t="shared" si="57"/>
        <v>161.77303243549301</v>
      </c>
      <c r="D139" s="248">
        <v>10</v>
      </c>
      <c r="E139" s="255">
        <v>161.77303243549301</v>
      </c>
      <c r="F139" s="248">
        <f t="shared" si="58"/>
        <v>20</v>
      </c>
      <c r="G139" s="255">
        <f t="shared" si="59"/>
        <v>161.77303243549301</v>
      </c>
      <c r="H139" s="248">
        <f t="shared" si="60"/>
        <v>50</v>
      </c>
      <c r="I139" s="255">
        <f t="shared" si="61"/>
        <v>161.77303243549301</v>
      </c>
      <c r="J139" s="248">
        <f t="shared" si="62"/>
        <v>100</v>
      </c>
      <c r="K139" s="255">
        <f t="shared" si="63"/>
        <v>161.77303243549301</v>
      </c>
      <c r="L139" s="248">
        <f t="shared" si="64"/>
        <v>200</v>
      </c>
      <c r="M139" s="255">
        <f t="shared" si="65"/>
        <v>161.77303243549301</v>
      </c>
      <c r="N139" s="248">
        <f t="shared" si="66"/>
        <v>300</v>
      </c>
      <c r="O139" s="255">
        <f t="shared" si="67"/>
        <v>161.77303243549301</v>
      </c>
      <c r="P139" s="248">
        <f t="shared" si="68"/>
        <v>500</v>
      </c>
      <c r="Q139" s="255">
        <f t="shared" si="69"/>
        <v>161.77303243549301</v>
      </c>
    </row>
    <row r="140" spans="1:17">
      <c r="A140" s="248"/>
      <c r="B140" s="248">
        <f t="shared" si="56"/>
        <v>4.75</v>
      </c>
      <c r="C140" s="255">
        <f t="shared" si="57"/>
        <v>200000</v>
      </c>
      <c r="D140" s="248">
        <v>9.5</v>
      </c>
      <c r="E140" s="255">
        <v>200000</v>
      </c>
      <c r="F140" s="248">
        <f t="shared" si="58"/>
        <v>19</v>
      </c>
      <c r="G140" s="255">
        <f t="shared" si="59"/>
        <v>200000</v>
      </c>
      <c r="H140" s="248">
        <f t="shared" si="60"/>
        <v>47.5</v>
      </c>
      <c r="I140" s="255">
        <f t="shared" si="61"/>
        <v>200000</v>
      </c>
      <c r="J140" s="248">
        <f t="shared" si="62"/>
        <v>95</v>
      </c>
      <c r="K140" s="255">
        <f t="shared" si="63"/>
        <v>200000</v>
      </c>
      <c r="L140" s="248">
        <f t="shared" si="64"/>
        <v>190</v>
      </c>
      <c r="M140" s="255">
        <f t="shared" si="65"/>
        <v>200000</v>
      </c>
      <c r="N140" s="248">
        <f t="shared" si="66"/>
        <v>285</v>
      </c>
      <c r="O140" s="255">
        <f t="shared" si="67"/>
        <v>200000</v>
      </c>
      <c r="P140" s="248">
        <f t="shared" si="68"/>
        <v>475</v>
      </c>
      <c r="Q140" s="255">
        <f t="shared" si="69"/>
        <v>200000</v>
      </c>
    </row>
    <row r="141" spans="1:17">
      <c r="A141" s="248"/>
      <c r="B141" s="248">
        <f t="shared" si="56"/>
        <v>4.55</v>
      </c>
      <c r="C141" s="255">
        <f t="shared" si="57"/>
        <v>47619.047619047618</v>
      </c>
      <c r="D141" s="248">
        <v>9.1</v>
      </c>
      <c r="E141" s="255">
        <v>47619.047619047618</v>
      </c>
      <c r="F141" s="248">
        <f t="shared" si="58"/>
        <v>18.2</v>
      </c>
      <c r="G141" s="255">
        <f t="shared" si="59"/>
        <v>47619.047619047618</v>
      </c>
      <c r="H141" s="248">
        <f t="shared" si="60"/>
        <v>45.5</v>
      </c>
      <c r="I141" s="255">
        <f t="shared" si="61"/>
        <v>47619.047619047618</v>
      </c>
      <c r="J141" s="248">
        <f t="shared" si="62"/>
        <v>91</v>
      </c>
      <c r="K141" s="255">
        <f t="shared" si="63"/>
        <v>47619.047619047618</v>
      </c>
      <c r="L141" s="248">
        <f t="shared" si="64"/>
        <v>182</v>
      </c>
      <c r="M141" s="255">
        <f t="shared" si="65"/>
        <v>47619.047619047618</v>
      </c>
      <c r="N141" s="248">
        <f t="shared" si="66"/>
        <v>273</v>
      </c>
      <c r="O141" s="255">
        <f t="shared" si="67"/>
        <v>47619.047619047618</v>
      </c>
      <c r="P141" s="248">
        <f t="shared" si="68"/>
        <v>455</v>
      </c>
      <c r="Q141" s="255">
        <f t="shared" si="69"/>
        <v>47619.047619047618</v>
      </c>
    </row>
    <row r="142" spans="1:17">
      <c r="A142" s="248"/>
      <c r="B142" s="248">
        <f t="shared" si="56"/>
        <v>4.3499999999999996</v>
      </c>
      <c r="C142" s="255">
        <f t="shared" si="57"/>
        <v>27777.777777777781</v>
      </c>
      <c r="D142" s="248">
        <v>8.6999999999999993</v>
      </c>
      <c r="E142" s="255">
        <v>27777.777777777781</v>
      </c>
      <c r="F142" s="248">
        <f t="shared" si="58"/>
        <v>17.399999999999999</v>
      </c>
      <c r="G142" s="255">
        <f t="shared" si="59"/>
        <v>27777.777777777781</v>
      </c>
      <c r="H142" s="248">
        <f t="shared" si="60"/>
        <v>43.5</v>
      </c>
      <c r="I142" s="255">
        <f t="shared" si="61"/>
        <v>27777.777777777781</v>
      </c>
      <c r="J142" s="248">
        <f t="shared" si="62"/>
        <v>87</v>
      </c>
      <c r="K142" s="255">
        <f t="shared" si="63"/>
        <v>27777.777777777781</v>
      </c>
      <c r="L142" s="248">
        <f t="shared" si="64"/>
        <v>174</v>
      </c>
      <c r="M142" s="255">
        <f t="shared" si="65"/>
        <v>27777.777777777781</v>
      </c>
      <c r="N142" s="248">
        <f t="shared" si="66"/>
        <v>261</v>
      </c>
      <c r="O142" s="255">
        <f t="shared" si="67"/>
        <v>27777.777777777781</v>
      </c>
      <c r="P142" s="248">
        <f t="shared" si="68"/>
        <v>434.99999999999994</v>
      </c>
      <c r="Q142" s="255">
        <f t="shared" si="69"/>
        <v>27777.777777777781</v>
      </c>
    </row>
    <row r="143" spans="1:17">
      <c r="A143" s="248"/>
      <c r="B143" s="248">
        <f t="shared" si="56"/>
        <v>4.0999999999999996</v>
      </c>
      <c r="C143" s="255">
        <f t="shared" si="57"/>
        <v>200000</v>
      </c>
      <c r="D143" s="248">
        <v>8.1999999999999993</v>
      </c>
      <c r="E143" s="255">
        <v>200000</v>
      </c>
      <c r="F143" s="248">
        <f t="shared" si="58"/>
        <v>16.399999999999999</v>
      </c>
      <c r="G143" s="255">
        <f t="shared" si="59"/>
        <v>200000</v>
      </c>
      <c r="H143" s="248">
        <f t="shared" si="60"/>
        <v>41</v>
      </c>
      <c r="I143" s="255">
        <f t="shared" si="61"/>
        <v>200000</v>
      </c>
      <c r="J143" s="248">
        <f t="shared" si="62"/>
        <v>82</v>
      </c>
      <c r="K143" s="255">
        <f t="shared" si="63"/>
        <v>200000</v>
      </c>
      <c r="L143" s="248">
        <f t="shared" si="64"/>
        <v>164</v>
      </c>
      <c r="M143" s="255">
        <f t="shared" si="65"/>
        <v>200000</v>
      </c>
      <c r="N143" s="248">
        <f t="shared" si="66"/>
        <v>245.99999999999997</v>
      </c>
      <c r="O143" s="255">
        <f t="shared" si="67"/>
        <v>200000</v>
      </c>
      <c r="P143" s="248">
        <f t="shared" si="68"/>
        <v>409.99999999999994</v>
      </c>
      <c r="Q143" s="255">
        <f t="shared" si="69"/>
        <v>200000</v>
      </c>
    </row>
    <row r="144" spans="1:17">
      <c r="A144" s="248"/>
      <c r="B144" s="248">
        <f t="shared" si="56"/>
        <v>4</v>
      </c>
      <c r="C144" s="255">
        <f t="shared" si="57"/>
        <v>193.18072056408769</v>
      </c>
      <c r="D144" s="248">
        <v>8</v>
      </c>
      <c r="E144" s="255">
        <v>193.18072056408769</v>
      </c>
      <c r="F144" s="248">
        <f t="shared" si="58"/>
        <v>16</v>
      </c>
      <c r="G144" s="255">
        <f t="shared" si="59"/>
        <v>193.18072056408769</v>
      </c>
      <c r="H144" s="248">
        <f t="shared" si="60"/>
        <v>40</v>
      </c>
      <c r="I144" s="255">
        <f t="shared" si="61"/>
        <v>193.18072056408769</v>
      </c>
      <c r="J144" s="248">
        <f t="shared" si="62"/>
        <v>80</v>
      </c>
      <c r="K144" s="255">
        <f t="shared" si="63"/>
        <v>193.18072056408769</v>
      </c>
      <c r="L144" s="248">
        <f t="shared" si="64"/>
        <v>160</v>
      </c>
      <c r="M144" s="255">
        <f t="shared" si="65"/>
        <v>193.18072056408769</v>
      </c>
      <c r="N144" s="248">
        <f t="shared" si="66"/>
        <v>240</v>
      </c>
      <c r="O144" s="255">
        <f t="shared" si="67"/>
        <v>193.18072056408769</v>
      </c>
      <c r="P144" s="248">
        <f t="shared" si="68"/>
        <v>400</v>
      </c>
      <c r="Q144" s="255">
        <f t="shared" si="69"/>
        <v>193.18072056408769</v>
      </c>
    </row>
    <row r="145" spans="1:17">
      <c r="A145" s="248"/>
      <c r="B145" s="248">
        <f t="shared" si="56"/>
        <v>3.75</v>
      </c>
      <c r="C145" s="255">
        <f t="shared" si="57"/>
        <v>40000</v>
      </c>
      <c r="D145" s="248">
        <v>7.5</v>
      </c>
      <c r="E145" s="255">
        <v>40000</v>
      </c>
      <c r="F145" s="248">
        <f t="shared" si="58"/>
        <v>15</v>
      </c>
      <c r="G145" s="255">
        <f t="shared" si="59"/>
        <v>40000</v>
      </c>
      <c r="H145" s="248">
        <f t="shared" si="60"/>
        <v>37.5</v>
      </c>
      <c r="I145" s="255">
        <f t="shared" si="61"/>
        <v>40000</v>
      </c>
      <c r="J145" s="248">
        <f t="shared" si="62"/>
        <v>75</v>
      </c>
      <c r="K145" s="255">
        <f t="shared" si="63"/>
        <v>40000</v>
      </c>
      <c r="L145" s="248">
        <f t="shared" si="64"/>
        <v>150</v>
      </c>
      <c r="M145" s="255">
        <f t="shared" si="65"/>
        <v>40000</v>
      </c>
      <c r="N145" s="248">
        <f t="shared" si="66"/>
        <v>225</v>
      </c>
      <c r="O145" s="255">
        <f t="shared" si="67"/>
        <v>40000</v>
      </c>
      <c r="P145" s="248">
        <f t="shared" si="68"/>
        <v>375</v>
      </c>
      <c r="Q145" s="255">
        <f t="shared" si="69"/>
        <v>40000</v>
      </c>
    </row>
    <row r="146" spans="1:17">
      <c r="A146" s="248"/>
      <c r="B146" s="248">
        <f t="shared" si="56"/>
        <v>3.6</v>
      </c>
      <c r="C146" s="255">
        <f t="shared" si="57"/>
        <v>200000</v>
      </c>
      <c r="D146" s="248">
        <v>7.2</v>
      </c>
      <c r="E146" s="255">
        <v>200000</v>
      </c>
      <c r="F146" s="248">
        <f t="shared" si="58"/>
        <v>14.4</v>
      </c>
      <c r="G146" s="255">
        <f t="shared" si="59"/>
        <v>200000</v>
      </c>
      <c r="H146" s="248">
        <f t="shared" si="60"/>
        <v>36</v>
      </c>
      <c r="I146" s="255">
        <f t="shared" si="61"/>
        <v>200000</v>
      </c>
      <c r="J146" s="248">
        <f t="shared" si="62"/>
        <v>72</v>
      </c>
      <c r="K146" s="255">
        <f t="shared" si="63"/>
        <v>200000</v>
      </c>
      <c r="L146" s="248">
        <f t="shared" si="64"/>
        <v>144</v>
      </c>
      <c r="M146" s="255">
        <f t="shared" si="65"/>
        <v>200000</v>
      </c>
      <c r="N146" s="248">
        <f t="shared" si="66"/>
        <v>216</v>
      </c>
      <c r="O146" s="255">
        <f t="shared" si="67"/>
        <v>200000</v>
      </c>
      <c r="P146" s="248">
        <f t="shared" si="68"/>
        <v>360</v>
      </c>
      <c r="Q146" s="255">
        <f t="shared" si="69"/>
        <v>200000</v>
      </c>
    </row>
    <row r="147" spans="1:17">
      <c r="A147" s="248"/>
      <c r="B147" s="248">
        <f t="shared" si="56"/>
        <v>3.55</v>
      </c>
      <c r="C147" s="255">
        <f t="shared" si="57"/>
        <v>200000</v>
      </c>
      <c r="D147" s="248">
        <v>7.1</v>
      </c>
      <c r="E147" s="255">
        <v>200000</v>
      </c>
      <c r="F147" s="248">
        <f t="shared" si="58"/>
        <v>14.2</v>
      </c>
      <c r="G147" s="255">
        <f t="shared" si="59"/>
        <v>200000</v>
      </c>
      <c r="H147" s="248">
        <f t="shared" si="60"/>
        <v>35.5</v>
      </c>
      <c r="I147" s="255">
        <f t="shared" si="61"/>
        <v>200000</v>
      </c>
      <c r="J147" s="248">
        <f t="shared" si="62"/>
        <v>71</v>
      </c>
      <c r="K147" s="255">
        <f t="shared" si="63"/>
        <v>200000</v>
      </c>
      <c r="L147" s="248">
        <f t="shared" si="64"/>
        <v>142</v>
      </c>
      <c r="M147" s="255">
        <f t="shared" si="65"/>
        <v>200000</v>
      </c>
      <c r="N147" s="248">
        <f t="shared" si="66"/>
        <v>213</v>
      </c>
      <c r="O147" s="255">
        <f t="shared" si="67"/>
        <v>200000</v>
      </c>
      <c r="P147" s="248">
        <f t="shared" si="68"/>
        <v>355</v>
      </c>
      <c r="Q147" s="255">
        <f t="shared" si="69"/>
        <v>200000</v>
      </c>
    </row>
    <row r="148" spans="1:17">
      <c r="A148" s="248"/>
      <c r="B148" s="248">
        <f t="shared" si="56"/>
        <v>3.5</v>
      </c>
      <c r="C148" s="255">
        <f t="shared" si="57"/>
        <v>16666.666666666672</v>
      </c>
      <c r="D148" s="248">
        <v>7</v>
      </c>
      <c r="E148" s="255">
        <v>16666.666666666672</v>
      </c>
      <c r="F148" s="248">
        <f t="shared" si="58"/>
        <v>14</v>
      </c>
      <c r="G148" s="255">
        <f t="shared" si="59"/>
        <v>16666.666666666672</v>
      </c>
      <c r="H148" s="248">
        <f t="shared" si="60"/>
        <v>35</v>
      </c>
      <c r="I148" s="255">
        <f t="shared" si="61"/>
        <v>16666.666666666672</v>
      </c>
      <c r="J148" s="248">
        <f t="shared" si="62"/>
        <v>70</v>
      </c>
      <c r="K148" s="255">
        <f t="shared" si="63"/>
        <v>16666.666666666672</v>
      </c>
      <c r="L148" s="248">
        <f t="shared" si="64"/>
        <v>140</v>
      </c>
      <c r="M148" s="255">
        <f t="shared" si="65"/>
        <v>16666.666666666672</v>
      </c>
      <c r="N148" s="248">
        <f t="shared" si="66"/>
        <v>210</v>
      </c>
      <c r="O148" s="255">
        <f t="shared" si="67"/>
        <v>16666.666666666672</v>
      </c>
      <c r="P148" s="248">
        <f t="shared" si="68"/>
        <v>350</v>
      </c>
      <c r="Q148" s="255">
        <f t="shared" si="69"/>
        <v>16666.666666666672</v>
      </c>
    </row>
    <row r="149" spans="1:17">
      <c r="A149" s="248"/>
      <c r="B149" s="248">
        <f t="shared" si="56"/>
        <v>3.25</v>
      </c>
      <c r="C149" s="255">
        <f t="shared" si="57"/>
        <v>200000</v>
      </c>
      <c r="D149" s="248">
        <v>6.5</v>
      </c>
      <c r="E149" s="255">
        <v>200000</v>
      </c>
      <c r="F149" s="248">
        <f t="shared" si="58"/>
        <v>13</v>
      </c>
      <c r="G149" s="255">
        <f t="shared" si="59"/>
        <v>200000</v>
      </c>
      <c r="H149" s="248">
        <f t="shared" si="60"/>
        <v>32.5</v>
      </c>
      <c r="I149" s="255">
        <f t="shared" si="61"/>
        <v>200000</v>
      </c>
      <c r="J149" s="248">
        <f t="shared" si="62"/>
        <v>65</v>
      </c>
      <c r="K149" s="255">
        <f t="shared" si="63"/>
        <v>200000</v>
      </c>
      <c r="L149" s="248">
        <f t="shared" si="64"/>
        <v>130</v>
      </c>
      <c r="M149" s="255">
        <f t="shared" si="65"/>
        <v>200000</v>
      </c>
      <c r="N149" s="248">
        <f t="shared" si="66"/>
        <v>195</v>
      </c>
      <c r="O149" s="255">
        <f t="shared" si="67"/>
        <v>200000</v>
      </c>
      <c r="P149" s="248">
        <f t="shared" si="68"/>
        <v>325</v>
      </c>
      <c r="Q149" s="255">
        <f t="shared" si="69"/>
        <v>200000</v>
      </c>
    </row>
    <row r="150" spans="1:17">
      <c r="A150" s="248"/>
      <c r="B150" s="248">
        <f t="shared" si="56"/>
        <v>3.05</v>
      </c>
      <c r="C150" s="255">
        <f t="shared" si="57"/>
        <v>20000</v>
      </c>
      <c r="D150" s="248">
        <v>6.1</v>
      </c>
      <c r="E150" s="255">
        <v>20000</v>
      </c>
      <c r="F150" s="248">
        <f t="shared" si="58"/>
        <v>12.2</v>
      </c>
      <c r="G150" s="255">
        <f t="shared" si="59"/>
        <v>20000</v>
      </c>
      <c r="H150" s="248">
        <f t="shared" si="60"/>
        <v>30.5</v>
      </c>
      <c r="I150" s="255">
        <f t="shared" si="61"/>
        <v>20000</v>
      </c>
      <c r="J150" s="248">
        <f t="shared" si="62"/>
        <v>61</v>
      </c>
      <c r="K150" s="255">
        <f t="shared" si="63"/>
        <v>20000</v>
      </c>
      <c r="L150" s="248">
        <f t="shared" si="64"/>
        <v>122</v>
      </c>
      <c r="M150" s="255">
        <f t="shared" si="65"/>
        <v>20000</v>
      </c>
      <c r="N150" s="248">
        <f t="shared" si="66"/>
        <v>183</v>
      </c>
      <c r="O150" s="255">
        <f t="shared" si="67"/>
        <v>20000</v>
      </c>
      <c r="P150" s="248">
        <f t="shared" si="68"/>
        <v>305</v>
      </c>
      <c r="Q150" s="255">
        <f t="shared" si="69"/>
        <v>20000</v>
      </c>
    </row>
    <row r="151" spans="1:17">
      <c r="A151" s="248"/>
      <c r="B151" s="248">
        <f t="shared" si="56"/>
        <v>3</v>
      </c>
      <c r="C151" s="255">
        <f t="shared" si="57"/>
        <v>10638.297872340419</v>
      </c>
      <c r="D151" s="248">
        <v>6</v>
      </c>
      <c r="E151" s="255">
        <v>10638.297872340419</v>
      </c>
      <c r="F151" s="248">
        <f t="shared" si="58"/>
        <v>12</v>
      </c>
      <c r="G151" s="255">
        <f t="shared" si="59"/>
        <v>10638.297872340419</v>
      </c>
      <c r="H151" s="248">
        <f t="shared" si="60"/>
        <v>30</v>
      </c>
      <c r="I151" s="255">
        <f t="shared" si="61"/>
        <v>10638.297872340419</v>
      </c>
      <c r="J151" s="248">
        <f t="shared" si="62"/>
        <v>60</v>
      </c>
      <c r="K151" s="255">
        <f t="shared" si="63"/>
        <v>10638.297872340419</v>
      </c>
      <c r="L151" s="248">
        <f t="shared" si="64"/>
        <v>120</v>
      </c>
      <c r="M151" s="255">
        <f t="shared" si="65"/>
        <v>10638.297872340419</v>
      </c>
      <c r="N151" s="248">
        <f t="shared" si="66"/>
        <v>180</v>
      </c>
      <c r="O151" s="255">
        <f t="shared" si="67"/>
        <v>10638.297872340419</v>
      </c>
      <c r="P151" s="248">
        <f t="shared" si="68"/>
        <v>300</v>
      </c>
      <c r="Q151" s="255">
        <f t="shared" si="69"/>
        <v>10638.297872340419</v>
      </c>
    </row>
    <row r="152" spans="1:17">
      <c r="A152" s="248"/>
      <c r="B152" s="248">
        <f t="shared" si="56"/>
        <v>2.9000000000000004</v>
      </c>
      <c r="C152" s="255">
        <f t="shared" si="57"/>
        <v>40000</v>
      </c>
      <c r="D152" s="248">
        <v>5.8000000000000007</v>
      </c>
      <c r="E152" s="255">
        <v>40000</v>
      </c>
      <c r="F152" s="248">
        <f t="shared" si="58"/>
        <v>11.600000000000001</v>
      </c>
      <c r="G152" s="255">
        <f t="shared" si="59"/>
        <v>40000</v>
      </c>
      <c r="H152" s="248">
        <f t="shared" si="60"/>
        <v>29.000000000000004</v>
      </c>
      <c r="I152" s="255">
        <f t="shared" si="61"/>
        <v>40000</v>
      </c>
      <c r="J152" s="248">
        <f t="shared" si="62"/>
        <v>58.000000000000007</v>
      </c>
      <c r="K152" s="255">
        <f t="shared" si="63"/>
        <v>40000</v>
      </c>
      <c r="L152" s="248">
        <f t="shared" si="64"/>
        <v>116.00000000000001</v>
      </c>
      <c r="M152" s="255">
        <f t="shared" si="65"/>
        <v>40000</v>
      </c>
      <c r="N152" s="248">
        <f t="shared" si="66"/>
        <v>174.00000000000003</v>
      </c>
      <c r="O152" s="255">
        <f t="shared" si="67"/>
        <v>40000</v>
      </c>
      <c r="P152" s="248">
        <f t="shared" si="68"/>
        <v>290.00000000000006</v>
      </c>
      <c r="Q152" s="255">
        <f t="shared" si="69"/>
        <v>40000</v>
      </c>
    </row>
    <row r="153" spans="1:17">
      <c r="A153" s="248"/>
      <c r="B153" s="248">
        <f t="shared" si="56"/>
        <v>2.75</v>
      </c>
      <c r="C153" s="255">
        <f t="shared" si="57"/>
        <v>13793.103448275861</v>
      </c>
      <c r="D153" s="248">
        <v>5.5</v>
      </c>
      <c r="E153" s="255">
        <v>13793.103448275861</v>
      </c>
      <c r="F153" s="248">
        <f t="shared" si="58"/>
        <v>11</v>
      </c>
      <c r="G153" s="255">
        <f t="shared" si="59"/>
        <v>13793.103448275861</v>
      </c>
      <c r="H153" s="248">
        <f t="shared" si="60"/>
        <v>27.5</v>
      </c>
      <c r="I153" s="255">
        <f t="shared" si="61"/>
        <v>13793.103448275861</v>
      </c>
      <c r="J153" s="248">
        <f t="shared" si="62"/>
        <v>55</v>
      </c>
      <c r="K153" s="255">
        <f t="shared" si="63"/>
        <v>13793.103448275861</v>
      </c>
      <c r="L153" s="248">
        <f t="shared" si="64"/>
        <v>110</v>
      </c>
      <c r="M153" s="255">
        <f t="shared" si="65"/>
        <v>13793.103448275861</v>
      </c>
      <c r="N153" s="248">
        <f t="shared" si="66"/>
        <v>165</v>
      </c>
      <c r="O153" s="255">
        <f t="shared" si="67"/>
        <v>13793.103448275861</v>
      </c>
      <c r="P153" s="248">
        <f t="shared" si="68"/>
        <v>275</v>
      </c>
      <c r="Q153" s="255">
        <f t="shared" si="69"/>
        <v>13793.103448275861</v>
      </c>
    </row>
    <row r="154" spans="1:17">
      <c r="A154" s="248"/>
      <c r="B154" s="248">
        <f t="shared" si="56"/>
        <v>2.6500000000000004</v>
      </c>
      <c r="C154" s="255">
        <f t="shared" si="57"/>
        <v>200000</v>
      </c>
      <c r="D154" s="248">
        <v>5.3000000000000007</v>
      </c>
      <c r="E154" s="255">
        <v>200000</v>
      </c>
      <c r="F154" s="248">
        <f t="shared" si="58"/>
        <v>10.600000000000001</v>
      </c>
      <c r="G154" s="255">
        <f t="shared" si="59"/>
        <v>200000</v>
      </c>
      <c r="H154" s="248">
        <f t="shared" si="60"/>
        <v>26.500000000000004</v>
      </c>
      <c r="I154" s="255">
        <f t="shared" si="61"/>
        <v>200000</v>
      </c>
      <c r="J154" s="248">
        <f t="shared" si="62"/>
        <v>53.000000000000007</v>
      </c>
      <c r="K154" s="255">
        <f t="shared" si="63"/>
        <v>200000</v>
      </c>
      <c r="L154" s="248">
        <f t="shared" si="64"/>
        <v>106.00000000000001</v>
      </c>
      <c r="M154" s="255">
        <f t="shared" si="65"/>
        <v>200000</v>
      </c>
      <c r="N154" s="248">
        <f t="shared" si="66"/>
        <v>159.00000000000003</v>
      </c>
      <c r="O154" s="255">
        <f t="shared" si="67"/>
        <v>200000</v>
      </c>
      <c r="P154" s="248">
        <f t="shared" si="68"/>
        <v>265.00000000000006</v>
      </c>
      <c r="Q154" s="255">
        <f t="shared" si="69"/>
        <v>200000</v>
      </c>
    </row>
    <row r="155" spans="1:17">
      <c r="A155" s="248"/>
      <c r="B155" s="248">
        <f t="shared" si="56"/>
        <v>2.6</v>
      </c>
      <c r="C155" s="255">
        <f t="shared" si="57"/>
        <v>20000</v>
      </c>
      <c r="D155" s="248">
        <v>5.2</v>
      </c>
      <c r="E155" s="255">
        <v>20000</v>
      </c>
      <c r="F155" s="248">
        <f t="shared" si="58"/>
        <v>10.4</v>
      </c>
      <c r="G155" s="255">
        <f t="shared" si="59"/>
        <v>20000</v>
      </c>
      <c r="H155" s="248">
        <f t="shared" si="60"/>
        <v>26</v>
      </c>
      <c r="I155" s="255">
        <f t="shared" si="61"/>
        <v>20000</v>
      </c>
      <c r="J155" s="248">
        <f t="shared" si="62"/>
        <v>52</v>
      </c>
      <c r="K155" s="255">
        <f t="shared" si="63"/>
        <v>20000</v>
      </c>
      <c r="L155" s="248">
        <f t="shared" si="64"/>
        <v>104</v>
      </c>
      <c r="M155" s="255">
        <f t="shared" si="65"/>
        <v>20000</v>
      </c>
      <c r="N155" s="248">
        <f t="shared" si="66"/>
        <v>156</v>
      </c>
      <c r="O155" s="255">
        <f t="shared" si="67"/>
        <v>20000</v>
      </c>
      <c r="P155" s="248">
        <f t="shared" si="68"/>
        <v>260</v>
      </c>
      <c r="Q155" s="255">
        <f t="shared" si="69"/>
        <v>20000</v>
      </c>
    </row>
    <row r="156" spans="1:17">
      <c r="A156" s="248"/>
      <c r="B156" s="248">
        <f t="shared" si="56"/>
        <v>2.5499999999999998</v>
      </c>
      <c r="C156" s="255">
        <f t="shared" si="57"/>
        <v>200000</v>
      </c>
      <c r="D156" s="248">
        <v>5.0999999999999996</v>
      </c>
      <c r="E156" s="255">
        <v>200000</v>
      </c>
      <c r="F156" s="248">
        <f t="shared" si="58"/>
        <v>10.199999999999999</v>
      </c>
      <c r="G156" s="255">
        <f t="shared" si="59"/>
        <v>200000</v>
      </c>
      <c r="H156" s="248">
        <f t="shared" si="60"/>
        <v>25.5</v>
      </c>
      <c r="I156" s="255">
        <f t="shared" si="61"/>
        <v>200000</v>
      </c>
      <c r="J156" s="248">
        <f t="shared" si="62"/>
        <v>51</v>
      </c>
      <c r="K156" s="255">
        <f t="shared" si="63"/>
        <v>200000</v>
      </c>
      <c r="L156" s="248">
        <f t="shared" si="64"/>
        <v>102</v>
      </c>
      <c r="M156" s="255">
        <f t="shared" si="65"/>
        <v>200000</v>
      </c>
      <c r="N156" s="248">
        <f t="shared" si="66"/>
        <v>153</v>
      </c>
      <c r="O156" s="255">
        <f t="shared" si="67"/>
        <v>200000</v>
      </c>
      <c r="P156" s="248">
        <f t="shared" si="68"/>
        <v>254.99999999999997</v>
      </c>
      <c r="Q156" s="255">
        <f t="shared" si="69"/>
        <v>200000</v>
      </c>
    </row>
    <row r="157" spans="1:17">
      <c r="A157" s="248"/>
      <c r="B157" s="248">
        <f t="shared" si="56"/>
        <v>2.5</v>
      </c>
      <c r="C157" s="255">
        <f t="shared" si="57"/>
        <v>121.2047754681534</v>
      </c>
      <c r="D157" s="248">
        <v>5</v>
      </c>
      <c r="E157" s="255">
        <v>121.2047754681534</v>
      </c>
      <c r="F157" s="248">
        <f t="shared" si="58"/>
        <v>10</v>
      </c>
      <c r="G157" s="255">
        <f t="shared" si="59"/>
        <v>121.2047754681534</v>
      </c>
      <c r="H157" s="248">
        <f t="shared" si="60"/>
        <v>25</v>
      </c>
      <c r="I157" s="255">
        <f t="shared" si="61"/>
        <v>121.2047754681534</v>
      </c>
      <c r="J157" s="248">
        <f t="shared" si="62"/>
        <v>50</v>
      </c>
      <c r="K157" s="255">
        <f t="shared" si="63"/>
        <v>121.2047754681534</v>
      </c>
      <c r="L157" s="248">
        <f t="shared" si="64"/>
        <v>100</v>
      </c>
      <c r="M157" s="255">
        <f t="shared" si="65"/>
        <v>121.2047754681534</v>
      </c>
      <c r="N157" s="248">
        <f t="shared" si="66"/>
        <v>150</v>
      </c>
      <c r="O157" s="255">
        <f t="shared" si="67"/>
        <v>121.2047754681534</v>
      </c>
      <c r="P157" s="248">
        <f t="shared" si="68"/>
        <v>250</v>
      </c>
      <c r="Q157" s="255">
        <f t="shared" si="69"/>
        <v>121.2047754681534</v>
      </c>
    </row>
    <row r="158" spans="1:17">
      <c r="A158" s="248"/>
      <c r="B158" s="248">
        <f t="shared" si="56"/>
        <v>2.1</v>
      </c>
      <c r="C158" s="255">
        <f t="shared" si="57"/>
        <v>11363.63636363636</v>
      </c>
      <c r="D158" s="248">
        <v>4.2</v>
      </c>
      <c r="E158" s="255">
        <v>11363.63636363636</v>
      </c>
      <c r="F158" s="248">
        <f t="shared" si="58"/>
        <v>8.4</v>
      </c>
      <c r="G158" s="255">
        <f t="shared" si="59"/>
        <v>11363.63636363636</v>
      </c>
      <c r="H158" s="248">
        <f t="shared" si="60"/>
        <v>21</v>
      </c>
      <c r="I158" s="255">
        <f t="shared" si="61"/>
        <v>11363.63636363636</v>
      </c>
      <c r="J158" s="248">
        <f t="shared" si="62"/>
        <v>42</v>
      </c>
      <c r="K158" s="255">
        <f t="shared" si="63"/>
        <v>11363.63636363636</v>
      </c>
      <c r="L158" s="248">
        <f t="shared" si="64"/>
        <v>84</v>
      </c>
      <c r="M158" s="255">
        <f t="shared" si="65"/>
        <v>11363.63636363636</v>
      </c>
      <c r="N158" s="248">
        <f t="shared" si="66"/>
        <v>126</v>
      </c>
      <c r="O158" s="255">
        <f t="shared" si="67"/>
        <v>11363.63636363636</v>
      </c>
      <c r="P158" s="248">
        <f t="shared" si="68"/>
        <v>210</v>
      </c>
      <c r="Q158" s="255">
        <f t="shared" si="69"/>
        <v>11363.63636363636</v>
      </c>
    </row>
    <row r="159" spans="1:17">
      <c r="A159" s="248"/>
      <c r="B159" s="248">
        <f t="shared" si="56"/>
        <v>2</v>
      </c>
      <c r="C159" s="255">
        <f t="shared" si="57"/>
        <v>200000</v>
      </c>
      <c r="D159" s="248">
        <v>4</v>
      </c>
      <c r="E159" s="255">
        <v>200000</v>
      </c>
      <c r="F159" s="248">
        <f t="shared" si="58"/>
        <v>8</v>
      </c>
      <c r="G159" s="255">
        <f t="shared" si="59"/>
        <v>200000</v>
      </c>
      <c r="H159" s="248">
        <f t="shared" si="60"/>
        <v>20</v>
      </c>
      <c r="I159" s="255">
        <f t="shared" si="61"/>
        <v>200000</v>
      </c>
      <c r="J159" s="248">
        <f t="shared" si="62"/>
        <v>40</v>
      </c>
      <c r="K159" s="255">
        <f t="shared" si="63"/>
        <v>200000</v>
      </c>
      <c r="L159" s="248">
        <f t="shared" si="64"/>
        <v>80</v>
      </c>
      <c r="M159" s="255">
        <f t="shared" si="65"/>
        <v>200000</v>
      </c>
      <c r="N159" s="248">
        <f t="shared" si="66"/>
        <v>120</v>
      </c>
      <c r="O159" s="255">
        <f t="shared" si="67"/>
        <v>200000</v>
      </c>
      <c r="P159" s="248">
        <f t="shared" si="68"/>
        <v>200</v>
      </c>
      <c r="Q159" s="255">
        <f t="shared" si="69"/>
        <v>200000</v>
      </c>
    </row>
    <row r="160" spans="1:17">
      <c r="A160" s="248"/>
      <c r="B160" s="248">
        <f t="shared" si="56"/>
        <v>1.85</v>
      </c>
      <c r="C160" s="255">
        <f t="shared" si="57"/>
        <v>20000</v>
      </c>
      <c r="D160" s="248">
        <v>3.7</v>
      </c>
      <c r="E160" s="255">
        <v>20000</v>
      </c>
      <c r="F160" s="248">
        <f t="shared" si="58"/>
        <v>7.4</v>
      </c>
      <c r="G160" s="255">
        <f t="shared" si="59"/>
        <v>20000</v>
      </c>
      <c r="H160" s="248">
        <f t="shared" si="60"/>
        <v>18.5</v>
      </c>
      <c r="I160" s="255">
        <f t="shared" si="61"/>
        <v>20000</v>
      </c>
      <c r="J160" s="248">
        <f t="shared" si="62"/>
        <v>37</v>
      </c>
      <c r="K160" s="255">
        <f t="shared" si="63"/>
        <v>20000</v>
      </c>
      <c r="L160" s="248">
        <f t="shared" si="64"/>
        <v>74</v>
      </c>
      <c r="M160" s="255">
        <f t="shared" si="65"/>
        <v>20000</v>
      </c>
      <c r="N160" s="248">
        <f t="shared" si="66"/>
        <v>111</v>
      </c>
      <c r="O160" s="255">
        <f t="shared" si="67"/>
        <v>20000</v>
      </c>
      <c r="P160" s="248">
        <f t="shared" si="68"/>
        <v>185</v>
      </c>
      <c r="Q160" s="255">
        <f t="shared" si="69"/>
        <v>20000</v>
      </c>
    </row>
    <row r="161" spans="1:17">
      <c r="A161" s="248"/>
      <c r="B161" s="248">
        <f t="shared" si="56"/>
        <v>1.6</v>
      </c>
      <c r="C161" s="255">
        <f t="shared" si="57"/>
        <v>3048.7804878048778</v>
      </c>
      <c r="D161" s="248">
        <v>3.2</v>
      </c>
      <c r="E161" s="255">
        <v>3048.7804878048778</v>
      </c>
      <c r="F161" s="248">
        <f t="shared" si="58"/>
        <v>6.4</v>
      </c>
      <c r="G161" s="255">
        <f t="shared" si="59"/>
        <v>3048.7804878048778</v>
      </c>
      <c r="H161" s="248">
        <f t="shared" si="60"/>
        <v>16</v>
      </c>
      <c r="I161" s="255">
        <f t="shared" si="61"/>
        <v>3048.7804878048778</v>
      </c>
      <c r="J161" s="248">
        <f t="shared" si="62"/>
        <v>32</v>
      </c>
      <c r="K161" s="255">
        <f t="shared" si="63"/>
        <v>3048.7804878048778</v>
      </c>
      <c r="L161" s="248">
        <f t="shared" si="64"/>
        <v>64</v>
      </c>
      <c r="M161" s="255">
        <f t="shared" si="65"/>
        <v>3048.7804878048778</v>
      </c>
      <c r="N161" s="248">
        <f t="shared" si="66"/>
        <v>96</v>
      </c>
      <c r="O161" s="255">
        <f t="shared" si="67"/>
        <v>3048.7804878048778</v>
      </c>
      <c r="P161" s="248">
        <f t="shared" si="68"/>
        <v>160</v>
      </c>
      <c r="Q161" s="255">
        <f t="shared" si="69"/>
        <v>3048.7804878048778</v>
      </c>
    </row>
    <row r="162" spans="1:17">
      <c r="A162" s="248"/>
      <c r="B162" s="248">
        <f t="shared" si="56"/>
        <v>1.55</v>
      </c>
      <c r="C162" s="255">
        <f t="shared" si="57"/>
        <v>29411.76470588235</v>
      </c>
      <c r="D162" s="248">
        <v>3.1</v>
      </c>
      <c r="E162" s="255">
        <v>29411.76470588235</v>
      </c>
      <c r="F162" s="248">
        <f t="shared" si="58"/>
        <v>6.2</v>
      </c>
      <c r="G162" s="255">
        <f t="shared" si="59"/>
        <v>29411.76470588235</v>
      </c>
      <c r="H162" s="248">
        <f t="shared" si="60"/>
        <v>15.5</v>
      </c>
      <c r="I162" s="255">
        <f t="shared" si="61"/>
        <v>29411.76470588235</v>
      </c>
      <c r="J162" s="248">
        <f t="shared" si="62"/>
        <v>31</v>
      </c>
      <c r="K162" s="255">
        <f t="shared" si="63"/>
        <v>29411.76470588235</v>
      </c>
      <c r="L162" s="248">
        <f t="shared" si="64"/>
        <v>62</v>
      </c>
      <c r="M162" s="255">
        <f t="shared" si="65"/>
        <v>29411.76470588235</v>
      </c>
      <c r="N162" s="248">
        <f t="shared" si="66"/>
        <v>93</v>
      </c>
      <c r="O162" s="255">
        <f t="shared" si="67"/>
        <v>29411.76470588235</v>
      </c>
      <c r="P162" s="248">
        <f t="shared" si="68"/>
        <v>155</v>
      </c>
      <c r="Q162" s="255">
        <f t="shared" si="69"/>
        <v>29411.76470588235</v>
      </c>
    </row>
    <row r="163" spans="1:17">
      <c r="A163" s="248"/>
      <c r="B163" s="248">
        <f t="shared" si="56"/>
        <v>1.5</v>
      </c>
      <c r="C163" s="255">
        <f t="shared" si="57"/>
        <v>107.03200256876811</v>
      </c>
      <c r="D163" s="248">
        <v>3</v>
      </c>
      <c r="E163" s="255">
        <v>107.03200256876811</v>
      </c>
      <c r="F163" s="248">
        <f t="shared" si="58"/>
        <v>6</v>
      </c>
      <c r="G163" s="255">
        <f t="shared" si="59"/>
        <v>107.03200256876811</v>
      </c>
      <c r="H163" s="248">
        <f t="shared" si="60"/>
        <v>15</v>
      </c>
      <c r="I163" s="255">
        <f t="shared" si="61"/>
        <v>107.03200256876811</v>
      </c>
      <c r="J163" s="248">
        <f t="shared" si="62"/>
        <v>30</v>
      </c>
      <c r="K163" s="255">
        <f t="shared" si="63"/>
        <v>107.03200256876811</v>
      </c>
      <c r="L163" s="248">
        <f t="shared" si="64"/>
        <v>60</v>
      </c>
      <c r="M163" s="255">
        <f t="shared" si="65"/>
        <v>107.03200256876811</v>
      </c>
      <c r="N163" s="248">
        <f t="shared" si="66"/>
        <v>90</v>
      </c>
      <c r="O163" s="255">
        <f t="shared" si="67"/>
        <v>107.03200256876811</v>
      </c>
      <c r="P163" s="248">
        <f t="shared" si="68"/>
        <v>150</v>
      </c>
      <c r="Q163" s="255">
        <f t="shared" si="69"/>
        <v>107.03200256876811</v>
      </c>
    </row>
    <row r="164" spans="1:17">
      <c r="A164" s="248"/>
      <c r="B164" s="248">
        <f t="shared" ref="B164:B180" si="70">$D164*B$1</f>
        <v>1.3</v>
      </c>
      <c r="C164" s="255">
        <f t="shared" ref="C164:C181" si="71">$E164</f>
        <v>11363.63636363636</v>
      </c>
      <c r="D164" s="248">
        <v>2.6</v>
      </c>
      <c r="E164" s="255">
        <v>11363.63636363636</v>
      </c>
      <c r="F164" s="248">
        <f t="shared" ref="F164:F180" si="72">$D164*F$1</f>
        <v>5.2</v>
      </c>
      <c r="G164" s="255">
        <f t="shared" ref="G164:G181" si="73">$E164</f>
        <v>11363.63636363636</v>
      </c>
      <c r="H164" s="248">
        <f t="shared" ref="H164:H180" si="74">$D164*H$1</f>
        <v>13</v>
      </c>
      <c r="I164" s="255">
        <f t="shared" ref="I164:I181" si="75">$E164</f>
        <v>11363.63636363636</v>
      </c>
      <c r="J164" s="248">
        <f t="shared" ref="J164:J180" si="76">$D164*J$1</f>
        <v>26</v>
      </c>
      <c r="K164" s="255">
        <f t="shared" ref="K164:K181" si="77">$E164</f>
        <v>11363.63636363636</v>
      </c>
      <c r="L164" s="248">
        <f t="shared" ref="L164:L180" si="78">$D164*L$1</f>
        <v>52</v>
      </c>
      <c r="M164" s="255">
        <f t="shared" ref="M164:M181" si="79">$E164</f>
        <v>11363.63636363636</v>
      </c>
      <c r="N164" s="248">
        <f t="shared" ref="N164:N180" si="80">$D164*N$1</f>
        <v>78</v>
      </c>
      <c r="O164" s="255">
        <f t="shared" ref="O164:O181" si="81">$E164</f>
        <v>11363.63636363636</v>
      </c>
      <c r="P164" s="248">
        <f t="shared" ref="P164:P180" si="82">$D164*P$1</f>
        <v>130</v>
      </c>
      <c r="Q164" s="255">
        <f t="shared" ref="Q164:Q181" si="83">$E164</f>
        <v>11363.63636363636</v>
      </c>
    </row>
    <row r="165" spans="1:17">
      <c r="A165" s="248"/>
      <c r="B165" s="248">
        <f t="shared" si="70"/>
        <v>1.25</v>
      </c>
      <c r="C165" s="255">
        <f t="shared" si="71"/>
        <v>35087.719298245611</v>
      </c>
      <c r="D165" s="248">
        <v>2.5</v>
      </c>
      <c r="E165" s="255">
        <v>35087.719298245611</v>
      </c>
      <c r="F165" s="248">
        <f t="shared" si="72"/>
        <v>5</v>
      </c>
      <c r="G165" s="255">
        <f t="shared" si="73"/>
        <v>35087.719298245611</v>
      </c>
      <c r="H165" s="248">
        <f t="shared" si="74"/>
        <v>12.5</v>
      </c>
      <c r="I165" s="255">
        <f t="shared" si="75"/>
        <v>35087.719298245611</v>
      </c>
      <c r="J165" s="248">
        <f t="shared" si="76"/>
        <v>25</v>
      </c>
      <c r="K165" s="255">
        <f t="shared" si="77"/>
        <v>35087.719298245611</v>
      </c>
      <c r="L165" s="248">
        <f t="shared" si="78"/>
        <v>50</v>
      </c>
      <c r="M165" s="255">
        <f t="shared" si="79"/>
        <v>35087.719298245611</v>
      </c>
      <c r="N165" s="248">
        <f t="shared" si="80"/>
        <v>75</v>
      </c>
      <c r="O165" s="255">
        <f t="shared" si="81"/>
        <v>35087.719298245611</v>
      </c>
      <c r="P165" s="248">
        <f t="shared" si="82"/>
        <v>125</v>
      </c>
      <c r="Q165" s="255">
        <f t="shared" si="83"/>
        <v>35087.719298245611</v>
      </c>
    </row>
    <row r="166" spans="1:17">
      <c r="A166" s="248"/>
      <c r="B166" s="248">
        <f t="shared" si="70"/>
        <v>1.2</v>
      </c>
      <c r="C166" s="255">
        <f t="shared" si="71"/>
        <v>23809.523809523809</v>
      </c>
      <c r="D166" s="248">
        <v>2.4</v>
      </c>
      <c r="E166" s="255">
        <v>23809.523809523809</v>
      </c>
      <c r="F166" s="248">
        <f t="shared" si="72"/>
        <v>4.8</v>
      </c>
      <c r="G166" s="255">
        <f t="shared" si="73"/>
        <v>23809.523809523809</v>
      </c>
      <c r="H166" s="248">
        <f t="shared" si="74"/>
        <v>12</v>
      </c>
      <c r="I166" s="255">
        <f t="shared" si="75"/>
        <v>23809.523809523809</v>
      </c>
      <c r="J166" s="248">
        <f t="shared" si="76"/>
        <v>24</v>
      </c>
      <c r="K166" s="255">
        <f t="shared" si="77"/>
        <v>23809.523809523809</v>
      </c>
      <c r="L166" s="248">
        <f t="shared" si="78"/>
        <v>48</v>
      </c>
      <c r="M166" s="255">
        <f t="shared" si="79"/>
        <v>23809.523809523809</v>
      </c>
      <c r="N166" s="248">
        <f t="shared" si="80"/>
        <v>72</v>
      </c>
      <c r="O166" s="255">
        <f t="shared" si="81"/>
        <v>23809.523809523809</v>
      </c>
      <c r="P166" s="248">
        <f t="shared" si="82"/>
        <v>120</v>
      </c>
      <c r="Q166" s="255">
        <f t="shared" si="83"/>
        <v>23809.523809523809</v>
      </c>
    </row>
    <row r="167" spans="1:17">
      <c r="A167" s="248"/>
      <c r="B167" s="248">
        <f t="shared" si="70"/>
        <v>1.05</v>
      </c>
      <c r="C167" s="255">
        <f t="shared" si="71"/>
        <v>10000</v>
      </c>
      <c r="D167" s="248">
        <v>2.1</v>
      </c>
      <c r="E167" s="255">
        <v>10000</v>
      </c>
      <c r="F167" s="248">
        <f t="shared" si="72"/>
        <v>4.2</v>
      </c>
      <c r="G167" s="255">
        <f t="shared" si="73"/>
        <v>10000</v>
      </c>
      <c r="H167" s="248">
        <f t="shared" si="74"/>
        <v>10.5</v>
      </c>
      <c r="I167" s="255">
        <f t="shared" si="75"/>
        <v>10000</v>
      </c>
      <c r="J167" s="248">
        <f t="shared" si="76"/>
        <v>21</v>
      </c>
      <c r="K167" s="255">
        <f t="shared" si="77"/>
        <v>10000</v>
      </c>
      <c r="L167" s="248">
        <f t="shared" si="78"/>
        <v>42</v>
      </c>
      <c r="M167" s="255">
        <f t="shared" si="79"/>
        <v>10000</v>
      </c>
      <c r="N167" s="248">
        <f t="shared" si="80"/>
        <v>63</v>
      </c>
      <c r="O167" s="255">
        <f t="shared" si="81"/>
        <v>10000</v>
      </c>
      <c r="P167" s="248">
        <f t="shared" si="82"/>
        <v>105</v>
      </c>
      <c r="Q167" s="255">
        <f t="shared" si="83"/>
        <v>10000</v>
      </c>
    </row>
    <row r="168" spans="1:17">
      <c r="A168" s="248"/>
      <c r="B168" s="248">
        <f t="shared" si="70"/>
        <v>1</v>
      </c>
      <c r="C168" s="255">
        <f t="shared" si="71"/>
        <v>31.923383878691141</v>
      </c>
      <c r="D168" s="248">
        <v>2</v>
      </c>
      <c r="E168" s="255">
        <v>31.923383878691141</v>
      </c>
      <c r="F168" s="248">
        <f t="shared" si="72"/>
        <v>4</v>
      </c>
      <c r="G168" s="255">
        <f t="shared" si="73"/>
        <v>31.923383878691141</v>
      </c>
      <c r="H168" s="248">
        <f t="shared" si="74"/>
        <v>10</v>
      </c>
      <c r="I168" s="255">
        <f t="shared" si="75"/>
        <v>31.923383878691141</v>
      </c>
      <c r="J168" s="248">
        <f t="shared" si="76"/>
        <v>20</v>
      </c>
      <c r="K168" s="255">
        <f t="shared" si="77"/>
        <v>31.923383878691141</v>
      </c>
      <c r="L168" s="248">
        <f t="shared" si="78"/>
        <v>40</v>
      </c>
      <c r="M168" s="255">
        <f t="shared" si="79"/>
        <v>31.923383878691141</v>
      </c>
      <c r="N168" s="248">
        <f t="shared" si="80"/>
        <v>60</v>
      </c>
      <c r="O168" s="255">
        <f t="shared" si="81"/>
        <v>31.923383878691141</v>
      </c>
      <c r="P168" s="248">
        <f t="shared" si="82"/>
        <v>100</v>
      </c>
      <c r="Q168" s="255">
        <f t="shared" si="83"/>
        <v>31.923383878691141</v>
      </c>
    </row>
    <row r="169" spans="1:17">
      <c r="A169" s="248"/>
      <c r="B169" s="248">
        <f t="shared" si="70"/>
        <v>0.75</v>
      </c>
      <c r="C169" s="255">
        <f t="shared" si="71"/>
        <v>666.66666666666663</v>
      </c>
      <c r="D169" s="248">
        <v>1.5</v>
      </c>
      <c r="E169" s="255">
        <v>666.66666666666663</v>
      </c>
      <c r="F169" s="248">
        <f t="shared" si="72"/>
        <v>3</v>
      </c>
      <c r="G169" s="255">
        <f t="shared" si="73"/>
        <v>666.66666666666663</v>
      </c>
      <c r="H169" s="248">
        <f t="shared" si="74"/>
        <v>7.5</v>
      </c>
      <c r="I169" s="255">
        <f t="shared" si="75"/>
        <v>666.66666666666663</v>
      </c>
      <c r="J169" s="248">
        <f t="shared" si="76"/>
        <v>15</v>
      </c>
      <c r="K169" s="255">
        <f t="shared" si="77"/>
        <v>666.66666666666663</v>
      </c>
      <c r="L169" s="248">
        <f t="shared" si="78"/>
        <v>30</v>
      </c>
      <c r="M169" s="255">
        <f t="shared" si="79"/>
        <v>666.66666666666663</v>
      </c>
      <c r="N169" s="248">
        <f t="shared" si="80"/>
        <v>45</v>
      </c>
      <c r="O169" s="255">
        <f t="shared" si="81"/>
        <v>666.66666666666663</v>
      </c>
      <c r="P169" s="248">
        <f t="shared" si="82"/>
        <v>75</v>
      </c>
      <c r="Q169" s="255">
        <f t="shared" si="83"/>
        <v>666.66666666666663</v>
      </c>
    </row>
    <row r="170" spans="1:17">
      <c r="A170" s="248"/>
      <c r="B170" s="248">
        <f t="shared" si="70"/>
        <v>0.65</v>
      </c>
      <c r="C170" s="255">
        <f t="shared" si="71"/>
        <v>11976.047904191621</v>
      </c>
      <c r="D170" s="248">
        <v>1.3</v>
      </c>
      <c r="E170" s="255">
        <v>11976.047904191621</v>
      </c>
      <c r="F170" s="248">
        <f t="shared" si="72"/>
        <v>2.6</v>
      </c>
      <c r="G170" s="255">
        <f t="shared" si="73"/>
        <v>11976.047904191621</v>
      </c>
      <c r="H170" s="248">
        <f t="shared" si="74"/>
        <v>6.5</v>
      </c>
      <c r="I170" s="255">
        <f t="shared" si="75"/>
        <v>11976.047904191621</v>
      </c>
      <c r="J170" s="248">
        <f t="shared" si="76"/>
        <v>13</v>
      </c>
      <c r="K170" s="255">
        <f t="shared" si="77"/>
        <v>11976.047904191621</v>
      </c>
      <c r="L170" s="248">
        <f t="shared" si="78"/>
        <v>26</v>
      </c>
      <c r="M170" s="255">
        <f t="shared" si="79"/>
        <v>11976.047904191621</v>
      </c>
      <c r="N170" s="248">
        <f t="shared" si="80"/>
        <v>39</v>
      </c>
      <c r="O170" s="255">
        <f t="shared" si="81"/>
        <v>11976.047904191621</v>
      </c>
      <c r="P170" s="248">
        <f t="shared" si="82"/>
        <v>65</v>
      </c>
      <c r="Q170" s="255">
        <f t="shared" si="83"/>
        <v>11976.047904191621</v>
      </c>
    </row>
    <row r="171" spans="1:17">
      <c r="A171" s="248"/>
      <c r="B171" s="248">
        <f t="shared" si="70"/>
        <v>0.6</v>
      </c>
      <c r="C171" s="255">
        <f t="shared" si="71"/>
        <v>83.333333333333329</v>
      </c>
      <c r="D171" s="248">
        <v>1.2</v>
      </c>
      <c r="E171" s="255">
        <v>83.333333333333329</v>
      </c>
      <c r="F171" s="248">
        <f t="shared" si="72"/>
        <v>2.4</v>
      </c>
      <c r="G171" s="255">
        <f t="shared" si="73"/>
        <v>83.333333333333329</v>
      </c>
      <c r="H171" s="248">
        <f t="shared" si="74"/>
        <v>6</v>
      </c>
      <c r="I171" s="255">
        <f t="shared" si="75"/>
        <v>83.333333333333329</v>
      </c>
      <c r="J171" s="248">
        <f t="shared" si="76"/>
        <v>12</v>
      </c>
      <c r="K171" s="255">
        <f t="shared" si="77"/>
        <v>83.333333333333329</v>
      </c>
      <c r="L171" s="248">
        <f t="shared" si="78"/>
        <v>24</v>
      </c>
      <c r="M171" s="255">
        <f t="shared" si="79"/>
        <v>83.333333333333329</v>
      </c>
      <c r="N171" s="248">
        <f t="shared" si="80"/>
        <v>36</v>
      </c>
      <c r="O171" s="255">
        <f t="shared" si="81"/>
        <v>83.333333333333329</v>
      </c>
      <c r="P171" s="248">
        <f t="shared" si="82"/>
        <v>60</v>
      </c>
      <c r="Q171" s="255">
        <f t="shared" si="83"/>
        <v>83.333333333333329</v>
      </c>
    </row>
    <row r="172" spans="1:17">
      <c r="A172" s="248"/>
      <c r="B172" s="248">
        <f t="shared" si="70"/>
        <v>0.55000000000000004</v>
      </c>
      <c r="C172" s="255">
        <f t="shared" si="71"/>
        <v>105.26315789473681</v>
      </c>
      <c r="D172" s="248">
        <v>1.1000000000000001</v>
      </c>
      <c r="E172" s="255">
        <v>105.26315789473681</v>
      </c>
      <c r="F172" s="248">
        <f t="shared" si="72"/>
        <v>2.2000000000000002</v>
      </c>
      <c r="G172" s="255">
        <f t="shared" si="73"/>
        <v>105.26315789473681</v>
      </c>
      <c r="H172" s="248">
        <f t="shared" si="74"/>
        <v>5.5</v>
      </c>
      <c r="I172" s="255">
        <f t="shared" si="75"/>
        <v>105.26315789473681</v>
      </c>
      <c r="J172" s="248">
        <f t="shared" si="76"/>
        <v>11</v>
      </c>
      <c r="K172" s="255">
        <f t="shared" si="77"/>
        <v>105.26315789473681</v>
      </c>
      <c r="L172" s="248">
        <f t="shared" si="78"/>
        <v>22</v>
      </c>
      <c r="M172" s="255">
        <f t="shared" si="79"/>
        <v>105.26315789473681</v>
      </c>
      <c r="N172" s="248">
        <f t="shared" si="80"/>
        <v>33</v>
      </c>
      <c r="O172" s="255">
        <f t="shared" si="81"/>
        <v>105.26315789473681</v>
      </c>
      <c r="P172" s="248">
        <f t="shared" si="82"/>
        <v>55.000000000000007</v>
      </c>
      <c r="Q172" s="255">
        <f t="shared" si="83"/>
        <v>105.26315789473681</v>
      </c>
    </row>
    <row r="173" spans="1:17">
      <c r="A173" s="248"/>
      <c r="B173" s="248">
        <f t="shared" si="70"/>
        <v>0.5</v>
      </c>
      <c r="C173" s="255">
        <f t="shared" si="71"/>
        <v>21.019001177064069</v>
      </c>
      <c r="D173" s="248">
        <v>1</v>
      </c>
      <c r="E173" s="255">
        <v>21.019001177064069</v>
      </c>
      <c r="F173" s="248">
        <f t="shared" si="72"/>
        <v>2</v>
      </c>
      <c r="G173" s="255">
        <f t="shared" si="73"/>
        <v>21.019001177064069</v>
      </c>
      <c r="H173" s="248">
        <f t="shared" si="74"/>
        <v>5</v>
      </c>
      <c r="I173" s="255">
        <f t="shared" si="75"/>
        <v>21.019001177064069</v>
      </c>
      <c r="J173" s="248">
        <f t="shared" si="76"/>
        <v>10</v>
      </c>
      <c r="K173" s="255">
        <f t="shared" si="77"/>
        <v>21.019001177064069</v>
      </c>
      <c r="L173" s="248">
        <f t="shared" si="78"/>
        <v>20</v>
      </c>
      <c r="M173" s="255">
        <f t="shared" si="79"/>
        <v>21.019001177064069</v>
      </c>
      <c r="N173" s="248">
        <f t="shared" si="80"/>
        <v>30</v>
      </c>
      <c r="O173" s="255">
        <f t="shared" si="81"/>
        <v>21.019001177064069</v>
      </c>
      <c r="P173" s="248">
        <f t="shared" si="82"/>
        <v>50</v>
      </c>
      <c r="Q173" s="255">
        <f t="shared" si="83"/>
        <v>21.019001177064069</v>
      </c>
    </row>
    <row r="174" spans="1:17">
      <c r="A174" s="248"/>
      <c r="B174" s="248">
        <f t="shared" si="70"/>
        <v>0.35</v>
      </c>
      <c r="C174" s="255">
        <f t="shared" si="71"/>
        <v>357.14285714285722</v>
      </c>
      <c r="D174" s="248">
        <v>0.7</v>
      </c>
      <c r="E174" s="255">
        <v>357.14285714285722</v>
      </c>
      <c r="F174" s="248">
        <f t="shared" si="72"/>
        <v>1.4</v>
      </c>
      <c r="G174" s="255">
        <f t="shared" si="73"/>
        <v>357.14285714285722</v>
      </c>
      <c r="H174" s="248">
        <f t="shared" si="74"/>
        <v>3.5</v>
      </c>
      <c r="I174" s="255">
        <f t="shared" si="75"/>
        <v>357.14285714285722</v>
      </c>
      <c r="J174" s="248">
        <f t="shared" si="76"/>
        <v>7</v>
      </c>
      <c r="K174" s="255">
        <f t="shared" si="77"/>
        <v>357.14285714285722</v>
      </c>
      <c r="L174" s="248">
        <f t="shared" si="78"/>
        <v>14</v>
      </c>
      <c r="M174" s="255">
        <f t="shared" si="79"/>
        <v>357.14285714285722</v>
      </c>
      <c r="N174" s="248">
        <f t="shared" si="80"/>
        <v>21</v>
      </c>
      <c r="O174" s="255">
        <f t="shared" si="81"/>
        <v>357.14285714285722</v>
      </c>
      <c r="P174" s="248">
        <f t="shared" si="82"/>
        <v>35</v>
      </c>
      <c r="Q174" s="255">
        <f t="shared" si="83"/>
        <v>357.14285714285722</v>
      </c>
    </row>
    <row r="175" spans="1:17">
      <c r="A175" s="248"/>
      <c r="B175" s="248">
        <f t="shared" si="70"/>
        <v>0.3</v>
      </c>
      <c r="C175" s="255">
        <f t="shared" si="71"/>
        <v>181.81818181818181</v>
      </c>
      <c r="D175" s="248">
        <v>0.6</v>
      </c>
      <c r="E175" s="255">
        <v>181.81818181818181</v>
      </c>
      <c r="F175" s="248">
        <f t="shared" si="72"/>
        <v>1.2</v>
      </c>
      <c r="G175" s="255">
        <f t="shared" si="73"/>
        <v>181.81818181818181</v>
      </c>
      <c r="H175" s="248">
        <f t="shared" si="74"/>
        <v>3</v>
      </c>
      <c r="I175" s="255">
        <f t="shared" si="75"/>
        <v>181.81818181818181</v>
      </c>
      <c r="J175" s="248">
        <f t="shared" si="76"/>
        <v>6</v>
      </c>
      <c r="K175" s="255">
        <f t="shared" si="77"/>
        <v>181.81818181818181</v>
      </c>
      <c r="L175" s="248">
        <f t="shared" si="78"/>
        <v>12</v>
      </c>
      <c r="M175" s="255">
        <f t="shared" si="79"/>
        <v>181.81818181818181</v>
      </c>
      <c r="N175" s="248">
        <f t="shared" si="80"/>
        <v>18</v>
      </c>
      <c r="O175" s="255">
        <f t="shared" si="81"/>
        <v>181.81818181818181</v>
      </c>
      <c r="P175" s="248">
        <f t="shared" si="82"/>
        <v>30</v>
      </c>
      <c r="Q175" s="255">
        <f t="shared" si="83"/>
        <v>181.81818181818181</v>
      </c>
    </row>
    <row r="176" spans="1:17">
      <c r="A176" s="248"/>
      <c r="B176" s="248">
        <f t="shared" si="70"/>
        <v>0.25</v>
      </c>
      <c r="C176" s="255">
        <f t="shared" si="71"/>
        <v>57.142857142857153</v>
      </c>
      <c r="D176" s="248">
        <v>0.5</v>
      </c>
      <c r="E176" s="255">
        <v>57.142857142857153</v>
      </c>
      <c r="F176" s="248">
        <f t="shared" si="72"/>
        <v>1</v>
      </c>
      <c r="G176" s="255">
        <f t="shared" si="73"/>
        <v>57.142857142857153</v>
      </c>
      <c r="H176" s="248">
        <f t="shared" si="74"/>
        <v>2.5</v>
      </c>
      <c r="I176" s="255">
        <f t="shared" si="75"/>
        <v>57.142857142857153</v>
      </c>
      <c r="J176" s="248">
        <f t="shared" si="76"/>
        <v>5</v>
      </c>
      <c r="K176" s="255">
        <f t="shared" si="77"/>
        <v>57.142857142857153</v>
      </c>
      <c r="L176" s="248">
        <f t="shared" si="78"/>
        <v>10</v>
      </c>
      <c r="M176" s="255">
        <f t="shared" si="79"/>
        <v>57.142857142857153</v>
      </c>
      <c r="N176" s="248">
        <f t="shared" si="80"/>
        <v>15</v>
      </c>
      <c r="O176" s="255">
        <f t="shared" si="81"/>
        <v>57.142857142857153</v>
      </c>
      <c r="P176" s="248">
        <f t="shared" si="82"/>
        <v>25</v>
      </c>
      <c r="Q176" s="255">
        <f t="shared" si="83"/>
        <v>57.142857142857153</v>
      </c>
    </row>
    <row r="177" spans="1:17">
      <c r="A177" s="248"/>
      <c r="B177" s="248">
        <f t="shared" si="70"/>
        <v>0.2</v>
      </c>
      <c r="C177" s="255">
        <f t="shared" si="71"/>
        <v>333.33333333333331</v>
      </c>
      <c r="D177" s="248">
        <v>0.4</v>
      </c>
      <c r="E177" s="255">
        <v>333.33333333333331</v>
      </c>
      <c r="F177" s="248">
        <f t="shared" si="72"/>
        <v>0.8</v>
      </c>
      <c r="G177" s="255">
        <f t="shared" si="73"/>
        <v>333.33333333333331</v>
      </c>
      <c r="H177" s="248">
        <f t="shared" si="74"/>
        <v>2</v>
      </c>
      <c r="I177" s="255">
        <f t="shared" si="75"/>
        <v>333.33333333333331</v>
      </c>
      <c r="J177" s="248">
        <f t="shared" si="76"/>
        <v>4</v>
      </c>
      <c r="K177" s="255">
        <f t="shared" si="77"/>
        <v>333.33333333333331</v>
      </c>
      <c r="L177" s="248">
        <f t="shared" si="78"/>
        <v>8</v>
      </c>
      <c r="M177" s="255">
        <f t="shared" si="79"/>
        <v>333.33333333333331</v>
      </c>
      <c r="N177" s="248">
        <f t="shared" si="80"/>
        <v>12</v>
      </c>
      <c r="O177" s="255">
        <f t="shared" si="81"/>
        <v>333.33333333333331</v>
      </c>
      <c r="P177" s="248">
        <f t="shared" si="82"/>
        <v>20</v>
      </c>
      <c r="Q177" s="255">
        <f t="shared" si="83"/>
        <v>333.33333333333331</v>
      </c>
    </row>
    <row r="178" spans="1:17">
      <c r="A178" s="248"/>
      <c r="B178" s="248">
        <f t="shared" si="70"/>
        <v>0.15</v>
      </c>
      <c r="C178" s="255">
        <f t="shared" si="71"/>
        <v>333.33333333333331</v>
      </c>
      <c r="D178" s="248">
        <v>0.3</v>
      </c>
      <c r="E178" s="255">
        <v>333.33333333333331</v>
      </c>
      <c r="F178" s="248">
        <f t="shared" si="72"/>
        <v>0.6</v>
      </c>
      <c r="G178" s="255">
        <f t="shared" si="73"/>
        <v>333.33333333333331</v>
      </c>
      <c r="H178" s="248">
        <f t="shared" si="74"/>
        <v>1.5</v>
      </c>
      <c r="I178" s="255">
        <f t="shared" si="75"/>
        <v>333.33333333333331</v>
      </c>
      <c r="J178" s="248">
        <f t="shared" si="76"/>
        <v>3</v>
      </c>
      <c r="K178" s="255">
        <f t="shared" si="77"/>
        <v>333.33333333333331</v>
      </c>
      <c r="L178" s="248">
        <f t="shared" si="78"/>
        <v>6</v>
      </c>
      <c r="M178" s="255">
        <f t="shared" si="79"/>
        <v>333.33333333333331</v>
      </c>
      <c r="N178" s="248">
        <f t="shared" si="80"/>
        <v>9</v>
      </c>
      <c r="O178" s="255">
        <f t="shared" si="81"/>
        <v>333.33333333333331</v>
      </c>
      <c r="P178" s="248">
        <f t="shared" si="82"/>
        <v>15</v>
      </c>
      <c r="Q178" s="255">
        <f t="shared" si="83"/>
        <v>333.33333333333331</v>
      </c>
    </row>
    <row r="179" spans="1:17">
      <c r="A179" s="248"/>
      <c r="B179" s="248">
        <f t="shared" si="70"/>
        <v>0.1</v>
      </c>
      <c r="C179" s="255">
        <f t="shared" si="71"/>
        <v>32.785810301301588</v>
      </c>
      <c r="D179" s="248">
        <v>0.2</v>
      </c>
      <c r="E179" s="255">
        <v>32.785810301301588</v>
      </c>
      <c r="F179" s="248">
        <f t="shared" si="72"/>
        <v>0.4</v>
      </c>
      <c r="G179" s="255">
        <f t="shared" si="73"/>
        <v>32.785810301301588</v>
      </c>
      <c r="H179" s="248">
        <f t="shared" si="74"/>
        <v>1</v>
      </c>
      <c r="I179" s="255">
        <f t="shared" si="75"/>
        <v>32.785810301301588</v>
      </c>
      <c r="J179" s="248">
        <f t="shared" si="76"/>
        <v>2</v>
      </c>
      <c r="K179" s="255">
        <f t="shared" si="77"/>
        <v>32.785810301301588</v>
      </c>
      <c r="L179" s="248">
        <f t="shared" si="78"/>
        <v>4</v>
      </c>
      <c r="M179" s="255">
        <f t="shared" si="79"/>
        <v>32.785810301301588</v>
      </c>
      <c r="N179" s="248">
        <f t="shared" si="80"/>
        <v>6</v>
      </c>
      <c r="O179" s="255">
        <f t="shared" si="81"/>
        <v>32.785810301301588</v>
      </c>
      <c r="P179" s="248">
        <f t="shared" si="82"/>
        <v>10</v>
      </c>
      <c r="Q179" s="255">
        <f t="shared" si="83"/>
        <v>32.785810301301588</v>
      </c>
    </row>
    <row r="180" spans="1:17">
      <c r="A180" s="248"/>
      <c r="B180" s="248">
        <f t="shared" si="70"/>
        <v>0.05</v>
      </c>
      <c r="C180" s="255">
        <f t="shared" si="71"/>
        <v>27.137778501451869</v>
      </c>
      <c r="D180" s="248">
        <v>0.1</v>
      </c>
      <c r="E180" s="255">
        <v>27.137778501451869</v>
      </c>
      <c r="F180" s="248">
        <f t="shared" si="72"/>
        <v>0.2</v>
      </c>
      <c r="G180" s="255">
        <f t="shared" si="73"/>
        <v>27.137778501451869</v>
      </c>
      <c r="H180" s="248">
        <f t="shared" si="74"/>
        <v>0.5</v>
      </c>
      <c r="I180" s="255">
        <f t="shared" si="75"/>
        <v>27.137778501451869</v>
      </c>
      <c r="J180" s="248">
        <f t="shared" si="76"/>
        <v>1</v>
      </c>
      <c r="K180" s="255">
        <f t="shared" si="77"/>
        <v>27.137778501451869</v>
      </c>
      <c r="L180" s="248">
        <f t="shared" si="78"/>
        <v>2</v>
      </c>
      <c r="M180" s="255">
        <f t="shared" si="79"/>
        <v>27.137778501451869</v>
      </c>
      <c r="N180" s="248">
        <f t="shared" si="80"/>
        <v>3</v>
      </c>
      <c r="O180" s="255">
        <f t="shared" si="81"/>
        <v>27.137778501451869</v>
      </c>
      <c r="P180" s="248">
        <f t="shared" si="82"/>
        <v>5</v>
      </c>
      <c r="Q180" s="255">
        <f t="shared" si="83"/>
        <v>27.137778501451869</v>
      </c>
    </row>
    <row r="181" spans="1:17" ht="13.8" customHeight="1" thickBot="1">
      <c r="A181" s="228"/>
      <c r="B181" s="256" t="s">
        <v>660</v>
      </c>
      <c r="C181" s="257">
        <f t="shared" si="71"/>
        <v>1.345421497010137</v>
      </c>
      <c r="D181" s="256" t="s">
        <v>660</v>
      </c>
      <c r="E181" s="257">
        <v>1.345421497010137</v>
      </c>
      <c r="F181" s="256" t="s">
        <v>660</v>
      </c>
      <c r="G181" s="257">
        <f t="shared" si="73"/>
        <v>1.345421497010137</v>
      </c>
      <c r="H181" s="256" t="s">
        <v>660</v>
      </c>
      <c r="I181" s="257">
        <f t="shared" si="75"/>
        <v>1.345421497010137</v>
      </c>
      <c r="J181" s="256" t="s">
        <v>660</v>
      </c>
      <c r="K181" s="257">
        <f t="shared" si="77"/>
        <v>1.345421497010137</v>
      </c>
      <c r="L181" s="256" t="s">
        <v>660</v>
      </c>
      <c r="M181" s="257">
        <f t="shared" si="79"/>
        <v>1.345421497010137</v>
      </c>
      <c r="N181" s="256" t="s">
        <v>660</v>
      </c>
      <c r="O181" s="257">
        <f t="shared" si="81"/>
        <v>1.345421497010137</v>
      </c>
      <c r="P181" s="256" t="s">
        <v>660</v>
      </c>
      <c r="Q181" s="257">
        <f t="shared" si="83"/>
        <v>1.345421497010137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79998168889431442"/>
  </sheetPr>
  <dimension ref="A1:J28"/>
  <sheetViews>
    <sheetView tabSelected="1" topLeftCell="A6" workbookViewId="0">
      <selection activeCell="E22" sqref="E22"/>
    </sheetView>
  </sheetViews>
  <sheetFormatPr defaultRowHeight="13.2"/>
  <cols>
    <col min="1" max="1" width="25.33203125" customWidth="1"/>
    <col min="2" max="9" width="22.33203125" customWidth="1"/>
  </cols>
  <sheetData>
    <row r="1" spans="1:10" ht="15" customHeight="1" thickBot="1">
      <c r="A1" s="258" t="s">
        <v>661</v>
      </c>
      <c r="B1" s="259">
        <v>0.5</v>
      </c>
      <c r="C1" s="259">
        <v>1</v>
      </c>
      <c r="D1" s="259">
        <v>2</v>
      </c>
      <c r="E1" s="259">
        <v>5</v>
      </c>
      <c r="F1" s="259">
        <v>10</v>
      </c>
      <c r="G1" s="259">
        <v>20</v>
      </c>
      <c r="H1" s="259">
        <v>30</v>
      </c>
      <c r="I1" s="259">
        <v>50</v>
      </c>
      <c r="J1" s="228"/>
    </row>
    <row r="2" spans="1:10" ht="14.4" customHeight="1">
      <c r="A2" s="260" t="s">
        <v>662</v>
      </c>
      <c r="B2" s="261">
        <f>$C$2*B$1</f>
        <v>500</v>
      </c>
      <c r="C2" s="261">
        <v>1000</v>
      </c>
      <c r="D2" s="261">
        <f t="shared" ref="D2:I2" si="0">$C$2*D$1</f>
        <v>2000</v>
      </c>
      <c r="E2" s="261">
        <f t="shared" si="0"/>
        <v>5000</v>
      </c>
      <c r="F2" s="261">
        <f t="shared" si="0"/>
        <v>10000</v>
      </c>
      <c r="G2" s="261">
        <f t="shared" si="0"/>
        <v>20000</v>
      </c>
      <c r="H2" s="261">
        <f t="shared" si="0"/>
        <v>30000</v>
      </c>
      <c r="I2" s="261">
        <f t="shared" si="0"/>
        <v>50000</v>
      </c>
      <c r="J2" s="228"/>
    </row>
    <row r="3" spans="1:10" ht="15" customHeight="1" thickBot="1">
      <c r="A3" s="262" t="s">
        <v>663</v>
      </c>
      <c r="B3" s="263" t="s">
        <v>664</v>
      </c>
      <c r="C3" s="263" t="s">
        <v>664</v>
      </c>
      <c r="D3" s="263" t="s">
        <v>664</v>
      </c>
      <c r="E3" s="263" t="s">
        <v>664</v>
      </c>
      <c r="F3" s="263" t="s">
        <v>664</v>
      </c>
      <c r="G3" s="263" t="s">
        <v>664</v>
      </c>
      <c r="H3" s="263" t="s">
        <v>664</v>
      </c>
      <c r="I3" s="263" t="s">
        <v>664</v>
      </c>
      <c r="J3" s="228"/>
    </row>
    <row r="4" spans="1:10" ht="14.4" customHeight="1">
      <c r="A4" s="260" t="s">
        <v>665</v>
      </c>
      <c r="B4" s="264">
        <f>$C$4</f>
        <v>0.84</v>
      </c>
      <c r="C4" s="264">
        <v>0.84</v>
      </c>
      <c r="D4" s="264">
        <f t="shared" ref="D4:I4" si="1">$C$4</f>
        <v>0.84</v>
      </c>
      <c r="E4" s="264">
        <f t="shared" si="1"/>
        <v>0.84</v>
      </c>
      <c r="F4" s="264">
        <f t="shared" si="1"/>
        <v>0.84</v>
      </c>
      <c r="G4" s="264">
        <f t="shared" si="1"/>
        <v>0.84</v>
      </c>
      <c r="H4" s="264">
        <f t="shared" si="1"/>
        <v>0.84</v>
      </c>
      <c r="I4" s="264">
        <f t="shared" si="1"/>
        <v>0.84</v>
      </c>
      <c r="J4" s="228"/>
    </row>
    <row r="5" spans="1:10" ht="14.4" customHeight="1">
      <c r="A5" s="265" t="s">
        <v>666</v>
      </c>
      <c r="B5" s="266">
        <f>$C$5</f>
        <v>4.7576E-2</v>
      </c>
      <c r="C5" s="266">
        <v>4.7576E-2</v>
      </c>
      <c r="D5" s="266">
        <f t="shared" ref="D5:I5" si="2">$C$5</f>
        <v>4.7576E-2</v>
      </c>
      <c r="E5" s="266">
        <f t="shared" si="2"/>
        <v>4.7576E-2</v>
      </c>
      <c r="F5" s="266">
        <f t="shared" si="2"/>
        <v>4.7576E-2</v>
      </c>
      <c r="G5" s="266">
        <f t="shared" si="2"/>
        <v>4.7576E-2</v>
      </c>
      <c r="H5" s="266">
        <f t="shared" si="2"/>
        <v>4.7576E-2</v>
      </c>
      <c r="I5" s="266">
        <f t="shared" si="2"/>
        <v>4.7576E-2</v>
      </c>
      <c r="J5" s="228"/>
    </row>
    <row r="6" spans="1:10" ht="14.4" customHeight="1">
      <c r="A6" s="267" t="s">
        <v>667</v>
      </c>
      <c r="B6" s="268">
        <f>$C$6</f>
        <v>3.8950137980863802</v>
      </c>
      <c r="C6" s="268">
        <v>3.8950137980863802</v>
      </c>
      <c r="D6" s="268">
        <f t="shared" ref="D6:I6" si="3">$C$6</f>
        <v>3.8950137980863802</v>
      </c>
      <c r="E6" s="268">
        <f t="shared" si="3"/>
        <v>3.8950137980863802</v>
      </c>
      <c r="F6" s="268">
        <f t="shared" si="3"/>
        <v>3.8950137980863802</v>
      </c>
      <c r="G6" s="268">
        <f t="shared" si="3"/>
        <v>3.8950137980863802</v>
      </c>
      <c r="H6" s="268">
        <f t="shared" si="3"/>
        <v>3.8950137980863802</v>
      </c>
      <c r="I6" s="268">
        <f t="shared" si="3"/>
        <v>3.8950137980863802</v>
      </c>
      <c r="J6" s="228"/>
    </row>
    <row r="7" spans="1:10" ht="15" customHeight="1" thickBot="1">
      <c r="A7" s="269" t="s">
        <v>661</v>
      </c>
      <c r="B7" s="270">
        <v>2000000</v>
      </c>
      <c r="C7" s="270">
        <v>2000000</v>
      </c>
      <c r="D7" s="270">
        <v>2000000</v>
      </c>
      <c r="E7" s="270">
        <v>2000000</v>
      </c>
      <c r="F7" s="270">
        <v>2000000</v>
      </c>
      <c r="G7" s="270">
        <v>2000000</v>
      </c>
      <c r="H7" s="270">
        <v>2000000</v>
      </c>
      <c r="I7" s="270">
        <v>2000000</v>
      </c>
      <c r="J7" s="228"/>
    </row>
    <row r="8" spans="1:10" ht="14.4" customHeight="1">
      <c r="A8" s="260" t="s">
        <v>668</v>
      </c>
      <c r="B8" s="271" t="s">
        <v>669</v>
      </c>
      <c r="C8" s="271" t="s">
        <v>669</v>
      </c>
      <c r="D8" s="271" t="s">
        <v>669</v>
      </c>
      <c r="E8" s="271" t="s">
        <v>669</v>
      </c>
      <c r="F8" s="271" t="s">
        <v>669</v>
      </c>
      <c r="G8" s="271" t="s">
        <v>669</v>
      </c>
      <c r="H8" s="271" t="s">
        <v>669</v>
      </c>
      <c r="I8" s="271" t="s">
        <v>669</v>
      </c>
      <c r="J8" s="228"/>
    </row>
    <row r="9" spans="1:10" ht="15" customHeight="1" thickBot="1">
      <c r="A9" s="269" t="s">
        <v>670</v>
      </c>
      <c r="B9" s="272">
        <f>$C$9</f>
        <v>0.27970428571428568</v>
      </c>
      <c r="C9" s="272">
        <v>0.27970428571428568</v>
      </c>
      <c r="D9" s="272">
        <f t="shared" ref="D9:I9" si="4">$C$9</f>
        <v>0.27970428571428568</v>
      </c>
      <c r="E9" s="272">
        <f t="shared" si="4"/>
        <v>0.27970428571428568</v>
      </c>
      <c r="F9" s="272">
        <f t="shared" si="4"/>
        <v>0.27970428571428568</v>
      </c>
      <c r="G9" s="272">
        <f t="shared" si="4"/>
        <v>0.27970428571428568</v>
      </c>
      <c r="H9" s="272">
        <f t="shared" si="4"/>
        <v>0.27970428571428568</v>
      </c>
      <c r="I9" s="272">
        <f t="shared" si="4"/>
        <v>0.27970428571428568</v>
      </c>
      <c r="J9" s="228"/>
    </row>
    <row r="10" spans="1:10" ht="14.4" customHeight="1">
      <c r="A10" s="260" t="s">
        <v>671</v>
      </c>
      <c r="B10" s="271" t="s">
        <v>672</v>
      </c>
      <c r="C10" s="271" t="s">
        <v>672</v>
      </c>
      <c r="D10" s="271" t="s">
        <v>672</v>
      </c>
      <c r="E10" s="271" t="s">
        <v>672</v>
      </c>
      <c r="F10" s="271" t="s">
        <v>672</v>
      </c>
      <c r="G10" s="271" t="s">
        <v>672</v>
      </c>
      <c r="H10" s="271" t="s">
        <v>672</v>
      </c>
      <c r="I10" s="271" t="s">
        <v>672</v>
      </c>
      <c r="J10" s="228"/>
    </row>
    <row r="11" spans="1:10" ht="15" customHeight="1" thickBot="1">
      <c r="A11" s="269" t="s">
        <v>673</v>
      </c>
      <c r="B11" s="272">
        <f>$C$11</f>
        <v>0.45495404761904762</v>
      </c>
      <c r="C11" s="272">
        <v>0.45495404761904762</v>
      </c>
      <c r="D11" s="272">
        <f t="shared" ref="D11:I11" si="5">$C$11</f>
        <v>0.45495404761904762</v>
      </c>
      <c r="E11" s="272">
        <f t="shared" si="5"/>
        <v>0.45495404761904762</v>
      </c>
      <c r="F11" s="272">
        <f t="shared" si="5"/>
        <v>0.45495404761904762</v>
      </c>
      <c r="G11" s="272">
        <f t="shared" si="5"/>
        <v>0.45495404761904762</v>
      </c>
      <c r="H11" s="272">
        <f t="shared" si="5"/>
        <v>0.45495404761904762</v>
      </c>
      <c r="I11" s="272">
        <f t="shared" si="5"/>
        <v>0.45495404761904762</v>
      </c>
      <c r="J11" s="228"/>
    </row>
    <row r="12" spans="1:10" ht="14.4" customHeight="1">
      <c r="A12" s="260" t="s">
        <v>674</v>
      </c>
      <c r="B12" s="271" t="s">
        <v>675</v>
      </c>
      <c r="C12" s="271" t="s">
        <v>675</v>
      </c>
      <c r="D12" s="271" t="s">
        <v>675</v>
      </c>
      <c r="E12" s="271" t="s">
        <v>675</v>
      </c>
      <c r="F12" s="271" t="s">
        <v>675</v>
      </c>
      <c r="G12" s="271" t="s">
        <v>675</v>
      </c>
      <c r="H12" s="271" t="s">
        <v>675</v>
      </c>
      <c r="I12" s="271" t="s">
        <v>675</v>
      </c>
      <c r="J12" s="228"/>
    </row>
    <row r="13" spans="1:10" ht="15" customHeight="1" thickBot="1">
      <c r="A13" s="269" t="s">
        <v>676</v>
      </c>
      <c r="B13" s="272">
        <f>$C$13</f>
        <v>0.26534166666666659</v>
      </c>
      <c r="C13" s="272">
        <v>0.26534166666666659</v>
      </c>
      <c r="D13" s="272">
        <f t="shared" ref="D13:I13" si="6">$C$13</f>
        <v>0.26534166666666659</v>
      </c>
      <c r="E13" s="272">
        <f t="shared" si="6"/>
        <v>0.26534166666666659</v>
      </c>
      <c r="F13" s="272">
        <f t="shared" si="6"/>
        <v>0.26534166666666659</v>
      </c>
      <c r="G13" s="272">
        <f t="shared" si="6"/>
        <v>0.26534166666666659</v>
      </c>
      <c r="H13" s="272">
        <f t="shared" si="6"/>
        <v>0.26534166666666659</v>
      </c>
      <c r="I13" s="272">
        <f t="shared" si="6"/>
        <v>0.26534166666666659</v>
      </c>
      <c r="J13" s="228"/>
    </row>
    <row r="14" spans="1:10" ht="15" customHeight="1" thickBot="1">
      <c r="A14" s="273" t="s">
        <v>677</v>
      </c>
      <c r="B14" s="274">
        <f t="shared" ref="B14:I14" si="7">B7*B4*B1</f>
        <v>840000</v>
      </c>
      <c r="C14" s="274">
        <f t="shared" si="7"/>
        <v>1680000</v>
      </c>
      <c r="D14" s="274">
        <f t="shared" si="7"/>
        <v>3360000</v>
      </c>
      <c r="E14" s="274">
        <f t="shared" si="7"/>
        <v>8400000</v>
      </c>
      <c r="F14" s="274">
        <f t="shared" si="7"/>
        <v>16800000</v>
      </c>
      <c r="G14" s="274">
        <f t="shared" si="7"/>
        <v>33600000</v>
      </c>
      <c r="H14" s="274">
        <f t="shared" si="7"/>
        <v>50400000</v>
      </c>
      <c r="I14" s="274">
        <f t="shared" si="7"/>
        <v>84000000</v>
      </c>
      <c r="J14" s="228"/>
    </row>
    <row r="15" spans="1:10" ht="15" customHeight="1" thickBot="1">
      <c r="A15" s="275" t="s">
        <v>678</v>
      </c>
      <c r="B15" s="259">
        <v>0.5</v>
      </c>
      <c r="C15" s="259">
        <v>1</v>
      </c>
      <c r="D15" s="259">
        <v>2</v>
      </c>
      <c r="E15" s="259">
        <v>5</v>
      </c>
      <c r="F15" s="259">
        <v>10</v>
      </c>
      <c r="G15" s="259">
        <v>20</v>
      </c>
      <c r="H15" s="259">
        <v>30</v>
      </c>
      <c r="I15" s="259">
        <v>50</v>
      </c>
      <c r="J15" s="228"/>
    </row>
    <row r="16" spans="1:10" ht="14.4" customHeight="1">
      <c r="A16" s="260" t="s">
        <v>661</v>
      </c>
      <c r="B16" s="276">
        <v>150000000</v>
      </c>
      <c r="C16" s="276">
        <v>150000000</v>
      </c>
      <c r="D16" s="276">
        <v>150000000</v>
      </c>
      <c r="E16" s="276">
        <v>150000000</v>
      </c>
      <c r="F16" s="276">
        <v>150000000</v>
      </c>
      <c r="G16" s="276">
        <v>150000000</v>
      </c>
      <c r="H16" s="276">
        <v>150000000</v>
      </c>
      <c r="I16" s="276">
        <v>150000000</v>
      </c>
      <c r="J16" s="228"/>
    </row>
    <row r="17" spans="1:10" ht="14.4" customHeight="1">
      <c r="A17" s="265" t="s">
        <v>679</v>
      </c>
      <c r="B17" s="277">
        <f>$C$17*B$15</f>
        <v>0.5</v>
      </c>
      <c r="C17" s="277">
        <v>1</v>
      </c>
      <c r="D17" s="277">
        <f t="shared" ref="D17:I17" si="8">$C$17*D$15</f>
        <v>2</v>
      </c>
      <c r="E17" s="277">
        <f t="shared" si="8"/>
        <v>5</v>
      </c>
      <c r="F17" s="277">
        <f t="shared" si="8"/>
        <v>10</v>
      </c>
      <c r="G17" s="277">
        <f t="shared" si="8"/>
        <v>20</v>
      </c>
      <c r="H17" s="277">
        <f t="shared" si="8"/>
        <v>30</v>
      </c>
      <c r="I17" s="277">
        <f t="shared" si="8"/>
        <v>50</v>
      </c>
      <c r="J17" s="228"/>
    </row>
    <row r="18" spans="1:10" ht="14.4" customHeight="1">
      <c r="A18" s="265" t="s">
        <v>680</v>
      </c>
      <c r="B18" s="277">
        <f>$C$18*B$15</f>
        <v>0.5</v>
      </c>
      <c r="C18" s="277">
        <v>1</v>
      </c>
      <c r="D18" s="277">
        <f t="shared" ref="D18:I18" si="9">$C$18*D$15</f>
        <v>2</v>
      </c>
      <c r="E18" s="277">
        <f t="shared" si="9"/>
        <v>5</v>
      </c>
      <c r="F18" s="277">
        <f t="shared" si="9"/>
        <v>10</v>
      </c>
      <c r="G18" s="277">
        <f t="shared" si="9"/>
        <v>20</v>
      </c>
      <c r="H18" s="277">
        <f t="shared" si="9"/>
        <v>30</v>
      </c>
      <c r="I18" s="277">
        <f t="shared" si="9"/>
        <v>50</v>
      </c>
      <c r="J18" s="277"/>
    </row>
    <row r="19" spans="1:10" ht="14.4" customHeight="1">
      <c r="A19" s="267" t="s">
        <v>681</v>
      </c>
      <c r="B19" s="278">
        <f>$C$19</f>
        <v>1</v>
      </c>
      <c r="C19" s="278">
        <v>1</v>
      </c>
      <c r="D19" s="278">
        <f t="shared" ref="D19:I19" si="10">$C$19</f>
        <v>1</v>
      </c>
      <c r="E19" s="278">
        <f t="shared" si="10"/>
        <v>1</v>
      </c>
      <c r="F19" s="278">
        <f t="shared" si="10"/>
        <v>1</v>
      </c>
      <c r="G19" s="278">
        <f t="shared" si="10"/>
        <v>1</v>
      </c>
      <c r="H19" s="278">
        <f t="shared" si="10"/>
        <v>1</v>
      </c>
      <c r="I19" s="278">
        <f t="shared" si="10"/>
        <v>1</v>
      </c>
      <c r="J19" s="228"/>
    </row>
    <row r="20" spans="1:10" ht="14.4" customHeight="1">
      <c r="A20" s="267" t="s">
        <v>682</v>
      </c>
      <c r="B20" s="278">
        <f>$C$20</f>
        <v>1</v>
      </c>
      <c r="C20" s="278">
        <v>1</v>
      </c>
      <c r="D20" s="278">
        <f t="shared" ref="D20:I20" si="11">$C$20</f>
        <v>1</v>
      </c>
      <c r="E20" s="278">
        <f t="shared" si="11"/>
        <v>1</v>
      </c>
      <c r="F20" s="278">
        <f t="shared" si="11"/>
        <v>1</v>
      </c>
      <c r="G20" s="278">
        <f t="shared" si="11"/>
        <v>1</v>
      </c>
      <c r="H20" s="278">
        <f t="shared" si="11"/>
        <v>1</v>
      </c>
      <c r="I20" s="278">
        <f t="shared" si="11"/>
        <v>1</v>
      </c>
      <c r="J20" s="228"/>
    </row>
    <row r="21" spans="1:10" ht="14.4" customHeight="1">
      <c r="A21" s="267" t="s">
        <v>683</v>
      </c>
      <c r="B21" s="279">
        <f>$C$21/B$15</f>
        <v>300000000</v>
      </c>
      <c r="C21" s="279">
        <v>150000000</v>
      </c>
      <c r="D21" s="279">
        <f t="shared" ref="D21:I21" si="12">$C$21/D$15</f>
        <v>75000000</v>
      </c>
      <c r="E21" s="279">
        <f t="shared" si="12"/>
        <v>30000000</v>
      </c>
      <c r="F21" s="279">
        <f t="shared" si="12"/>
        <v>15000000</v>
      </c>
      <c r="G21" s="279">
        <f t="shared" si="12"/>
        <v>7500000</v>
      </c>
      <c r="H21" s="279">
        <f t="shared" si="12"/>
        <v>5000000</v>
      </c>
      <c r="I21" s="279">
        <f t="shared" si="12"/>
        <v>3000000</v>
      </c>
      <c r="J21" s="228"/>
    </row>
    <row r="22" spans="1:10" ht="14.4" customHeight="1">
      <c r="A22" s="267" t="s">
        <v>684</v>
      </c>
      <c r="B22" s="279">
        <f>$C$22/B$15</f>
        <v>300000000</v>
      </c>
      <c r="C22" s="279">
        <v>150000000</v>
      </c>
      <c r="D22" s="279">
        <f t="shared" ref="D22:I22" si="13">$C$22/D$15</f>
        <v>75000000</v>
      </c>
      <c r="E22" s="279">
        <f t="shared" si="13"/>
        <v>30000000</v>
      </c>
      <c r="F22" s="279">
        <f t="shared" si="13"/>
        <v>15000000</v>
      </c>
      <c r="G22" s="279">
        <f t="shared" si="13"/>
        <v>7500000</v>
      </c>
      <c r="H22" s="279">
        <f t="shared" si="13"/>
        <v>5000000</v>
      </c>
      <c r="I22" s="279">
        <f t="shared" si="13"/>
        <v>3000000</v>
      </c>
      <c r="J22" s="228"/>
    </row>
    <row r="23" spans="1:10" ht="14.4" customHeight="1">
      <c r="A23" s="267" t="s">
        <v>685</v>
      </c>
      <c r="B23" s="280">
        <f t="shared" ref="B23:I23" si="14">B16*B15</f>
        <v>75000000</v>
      </c>
      <c r="C23" s="280">
        <f t="shared" si="14"/>
        <v>150000000</v>
      </c>
      <c r="D23" s="280">
        <f t="shared" si="14"/>
        <v>300000000</v>
      </c>
      <c r="E23" s="280">
        <f t="shared" si="14"/>
        <v>750000000</v>
      </c>
      <c r="F23" s="280">
        <f t="shared" si="14"/>
        <v>1500000000</v>
      </c>
      <c r="G23" s="280">
        <f t="shared" si="14"/>
        <v>3000000000</v>
      </c>
      <c r="H23" s="280">
        <f t="shared" si="14"/>
        <v>4500000000</v>
      </c>
      <c r="I23" s="280">
        <f t="shared" si="14"/>
        <v>7500000000</v>
      </c>
      <c r="J23" s="228"/>
    </row>
    <row r="24" spans="1:10" ht="14.4" customHeight="1">
      <c r="A24" s="267" t="s">
        <v>686</v>
      </c>
      <c r="B24" s="281">
        <f>$C$24</f>
        <v>3.0000000000000001E-3</v>
      </c>
      <c r="C24" s="281">
        <v>3.0000000000000001E-3</v>
      </c>
      <c r="D24" s="281">
        <f t="shared" ref="D24:I24" si="15">$C$24</f>
        <v>3.0000000000000001E-3</v>
      </c>
      <c r="E24" s="281">
        <f t="shared" si="15"/>
        <v>3.0000000000000001E-3</v>
      </c>
      <c r="F24" s="281">
        <f t="shared" si="15"/>
        <v>3.0000000000000001E-3</v>
      </c>
      <c r="G24" s="281">
        <f t="shared" si="15"/>
        <v>3.0000000000000001E-3</v>
      </c>
      <c r="H24" s="281">
        <f t="shared" si="15"/>
        <v>3.0000000000000001E-3</v>
      </c>
      <c r="I24" s="281">
        <f t="shared" si="15"/>
        <v>3.0000000000000001E-3</v>
      </c>
      <c r="J24" s="228"/>
    </row>
    <row r="25" spans="1:10" ht="14.4" customHeight="1">
      <c r="A25" s="267" t="s">
        <v>687</v>
      </c>
      <c r="B25" s="282">
        <f>$C$25</f>
        <v>225000</v>
      </c>
      <c r="C25" s="282">
        <v>225000</v>
      </c>
      <c r="D25" s="282">
        <f t="shared" ref="D25:I25" si="16">$C$25</f>
        <v>225000</v>
      </c>
      <c r="E25" s="282">
        <f t="shared" si="16"/>
        <v>225000</v>
      </c>
      <c r="F25" s="282">
        <f t="shared" si="16"/>
        <v>225000</v>
      </c>
      <c r="G25" s="282">
        <f t="shared" si="16"/>
        <v>225000</v>
      </c>
      <c r="H25" s="282">
        <f t="shared" si="16"/>
        <v>225000</v>
      </c>
      <c r="I25" s="282">
        <f t="shared" si="16"/>
        <v>225000</v>
      </c>
      <c r="J25" s="228"/>
    </row>
    <row r="26" spans="1:10" ht="14.4" customHeight="1">
      <c r="A26" s="267" t="s">
        <v>688</v>
      </c>
      <c r="B26" s="282">
        <f>$C$26</f>
        <v>225000</v>
      </c>
      <c r="C26" s="282">
        <v>225000</v>
      </c>
      <c r="D26" s="282">
        <f t="shared" ref="D26:I26" si="17">$C$26</f>
        <v>225000</v>
      </c>
      <c r="E26" s="282">
        <f t="shared" si="17"/>
        <v>225000</v>
      </c>
      <c r="F26" s="282">
        <f t="shared" si="17"/>
        <v>225000</v>
      </c>
      <c r="G26" s="282">
        <f t="shared" si="17"/>
        <v>225000</v>
      </c>
      <c r="H26" s="282">
        <f t="shared" si="17"/>
        <v>225000</v>
      </c>
      <c r="I26" s="282">
        <f t="shared" si="17"/>
        <v>225000</v>
      </c>
      <c r="J26" s="228"/>
    </row>
    <row r="27" spans="1:10" ht="14.4" customHeight="1">
      <c r="A27" s="267" t="s">
        <v>689</v>
      </c>
      <c r="B27" s="281">
        <f>$C$27</f>
        <v>2.7E-2</v>
      </c>
      <c r="C27" s="281">
        <v>2.7E-2</v>
      </c>
      <c r="D27" s="281">
        <f t="shared" ref="D27:I27" si="18">$C$27</f>
        <v>2.7E-2</v>
      </c>
      <c r="E27" s="281">
        <f t="shared" si="18"/>
        <v>2.7E-2</v>
      </c>
      <c r="F27" s="281">
        <f t="shared" si="18"/>
        <v>2.7E-2</v>
      </c>
      <c r="G27" s="281">
        <f t="shared" si="18"/>
        <v>2.7E-2</v>
      </c>
      <c r="H27" s="281">
        <f t="shared" si="18"/>
        <v>2.7E-2</v>
      </c>
      <c r="I27" s="281">
        <f t="shared" si="18"/>
        <v>2.7E-2</v>
      </c>
      <c r="J27" s="228"/>
    </row>
    <row r="28" spans="1:10" ht="15" customHeight="1" thickBot="1">
      <c r="A28" s="269" t="s">
        <v>690</v>
      </c>
      <c r="B28" s="283">
        <f t="shared" ref="B28:I28" si="19">B27*B15</f>
        <v>1.35E-2</v>
      </c>
      <c r="C28" s="284">
        <f t="shared" si="19"/>
        <v>2.7E-2</v>
      </c>
      <c r="D28" s="284">
        <f t="shared" si="19"/>
        <v>5.3999999999999999E-2</v>
      </c>
      <c r="E28" s="284">
        <f t="shared" si="19"/>
        <v>0.13500000000000001</v>
      </c>
      <c r="F28" s="284">
        <f t="shared" si="19"/>
        <v>0.27</v>
      </c>
      <c r="G28" s="284">
        <f t="shared" si="19"/>
        <v>0.54</v>
      </c>
      <c r="H28" s="284">
        <f t="shared" si="19"/>
        <v>0.80999999999999994</v>
      </c>
      <c r="I28" s="284">
        <f t="shared" si="19"/>
        <v>1.35</v>
      </c>
      <c r="J28" s="22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79998168889431442"/>
  </sheetPr>
  <dimension ref="A1:O136"/>
  <sheetViews>
    <sheetView workbookViewId="0">
      <selection activeCell="J26" sqref="J26"/>
    </sheetView>
  </sheetViews>
  <sheetFormatPr defaultRowHeight="13.2"/>
  <cols>
    <col min="2" max="2" width="9.21875" customWidth="1"/>
    <col min="3" max="3" width="15.5546875" customWidth="1"/>
    <col min="4" max="4" width="10.5546875" customWidth="1"/>
    <col min="5" max="5" width="25.33203125" customWidth="1"/>
    <col min="6" max="6" width="18.88671875" bestFit="1" customWidth="1"/>
    <col min="7" max="7" width="8.88671875" customWidth="1"/>
    <col min="8" max="8" width="8.44140625" customWidth="1"/>
    <col min="9" max="15" width="14.88671875" customWidth="1"/>
  </cols>
  <sheetData>
    <row r="1" spans="1:15">
      <c r="A1" s="228"/>
      <c r="B1" s="228"/>
      <c r="C1" s="228"/>
      <c r="D1" s="228"/>
      <c r="E1" s="228"/>
      <c r="F1" s="228"/>
      <c r="G1" s="228"/>
      <c r="H1" s="228"/>
      <c r="I1" s="228"/>
      <c r="J1" s="228"/>
      <c r="K1" s="228"/>
      <c r="L1" s="228"/>
      <c r="M1" s="228"/>
      <c r="N1" s="228"/>
      <c r="O1" s="228"/>
    </row>
    <row r="2" spans="1:15">
      <c r="A2" s="228"/>
      <c r="B2" s="285" t="s">
        <v>0</v>
      </c>
      <c r="C2" s="285" t="s">
        <v>1</v>
      </c>
      <c r="D2" s="285" t="s">
        <v>2</v>
      </c>
      <c r="E2" s="286" t="s">
        <v>3</v>
      </c>
      <c r="F2" s="285" t="s">
        <v>4</v>
      </c>
      <c r="G2" s="228"/>
      <c r="H2" s="228"/>
      <c r="I2" s="228"/>
      <c r="J2" s="228"/>
      <c r="K2" s="228"/>
      <c r="L2" s="228"/>
      <c r="M2" s="228"/>
      <c r="N2" s="228"/>
      <c r="O2" s="228"/>
    </row>
    <row r="3" spans="1:15" ht="16.2" customHeight="1">
      <c r="A3" s="228"/>
      <c r="B3" s="287">
        <v>1</v>
      </c>
      <c r="C3" s="246" t="s">
        <v>5</v>
      </c>
      <c r="D3" s="287">
        <v>0.1</v>
      </c>
      <c r="E3" s="288" t="s">
        <v>6</v>
      </c>
      <c r="F3" s="287">
        <v>3</v>
      </c>
      <c r="G3" s="228" t="s">
        <v>7</v>
      </c>
      <c r="H3" s="228"/>
      <c r="I3" s="228"/>
      <c r="J3" s="228"/>
      <c r="K3" s="228"/>
      <c r="L3" s="228"/>
      <c r="M3" s="228"/>
      <c r="N3" s="228"/>
      <c r="O3" s="228"/>
    </row>
    <row r="4" spans="1:15">
      <c r="A4" s="228"/>
      <c r="B4" s="287">
        <v>2</v>
      </c>
      <c r="C4" s="246" t="s">
        <v>8</v>
      </c>
      <c r="D4" s="287">
        <v>0.2</v>
      </c>
      <c r="E4" s="288" t="s">
        <v>6</v>
      </c>
      <c r="F4" s="287">
        <v>4</v>
      </c>
      <c r="G4" s="228" t="s">
        <v>7</v>
      </c>
      <c r="H4" s="228"/>
      <c r="I4" s="228"/>
      <c r="J4" s="228"/>
      <c r="K4" s="228"/>
      <c r="L4" s="228"/>
      <c r="M4" s="228"/>
      <c r="N4" s="228"/>
      <c r="O4" s="228"/>
    </row>
    <row r="5" spans="1:15">
      <c r="A5" s="228"/>
      <c r="B5" s="287">
        <v>3</v>
      </c>
      <c r="C5" s="246" t="s">
        <v>9</v>
      </c>
      <c r="D5" s="287">
        <v>0.5</v>
      </c>
      <c r="E5" s="288" t="s">
        <v>6</v>
      </c>
      <c r="F5" s="287">
        <v>5</v>
      </c>
      <c r="G5" s="228" t="s">
        <v>7</v>
      </c>
      <c r="H5" s="228"/>
      <c r="I5" s="228"/>
      <c r="J5" s="228"/>
      <c r="K5" s="228"/>
      <c r="L5" s="228"/>
      <c r="M5" s="228"/>
      <c r="N5" s="228"/>
      <c r="O5" s="228"/>
    </row>
    <row r="6" spans="1:15">
      <c r="A6" s="228"/>
      <c r="B6" s="287">
        <v>4</v>
      </c>
      <c r="C6" s="246" t="s">
        <v>10</v>
      </c>
      <c r="D6" s="287">
        <v>1</v>
      </c>
      <c r="E6" s="288" t="s">
        <v>6</v>
      </c>
      <c r="F6" s="287">
        <v>6</v>
      </c>
      <c r="G6" s="228" t="s">
        <v>7</v>
      </c>
      <c r="H6" s="228"/>
      <c r="I6" s="228"/>
      <c r="J6" s="228"/>
      <c r="K6" s="228"/>
      <c r="L6" s="228"/>
      <c r="M6" s="228"/>
      <c r="N6" s="228"/>
      <c r="O6" s="228"/>
    </row>
    <row r="7" spans="1:15">
      <c r="A7" s="228"/>
      <c r="B7" s="287">
        <v>5</v>
      </c>
      <c r="C7" s="246" t="s">
        <v>11</v>
      </c>
      <c r="D7" s="287">
        <v>2</v>
      </c>
      <c r="E7" s="288" t="s">
        <v>6</v>
      </c>
      <c r="F7" s="287">
        <v>7</v>
      </c>
      <c r="G7" s="228" t="s">
        <v>7</v>
      </c>
      <c r="H7" s="228"/>
      <c r="I7" s="228"/>
      <c r="J7" s="228"/>
      <c r="K7" s="228"/>
      <c r="L7" s="228"/>
      <c r="M7" s="228"/>
      <c r="N7" s="228"/>
      <c r="O7" s="228"/>
    </row>
    <row r="8" spans="1:15">
      <c r="A8" s="228"/>
      <c r="B8" s="287">
        <v>6</v>
      </c>
      <c r="C8" s="246" t="s">
        <v>12</v>
      </c>
      <c r="D8" s="287">
        <v>5</v>
      </c>
      <c r="E8" s="288" t="s">
        <v>6</v>
      </c>
      <c r="F8" s="287">
        <v>8</v>
      </c>
      <c r="G8" s="228" t="s">
        <v>7</v>
      </c>
      <c r="H8" s="289"/>
      <c r="I8" s="290" t="s">
        <v>13</v>
      </c>
      <c r="J8" s="290" t="s">
        <v>14</v>
      </c>
      <c r="K8" s="290" t="s">
        <v>15</v>
      </c>
      <c r="L8" s="290" t="s">
        <v>16</v>
      </c>
      <c r="M8" s="291" t="s">
        <v>17</v>
      </c>
      <c r="N8" s="291" t="s">
        <v>18</v>
      </c>
      <c r="O8" s="291" t="s">
        <v>19</v>
      </c>
    </row>
    <row r="9" spans="1:15">
      <c r="A9" s="228"/>
      <c r="B9" s="287">
        <v>7</v>
      </c>
      <c r="C9" s="246" t="s">
        <v>20</v>
      </c>
      <c r="D9" s="287">
        <v>10</v>
      </c>
      <c r="E9" s="288">
        <v>0</v>
      </c>
      <c r="F9" s="287">
        <v>9</v>
      </c>
      <c r="G9" s="228"/>
      <c r="H9" s="240">
        <v>3</v>
      </c>
      <c r="I9" s="246">
        <v>0.1</v>
      </c>
      <c r="J9" s="246">
        <v>0.1</v>
      </c>
      <c r="K9" s="246">
        <v>0.1</v>
      </c>
      <c r="L9" s="246">
        <v>0.1</v>
      </c>
      <c r="M9" s="246">
        <v>1</v>
      </c>
      <c r="N9" s="246">
        <v>2</v>
      </c>
      <c r="O9" s="246">
        <v>3</v>
      </c>
    </row>
    <row r="10" spans="1:15">
      <c r="A10" s="228"/>
      <c r="B10" s="287">
        <v>8</v>
      </c>
      <c r="C10" s="246" t="s">
        <v>21</v>
      </c>
      <c r="D10" s="287">
        <v>20</v>
      </c>
      <c r="E10" s="288">
        <v>1</v>
      </c>
      <c r="F10" s="287">
        <v>9</v>
      </c>
      <c r="G10" s="228"/>
      <c r="H10" s="240">
        <v>4</v>
      </c>
      <c r="I10" s="246">
        <v>0.2</v>
      </c>
      <c r="J10" s="246">
        <v>0.2</v>
      </c>
      <c r="K10" s="246">
        <v>0.2</v>
      </c>
      <c r="L10" s="246">
        <v>0.2</v>
      </c>
      <c r="M10" s="246">
        <v>2</v>
      </c>
      <c r="N10" s="246">
        <v>3</v>
      </c>
      <c r="O10" s="246">
        <v>5</v>
      </c>
    </row>
    <row r="11" spans="1:15">
      <c r="A11" s="228"/>
      <c r="B11" s="287">
        <v>9</v>
      </c>
      <c r="C11" s="246" t="s">
        <v>22</v>
      </c>
      <c r="D11" s="287">
        <v>30</v>
      </c>
      <c r="E11" s="288">
        <v>2</v>
      </c>
      <c r="F11" s="287">
        <v>9</v>
      </c>
      <c r="G11" s="228"/>
      <c r="H11" s="240">
        <v>5</v>
      </c>
      <c r="I11" s="246">
        <v>0.5</v>
      </c>
      <c r="J11" s="246">
        <v>0.5</v>
      </c>
      <c r="K11" s="246">
        <v>0.5</v>
      </c>
      <c r="L11" s="246">
        <v>0.5</v>
      </c>
      <c r="M11" s="246">
        <v>3</v>
      </c>
      <c r="N11" s="246">
        <v>5</v>
      </c>
      <c r="O11" s="246">
        <v>10</v>
      </c>
    </row>
    <row r="12" spans="1:15">
      <c r="A12" s="228"/>
      <c r="B12" s="287">
        <v>10</v>
      </c>
      <c r="C12" s="246" t="s">
        <v>23</v>
      </c>
      <c r="D12" s="287">
        <v>40</v>
      </c>
      <c r="E12" s="288">
        <v>3</v>
      </c>
      <c r="F12" s="287">
        <v>9</v>
      </c>
      <c r="G12" s="228"/>
      <c r="H12" s="240">
        <v>6</v>
      </c>
      <c r="I12" s="246">
        <v>1</v>
      </c>
      <c r="J12" s="246">
        <v>1</v>
      </c>
      <c r="K12" s="246">
        <v>1</v>
      </c>
      <c r="L12" s="246">
        <v>1</v>
      </c>
      <c r="M12" s="246">
        <v>5</v>
      </c>
      <c r="N12" s="246">
        <v>10</v>
      </c>
      <c r="O12" s="246">
        <v>20</v>
      </c>
    </row>
    <row r="13" spans="1:15">
      <c r="A13" s="228"/>
      <c r="B13" s="287">
        <v>11</v>
      </c>
      <c r="C13" s="246" t="s">
        <v>24</v>
      </c>
      <c r="D13" s="287">
        <v>1</v>
      </c>
      <c r="E13" s="288">
        <v>4</v>
      </c>
      <c r="F13" s="287">
        <v>3</v>
      </c>
      <c r="G13" s="228"/>
      <c r="H13" s="240">
        <v>7</v>
      </c>
      <c r="I13" s="246">
        <v>2</v>
      </c>
      <c r="J13" s="246">
        <v>2</v>
      </c>
      <c r="K13" s="246">
        <v>2</v>
      </c>
      <c r="L13" s="246">
        <v>2</v>
      </c>
      <c r="M13" s="246">
        <v>10</v>
      </c>
      <c r="N13" s="246">
        <v>20</v>
      </c>
      <c r="O13" s="246">
        <v>100</v>
      </c>
    </row>
    <row r="14" spans="1:15">
      <c r="A14" s="228"/>
      <c r="B14" s="287">
        <v>12</v>
      </c>
      <c r="C14" s="246" t="s">
        <v>25</v>
      </c>
      <c r="D14" s="287">
        <v>2</v>
      </c>
      <c r="E14" s="288">
        <v>4</v>
      </c>
      <c r="F14" s="287">
        <v>4</v>
      </c>
      <c r="G14" s="228"/>
      <c r="H14" s="240">
        <v>8</v>
      </c>
      <c r="I14" s="246">
        <v>5</v>
      </c>
      <c r="J14" s="246">
        <v>5</v>
      </c>
      <c r="K14" s="246">
        <v>5</v>
      </c>
      <c r="L14" s="246">
        <v>5</v>
      </c>
      <c r="M14" s="246">
        <v>20</v>
      </c>
      <c r="N14" s="246">
        <v>100</v>
      </c>
      <c r="O14" s="246">
        <v>200</v>
      </c>
    </row>
    <row r="15" spans="1:15">
      <c r="A15" s="228"/>
      <c r="B15" s="287">
        <v>13</v>
      </c>
      <c r="C15" s="246" t="s">
        <v>26</v>
      </c>
      <c r="D15" s="287">
        <v>3</v>
      </c>
      <c r="E15" s="288">
        <v>4</v>
      </c>
      <c r="F15" s="287">
        <v>5</v>
      </c>
      <c r="G15" s="228"/>
      <c r="H15" s="240">
        <v>9</v>
      </c>
      <c r="I15" s="246">
        <v>10</v>
      </c>
      <c r="J15" s="246">
        <v>20</v>
      </c>
      <c r="K15" s="246">
        <v>30</v>
      </c>
      <c r="L15" s="246">
        <v>40</v>
      </c>
      <c r="M15" s="246">
        <v>100</v>
      </c>
      <c r="N15" s="246">
        <v>200</v>
      </c>
      <c r="O15" s="246">
        <v>1000</v>
      </c>
    </row>
    <row r="16" spans="1:15">
      <c r="A16" s="228"/>
      <c r="B16" s="287">
        <v>14</v>
      </c>
      <c r="C16" s="246" t="s">
        <v>27</v>
      </c>
      <c r="D16" s="287">
        <v>5</v>
      </c>
      <c r="E16" s="288">
        <v>4</v>
      </c>
      <c r="F16" s="287">
        <v>6</v>
      </c>
      <c r="G16" s="228"/>
      <c r="H16" s="240"/>
      <c r="I16" s="246"/>
      <c r="J16" s="246"/>
      <c r="K16" s="246"/>
      <c r="L16" s="246"/>
      <c r="M16" s="246"/>
      <c r="N16" s="246"/>
      <c r="O16" s="246"/>
    </row>
    <row r="17" spans="1:15">
      <c r="A17" s="228"/>
      <c r="B17" s="287">
        <v>15</v>
      </c>
      <c r="C17" s="246" t="s">
        <v>28</v>
      </c>
      <c r="D17" s="287">
        <v>10</v>
      </c>
      <c r="E17" s="288">
        <v>4</v>
      </c>
      <c r="F17" s="287">
        <v>7</v>
      </c>
      <c r="G17" s="228"/>
      <c r="H17" s="240"/>
      <c r="I17" s="246"/>
      <c r="J17" s="246"/>
      <c r="K17" s="246"/>
      <c r="L17" s="246"/>
      <c r="M17" s="246"/>
      <c r="N17" s="246"/>
      <c r="O17" s="246"/>
    </row>
    <row r="18" spans="1:15">
      <c r="A18" s="228"/>
      <c r="B18" s="287">
        <v>16</v>
      </c>
      <c r="C18" s="246" t="s">
        <v>29</v>
      </c>
      <c r="D18" s="287">
        <v>20</v>
      </c>
      <c r="E18" s="288">
        <v>4</v>
      </c>
      <c r="F18" s="287">
        <v>8</v>
      </c>
      <c r="G18" s="228"/>
      <c r="H18" s="240"/>
      <c r="I18" s="246"/>
      <c r="J18" s="246"/>
      <c r="K18" s="246"/>
      <c r="L18" s="246"/>
      <c r="M18" s="246"/>
      <c r="N18" s="246"/>
      <c r="O18" s="246"/>
    </row>
    <row r="19" spans="1:15">
      <c r="A19" s="228"/>
      <c r="B19" s="287">
        <v>17</v>
      </c>
      <c r="C19" s="246" t="s">
        <v>30</v>
      </c>
      <c r="D19" s="287">
        <v>100</v>
      </c>
      <c r="E19" s="288">
        <v>4</v>
      </c>
      <c r="F19" s="287">
        <v>9</v>
      </c>
      <c r="G19" s="228"/>
      <c r="H19" s="228"/>
      <c r="I19" s="228"/>
      <c r="J19" s="228"/>
      <c r="K19" s="228"/>
      <c r="L19" s="228"/>
      <c r="M19" s="228"/>
      <c r="N19" s="228"/>
      <c r="O19" s="228"/>
    </row>
    <row r="20" spans="1:15">
      <c r="A20" s="228"/>
      <c r="B20" s="287">
        <v>18</v>
      </c>
      <c r="C20" s="246" t="s">
        <v>31</v>
      </c>
      <c r="D20" s="287">
        <v>2</v>
      </c>
      <c r="E20" s="288">
        <v>5</v>
      </c>
      <c r="F20" s="287">
        <v>3</v>
      </c>
      <c r="G20" s="228"/>
      <c r="H20" s="228"/>
      <c r="I20" s="228"/>
      <c r="J20" s="228"/>
      <c r="K20" s="228"/>
      <c r="L20" s="228"/>
      <c r="M20" s="228"/>
      <c r="N20" s="228"/>
      <c r="O20" s="228"/>
    </row>
    <row r="21" spans="1:15">
      <c r="A21" s="228"/>
      <c r="B21" s="287">
        <v>19</v>
      </c>
      <c r="C21" s="246" t="s">
        <v>32</v>
      </c>
      <c r="D21" s="287">
        <v>3</v>
      </c>
      <c r="E21" s="288">
        <v>5</v>
      </c>
      <c r="F21" s="287">
        <v>4</v>
      </c>
      <c r="G21" s="228"/>
      <c r="H21" s="228"/>
      <c r="I21" s="228"/>
      <c r="J21" s="228"/>
      <c r="K21" s="228"/>
      <c r="L21" s="228"/>
      <c r="M21" s="228"/>
      <c r="N21" s="228"/>
      <c r="O21" s="228"/>
    </row>
    <row r="22" spans="1:15">
      <c r="A22" s="228"/>
      <c r="B22" s="287">
        <v>20</v>
      </c>
      <c r="C22" s="246" t="s">
        <v>33</v>
      </c>
      <c r="D22" s="287">
        <v>5</v>
      </c>
      <c r="E22" s="288">
        <v>5</v>
      </c>
      <c r="F22" s="287">
        <v>5</v>
      </c>
      <c r="G22" s="228"/>
      <c r="H22" s="228"/>
      <c r="I22" s="228"/>
      <c r="J22" s="228"/>
      <c r="K22" s="228"/>
      <c r="L22" s="228"/>
      <c r="M22" s="228"/>
      <c r="N22" s="228"/>
      <c r="O22" s="228"/>
    </row>
    <row r="23" spans="1:15">
      <c r="A23" s="228"/>
      <c r="B23" s="287">
        <v>21</v>
      </c>
      <c r="C23" s="246" t="s">
        <v>34</v>
      </c>
      <c r="D23" s="287">
        <v>10</v>
      </c>
      <c r="E23" s="292">
        <v>5</v>
      </c>
      <c r="F23" s="287">
        <v>6</v>
      </c>
      <c r="G23" s="228"/>
      <c r="H23" s="228"/>
      <c r="I23" s="228"/>
      <c r="J23" s="228"/>
      <c r="K23" s="228"/>
      <c r="L23" s="228"/>
      <c r="M23" s="228"/>
      <c r="N23" s="228"/>
      <c r="O23" s="228"/>
    </row>
    <row r="24" spans="1:15">
      <c r="A24" s="228"/>
      <c r="B24" s="287">
        <v>22</v>
      </c>
      <c r="C24" s="246" t="s">
        <v>35</v>
      </c>
      <c r="D24" s="287">
        <v>20</v>
      </c>
      <c r="E24" s="292">
        <v>5</v>
      </c>
      <c r="F24" s="287">
        <v>7</v>
      </c>
      <c r="G24" s="228"/>
      <c r="H24" s="228"/>
      <c r="I24" s="228"/>
      <c r="J24" s="228"/>
      <c r="K24" s="228"/>
      <c r="L24" s="228"/>
      <c r="M24" s="228"/>
      <c r="N24" s="228"/>
      <c r="O24" s="228"/>
    </row>
    <row r="25" spans="1:15">
      <c r="A25" s="228"/>
      <c r="B25" s="287">
        <v>23</v>
      </c>
      <c r="C25" s="246" t="s">
        <v>36</v>
      </c>
      <c r="D25" s="287">
        <v>100</v>
      </c>
      <c r="E25" s="292">
        <v>5</v>
      </c>
      <c r="F25" s="287">
        <v>8</v>
      </c>
      <c r="G25" s="228"/>
      <c r="H25" s="228"/>
      <c r="I25" s="228"/>
      <c r="J25" s="228"/>
      <c r="K25" s="228"/>
      <c r="L25" s="228"/>
      <c r="M25" s="228"/>
      <c r="N25" s="228"/>
      <c r="O25" s="228"/>
    </row>
    <row r="26" spans="1:15">
      <c r="A26" s="228"/>
      <c r="B26" s="287">
        <v>24</v>
      </c>
      <c r="C26" s="246" t="s">
        <v>37</v>
      </c>
      <c r="D26" s="287">
        <v>200</v>
      </c>
      <c r="E26" s="292">
        <v>5</v>
      </c>
      <c r="F26" s="287">
        <v>9</v>
      </c>
      <c r="G26" s="228"/>
      <c r="H26" s="228"/>
      <c r="I26" s="228"/>
      <c r="J26" s="228"/>
      <c r="K26" s="228"/>
      <c r="L26" s="228"/>
      <c r="M26" s="228"/>
      <c r="N26" s="228"/>
      <c r="O26" s="228"/>
    </row>
    <row r="27" spans="1:15">
      <c r="A27" s="228"/>
      <c r="B27" s="287">
        <v>25</v>
      </c>
      <c r="C27" s="246" t="s">
        <v>38</v>
      </c>
      <c r="D27" s="287">
        <v>3</v>
      </c>
      <c r="E27" s="292">
        <v>6</v>
      </c>
      <c r="F27" s="287">
        <v>3</v>
      </c>
      <c r="G27" s="228"/>
      <c r="H27" s="228"/>
      <c r="I27" s="228"/>
      <c r="J27" s="228"/>
      <c r="K27" s="228"/>
      <c r="L27" s="228"/>
      <c r="M27" s="228"/>
      <c r="N27" s="228"/>
      <c r="O27" s="228"/>
    </row>
    <row r="28" spans="1:15">
      <c r="A28" s="228"/>
      <c r="B28" s="287">
        <v>26</v>
      </c>
      <c r="C28" s="246" t="s">
        <v>39</v>
      </c>
      <c r="D28" s="287">
        <v>5</v>
      </c>
      <c r="E28" s="292">
        <v>6</v>
      </c>
      <c r="F28" s="287">
        <v>4</v>
      </c>
      <c r="G28" s="228"/>
      <c r="H28" s="228"/>
      <c r="I28" s="228"/>
      <c r="J28" s="228"/>
      <c r="K28" s="228"/>
      <c r="L28" s="228"/>
      <c r="M28" s="228"/>
      <c r="N28" s="228"/>
      <c r="O28" s="228"/>
    </row>
    <row r="29" spans="1:15">
      <c r="A29" s="228"/>
      <c r="B29" s="287">
        <v>27</v>
      </c>
      <c r="C29" s="246" t="s">
        <v>40</v>
      </c>
      <c r="D29" s="287">
        <v>10</v>
      </c>
      <c r="E29" s="292">
        <v>6</v>
      </c>
      <c r="F29" s="287">
        <v>5</v>
      </c>
      <c r="G29" s="228"/>
      <c r="H29" s="228"/>
      <c r="I29" s="228"/>
      <c r="J29" s="228"/>
      <c r="K29" s="228"/>
      <c r="L29" s="228"/>
      <c r="M29" s="228"/>
      <c r="N29" s="228"/>
      <c r="O29" s="228"/>
    </row>
    <row r="30" spans="1:15">
      <c r="A30" s="228"/>
      <c r="B30" s="287">
        <v>28</v>
      </c>
      <c r="C30" s="246" t="s">
        <v>41</v>
      </c>
      <c r="D30" s="287">
        <v>20</v>
      </c>
      <c r="E30" s="292">
        <v>6</v>
      </c>
      <c r="F30" s="287">
        <v>6</v>
      </c>
      <c r="G30" s="228"/>
      <c r="H30" s="228"/>
      <c r="I30" s="228"/>
      <c r="J30" s="228"/>
      <c r="K30" s="228"/>
      <c r="L30" s="228"/>
      <c r="M30" s="228"/>
      <c r="N30" s="228"/>
      <c r="O30" s="228"/>
    </row>
    <row r="31" spans="1:15">
      <c r="A31" s="228"/>
      <c r="B31" s="287">
        <v>29</v>
      </c>
      <c r="C31" s="246" t="s">
        <v>42</v>
      </c>
      <c r="D31" s="287">
        <v>100</v>
      </c>
      <c r="E31" s="292">
        <v>6</v>
      </c>
      <c r="F31" s="287">
        <v>7</v>
      </c>
      <c r="G31" s="228"/>
      <c r="H31" s="228"/>
      <c r="I31" s="228"/>
      <c r="J31" s="228"/>
      <c r="K31" s="228"/>
      <c r="L31" s="228"/>
      <c r="M31" s="228"/>
      <c r="N31" s="228"/>
      <c r="O31" s="228"/>
    </row>
    <row r="32" spans="1:15">
      <c r="A32" s="228"/>
      <c r="B32" s="287">
        <v>30</v>
      </c>
      <c r="C32" s="246" t="s">
        <v>43</v>
      </c>
      <c r="D32" s="287">
        <v>200</v>
      </c>
      <c r="E32" s="292">
        <v>6</v>
      </c>
      <c r="F32" s="287">
        <v>8</v>
      </c>
      <c r="G32" s="228"/>
      <c r="H32" s="228"/>
      <c r="I32" s="228"/>
      <c r="J32" s="228"/>
      <c r="K32" s="228"/>
      <c r="L32" s="228"/>
      <c r="M32" s="228"/>
      <c r="N32" s="228"/>
      <c r="O32" s="228"/>
    </row>
    <row r="33" spans="1:15">
      <c r="A33" s="228"/>
      <c r="B33" s="287">
        <v>31</v>
      </c>
      <c r="C33" s="246" t="s">
        <v>44</v>
      </c>
      <c r="D33" s="287">
        <v>1000</v>
      </c>
      <c r="E33" s="292">
        <v>6</v>
      </c>
      <c r="F33" s="287">
        <v>9</v>
      </c>
      <c r="G33" s="228"/>
      <c r="H33" s="228"/>
      <c r="I33" s="228"/>
      <c r="J33" s="228"/>
      <c r="K33" s="228"/>
      <c r="L33" s="228"/>
      <c r="M33" s="228"/>
      <c r="N33" s="228"/>
      <c r="O33" s="228"/>
    </row>
    <row r="34" spans="1:15">
      <c r="A34" s="228"/>
      <c r="B34" s="287">
        <v>32</v>
      </c>
      <c r="C34" s="246" t="s">
        <v>45</v>
      </c>
      <c r="D34" s="287">
        <v>0.1</v>
      </c>
      <c r="E34" s="292" t="s">
        <v>6</v>
      </c>
      <c r="F34" s="287">
        <v>3</v>
      </c>
      <c r="G34" s="228" t="s">
        <v>7</v>
      </c>
      <c r="H34" s="228"/>
      <c r="I34" s="228"/>
      <c r="J34" s="228"/>
      <c r="K34" s="228"/>
      <c r="L34" s="228"/>
      <c r="M34" s="228"/>
      <c r="N34" s="228"/>
      <c r="O34" s="228"/>
    </row>
    <row r="35" spans="1:15">
      <c r="A35" s="228"/>
      <c r="B35" s="287">
        <v>33</v>
      </c>
      <c r="C35" s="246" t="s">
        <v>46</v>
      </c>
      <c r="D35" s="287">
        <v>0.2</v>
      </c>
      <c r="E35" s="292" t="s">
        <v>6</v>
      </c>
      <c r="F35" s="287">
        <v>4</v>
      </c>
      <c r="G35" s="228" t="s">
        <v>7</v>
      </c>
      <c r="H35" s="228"/>
      <c r="I35" s="228"/>
      <c r="J35" s="228"/>
      <c r="K35" s="228"/>
      <c r="L35" s="228"/>
      <c r="M35" s="228"/>
      <c r="N35" s="228"/>
      <c r="O35" s="228"/>
    </row>
    <row r="36" spans="1:15">
      <c r="A36" s="228"/>
      <c r="B36" s="287">
        <v>34</v>
      </c>
      <c r="C36" s="246" t="s">
        <v>47</v>
      </c>
      <c r="D36" s="287">
        <v>0.5</v>
      </c>
      <c r="E36" s="292" t="s">
        <v>6</v>
      </c>
      <c r="F36" s="287">
        <v>5</v>
      </c>
      <c r="G36" s="228" t="s">
        <v>7</v>
      </c>
      <c r="H36" s="228"/>
      <c r="I36" s="228"/>
      <c r="J36" s="228"/>
      <c r="K36" s="228"/>
      <c r="L36" s="228"/>
      <c r="M36" s="228"/>
      <c r="N36" s="228"/>
      <c r="O36" s="228"/>
    </row>
    <row r="37" spans="1:15">
      <c r="A37" s="228"/>
      <c r="B37" s="287">
        <v>35</v>
      </c>
      <c r="C37" s="246" t="s">
        <v>48</v>
      </c>
      <c r="D37" s="287">
        <v>1</v>
      </c>
      <c r="E37" s="292" t="s">
        <v>6</v>
      </c>
      <c r="F37" s="287">
        <v>6</v>
      </c>
      <c r="G37" s="228" t="s">
        <v>7</v>
      </c>
      <c r="H37" s="228"/>
      <c r="I37" s="228"/>
      <c r="J37" s="228"/>
      <c r="K37" s="228"/>
      <c r="L37" s="228"/>
      <c r="M37" s="228"/>
      <c r="N37" s="228"/>
      <c r="O37" s="228"/>
    </row>
    <row r="38" spans="1:15">
      <c r="A38" s="228"/>
      <c r="B38" s="287">
        <v>36</v>
      </c>
      <c r="C38" s="246" t="s">
        <v>49</v>
      </c>
      <c r="D38" s="287">
        <v>2</v>
      </c>
      <c r="E38" s="292" t="s">
        <v>6</v>
      </c>
      <c r="F38" s="287">
        <v>7</v>
      </c>
      <c r="G38" s="228" t="s">
        <v>7</v>
      </c>
      <c r="H38" s="228"/>
      <c r="I38" s="228"/>
      <c r="J38" s="228"/>
      <c r="K38" s="228"/>
      <c r="L38" s="228"/>
      <c r="M38" s="228"/>
      <c r="N38" s="228"/>
      <c r="O38" s="228"/>
    </row>
    <row r="39" spans="1:15">
      <c r="A39" s="228"/>
      <c r="B39" s="287">
        <v>37</v>
      </c>
      <c r="C39" s="246" t="s">
        <v>50</v>
      </c>
      <c r="D39" s="287">
        <v>5</v>
      </c>
      <c r="E39" s="292" t="s">
        <v>6</v>
      </c>
      <c r="F39" s="287">
        <v>8</v>
      </c>
      <c r="G39" s="228" t="s">
        <v>7</v>
      </c>
      <c r="H39" s="228"/>
      <c r="I39" s="228"/>
      <c r="J39" s="228"/>
      <c r="K39" s="228"/>
      <c r="L39" s="228"/>
      <c r="M39" s="228"/>
      <c r="N39" s="228"/>
      <c r="O39" s="228"/>
    </row>
    <row r="40" spans="1:15">
      <c r="A40" s="228"/>
      <c r="B40" s="287">
        <v>38</v>
      </c>
      <c r="C40" s="246" t="s">
        <v>51</v>
      </c>
      <c r="D40" s="287">
        <v>10</v>
      </c>
      <c r="E40" s="292">
        <v>0</v>
      </c>
      <c r="F40" s="287">
        <v>9</v>
      </c>
      <c r="G40" s="228"/>
      <c r="H40" s="228"/>
      <c r="I40" s="228"/>
      <c r="J40" s="228"/>
      <c r="K40" s="228"/>
      <c r="L40" s="228"/>
      <c r="M40" s="228"/>
      <c r="N40" s="228"/>
      <c r="O40" s="228"/>
    </row>
    <row r="41" spans="1:15">
      <c r="A41" s="228"/>
      <c r="B41" s="287">
        <v>39</v>
      </c>
      <c r="C41" s="246" t="s">
        <v>52</v>
      </c>
      <c r="D41" s="287">
        <v>20</v>
      </c>
      <c r="E41" s="292">
        <v>1</v>
      </c>
      <c r="F41" s="287">
        <v>9</v>
      </c>
      <c r="G41" s="228"/>
      <c r="H41" s="228"/>
      <c r="I41" s="228"/>
      <c r="J41" s="228"/>
      <c r="K41" s="228"/>
      <c r="L41" s="228"/>
      <c r="M41" s="228"/>
      <c r="N41" s="228"/>
      <c r="O41" s="228"/>
    </row>
    <row r="42" spans="1:15">
      <c r="A42" s="228"/>
      <c r="B42" s="287">
        <v>40</v>
      </c>
      <c r="C42" s="246" t="s">
        <v>53</v>
      </c>
      <c r="D42" s="287">
        <v>30</v>
      </c>
      <c r="E42" s="292">
        <v>2</v>
      </c>
      <c r="F42" s="287">
        <v>9</v>
      </c>
      <c r="G42" s="228"/>
      <c r="H42" s="228"/>
      <c r="I42" s="228"/>
      <c r="J42" s="228"/>
      <c r="K42" s="228"/>
      <c r="L42" s="228"/>
      <c r="M42" s="228"/>
      <c r="N42" s="228"/>
      <c r="O42" s="228"/>
    </row>
    <row r="43" spans="1:15">
      <c r="A43" s="228"/>
      <c r="B43" s="287">
        <v>41</v>
      </c>
      <c r="C43" s="246" t="s">
        <v>54</v>
      </c>
      <c r="D43" s="287">
        <v>40</v>
      </c>
      <c r="E43" s="288">
        <v>3</v>
      </c>
      <c r="F43" s="287">
        <v>9</v>
      </c>
      <c r="G43" s="228"/>
      <c r="H43" s="228"/>
      <c r="I43" s="228"/>
      <c r="J43" s="228"/>
      <c r="K43" s="228"/>
      <c r="L43" s="228"/>
      <c r="M43" s="228"/>
      <c r="N43" s="228"/>
      <c r="O43" s="228"/>
    </row>
    <row r="44" spans="1:15">
      <c r="A44" s="228"/>
      <c r="B44" s="287">
        <v>42</v>
      </c>
      <c r="C44" s="246" t="s">
        <v>55</v>
      </c>
      <c r="D44" s="287">
        <v>1</v>
      </c>
      <c r="E44" s="288">
        <v>4</v>
      </c>
      <c r="F44" s="287">
        <v>3</v>
      </c>
      <c r="G44" s="228"/>
      <c r="H44" s="228"/>
      <c r="I44" s="228"/>
      <c r="J44" s="228"/>
      <c r="K44" s="228"/>
      <c r="L44" s="228"/>
      <c r="M44" s="228"/>
      <c r="N44" s="228"/>
      <c r="O44" s="228"/>
    </row>
    <row r="45" spans="1:15">
      <c r="A45" s="228"/>
      <c r="B45" s="287">
        <v>43</v>
      </c>
      <c r="C45" s="246" t="s">
        <v>56</v>
      </c>
      <c r="D45" s="287">
        <v>2</v>
      </c>
      <c r="E45" s="288">
        <v>4</v>
      </c>
      <c r="F45" s="287">
        <v>4</v>
      </c>
      <c r="G45" s="228"/>
      <c r="H45" s="228"/>
      <c r="I45" s="228"/>
      <c r="J45" s="228"/>
      <c r="K45" s="228"/>
      <c r="L45" s="228"/>
      <c r="M45" s="228"/>
      <c r="N45" s="228"/>
      <c r="O45" s="228"/>
    </row>
    <row r="46" spans="1:15">
      <c r="A46" s="228"/>
      <c r="B46" s="287">
        <v>44</v>
      </c>
      <c r="C46" s="290" t="s">
        <v>57</v>
      </c>
      <c r="D46" s="287">
        <v>3</v>
      </c>
      <c r="E46" s="288">
        <v>4</v>
      </c>
      <c r="F46" s="287">
        <v>5</v>
      </c>
      <c r="G46" s="228"/>
      <c r="H46" s="228"/>
      <c r="I46" s="228"/>
      <c r="J46" s="228"/>
      <c r="K46" s="228"/>
      <c r="L46" s="228"/>
      <c r="M46" s="228"/>
      <c r="N46" s="228"/>
      <c r="O46" s="228"/>
    </row>
    <row r="47" spans="1:15">
      <c r="A47" s="228"/>
      <c r="B47" s="287">
        <v>45</v>
      </c>
      <c r="C47" s="290" t="s">
        <v>58</v>
      </c>
      <c r="D47" s="287">
        <v>5</v>
      </c>
      <c r="E47" s="288">
        <v>4</v>
      </c>
      <c r="F47" s="287">
        <v>6</v>
      </c>
      <c r="G47" s="228"/>
      <c r="H47" s="228"/>
      <c r="I47" s="228"/>
      <c r="J47" s="228"/>
      <c r="K47" s="228"/>
      <c r="L47" s="228"/>
      <c r="M47" s="228"/>
      <c r="N47" s="228"/>
      <c r="O47" s="228"/>
    </row>
    <row r="48" spans="1:15">
      <c r="A48" s="228"/>
      <c r="B48" s="287">
        <v>46</v>
      </c>
      <c r="C48" s="290" t="s">
        <v>59</v>
      </c>
      <c r="D48" s="287">
        <v>2</v>
      </c>
      <c r="E48" s="288">
        <v>5</v>
      </c>
      <c r="F48" s="287">
        <v>3</v>
      </c>
      <c r="G48" s="228"/>
      <c r="H48" s="228"/>
      <c r="I48" s="228"/>
      <c r="J48" s="228"/>
      <c r="K48" s="228"/>
      <c r="L48" s="228"/>
      <c r="M48" s="228"/>
      <c r="N48" s="228"/>
      <c r="O48" s="228"/>
    </row>
    <row r="49" spans="1:15">
      <c r="A49" s="228"/>
      <c r="B49" s="287">
        <v>47</v>
      </c>
      <c r="C49" s="290" t="s">
        <v>60</v>
      </c>
      <c r="D49" s="287">
        <v>3</v>
      </c>
      <c r="E49" s="288">
        <v>5</v>
      </c>
      <c r="F49" s="287">
        <v>4</v>
      </c>
      <c r="G49" s="228"/>
      <c r="H49" s="228"/>
      <c r="I49" s="228"/>
      <c r="J49" s="228"/>
      <c r="K49" s="228"/>
      <c r="L49" s="228"/>
      <c r="M49" s="228"/>
      <c r="N49" s="228"/>
      <c r="O49" s="228"/>
    </row>
    <row r="50" spans="1:15">
      <c r="A50" s="228"/>
      <c r="B50" s="287">
        <v>48</v>
      </c>
      <c r="C50" s="290" t="s">
        <v>61</v>
      </c>
      <c r="D50" s="287">
        <v>5</v>
      </c>
      <c r="E50" s="288">
        <v>5</v>
      </c>
      <c r="F50" s="287">
        <v>5</v>
      </c>
      <c r="G50" s="228"/>
      <c r="H50" s="228"/>
      <c r="I50" s="228"/>
      <c r="J50" s="228"/>
      <c r="K50" s="228"/>
      <c r="L50" s="228"/>
      <c r="M50" s="228"/>
      <c r="N50" s="228"/>
      <c r="O50" s="228"/>
    </row>
    <row r="51" spans="1:15">
      <c r="A51" s="228"/>
      <c r="B51" s="287">
        <v>49</v>
      </c>
      <c r="C51" s="290" t="s">
        <v>62</v>
      </c>
      <c r="D51" s="287">
        <v>10</v>
      </c>
      <c r="E51" s="288">
        <v>5</v>
      </c>
      <c r="F51" s="287">
        <v>6</v>
      </c>
      <c r="G51" s="228"/>
      <c r="H51" s="228"/>
      <c r="I51" s="228"/>
      <c r="J51" s="228"/>
      <c r="K51" s="228"/>
      <c r="L51" s="228"/>
      <c r="M51" s="228"/>
      <c r="N51" s="228"/>
      <c r="O51" s="228"/>
    </row>
    <row r="52" spans="1:15">
      <c r="A52" s="228"/>
      <c r="B52" s="287">
        <v>50</v>
      </c>
      <c r="C52" s="290" t="s">
        <v>63</v>
      </c>
      <c r="D52" s="287">
        <v>3</v>
      </c>
      <c r="E52" s="288">
        <v>6</v>
      </c>
      <c r="F52" s="287">
        <v>3</v>
      </c>
      <c r="G52" s="228"/>
      <c r="H52" s="228"/>
      <c r="I52" s="228"/>
      <c r="J52" s="228"/>
      <c r="K52" s="228"/>
      <c r="L52" s="228"/>
      <c r="M52" s="228"/>
      <c r="N52" s="228"/>
      <c r="O52" s="228"/>
    </row>
    <row r="53" spans="1:15">
      <c r="A53" s="228"/>
      <c r="B53" s="287">
        <v>51</v>
      </c>
      <c r="C53" s="290" t="s">
        <v>64</v>
      </c>
      <c r="D53" s="287">
        <v>5</v>
      </c>
      <c r="E53" s="288">
        <v>6</v>
      </c>
      <c r="F53" s="287">
        <v>4</v>
      </c>
      <c r="G53" s="228"/>
      <c r="H53" s="228"/>
      <c r="I53" s="228"/>
      <c r="J53" s="228"/>
      <c r="K53" s="228"/>
      <c r="L53" s="228"/>
      <c r="M53" s="228"/>
      <c r="N53" s="228"/>
      <c r="O53" s="228"/>
    </row>
    <row r="54" spans="1:15">
      <c r="A54" s="228"/>
      <c r="B54" s="287">
        <v>52</v>
      </c>
      <c r="C54" s="290" t="s">
        <v>65</v>
      </c>
      <c r="D54" s="287">
        <v>10</v>
      </c>
      <c r="E54" s="288">
        <v>6</v>
      </c>
      <c r="F54" s="287">
        <v>5</v>
      </c>
      <c r="G54" s="228"/>
      <c r="H54" s="228"/>
      <c r="I54" s="228"/>
      <c r="J54" s="228"/>
      <c r="K54" s="228"/>
      <c r="L54" s="228"/>
      <c r="M54" s="228"/>
      <c r="N54" s="228"/>
      <c r="O54" s="228"/>
    </row>
    <row r="55" spans="1:15">
      <c r="A55" s="228"/>
      <c r="B55" s="287">
        <v>53</v>
      </c>
      <c r="C55" s="290" t="s">
        <v>66</v>
      </c>
      <c r="D55" s="287">
        <v>20</v>
      </c>
      <c r="E55" s="288">
        <v>6</v>
      </c>
      <c r="F55" s="287">
        <v>6</v>
      </c>
      <c r="G55" s="228"/>
      <c r="H55" s="228"/>
      <c r="I55" s="228"/>
      <c r="J55" s="228"/>
      <c r="K55" s="228"/>
      <c r="L55" s="228"/>
      <c r="M55" s="228"/>
      <c r="N55" s="228"/>
      <c r="O55" s="228"/>
    </row>
    <row r="56" spans="1:15">
      <c r="A56" s="228"/>
      <c r="B56" s="287">
        <v>54</v>
      </c>
      <c r="C56" s="290" t="s">
        <v>67</v>
      </c>
      <c r="D56" s="287">
        <v>3.2</v>
      </c>
      <c r="E56" s="288" t="s">
        <v>68</v>
      </c>
      <c r="F56" s="287">
        <v>10</v>
      </c>
      <c r="G56" s="228"/>
      <c r="H56" s="228"/>
      <c r="I56" s="228"/>
      <c r="J56" s="228"/>
      <c r="K56" s="228"/>
      <c r="L56" s="228"/>
      <c r="M56" s="228"/>
      <c r="N56" s="228"/>
      <c r="O56" s="228"/>
    </row>
    <row r="57" spans="1:15">
      <c r="A57" s="228"/>
      <c r="B57" s="287">
        <v>55</v>
      </c>
      <c r="C57" s="290" t="s">
        <v>69</v>
      </c>
      <c r="D57" s="287">
        <v>10.6</v>
      </c>
      <c r="E57" s="288" t="s">
        <v>68</v>
      </c>
      <c r="F57" s="287">
        <v>10</v>
      </c>
      <c r="G57" s="228"/>
      <c r="H57" s="228"/>
      <c r="I57" s="228"/>
      <c r="J57" s="228"/>
      <c r="K57" s="228"/>
      <c r="L57" s="228"/>
      <c r="M57" s="228"/>
      <c r="N57" s="228"/>
      <c r="O57" s="228"/>
    </row>
    <row r="58" spans="1:15">
      <c r="A58" s="228"/>
      <c r="B58" s="287">
        <v>56</v>
      </c>
      <c r="C58" s="290" t="s">
        <v>70</v>
      </c>
      <c r="D58" s="287">
        <v>11</v>
      </c>
      <c r="E58" s="288" t="s">
        <v>68</v>
      </c>
      <c r="F58" s="287">
        <v>10</v>
      </c>
      <c r="G58" s="228"/>
      <c r="H58" s="228"/>
      <c r="I58" s="228"/>
      <c r="J58" s="228"/>
      <c r="K58" s="228"/>
      <c r="L58" s="228"/>
      <c r="M58" s="228"/>
      <c r="N58" s="228"/>
      <c r="O58" s="228"/>
    </row>
    <row r="59" spans="1:15">
      <c r="A59" s="228"/>
      <c r="B59" s="287">
        <v>57</v>
      </c>
      <c r="C59" s="290" t="s">
        <v>71</v>
      </c>
      <c r="D59" s="287">
        <v>12.3</v>
      </c>
      <c r="E59" s="288" t="s">
        <v>68</v>
      </c>
      <c r="F59" s="287">
        <v>10</v>
      </c>
      <c r="G59" s="228"/>
      <c r="H59" s="228"/>
      <c r="I59" s="228"/>
      <c r="J59" s="228"/>
      <c r="K59" s="228"/>
      <c r="L59" s="228"/>
      <c r="M59" s="228"/>
      <c r="N59" s="228"/>
      <c r="O59" s="228"/>
    </row>
    <row r="60" spans="1:15">
      <c r="A60" s="228"/>
      <c r="B60" s="287">
        <v>58</v>
      </c>
      <c r="C60" s="290" t="s">
        <v>72</v>
      </c>
      <c r="D60" s="287">
        <v>13.7</v>
      </c>
      <c r="E60" s="288" t="s">
        <v>68</v>
      </c>
      <c r="F60" s="287">
        <v>10</v>
      </c>
      <c r="G60" s="228"/>
      <c r="H60" s="228"/>
      <c r="I60" s="228"/>
      <c r="J60" s="228"/>
      <c r="K60" s="228"/>
      <c r="L60" s="228"/>
      <c r="M60" s="228"/>
      <c r="N60" s="228"/>
      <c r="O60" s="228"/>
    </row>
    <row r="61" spans="1:15">
      <c r="A61" s="228"/>
      <c r="B61" s="287">
        <v>59</v>
      </c>
      <c r="C61" s="290" t="s">
        <v>73</v>
      </c>
      <c r="D61" s="287">
        <v>16</v>
      </c>
      <c r="E61" s="288" t="s">
        <v>68</v>
      </c>
      <c r="F61" s="287">
        <v>10</v>
      </c>
      <c r="G61" s="228"/>
      <c r="H61" s="228"/>
      <c r="I61" s="228"/>
      <c r="J61" s="228"/>
      <c r="K61" s="228"/>
      <c r="L61" s="228"/>
      <c r="M61" s="228"/>
      <c r="N61" s="228"/>
      <c r="O61" s="228"/>
    </row>
    <row r="62" spans="1:15">
      <c r="A62" s="228"/>
      <c r="B62" s="287">
        <v>60</v>
      </c>
      <c r="C62" s="290" t="s">
        <v>74</v>
      </c>
      <c r="D62" s="287">
        <v>17.7</v>
      </c>
      <c r="E62" s="288" t="s">
        <v>68</v>
      </c>
      <c r="F62" s="287">
        <v>10</v>
      </c>
      <c r="G62" s="228"/>
      <c r="H62" s="228"/>
      <c r="I62" s="228"/>
      <c r="J62" s="228"/>
      <c r="K62" s="228"/>
      <c r="L62" s="228"/>
      <c r="M62" s="228"/>
      <c r="N62" s="228"/>
      <c r="O62" s="228"/>
    </row>
    <row r="63" spans="1:15">
      <c r="A63" s="228"/>
      <c r="B63" s="287">
        <v>61</v>
      </c>
      <c r="C63" s="290" t="s">
        <v>75</v>
      </c>
      <c r="D63" s="287">
        <v>20.3</v>
      </c>
      <c r="E63" s="288" t="s">
        <v>68</v>
      </c>
      <c r="F63" s="287">
        <v>10</v>
      </c>
      <c r="G63" s="228"/>
      <c r="H63" s="228"/>
      <c r="I63" s="228"/>
      <c r="J63" s="228"/>
      <c r="K63" s="228"/>
      <c r="L63" s="228"/>
      <c r="M63" s="228"/>
      <c r="N63" s="228"/>
      <c r="O63" s="228"/>
    </row>
    <row r="64" spans="1:15">
      <c r="A64" s="228"/>
      <c r="B64" s="287">
        <v>62</v>
      </c>
      <c r="C64" s="290" t="s">
        <v>76</v>
      </c>
      <c r="D64" s="287">
        <v>11.4</v>
      </c>
      <c r="E64" s="288" t="s">
        <v>68</v>
      </c>
      <c r="F64" s="287">
        <v>10</v>
      </c>
      <c r="G64" s="228"/>
      <c r="H64" s="228"/>
      <c r="I64" s="228"/>
      <c r="J64" s="228"/>
      <c r="K64" s="228"/>
      <c r="L64" s="228"/>
      <c r="M64" s="228"/>
      <c r="N64" s="228"/>
      <c r="O64" s="228"/>
    </row>
    <row r="65" spans="1:15">
      <c r="A65" s="228"/>
      <c r="B65" s="287">
        <v>63</v>
      </c>
      <c r="C65" s="290" t="s">
        <v>77</v>
      </c>
      <c r="D65" s="287">
        <v>22.1</v>
      </c>
      <c r="E65" s="288" t="s">
        <v>68</v>
      </c>
      <c r="F65" s="287">
        <v>10</v>
      </c>
      <c r="G65" s="228"/>
      <c r="H65" s="228"/>
      <c r="I65" s="228"/>
      <c r="J65" s="228"/>
      <c r="K65" s="228"/>
      <c r="L65" s="228"/>
      <c r="M65" s="228"/>
      <c r="N65" s="228"/>
      <c r="O65" s="228"/>
    </row>
    <row r="66" spans="1:15">
      <c r="A66" s="228"/>
      <c r="B66" s="287">
        <v>64</v>
      </c>
      <c r="C66" s="290" t="s">
        <v>78</v>
      </c>
      <c r="D66" s="287">
        <v>17.2</v>
      </c>
      <c r="E66" s="288" t="s">
        <v>68</v>
      </c>
      <c r="F66" s="287">
        <v>10</v>
      </c>
      <c r="G66" s="228"/>
      <c r="H66" s="228"/>
      <c r="I66" s="228"/>
      <c r="J66" s="228"/>
      <c r="K66" s="228"/>
      <c r="L66" s="228"/>
      <c r="M66" s="228"/>
      <c r="N66" s="228"/>
      <c r="O66" s="228"/>
    </row>
    <row r="67" spans="1:15">
      <c r="A67" s="228"/>
      <c r="B67" s="287">
        <v>65</v>
      </c>
      <c r="C67" s="290" t="s">
        <v>79</v>
      </c>
      <c r="D67" s="287">
        <v>20.100000000000001</v>
      </c>
      <c r="E67" s="288" t="s">
        <v>68</v>
      </c>
      <c r="F67" s="287">
        <v>10</v>
      </c>
      <c r="G67" s="228"/>
      <c r="H67" s="228"/>
      <c r="I67" s="228"/>
      <c r="J67" s="228"/>
      <c r="K67" s="228"/>
      <c r="L67" s="228"/>
      <c r="M67" s="228"/>
      <c r="N67" s="228"/>
      <c r="O67" s="228"/>
    </row>
    <row r="68" spans="1:15">
      <c r="A68" s="228"/>
      <c r="B68" s="287">
        <v>66</v>
      </c>
      <c r="C68" s="290" t="s">
        <v>80</v>
      </c>
      <c r="D68" s="287">
        <v>11.8</v>
      </c>
      <c r="E68" s="288" t="s">
        <v>68</v>
      </c>
      <c r="F68" s="287">
        <v>10</v>
      </c>
      <c r="G68" s="228"/>
      <c r="H68" s="228"/>
      <c r="I68" s="228"/>
      <c r="J68" s="228"/>
      <c r="K68" s="228"/>
      <c r="L68" s="228"/>
      <c r="M68" s="228"/>
      <c r="N68" s="228"/>
      <c r="O68" s="228"/>
    </row>
    <row r="69" spans="1:15">
      <c r="A69" s="228"/>
      <c r="B69" s="287">
        <v>67</v>
      </c>
      <c r="C69" s="290" t="s">
        <v>81</v>
      </c>
      <c r="D69" s="287">
        <v>18.5</v>
      </c>
      <c r="E69" s="288" t="s">
        <v>68</v>
      </c>
      <c r="F69" s="287">
        <v>10</v>
      </c>
      <c r="G69" s="228"/>
      <c r="H69" s="228"/>
      <c r="I69" s="228"/>
      <c r="J69" s="228"/>
      <c r="K69" s="228"/>
      <c r="L69" s="228"/>
      <c r="M69" s="228"/>
      <c r="N69" s="228"/>
      <c r="O69" s="228"/>
    </row>
    <row r="70" spans="1:15">
      <c r="A70" s="228"/>
      <c r="B70" s="287">
        <v>68</v>
      </c>
      <c r="C70" s="290" t="s">
        <v>82</v>
      </c>
      <c r="D70" s="287">
        <v>20.7</v>
      </c>
      <c r="E70" s="288" t="s">
        <v>68</v>
      </c>
      <c r="F70" s="287">
        <v>10</v>
      </c>
      <c r="G70" s="228"/>
      <c r="H70" s="228"/>
      <c r="I70" s="228"/>
      <c r="J70" s="228"/>
      <c r="K70" s="228"/>
      <c r="L70" s="228"/>
      <c r="M70" s="228"/>
      <c r="N70" s="228"/>
      <c r="O70" s="228"/>
    </row>
    <row r="71" spans="1:15">
      <c r="A71" s="228"/>
      <c r="B71" s="287">
        <v>69</v>
      </c>
      <c r="C71" s="290" t="s">
        <v>83</v>
      </c>
      <c r="D71" s="287">
        <v>20.6</v>
      </c>
      <c r="E71" s="288" t="s">
        <v>68</v>
      </c>
      <c r="F71" s="287">
        <v>10</v>
      </c>
      <c r="G71" s="228"/>
      <c r="H71" s="228"/>
      <c r="I71" s="228"/>
      <c r="J71" s="228"/>
      <c r="K71" s="228"/>
      <c r="L71" s="228"/>
      <c r="M71" s="228"/>
      <c r="N71" s="228"/>
      <c r="O71" s="228"/>
    </row>
    <row r="72" spans="1:15">
      <c r="A72" s="228"/>
      <c r="B72" s="287">
        <v>70</v>
      </c>
      <c r="C72" s="290" t="s">
        <v>84</v>
      </c>
      <c r="D72" s="287">
        <v>30</v>
      </c>
      <c r="E72" s="288" t="s">
        <v>68</v>
      </c>
      <c r="F72" s="287">
        <v>10</v>
      </c>
      <c r="G72" s="228"/>
      <c r="H72" s="228"/>
      <c r="I72" s="228"/>
      <c r="J72" s="228"/>
      <c r="K72" s="228"/>
      <c r="L72" s="228"/>
      <c r="M72" s="228"/>
      <c r="N72" s="228"/>
      <c r="O72" s="228"/>
    </row>
    <row r="73" spans="1:15">
      <c r="A73" s="228"/>
      <c r="B73" s="287">
        <v>71</v>
      </c>
      <c r="C73" s="290" t="s">
        <v>85</v>
      </c>
      <c r="D73" s="287">
        <v>18</v>
      </c>
      <c r="E73" s="288" t="s">
        <v>68</v>
      </c>
      <c r="F73" s="287">
        <v>10</v>
      </c>
      <c r="G73" s="228"/>
      <c r="H73" s="228"/>
      <c r="I73" s="228"/>
      <c r="J73" s="228"/>
      <c r="K73" s="228"/>
      <c r="L73" s="228"/>
      <c r="M73" s="228"/>
      <c r="N73" s="228"/>
      <c r="O73" s="228"/>
    </row>
    <row r="74" spans="1:15">
      <c r="A74" s="228"/>
      <c r="B74" s="287">
        <v>72</v>
      </c>
      <c r="C74" s="290" t="s">
        <v>86</v>
      </c>
      <c r="D74" s="287">
        <v>19.399999999999999</v>
      </c>
      <c r="E74" s="288" t="s">
        <v>68</v>
      </c>
      <c r="F74" s="287">
        <v>10</v>
      </c>
      <c r="G74" s="228"/>
      <c r="H74" s="228"/>
      <c r="I74" s="228"/>
      <c r="J74" s="228"/>
      <c r="K74" s="228"/>
      <c r="L74" s="228"/>
      <c r="M74" s="228"/>
      <c r="N74" s="228"/>
      <c r="O74" s="228"/>
    </row>
    <row r="75" spans="1:15">
      <c r="A75" s="228"/>
      <c r="B75" s="287">
        <v>73</v>
      </c>
      <c r="C75" s="290" t="s">
        <v>87</v>
      </c>
      <c r="D75" s="287">
        <v>19.2</v>
      </c>
      <c r="E75" s="288" t="s">
        <v>68</v>
      </c>
      <c r="F75" s="287">
        <v>10</v>
      </c>
      <c r="G75" s="228"/>
      <c r="H75" s="228"/>
      <c r="I75" s="228"/>
      <c r="J75" s="228"/>
      <c r="K75" s="228"/>
      <c r="L75" s="228"/>
      <c r="M75" s="228"/>
      <c r="N75" s="228"/>
      <c r="O75" s="228"/>
    </row>
    <row r="76" spans="1:15">
      <c r="A76" s="228"/>
      <c r="B76" s="287">
        <v>74</v>
      </c>
      <c r="C76" s="290" t="s">
        <v>88</v>
      </c>
      <c r="D76" s="287">
        <v>22.5</v>
      </c>
      <c r="E76" s="288" t="s">
        <v>68</v>
      </c>
      <c r="F76" s="287">
        <v>10</v>
      </c>
      <c r="G76" s="228"/>
      <c r="H76" s="228"/>
      <c r="I76" s="228"/>
      <c r="J76" s="228"/>
      <c r="K76" s="228"/>
      <c r="L76" s="228"/>
      <c r="M76" s="228"/>
      <c r="N76" s="228"/>
      <c r="O76" s="228"/>
    </row>
    <row r="77" spans="1:15">
      <c r="A77" s="228"/>
      <c r="B77" s="287">
        <v>75</v>
      </c>
      <c r="C77" s="293" t="s">
        <v>89</v>
      </c>
      <c r="D77" s="287">
        <v>25.5</v>
      </c>
      <c r="E77" s="288" t="s">
        <v>68</v>
      </c>
      <c r="F77" s="287">
        <v>10</v>
      </c>
      <c r="G77" s="228"/>
      <c r="H77" s="228"/>
      <c r="I77" s="228"/>
      <c r="J77" s="228"/>
      <c r="K77" s="228"/>
      <c r="L77" s="228"/>
      <c r="M77" s="228"/>
      <c r="N77" s="228"/>
      <c r="O77" s="228"/>
    </row>
    <row r="78" spans="1:15">
      <c r="A78" s="228"/>
      <c r="B78" s="287">
        <v>76</v>
      </c>
      <c r="C78" s="293" t="s">
        <v>90</v>
      </c>
      <c r="D78" s="287">
        <v>36.400000000000013</v>
      </c>
      <c r="E78" s="288" t="s">
        <v>68</v>
      </c>
      <c r="F78" s="287">
        <v>10</v>
      </c>
      <c r="G78" s="228"/>
      <c r="H78" s="228"/>
      <c r="I78" s="228"/>
      <c r="J78" s="228"/>
      <c r="K78" s="228"/>
      <c r="L78" s="228"/>
      <c r="M78" s="228"/>
      <c r="N78" s="228"/>
      <c r="O78" s="228"/>
    </row>
    <row r="79" spans="1:15">
      <c r="A79" s="228"/>
      <c r="B79" s="287">
        <v>77</v>
      </c>
      <c r="C79" s="293" t="s">
        <v>91</v>
      </c>
      <c r="D79" s="287">
        <v>35</v>
      </c>
      <c r="E79" s="288" t="s">
        <v>68</v>
      </c>
      <c r="F79" s="287">
        <v>10</v>
      </c>
      <c r="G79" s="228"/>
      <c r="H79" s="228"/>
      <c r="I79" s="228"/>
      <c r="J79" s="228"/>
      <c r="K79" s="228"/>
      <c r="L79" s="228"/>
      <c r="M79" s="228"/>
      <c r="N79" s="228"/>
      <c r="O79" s="228"/>
    </row>
    <row r="80" spans="1:15">
      <c r="A80" s="228"/>
      <c r="B80" s="287">
        <v>78</v>
      </c>
      <c r="C80" s="293" t="s">
        <v>92</v>
      </c>
      <c r="D80" s="287">
        <v>34.700000000000003</v>
      </c>
      <c r="E80" s="288" t="s">
        <v>68</v>
      </c>
      <c r="F80" s="287">
        <v>10</v>
      </c>
      <c r="G80" s="228"/>
      <c r="H80" s="228"/>
      <c r="I80" s="228"/>
      <c r="J80" s="228"/>
      <c r="K80" s="228"/>
      <c r="L80" s="228"/>
      <c r="M80" s="228"/>
      <c r="N80" s="228"/>
      <c r="O80" s="228"/>
    </row>
    <row r="81" spans="1:15">
      <c r="A81" s="228"/>
      <c r="B81" s="287">
        <v>79</v>
      </c>
      <c r="C81" s="293" t="s">
        <v>93</v>
      </c>
      <c r="D81" s="287">
        <v>19.2</v>
      </c>
      <c r="E81" s="288" t="s">
        <v>68</v>
      </c>
      <c r="F81" s="287">
        <v>10</v>
      </c>
      <c r="G81" s="228"/>
      <c r="H81" s="228"/>
      <c r="I81" s="228"/>
      <c r="J81" s="228"/>
      <c r="K81" s="228"/>
      <c r="L81" s="228"/>
      <c r="M81" s="228"/>
      <c r="N81" s="228"/>
      <c r="O81" s="228"/>
    </row>
    <row r="82" spans="1:15">
      <c r="A82" s="228"/>
      <c r="B82" s="287">
        <v>80</v>
      </c>
      <c r="C82" s="293" t="s">
        <v>94</v>
      </c>
      <c r="D82" s="287">
        <v>26.2</v>
      </c>
      <c r="E82" s="288" t="s">
        <v>68</v>
      </c>
      <c r="F82" s="287">
        <v>10</v>
      </c>
      <c r="G82" s="228"/>
      <c r="H82" s="228"/>
      <c r="I82" s="228"/>
      <c r="J82" s="228"/>
      <c r="K82" s="228"/>
      <c r="L82" s="228"/>
      <c r="M82" s="228"/>
      <c r="N82" s="228"/>
      <c r="O82" s="228"/>
    </row>
    <row r="83" spans="1:15">
      <c r="A83" s="228"/>
      <c r="B83" s="287">
        <v>81</v>
      </c>
      <c r="C83" s="293" t="s">
        <v>95</v>
      </c>
      <c r="D83" s="287">
        <v>19.7</v>
      </c>
      <c r="E83" s="288" t="s">
        <v>68</v>
      </c>
      <c r="F83" s="287">
        <v>10</v>
      </c>
      <c r="G83" s="228"/>
      <c r="H83" s="228"/>
      <c r="I83" s="228"/>
      <c r="J83" s="228"/>
      <c r="K83" s="228"/>
      <c r="L83" s="228"/>
      <c r="M83" s="228"/>
      <c r="N83" s="228"/>
      <c r="O83" s="228"/>
    </row>
    <row r="84" spans="1:15">
      <c r="A84" s="228"/>
      <c r="B84" s="287">
        <v>82</v>
      </c>
      <c r="C84" s="291" t="s">
        <v>96</v>
      </c>
      <c r="D84" s="287">
        <v>29.5</v>
      </c>
      <c r="E84" s="288" t="s">
        <v>68</v>
      </c>
      <c r="F84" s="287">
        <v>10</v>
      </c>
      <c r="G84" s="228"/>
      <c r="H84" s="228"/>
      <c r="I84" s="228"/>
      <c r="J84" s="228"/>
      <c r="K84" s="228"/>
      <c r="L84" s="228"/>
      <c r="M84" s="228"/>
      <c r="N84" s="228"/>
      <c r="O84" s="228"/>
    </row>
    <row r="85" spans="1:15">
      <c r="A85" s="228"/>
      <c r="B85" s="287">
        <v>83</v>
      </c>
      <c r="C85" s="291" t="s">
        <v>97</v>
      </c>
      <c r="D85" s="287">
        <v>37.200000000000003</v>
      </c>
      <c r="E85" s="288" t="s">
        <v>68</v>
      </c>
      <c r="F85" s="287">
        <v>10</v>
      </c>
      <c r="G85" s="228"/>
      <c r="H85" s="228"/>
      <c r="I85" s="228"/>
      <c r="J85" s="228"/>
      <c r="K85" s="228"/>
      <c r="L85" s="228"/>
      <c r="M85" s="228"/>
      <c r="N85" s="228"/>
      <c r="O85" s="228"/>
    </row>
    <row r="86" spans="1:15">
      <c r="A86" s="228"/>
      <c r="B86" s="287">
        <v>84</v>
      </c>
      <c r="C86" s="291" t="s">
        <v>98</v>
      </c>
      <c r="D86" s="287">
        <v>45.1</v>
      </c>
      <c r="E86" s="288" t="s">
        <v>68</v>
      </c>
      <c r="F86" s="287">
        <v>10</v>
      </c>
      <c r="G86" s="228"/>
      <c r="H86" s="228"/>
      <c r="I86" s="228"/>
      <c r="J86" s="228"/>
      <c r="K86" s="228"/>
      <c r="L86" s="228"/>
      <c r="M86" s="228"/>
      <c r="N86" s="228"/>
      <c r="O86" s="228"/>
    </row>
    <row r="87" spans="1:15">
      <c r="A87" s="228"/>
      <c r="B87" s="287">
        <v>85</v>
      </c>
      <c r="C87" s="291" t="s">
        <v>99</v>
      </c>
      <c r="D87" s="287">
        <v>54.400000000000013</v>
      </c>
      <c r="E87" s="288" t="s">
        <v>68</v>
      </c>
      <c r="F87" s="287">
        <v>10</v>
      </c>
      <c r="G87" s="228"/>
      <c r="H87" s="228"/>
      <c r="I87" s="228"/>
      <c r="J87" s="228"/>
      <c r="K87" s="228"/>
      <c r="L87" s="228"/>
      <c r="M87" s="228"/>
      <c r="N87" s="228"/>
      <c r="O87" s="228"/>
    </row>
    <row r="88" spans="1:15">
      <c r="A88" s="228"/>
      <c r="B88" s="287">
        <v>86</v>
      </c>
      <c r="C88" s="291" t="s">
        <v>100</v>
      </c>
      <c r="D88" s="287">
        <v>27.4</v>
      </c>
      <c r="E88" s="288" t="s">
        <v>68</v>
      </c>
      <c r="F88" s="287">
        <v>10</v>
      </c>
      <c r="G88" s="228"/>
      <c r="H88" s="228"/>
      <c r="I88" s="228"/>
      <c r="J88" s="228"/>
      <c r="K88" s="228"/>
      <c r="L88" s="228"/>
      <c r="M88" s="228"/>
      <c r="N88" s="228"/>
      <c r="O88" s="228"/>
    </row>
    <row r="89" spans="1:15">
      <c r="A89" s="228"/>
      <c r="B89" s="287">
        <v>87</v>
      </c>
      <c r="C89" s="291" t="s">
        <v>101</v>
      </c>
      <c r="D89" s="287">
        <v>33</v>
      </c>
      <c r="E89" s="288" t="s">
        <v>68</v>
      </c>
      <c r="F89" s="287">
        <v>10</v>
      </c>
      <c r="G89" s="228"/>
      <c r="H89" s="228"/>
      <c r="I89" s="228"/>
      <c r="J89" s="228"/>
      <c r="K89" s="228"/>
      <c r="L89" s="228"/>
      <c r="M89" s="228"/>
      <c r="N89" s="228"/>
      <c r="O89" s="228"/>
    </row>
    <row r="90" spans="1:15">
      <c r="A90" s="228"/>
      <c r="B90" s="287">
        <v>88</v>
      </c>
      <c r="C90" s="291" t="s">
        <v>102</v>
      </c>
      <c r="D90" s="287">
        <v>37.799999999999997</v>
      </c>
      <c r="E90" s="288" t="s">
        <v>68</v>
      </c>
      <c r="F90" s="287">
        <v>10</v>
      </c>
      <c r="G90" s="228" t="s">
        <v>103</v>
      </c>
      <c r="H90" s="228"/>
      <c r="I90" s="228"/>
      <c r="J90" s="228"/>
      <c r="K90" s="228"/>
      <c r="L90" s="228"/>
      <c r="M90" s="228"/>
      <c r="N90" s="228"/>
      <c r="O90" s="228"/>
    </row>
    <row r="91" spans="1:15">
      <c r="A91" s="228"/>
      <c r="B91" s="287">
        <v>89</v>
      </c>
      <c r="C91" s="291" t="s">
        <v>104</v>
      </c>
      <c r="D91" s="287">
        <v>30.9</v>
      </c>
      <c r="E91" s="288" t="s">
        <v>68</v>
      </c>
      <c r="F91" s="287">
        <v>10</v>
      </c>
      <c r="G91" s="228" t="s">
        <v>103</v>
      </c>
      <c r="H91" s="228"/>
      <c r="I91" s="228"/>
      <c r="J91" s="228"/>
      <c r="K91" s="228"/>
      <c r="L91" s="228"/>
      <c r="M91" s="228"/>
      <c r="N91" s="228"/>
      <c r="O91" s="228"/>
    </row>
    <row r="92" spans="1:15">
      <c r="A92" s="228"/>
      <c r="B92" s="287">
        <v>90</v>
      </c>
      <c r="C92" s="291" t="s">
        <v>105</v>
      </c>
      <c r="D92" s="287">
        <v>33.4</v>
      </c>
      <c r="E92" s="288" t="s">
        <v>68</v>
      </c>
      <c r="F92" s="287">
        <v>10</v>
      </c>
      <c r="G92" s="228" t="s">
        <v>103</v>
      </c>
      <c r="H92" s="228"/>
      <c r="I92" s="228"/>
      <c r="J92" s="228"/>
      <c r="K92" s="228"/>
      <c r="L92" s="228"/>
      <c r="M92" s="228"/>
      <c r="N92" s="228"/>
      <c r="O92" s="228"/>
    </row>
    <row r="93" spans="1:15">
      <c r="A93" s="228"/>
      <c r="B93" s="287">
        <v>91</v>
      </c>
      <c r="C93" s="291" t="s">
        <v>106</v>
      </c>
      <c r="D93" s="287">
        <v>33.700000000000003</v>
      </c>
      <c r="E93" s="288" t="s">
        <v>68</v>
      </c>
      <c r="F93" s="287">
        <v>10</v>
      </c>
      <c r="G93" s="228" t="s">
        <v>107</v>
      </c>
      <c r="H93" s="228"/>
      <c r="I93" s="228"/>
      <c r="J93" s="228"/>
      <c r="K93" s="228"/>
      <c r="L93" s="228"/>
      <c r="M93" s="228"/>
      <c r="N93" s="228"/>
      <c r="O93" s="228"/>
    </row>
    <row r="94" spans="1:15">
      <c r="A94" s="228"/>
      <c r="B94" s="287">
        <v>92</v>
      </c>
      <c r="C94" s="291" t="s">
        <v>108</v>
      </c>
      <c r="D94" s="287">
        <v>32.299999999999997</v>
      </c>
      <c r="E94" s="288" t="s">
        <v>68</v>
      </c>
      <c r="F94" s="287">
        <v>10</v>
      </c>
      <c r="G94" s="228" t="s">
        <v>107</v>
      </c>
      <c r="H94" s="228"/>
      <c r="I94" s="228"/>
      <c r="J94" s="228"/>
      <c r="K94" s="228"/>
      <c r="L94" s="228"/>
      <c r="M94" s="228"/>
      <c r="N94" s="228"/>
      <c r="O94" s="228"/>
    </row>
    <row r="95" spans="1:15">
      <c r="A95" s="228"/>
      <c r="B95" s="287">
        <v>93</v>
      </c>
      <c r="C95" s="291" t="s">
        <v>109</v>
      </c>
      <c r="D95" s="287">
        <v>49.5</v>
      </c>
      <c r="E95" s="288" t="s">
        <v>68</v>
      </c>
      <c r="F95" s="287">
        <v>10</v>
      </c>
      <c r="G95" s="228" t="s">
        <v>107</v>
      </c>
      <c r="H95" s="228"/>
      <c r="I95" s="228"/>
      <c r="J95" s="228"/>
      <c r="K95" s="228"/>
      <c r="L95" s="228"/>
      <c r="M95" s="228"/>
      <c r="N95" s="228"/>
      <c r="O95" s="228"/>
    </row>
    <row r="96" spans="1:15">
      <c r="A96" s="228"/>
      <c r="B96" s="287">
        <v>94</v>
      </c>
      <c r="C96" s="291" t="s">
        <v>110</v>
      </c>
      <c r="D96" s="287">
        <v>35.4</v>
      </c>
      <c r="E96" s="288" t="s">
        <v>68</v>
      </c>
      <c r="F96" s="287">
        <v>10</v>
      </c>
      <c r="G96" s="228" t="s">
        <v>107</v>
      </c>
      <c r="H96" s="228"/>
      <c r="I96" s="228"/>
      <c r="J96" s="228"/>
      <c r="K96" s="228"/>
      <c r="L96" s="228"/>
      <c r="M96" s="228"/>
      <c r="N96" s="228"/>
      <c r="O96" s="228"/>
    </row>
    <row r="97" spans="1:15">
      <c r="A97" s="228"/>
      <c r="B97" s="287">
        <v>95</v>
      </c>
      <c r="C97" s="291" t="s">
        <v>111</v>
      </c>
      <c r="D97" s="287">
        <v>33.700000000000003</v>
      </c>
      <c r="E97" s="288" t="s">
        <v>68</v>
      </c>
      <c r="F97" s="287">
        <v>10</v>
      </c>
      <c r="G97" s="228" t="s">
        <v>112</v>
      </c>
      <c r="H97" s="228"/>
      <c r="I97" s="228"/>
      <c r="J97" s="228"/>
      <c r="K97" s="228"/>
      <c r="L97" s="228"/>
      <c r="M97" s="228"/>
      <c r="N97" s="228"/>
      <c r="O97" s="228"/>
    </row>
    <row r="98" spans="1:15">
      <c r="A98" s="228"/>
      <c r="B98" s="287">
        <v>96</v>
      </c>
      <c r="C98" s="291" t="s">
        <v>113</v>
      </c>
      <c r="D98" s="287">
        <v>32.299999999999997</v>
      </c>
      <c r="E98" s="288" t="s">
        <v>68</v>
      </c>
      <c r="F98" s="287">
        <v>10</v>
      </c>
      <c r="G98" s="228" t="s">
        <v>112</v>
      </c>
      <c r="H98" s="228"/>
      <c r="I98" s="228"/>
      <c r="J98" s="228"/>
      <c r="K98" s="228"/>
      <c r="L98" s="228"/>
      <c r="M98" s="228"/>
      <c r="N98" s="228"/>
      <c r="O98" s="228"/>
    </row>
    <row r="99" spans="1:15">
      <c r="A99" s="228"/>
      <c r="B99" s="287">
        <v>97</v>
      </c>
      <c r="C99" s="294" t="s">
        <v>114</v>
      </c>
      <c r="D99" s="287">
        <v>49.5</v>
      </c>
      <c r="E99" s="288" t="s">
        <v>68</v>
      </c>
      <c r="F99" s="287">
        <v>10</v>
      </c>
      <c r="G99" s="228" t="s">
        <v>112</v>
      </c>
      <c r="H99" s="228"/>
      <c r="I99" s="228"/>
      <c r="J99" s="228"/>
      <c r="K99" s="228"/>
      <c r="L99" s="228"/>
      <c r="M99" s="228"/>
      <c r="N99" s="228"/>
      <c r="O99" s="228"/>
    </row>
    <row r="100" spans="1:15">
      <c r="A100" s="228"/>
      <c r="B100" s="287">
        <v>98</v>
      </c>
      <c r="C100" s="294" t="s">
        <v>115</v>
      </c>
      <c r="D100" s="287">
        <v>35.4</v>
      </c>
      <c r="E100" s="288" t="s">
        <v>68</v>
      </c>
      <c r="F100" s="287">
        <v>10</v>
      </c>
      <c r="G100" s="228" t="s">
        <v>112</v>
      </c>
      <c r="H100" s="228"/>
      <c r="I100" s="228"/>
      <c r="J100" s="228"/>
      <c r="K100" s="228"/>
      <c r="L100" s="228"/>
      <c r="M100" s="228"/>
      <c r="N100" s="228"/>
      <c r="O100" s="228"/>
    </row>
    <row r="101" spans="1:15">
      <c r="A101" s="228"/>
      <c r="B101" s="287">
        <v>371</v>
      </c>
      <c r="C101" s="294" t="s">
        <v>116</v>
      </c>
      <c r="D101" s="287">
        <v>3</v>
      </c>
      <c r="E101" s="288" t="s">
        <v>117</v>
      </c>
      <c r="F101" s="287">
        <v>1</v>
      </c>
      <c r="G101" s="228"/>
      <c r="H101" s="228"/>
      <c r="I101" s="228"/>
      <c r="J101" s="228"/>
      <c r="K101" s="228"/>
      <c r="L101" s="228"/>
      <c r="M101" s="228"/>
      <c r="N101" s="228"/>
      <c r="O101" s="228"/>
    </row>
    <row r="102" spans="1:15">
      <c r="A102" s="228"/>
      <c r="B102" s="287">
        <v>372</v>
      </c>
      <c r="C102" s="294" t="s">
        <v>118</v>
      </c>
      <c r="D102" s="287">
        <v>5</v>
      </c>
      <c r="E102" s="288" t="s">
        <v>117</v>
      </c>
      <c r="F102" s="287">
        <v>1</v>
      </c>
      <c r="G102" s="228"/>
      <c r="H102" s="228"/>
      <c r="I102" s="228"/>
      <c r="J102" s="228"/>
      <c r="K102" s="228"/>
      <c r="L102" s="228"/>
      <c r="M102" s="228"/>
      <c r="N102" s="228"/>
      <c r="O102" s="228"/>
    </row>
    <row r="103" spans="1:15">
      <c r="A103" s="228"/>
      <c r="B103" s="287">
        <v>373</v>
      </c>
      <c r="C103" s="294" t="s">
        <v>119</v>
      </c>
      <c r="D103" s="287">
        <v>8</v>
      </c>
      <c r="E103" s="288" t="s">
        <v>117</v>
      </c>
      <c r="F103" s="287">
        <v>1</v>
      </c>
      <c r="G103" s="228"/>
      <c r="H103" s="228"/>
      <c r="I103" s="228"/>
      <c r="J103" s="228"/>
      <c r="K103" s="228"/>
      <c r="L103" s="228"/>
      <c r="M103" s="228"/>
      <c r="N103" s="228"/>
      <c r="O103" s="228"/>
    </row>
    <row r="104" spans="1:15">
      <c r="A104" s="228"/>
      <c r="B104" s="287">
        <v>374</v>
      </c>
      <c r="C104" s="294" t="s">
        <v>120</v>
      </c>
      <c r="D104" s="287">
        <v>10</v>
      </c>
      <c r="E104" s="288" t="s">
        <v>117</v>
      </c>
      <c r="F104" s="287">
        <v>1</v>
      </c>
      <c r="G104" s="228"/>
      <c r="H104" s="228"/>
      <c r="I104" s="228"/>
      <c r="J104" s="228"/>
      <c r="K104" s="228"/>
      <c r="L104" s="228"/>
      <c r="M104" s="228"/>
      <c r="N104" s="228"/>
      <c r="O104" s="228"/>
    </row>
    <row r="105" spans="1:15">
      <c r="A105" s="228"/>
      <c r="B105" s="287">
        <v>375</v>
      </c>
      <c r="C105" s="294" t="s">
        <v>121</v>
      </c>
      <c r="D105" s="287">
        <v>20</v>
      </c>
      <c r="E105" s="288" t="s">
        <v>117</v>
      </c>
      <c r="F105" s="287">
        <v>1</v>
      </c>
      <c r="G105" s="228"/>
      <c r="H105" s="228"/>
      <c r="I105" s="228"/>
      <c r="J105" s="228"/>
      <c r="K105" s="228"/>
      <c r="L105" s="228"/>
      <c r="M105" s="228"/>
      <c r="N105" s="228"/>
      <c r="O105" s="228"/>
    </row>
    <row r="106" spans="1:15">
      <c r="A106" s="228"/>
      <c r="B106" s="287">
        <v>376</v>
      </c>
      <c r="C106" s="294" t="s">
        <v>122</v>
      </c>
      <c r="D106" s="287">
        <v>3</v>
      </c>
      <c r="E106" s="288" t="s">
        <v>123</v>
      </c>
      <c r="F106" s="287">
        <v>1</v>
      </c>
      <c r="G106" s="228" t="s">
        <v>123</v>
      </c>
      <c r="H106" s="228"/>
      <c r="I106" s="228"/>
      <c r="J106" s="228"/>
      <c r="K106" s="228"/>
      <c r="L106" s="228"/>
      <c r="M106" s="228"/>
      <c r="N106" s="228"/>
      <c r="O106" s="228"/>
    </row>
    <row r="107" spans="1:15">
      <c r="A107" s="228"/>
      <c r="B107" s="287">
        <v>377</v>
      </c>
      <c r="C107" s="294" t="s">
        <v>124</v>
      </c>
      <c r="D107" s="287">
        <v>5</v>
      </c>
      <c r="E107" s="288" t="s">
        <v>123</v>
      </c>
      <c r="F107" s="287">
        <v>1</v>
      </c>
      <c r="G107" s="228"/>
      <c r="H107" s="228"/>
      <c r="I107" s="228"/>
      <c r="J107" s="228"/>
      <c r="K107" s="228"/>
      <c r="L107" s="228"/>
      <c r="M107" s="228"/>
      <c r="N107" s="228"/>
      <c r="O107" s="228"/>
    </row>
    <row r="108" spans="1:15">
      <c r="A108" s="228"/>
      <c r="B108" s="287">
        <v>378</v>
      </c>
      <c r="C108" s="294" t="s">
        <v>125</v>
      </c>
      <c r="D108" s="287">
        <v>8</v>
      </c>
      <c r="E108" s="288" t="s">
        <v>123</v>
      </c>
      <c r="F108" s="287">
        <v>1</v>
      </c>
      <c r="G108" s="228"/>
      <c r="H108" s="228"/>
      <c r="I108" s="228"/>
      <c r="J108" s="228"/>
      <c r="K108" s="228"/>
      <c r="L108" s="228"/>
      <c r="M108" s="228"/>
      <c r="N108" s="228"/>
      <c r="O108" s="228"/>
    </row>
    <row r="109" spans="1:15">
      <c r="A109" s="228"/>
      <c r="B109" s="287">
        <v>379</v>
      </c>
      <c r="C109" s="294" t="s">
        <v>126</v>
      </c>
      <c r="D109" s="287">
        <v>10</v>
      </c>
      <c r="E109" s="288" t="s">
        <v>123</v>
      </c>
      <c r="F109" s="287">
        <v>1</v>
      </c>
      <c r="G109" s="228"/>
      <c r="H109" s="228"/>
      <c r="I109" s="228"/>
      <c r="J109" s="228"/>
      <c r="K109" s="228"/>
      <c r="L109" s="228"/>
      <c r="M109" s="228"/>
      <c r="N109" s="228"/>
      <c r="O109" s="228"/>
    </row>
    <row r="110" spans="1:15">
      <c r="A110" s="228"/>
      <c r="B110" s="287">
        <v>380</v>
      </c>
      <c r="C110" s="294" t="s">
        <v>127</v>
      </c>
      <c r="D110" s="287">
        <v>12</v>
      </c>
      <c r="E110" s="288" t="s">
        <v>123</v>
      </c>
      <c r="F110" s="287">
        <v>1</v>
      </c>
      <c r="G110" s="228"/>
      <c r="H110" s="228"/>
      <c r="I110" s="228"/>
      <c r="J110" s="228"/>
      <c r="K110" s="228"/>
      <c r="L110" s="228"/>
      <c r="M110" s="228"/>
      <c r="N110" s="228"/>
      <c r="O110" s="228"/>
    </row>
    <row r="111" spans="1:15">
      <c r="A111" s="228"/>
      <c r="B111" s="287">
        <v>381</v>
      </c>
      <c r="C111" s="294" t="s">
        <v>128</v>
      </c>
      <c r="D111" s="287">
        <v>15</v>
      </c>
      <c r="E111" s="288" t="s">
        <v>123</v>
      </c>
      <c r="F111" s="287">
        <v>1</v>
      </c>
      <c r="G111" s="228"/>
      <c r="H111" s="228"/>
      <c r="I111" s="228"/>
      <c r="J111" s="228"/>
      <c r="K111" s="228"/>
      <c r="L111" s="228"/>
      <c r="M111" s="228"/>
      <c r="N111" s="228"/>
      <c r="O111" s="228"/>
    </row>
    <row r="112" spans="1:15">
      <c r="A112" s="228"/>
      <c r="B112" s="287">
        <v>382</v>
      </c>
      <c r="C112" s="294" t="s">
        <v>129</v>
      </c>
      <c r="D112" s="287">
        <v>20</v>
      </c>
      <c r="E112" s="288" t="s">
        <v>123</v>
      </c>
      <c r="F112" s="287">
        <v>1</v>
      </c>
      <c r="G112" s="228" t="s">
        <v>130</v>
      </c>
      <c r="H112" s="228"/>
      <c r="I112" s="228"/>
      <c r="J112" s="228"/>
      <c r="K112" s="228"/>
      <c r="L112" s="228"/>
      <c r="M112" s="228"/>
      <c r="N112" s="228"/>
      <c r="O112" s="228"/>
    </row>
    <row r="113" spans="1:15">
      <c r="A113" s="228"/>
      <c r="B113" s="287">
        <v>383</v>
      </c>
      <c r="C113" s="294" t="s">
        <v>131</v>
      </c>
      <c r="D113" s="287">
        <v>25</v>
      </c>
      <c r="E113" s="288" t="s">
        <v>123</v>
      </c>
      <c r="F113" s="287">
        <v>1</v>
      </c>
      <c r="G113" s="228"/>
      <c r="H113" s="228"/>
      <c r="I113" s="228"/>
      <c r="J113" s="228"/>
      <c r="K113" s="228"/>
      <c r="L113" s="228"/>
      <c r="M113" s="228"/>
      <c r="N113" s="228"/>
      <c r="O113" s="228"/>
    </row>
    <row r="114" spans="1:15">
      <c r="A114" s="228"/>
      <c r="B114" s="287">
        <v>384</v>
      </c>
      <c r="C114" s="295" t="s">
        <v>132</v>
      </c>
      <c r="D114" s="287">
        <v>30</v>
      </c>
      <c r="E114" s="288" t="s">
        <v>123</v>
      </c>
      <c r="F114" s="287">
        <v>1</v>
      </c>
      <c r="G114" s="228"/>
      <c r="H114" s="228"/>
      <c r="I114" s="228"/>
      <c r="J114" s="228"/>
      <c r="K114" s="228"/>
      <c r="L114" s="228"/>
      <c r="M114" s="228"/>
      <c r="N114" s="228"/>
      <c r="O114" s="228"/>
    </row>
    <row r="115" spans="1:15">
      <c r="A115" s="228"/>
      <c r="B115" s="287">
        <v>385</v>
      </c>
      <c r="C115" s="295" t="s">
        <v>133</v>
      </c>
      <c r="D115" s="287">
        <v>50</v>
      </c>
      <c r="E115" s="288" t="s">
        <v>123</v>
      </c>
      <c r="F115" s="287">
        <v>1</v>
      </c>
      <c r="G115" s="228"/>
      <c r="H115" s="228"/>
      <c r="I115" s="228"/>
      <c r="J115" s="228"/>
      <c r="K115" s="228"/>
      <c r="L115" s="228"/>
      <c r="M115" s="228"/>
      <c r="N115" s="228"/>
      <c r="O115" s="228"/>
    </row>
    <row r="116" spans="1:15">
      <c r="A116" s="228"/>
      <c r="B116" s="287">
        <v>386</v>
      </c>
      <c r="C116" s="295" t="s">
        <v>134</v>
      </c>
      <c r="D116" s="287">
        <v>100</v>
      </c>
      <c r="E116" s="288" t="s">
        <v>123</v>
      </c>
      <c r="F116" s="287">
        <v>1</v>
      </c>
      <c r="G116" s="228"/>
      <c r="H116" s="228"/>
      <c r="I116" s="228"/>
      <c r="J116" s="228"/>
      <c r="K116" s="228"/>
      <c r="L116" s="228"/>
      <c r="M116" s="228"/>
      <c r="N116" s="228"/>
      <c r="O116" s="228"/>
    </row>
    <row r="117" spans="1:15">
      <c r="A117" s="228"/>
      <c r="B117" s="287">
        <v>387</v>
      </c>
      <c r="C117" s="295" t="s">
        <v>135</v>
      </c>
      <c r="D117" s="287">
        <v>3</v>
      </c>
      <c r="E117" s="288" t="s">
        <v>136</v>
      </c>
      <c r="F117" s="287">
        <v>1</v>
      </c>
      <c r="G117" s="228" t="s">
        <v>136</v>
      </c>
      <c r="H117" s="228"/>
      <c r="I117" s="228"/>
      <c r="J117" s="228"/>
      <c r="K117" s="228"/>
      <c r="L117" s="228"/>
      <c r="M117" s="228"/>
      <c r="N117" s="228"/>
      <c r="O117" s="228"/>
    </row>
    <row r="118" spans="1:15">
      <c r="A118" s="228"/>
      <c r="B118" s="287">
        <v>388</v>
      </c>
      <c r="C118" s="295" t="s">
        <v>137</v>
      </c>
      <c r="D118" s="287">
        <v>5</v>
      </c>
      <c r="E118" s="288" t="s">
        <v>136</v>
      </c>
      <c r="F118" s="287">
        <v>1</v>
      </c>
      <c r="G118" s="228"/>
      <c r="H118" s="228"/>
      <c r="I118" s="228"/>
      <c r="J118" s="228"/>
      <c r="K118" s="228"/>
      <c r="L118" s="228"/>
      <c r="M118" s="228"/>
      <c r="N118" s="228"/>
      <c r="O118" s="228"/>
    </row>
    <row r="119" spans="1:15">
      <c r="A119" s="228"/>
      <c r="B119" s="287">
        <v>389</v>
      </c>
      <c r="C119" s="295" t="s">
        <v>138</v>
      </c>
      <c r="D119" s="287">
        <v>8</v>
      </c>
      <c r="E119" s="288" t="s">
        <v>136</v>
      </c>
      <c r="F119" s="287">
        <v>1</v>
      </c>
      <c r="G119" s="228"/>
      <c r="H119" s="228"/>
      <c r="I119" s="228"/>
      <c r="J119" s="228"/>
      <c r="K119" s="228"/>
      <c r="L119" s="228"/>
      <c r="M119" s="228"/>
      <c r="N119" s="228"/>
      <c r="O119" s="228"/>
    </row>
    <row r="120" spans="1:15">
      <c r="A120" s="228"/>
      <c r="B120" s="287">
        <v>390</v>
      </c>
      <c r="C120" s="295" t="s">
        <v>139</v>
      </c>
      <c r="D120" s="287">
        <v>10</v>
      </c>
      <c r="E120" s="288" t="s">
        <v>136</v>
      </c>
      <c r="F120" s="287">
        <v>1</v>
      </c>
      <c r="G120" s="228"/>
      <c r="H120" s="228"/>
      <c r="I120" s="228"/>
      <c r="J120" s="228"/>
      <c r="K120" s="228"/>
      <c r="L120" s="228"/>
      <c r="M120" s="228"/>
      <c r="N120" s="228"/>
      <c r="O120" s="228"/>
    </row>
    <row r="121" spans="1:15">
      <c r="A121" s="228"/>
      <c r="B121" s="287">
        <v>391</v>
      </c>
      <c r="C121" s="295" t="s">
        <v>140</v>
      </c>
      <c r="D121" s="287">
        <v>12</v>
      </c>
      <c r="E121" s="288" t="s">
        <v>136</v>
      </c>
      <c r="F121" s="287">
        <v>1</v>
      </c>
      <c r="G121" s="228"/>
      <c r="H121" s="228"/>
      <c r="I121" s="228"/>
      <c r="J121" s="228"/>
      <c r="K121" s="228"/>
      <c r="L121" s="228"/>
      <c r="M121" s="228"/>
      <c r="N121" s="228"/>
      <c r="O121" s="228"/>
    </row>
    <row r="122" spans="1:15">
      <c r="A122" s="228"/>
      <c r="B122" s="287">
        <v>392</v>
      </c>
      <c r="C122" s="295" t="s">
        <v>141</v>
      </c>
      <c r="D122" s="287">
        <v>15</v>
      </c>
      <c r="E122" s="288" t="s">
        <v>136</v>
      </c>
      <c r="F122" s="287">
        <v>1</v>
      </c>
      <c r="G122" s="228"/>
      <c r="H122" s="228"/>
      <c r="I122" s="228"/>
      <c r="J122" s="228"/>
      <c r="K122" s="228"/>
      <c r="L122" s="228"/>
      <c r="M122" s="228"/>
      <c r="N122" s="228"/>
      <c r="O122" s="228"/>
    </row>
    <row r="123" spans="1:15">
      <c r="A123" s="228"/>
      <c r="B123" s="287">
        <v>393</v>
      </c>
      <c r="C123" s="295" t="s">
        <v>142</v>
      </c>
      <c r="D123" s="287">
        <v>20</v>
      </c>
      <c r="E123" s="288" t="s">
        <v>136</v>
      </c>
      <c r="F123" s="287">
        <v>1</v>
      </c>
      <c r="G123" s="228" t="s">
        <v>130</v>
      </c>
      <c r="H123" s="228"/>
      <c r="I123" s="228"/>
      <c r="J123" s="228"/>
      <c r="K123" s="228"/>
      <c r="L123" s="228"/>
      <c r="M123" s="228"/>
      <c r="N123" s="228"/>
      <c r="O123" s="228"/>
    </row>
    <row r="124" spans="1:15">
      <c r="A124" s="228"/>
      <c r="B124" s="287">
        <v>394</v>
      </c>
      <c r="C124" s="295" t="s">
        <v>143</v>
      </c>
      <c r="D124" s="287">
        <v>25</v>
      </c>
      <c r="E124" s="288" t="s">
        <v>136</v>
      </c>
      <c r="F124" s="287">
        <v>1</v>
      </c>
      <c r="G124" s="228"/>
      <c r="H124" s="228"/>
      <c r="I124" s="228"/>
      <c r="J124" s="228"/>
      <c r="K124" s="228"/>
      <c r="L124" s="228"/>
      <c r="M124" s="228"/>
      <c r="N124" s="228"/>
      <c r="O124" s="228"/>
    </row>
    <row r="125" spans="1:15">
      <c r="A125" s="228"/>
      <c r="B125" s="287">
        <v>395</v>
      </c>
      <c r="C125" s="295" t="s">
        <v>144</v>
      </c>
      <c r="D125" s="287">
        <v>30</v>
      </c>
      <c r="E125" s="288" t="s">
        <v>136</v>
      </c>
      <c r="F125" s="287">
        <v>1</v>
      </c>
      <c r="G125" s="228"/>
      <c r="H125" s="228"/>
      <c r="I125" s="228"/>
      <c r="J125" s="228"/>
      <c r="K125" s="228"/>
      <c r="L125" s="228"/>
      <c r="M125" s="228"/>
      <c r="N125" s="228"/>
      <c r="O125" s="228"/>
    </row>
    <row r="126" spans="1:15">
      <c r="A126" s="228"/>
      <c r="B126" s="287">
        <v>396</v>
      </c>
      <c r="C126" s="295" t="s">
        <v>145</v>
      </c>
      <c r="D126" s="287">
        <v>50</v>
      </c>
      <c r="E126" s="288" t="s">
        <v>136</v>
      </c>
      <c r="F126" s="287">
        <v>1</v>
      </c>
      <c r="G126" s="228"/>
      <c r="H126" s="228"/>
      <c r="I126" s="228"/>
      <c r="J126" s="228"/>
      <c r="K126" s="228"/>
      <c r="L126" s="228"/>
      <c r="M126" s="228"/>
      <c r="N126" s="228"/>
      <c r="O126" s="228"/>
    </row>
    <row r="127" spans="1:15">
      <c r="A127" s="228"/>
      <c r="B127" s="287">
        <v>397</v>
      </c>
      <c r="C127" s="295" t="s">
        <v>146</v>
      </c>
      <c r="D127" s="287">
        <v>100</v>
      </c>
      <c r="E127" s="288" t="s">
        <v>136</v>
      </c>
      <c r="F127" s="287">
        <v>1</v>
      </c>
      <c r="G127" s="228"/>
      <c r="H127" s="228"/>
      <c r="I127" s="228"/>
      <c r="J127" s="228"/>
      <c r="K127" s="228"/>
      <c r="L127" s="228"/>
      <c r="M127" s="228"/>
      <c r="N127" s="228"/>
      <c r="O127" s="228"/>
    </row>
    <row r="128" spans="1:15">
      <c r="A128" s="228"/>
      <c r="B128" s="287">
        <v>398</v>
      </c>
      <c r="C128" s="295" t="s">
        <v>147</v>
      </c>
      <c r="D128" s="287">
        <v>3</v>
      </c>
      <c r="E128" s="288" t="s">
        <v>148</v>
      </c>
      <c r="F128" s="287">
        <v>1</v>
      </c>
      <c r="G128" s="228" t="s">
        <v>148</v>
      </c>
      <c r="H128" s="228"/>
      <c r="I128" s="228"/>
      <c r="J128" s="228"/>
      <c r="K128" s="228"/>
      <c r="L128" s="228"/>
      <c r="M128" s="228"/>
      <c r="N128" s="228"/>
      <c r="O128" s="228"/>
    </row>
    <row r="129" spans="1:15">
      <c r="A129" s="228"/>
      <c r="B129" s="287">
        <v>399</v>
      </c>
      <c r="C129" s="295" t="s">
        <v>149</v>
      </c>
      <c r="D129" s="287">
        <v>5</v>
      </c>
      <c r="E129" s="288" t="s">
        <v>148</v>
      </c>
      <c r="F129" s="287">
        <v>1</v>
      </c>
      <c r="G129" s="228"/>
      <c r="H129" s="228"/>
      <c r="I129" s="228"/>
      <c r="J129" s="228"/>
      <c r="K129" s="228"/>
      <c r="L129" s="228"/>
      <c r="M129" s="228"/>
      <c r="N129" s="228"/>
      <c r="O129" s="228"/>
    </row>
    <row r="130" spans="1:15">
      <c r="A130" s="228"/>
      <c r="B130" s="287">
        <v>400</v>
      </c>
      <c r="C130" s="295" t="s">
        <v>150</v>
      </c>
      <c r="D130" s="287">
        <v>8</v>
      </c>
      <c r="E130" s="288" t="s">
        <v>148</v>
      </c>
      <c r="F130" s="287">
        <v>1</v>
      </c>
      <c r="G130" s="228"/>
      <c r="H130" s="228"/>
      <c r="I130" s="228"/>
      <c r="J130" s="228"/>
      <c r="K130" s="228"/>
      <c r="L130" s="228"/>
      <c r="M130" s="228"/>
      <c r="N130" s="228"/>
      <c r="O130" s="228"/>
    </row>
    <row r="131" spans="1:15">
      <c r="A131" s="228"/>
      <c r="B131" s="287">
        <v>401</v>
      </c>
      <c r="C131" s="295" t="s">
        <v>151</v>
      </c>
      <c r="D131" s="287">
        <v>10</v>
      </c>
      <c r="E131" s="288" t="s">
        <v>148</v>
      </c>
      <c r="F131" s="287">
        <v>1</v>
      </c>
      <c r="G131" s="228"/>
      <c r="H131" s="228"/>
      <c r="I131" s="228"/>
      <c r="J131" s="228"/>
      <c r="K131" s="228"/>
      <c r="L131" s="228"/>
      <c r="M131" s="228"/>
      <c r="N131" s="228"/>
      <c r="O131" s="228"/>
    </row>
    <row r="132" spans="1:15">
      <c r="A132" s="228"/>
      <c r="B132" s="287">
        <v>402</v>
      </c>
      <c r="C132" s="295" t="s">
        <v>152</v>
      </c>
      <c r="D132" s="287">
        <v>12</v>
      </c>
      <c r="E132" s="288" t="s">
        <v>148</v>
      </c>
      <c r="F132" s="287">
        <v>1</v>
      </c>
      <c r="G132" s="228"/>
      <c r="H132" s="228"/>
      <c r="I132" s="228"/>
      <c r="J132" s="228"/>
      <c r="K132" s="228"/>
      <c r="L132" s="228"/>
      <c r="M132" s="228"/>
      <c r="N132" s="228"/>
      <c r="O132" s="228"/>
    </row>
    <row r="133" spans="1:15">
      <c r="A133" s="228"/>
      <c r="B133" s="287">
        <v>403</v>
      </c>
      <c r="C133" s="295" t="s">
        <v>153</v>
      </c>
      <c r="D133" s="287">
        <v>15</v>
      </c>
      <c r="E133" s="288" t="s">
        <v>148</v>
      </c>
      <c r="F133" s="287">
        <v>1</v>
      </c>
      <c r="G133" s="228"/>
      <c r="H133" s="228"/>
      <c r="I133" s="228"/>
      <c r="J133" s="228"/>
      <c r="K133" s="228"/>
      <c r="L133" s="228"/>
      <c r="M133" s="228"/>
      <c r="N133" s="228"/>
      <c r="O133" s="228"/>
    </row>
    <row r="134" spans="1:15">
      <c r="A134" s="228"/>
      <c r="B134" s="287">
        <v>404</v>
      </c>
      <c r="C134" s="295" t="s">
        <v>154</v>
      </c>
      <c r="D134" s="287">
        <v>20</v>
      </c>
      <c r="E134" s="288" t="s">
        <v>148</v>
      </c>
      <c r="F134" s="287">
        <v>1</v>
      </c>
      <c r="G134" s="228"/>
      <c r="H134" s="228"/>
      <c r="I134" s="228"/>
      <c r="J134" s="228"/>
      <c r="K134" s="228"/>
      <c r="L134" s="228"/>
      <c r="M134" s="228"/>
      <c r="N134" s="228"/>
      <c r="O134" s="228"/>
    </row>
    <row r="135" spans="1:15">
      <c r="A135" s="228"/>
      <c r="B135" s="287">
        <v>405</v>
      </c>
      <c r="C135" s="295" t="s">
        <v>155</v>
      </c>
      <c r="D135" s="287">
        <v>100</v>
      </c>
      <c r="E135" s="288" t="s">
        <v>148</v>
      </c>
      <c r="F135" s="287">
        <v>1</v>
      </c>
      <c r="G135" s="228"/>
      <c r="H135" s="228"/>
      <c r="I135" s="228"/>
      <c r="J135" s="228"/>
      <c r="K135" s="228"/>
      <c r="L135" s="228"/>
      <c r="M135" s="228"/>
      <c r="N135" s="228"/>
      <c r="O135" s="228"/>
    </row>
    <row r="136" spans="1:15">
      <c r="A136" s="228"/>
      <c r="B136" s="287">
        <v>406</v>
      </c>
      <c r="C136" s="295" t="s">
        <v>156</v>
      </c>
      <c r="D136" s="287">
        <v>500</v>
      </c>
      <c r="E136" s="288" t="s">
        <v>148</v>
      </c>
      <c r="F136" s="287">
        <v>1</v>
      </c>
      <c r="G136" s="228"/>
      <c r="H136" s="228"/>
      <c r="I136" s="228"/>
      <c r="J136" s="228"/>
      <c r="K136" s="228"/>
      <c r="L136" s="228"/>
      <c r="M136" s="228"/>
      <c r="N136" s="228"/>
      <c r="O136" s="22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J56"/>
  <sheetViews>
    <sheetView topLeftCell="A15" zoomScaleNormal="100" workbookViewId="0">
      <selection activeCell="C22" sqref="C21:C22"/>
    </sheetView>
  </sheetViews>
  <sheetFormatPr defaultRowHeight="13.2"/>
  <cols>
    <col min="2" max="2" width="31.6640625" customWidth="1"/>
    <col min="3" max="3" width="21.6640625" bestFit="1" customWidth="1"/>
    <col min="4" max="4" width="12" customWidth="1"/>
    <col min="5" max="5" width="18.77734375" customWidth="1"/>
    <col min="6" max="6" width="18.33203125" customWidth="1"/>
    <col min="7" max="7" width="19.33203125" customWidth="1"/>
    <col min="8" max="8" width="11.33203125" customWidth="1"/>
    <col min="9" max="9" width="33" customWidth="1"/>
    <col min="10" max="10" width="10.5546875" bestFit="1" customWidth="1"/>
  </cols>
  <sheetData>
    <row r="2" spans="2:6" ht="13.8" customHeight="1" thickBot="1"/>
    <row r="3" spans="2:6">
      <c r="B3" s="25" t="s">
        <v>691</v>
      </c>
      <c r="C3" s="80">
        <v>2000000</v>
      </c>
    </row>
    <row r="4" spans="2:6">
      <c r="B4" s="26" t="s">
        <v>692</v>
      </c>
      <c r="C4" s="101">
        <f>Frequency!N7</f>
        <v>1</v>
      </c>
    </row>
    <row r="5" spans="2:6">
      <c r="B5" s="26" t="s">
        <v>693</v>
      </c>
      <c r="C5" s="81">
        <f>C3*C4</f>
        <v>2000000</v>
      </c>
    </row>
    <row r="6" spans="2:6">
      <c r="B6" s="26" t="s">
        <v>694</v>
      </c>
      <c r="C6" s="9">
        <f>MAX(Tiers!C3:C4921)</f>
        <v>1000</v>
      </c>
    </row>
    <row r="7" spans="2:6">
      <c r="B7" s="26" t="s">
        <v>695</v>
      </c>
      <c r="C7" s="33">
        <f>Frequency!N10</f>
        <v>0.84</v>
      </c>
    </row>
    <row r="8" spans="2:6">
      <c r="B8" s="26" t="s">
        <v>696</v>
      </c>
      <c r="C8" s="81">
        <f>C5*C7</f>
        <v>1680000</v>
      </c>
    </row>
    <row r="9" spans="2:6">
      <c r="B9" s="26" t="s">
        <v>697</v>
      </c>
      <c r="C9" s="34">
        <f>Summary!C3/(C3-Frequency!E4)</f>
        <v>3.8950137980863797</v>
      </c>
    </row>
    <row r="10" spans="2:6" ht="13.8" customHeight="1" thickBot="1">
      <c r="B10" s="27" t="s">
        <v>698</v>
      </c>
      <c r="C10" s="42">
        <f>('Data Analysis'!BM409/Summary!C3)^0.5</f>
        <v>3.5107349736201958</v>
      </c>
    </row>
    <row r="11" spans="2:6" ht="13.8" customHeight="1" thickBot="1">
      <c r="C11" s="14"/>
    </row>
    <row r="12" spans="2:6" ht="14.4" customHeight="1">
      <c r="B12" s="25" t="s">
        <v>699</v>
      </c>
      <c r="C12" s="30">
        <f>Summary!C3/'Data Analysis'!AM409</f>
        <v>12.465874668096086</v>
      </c>
      <c r="E12" s="25" t="s">
        <v>700</v>
      </c>
      <c r="F12" s="70">
        <f>C3/('Data Analysis'!AE409+'Data Analysis'!AF409)</f>
        <v>57.053202110968478</v>
      </c>
    </row>
    <row r="13" spans="2:6" ht="14.4" customHeight="1" thickBot="1">
      <c r="B13" s="26" t="s">
        <v>701</v>
      </c>
      <c r="C13" s="31">
        <f>'Data Analysis'!AN409/'Data Analysis'!AM409</f>
        <v>1.6053054762587418</v>
      </c>
      <c r="E13" s="27" t="s">
        <v>702</v>
      </c>
      <c r="F13" s="71">
        <f>('Data Analysis'!BN409+'Data Analysis'!AG409)/('Data Analysis'!AE409+'Data Analysis'!AF409)</f>
        <v>17.719680502068179</v>
      </c>
    </row>
    <row r="14" spans="2:6" ht="14.4" customHeight="1">
      <c r="B14" s="50" t="s">
        <v>703</v>
      </c>
      <c r="C14" s="70">
        <f>C3/'Data Analysis'!AP409</f>
        <v>12.465874668096086</v>
      </c>
      <c r="E14" s="13"/>
      <c r="F14" s="14"/>
    </row>
    <row r="15" spans="2:6" ht="14.4" customHeight="1" thickBot="1">
      <c r="B15" s="51" t="s">
        <v>704</v>
      </c>
      <c r="C15" s="71">
        <f>'Data Analysis'!AQ409/'Data Analysis'!AP409</f>
        <v>1.6053054762587418</v>
      </c>
      <c r="E15" s="13"/>
      <c r="F15" s="14"/>
    </row>
    <row r="16" spans="2:6" ht="14.4" customHeight="1" thickBot="1">
      <c r="C16" s="69"/>
    </row>
    <row r="17" spans="2:10">
      <c r="B17" s="124" t="s">
        <v>705</v>
      </c>
      <c r="C17" s="30">
        <f>Summary!C3/'Data Analysis'!AE409</f>
        <v>268.2763246143528</v>
      </c>
      <c r="G17" s="14"/>
      <c r="J17" s="14"/>
    </row>
    <row r="18" spans="2:10">
      <c r="B18" s="125" t="s">
        <v>706</v>
      </c>
      <c r="C18" s="31">
        <f>'Data Analysis'!BN409/'Data Analysis'!AE409</f>
        <v>3.5505566733735749</v>
      </c>
      <c r="G18" s="14"/>
      <c r="J18" s="14"/>
    </row>
    <row r="19" spans="2:10" ht="13.8" customHeight="1" thickBot="1">
      <c r="B19" s="126" t="s">
        <v>707</v>
      </c>
      <c r="C19" s="65">
        <f>'Data Analysis'!BN409/C8</f>
        <v>1.5755595238095239E-2</v>
      </c>
      <c r="G19" s="69"/>
      <c r="J19" s="69"/>
    </row>
    <row r="20" spans="2:10" ht="13.8" customHeight="1" thickBot="1">
      <c r="G20" s="14"/>
      <c r="J20" s="14"/>
    </row>
    <row r="21" spans="2:10">
      <c r="B21" s="25" t="s">
        <v>708</v>
      </c>
      <c r="C21" s="30">
        <f>C3/('Data Analysis'!AY409+'Data Analysis'!BB409+'Data Analysis'!BE409)</f>
        <v>27.891279791373226</v>
      </c>
      <c r="G21" s="14"/>
      <c r="J21" s="14"/>
    </row>
    <row r="22" spans="2:10">
      <c r="B22" s="26" t="s">
        <v>709</v>
      </c>
      <c r="C22" s="31">
        <f>('Data Analysis'!BF409+'Data Analysis'!BC409+'Data Analysis'!AZ409)/('Data Analysis'!BE409+'Data Analysis'!BB409+'Data Analysis'!AY409)</f>
        <v>14.556531440445145</v>
      </c>
      <c r="G22" s="14"/>
      <c r="J22" s="14"/>
    </row>
    <row r="23" spans="2:10" ht="13.8" customHeight="1" thickBot="1">
      <c r="B23" s="27" t="s">
        <v>710</v>
      </c>
      <c r="C23" s="65">
        <f>('Data Analysis'!BF409+'Data Analysis'!BC409+'Data Analysis'!AZ409)/C8</f>
        <v>0.62131261904761903</v>
      </c>
      <c r="G23" s="14"/>
      <c r="J23" s="14"/>
    </row>
    <row r="24" spans="2:10">
      <c r="B24" s="38" t="s">
        <v>711</v>
      </c>
      <c r="C24" s="30">
        <f>C3/'Data Analysis'!AY409</f>
        <v>144.92753623188406</v>
      </c>
      <c r="D24" s="66" t="s">
        <v>123</v>
      </c>
    </row>
    <row r="25" spans="2:10">
      <c r="B25" s="39" t="s">
        <v>712</v>
      </c>
      <c r="C25" s="31">
        <f>'Data Analysis'!AZ409/'Data Analysis'!AY409</f>
        <v>21.546884057971013</v>
      </c>
    </row>
    <row r="26" spans="2:10" ht="13.8" customHeight="1" thickBot="1">
      <c r="B26" s="207" t="s">
        <v>713</v>
      </c>
      <c r="C26" s="65">
        <f>'Data Analysis'!AZ409/C8</f>
        <v>0.17699226190476192</v>
      </c>
    </row>
    <row r="27" spans="2:10">
      <c r="B27" s="214" t="s">
        <v>714</v>
      </c>
      <c r="C27" s="30">
        <f>C3/'Data Analysis'!BB409</f>
        <v>144.92753623188406</v>
      </c>
      <c r="D27" s="208" t="s">
        <v>136</v>
      </c>
    </row>
    <row r="28" spans="2:10">
      <c r="B28" s="215" t="s">
        <v>715</v>
      </c>
      <c r="C28" s="31">
        <f>'Data Analysis'!BC409/'Data Analysis'!BB409</f>
        <v>21.546884057971013</v>
      </c>
    </row>
    <row r="29" spans="2:10" ht="13.8" customHeight="1" thickBot="1">
      <c r="B29" s="216" t="s">
        <v>716</v>
      </c>
      <c r="C29" s="65">
        <f>'Data Analysis'!BC409/C8</f>
        <v>0.17699226190476192</v>
      </c>
    </row>
    <row r="30" spans="2:10">
      <c r="B30" s="220" t="s">
        <v>717</v>
      </c>
      <c r="C30" s="30">
        <f>C3/'Data Analysis'!BE409</f>
        <v>45.34427641870905</v>
      </c>
      <c r="D30" s="219" t="s">
        <v>148</v>
      </c>
    </row>
    <row r="31" spans="2:10">
      <c r="B31" s="221" t="s">
        <v>718</v>
      </c>
      <c r="C31" s="31">
        <f>'Data Analysis'!BF409/'Data Analysis'!BE409</f>
        <v>10.182311197769062</v>
      </c>
    </row>
    <row r="32" spans="2:10" ht="13.8" customHeight="1" thickBot="1">
      <c r="B32" s="222" t="s">
        <v>719</v>
      </c>
      <c r="C32" s="65">
        <f>'Data Analysis'!BF409/C8</f>
        <v>0.26732809523809525</v>
      </c>
    </row>
    <row r="34" spans="2:8" ht="13.8" customHeight="1" thickBot="1">
      <c r="C34" s="69"/>
    </row>
    <row r="35" spans="2:8">
      <c r="B35" s="204" t="s">
        <v>720</v>
      </c>
      <c r="C35" s="30">
        <f>C3/'Data Analysis'!BH409</f>
        <v>465.11627906976742</v>
      </c>
    </row>
    <row r="36" spans="2:8">
      <c r="B36" s="205" t="s">
        <v>721</v>
      </c>
      <c r="C36" s="31">
        <f>'Data Analysis'!BI409/'Data Analysis'!BH409</f>
        <v>6.1395348837209305</v>
      </c>
    </row>
    <row r="37" spans="2:8" ht="13.8" customHeight="1" thickBot="1">
      <c r="B37" s="206" t="s">
        <v>722</v>
      </c>
      <c r="C37" s="65">
        <f>'Data Analysis'!BI409/C8</f>
        <v>1.5714285714285715E-2</v>
      </c>
    </row>
    <row r="39" spans="2:8" ht="13.8" customHeight="1" thickBot="1">
      <c r="C39" s="72"/>
      <c r="G39" t="s">
        <v>212</v>
      </c>
      <c r="H39" t="s">
        <v>723</v>
      </c>
    </row>
    <row r="40" spans="2:8">
      <c r="B40" s="25" t="s">
        <v>724</v>
      </c>
      <c r="C40" s="70">
        <f>C3/'Data Analysis'!AJ409</f>
        <v>22.652622041001244</v>
      </c>
      <c r="E40" s="25" t="s">
        <v>725</v>
      </c>
      <c r="F40" s="77"/>
      <c r="G40" s="78">
        <f>'Data Analysis'!BQ409+'Data Analysis'!BU409</f>
        <v>33352</v>
      </c>
      <c r="H40" s="32">
        <f>G40/G42</f>
        <v>0.95141919840251032</v>
      </c>
    </row>
    <row r="41" spans="2:8" ht="13.8" customHeight="1" thickBot="1">
      <c r="B41" s="27" t="s">
        <v>726</v>
      </c>
      <c r="C41" s="42">
        <f>'Data Analysis'!AK409/'Data Analysis'!AJ409</f>
        <v>1.9936606637218259</v>
      </c>
      <c r="E41" s="27" t="s">
        <v>727</v>
      </c>
      <c r="F41" s="10"/>
      <c r="G41" s="79">
        <f>'Data Analysis'!BS409+'Data Analysis'!BW409</f>
        <v>1703</v>
      </c>
      <c r="H41" s="65">
        <f>G41/G42</f>
        <v>4.8580801597489662E-2</v>
      </c>
    </row>
    <row r="42" spans="2:8">
      <c r="G42" s="36">
        <f>SUM(G40:G41)</f>
        <v>35055</v>
      </c>
    </row>
    <row r="43" spans="2:8" ht="13.8" customHeight="1" thickBot="1"/>
    <row r="44" spans="2:8" ht="13.8" customHeight="1" thickBot="1">
      <c r="B44" s="62" t="s">
        <v>728</v>
      </c>
      <c r="C44" s="63" t="s">
        <v>729</v>
      </c>
      <c r="D44" s="63" t="s">
        <v>730</v>
      </c>
      <c r="E44" s="63" t="s">
        <v>731</v>
      </c>
      <c r="F44" s="63" t="s">
        <v>732</v>
      </c>
      <c r="G44" s="64" t="s">
        <v>733</v>
      </c>
    </row>
    <row r="45" spans="2:8">
      <c r="B45" s="15" t="s">
        <v>734</v>
      </c>
      <c r="C45" s="52">
        <f>'Data Analysis'!E2</f>
        <v>1486523</v>
      </c>
      <c r="D45" s="56">
        <f t="shared" ref="D45:D55" si="0">C45/$C$56</f>
        <v>0.74326150000000002</v>
      </c>
      <c r="E45" s="53">
        <f t="shared" ref="E45:E56" si="1">1/D45</f>
        <v>1.345421497010137</v>
      </c>
      <c r="F45" s="13" t="s">
        <v>735</v>
      </c>
      <c r="G45" s="55" t="s">
        <v>735</v>
      </c>
    </row>
    <row r="46" spans="2:8">
      <c r="B46" s="15" t="s">
        <v>736</v>
      </c>
      <c r="C46" s="52">
        <f>'Data Analysis'!K409</f>
        <v>201550</v>
      </c>
      <c r="D46" s="56">
        <f t="shared" si="0"/>
        <v>0.100775</v>
      </c>
      <c r="E46" s="53">
        <f t="shared" si="1"/>
        <v>9.9230960059538571</v>
      </c>
      <c r="F46" s="56">
        <f>'Data Analysis'!L409/Summary!C8</f>
        <v>3.1544166666666665E-2</v>
      </c>
      <c r="G46" s="57">
        <f t="shared" ref="G46:G55" si="2">C46/SUM($C$46:$C$55)</f>
        <v>0.39252001550215493</v>
      </c>
    </row>
    <row r="47" spans="2:8">
      <c r="B47" s="15">
        <f>1</f>
        <v>1</v>
      </c>
      <c r="C47" s="52">
        <f>'Data Analysis'!M409</f>
        <v>95322</v>
      </c>
      <c r="D47" s="56">
        <f t="shared" si="0"/>
        <v>4.7661000000000002E-2</v>
      </c>
      <c r="E47" s="53">
        <f t="shared" si="1"/>
        <v>20.981515285033883</v>
      </c>
      <c r="F47" s="56">
        <f>'Data Analysis'!N409/Summary!C8</f>
        <v>5.6739285714285714E-2</v>
      </c>
      <c r="G47" s="57">
        <f t="shared" si="2"/>
        <v>0.18564025263059494</v>
      </c>
    </row>
    <row r="48" spans="2:8">
      <c r="B48" s="15" t="s">
        <v>737</v>
      </c>
      <c r="C48" s="52">
        <f>'Data Analysis'!O409</f>
        <v>108887</v>
      </c>
      <c r="D48" s="56">
        <f t="shared" si="0"/>
        <v>5.4443499999999999E-2</v>
      </c>
      <c r="E48" s="53">
        <f t="shared" si="1"/>
        <v>18.367665561545454</v>
      </c>
      <c r="F48" s="56">
        <f>'Data Analysis'!P409/Summary!C8</f>
        <v>0.10705779761904763</v>
      </c>
      <c r="G48" s="57">
        <f t="shared" si="2"/>
        <v>0.21205818371611582</v>
      </c>
    </row>
    <row r="49" spans="2:7">
      <c r="B49" s="15" t="s">
        <v>738</v>
      </c>
      <c r="C49" s="52">
        <f>'Data Analysis'!Q409</f>
        <v>39268</v>
      </c>
      <c r="D49" s="56">
        <f t="shared" si="0"/>
        <v>1.9633999999999999E-2</v>
      </c>
      <c r="E49" s="53">
        <f t="shared" si="1"/>
        <v>50.93205663644698</v>
      </c>
      <c r="F49" s="56">
        <f>'Data Analysis'!R409/Summary!C8</f>
        <v>9.1648392857142852E-2</v>
      </c>
      <c r="G49" s="57">
        <f t="shared" si="2"/>
        <v>7.6474700911627974E-2</v>
      </c>
    </row>
    <row r="50" spans="2:7">
      <c r="B50" s="15" t="s">
        <v>739</v>
      </c>
      <c r="C50" s="52">
        <f>'Data Analysis'!S409</f>
        <v>23973</v>
      </c>
      <c r="D50" s="56">
        <f t="shared" si="0"/>
        <v>1.1986500000000001E-2</v>
      </c>
      <c r="E50" s="53">
        <f t="shared" si="1"/>
        <v>83.427188920869312</v>
      </c>
      <c r="F50" s="56">
        <f>'Data Analysis'!T409/Summary!C8</f>
        <v>0.12784232142857144</v>
      </c>
      <c r="G50" s="57">
        <f t="shared" si="2"/>
        <v>4.6687582890762393E-2</v>
      </c>
    </row>
    <row r="51" spans="2:7">
      <c r="B51" s="15" t="s">
        <v>740</v>
      </c>
      <c r="C51" s="52">
        <f>'Data Analysis'!U409</f>
        <v>30875</v>
      </c>
      <c r="D51" s="56">
        <f t="shared" si="0"/>
        <v>1.54375E-2</v>
      </c>
      <c r="E51" s="53">
        <f t="shared" si="1"/>
        <v>64.777327935222672</v>
      </c>
      <c r="F51" s="56">
        <f>'Data Analysis'!V409/Summary!C8</f>
        <v>0.28805601190476188</v>
      </c>
      <c r="G51" s="57">
        <f t="shared" si="2"/>
        <v>6.0129275507958484E-2</v>
      </c>
    </row>
    <row r="52" spans="2:7">
      <c r="B52" s="15" t="s">
        <v>741</v>
      </c>
      <c r="C52" s="52">
        <f>'Data Analysis'!W409</f>
        <v>11915</v>
      </c>
      <c r="D52" s="56">
        <f t="shared" si="0"/>
        <v>5.9575000000000001E-3</v>
      </c>
      <c r="E52" s="53">
        <f t="shared" si="1"/>
        <v>167.85564414603439</v>
      </c>
      <c r="F52" s="56">
        <f>'Data Analysis'!X409/Summary!C8</f>
        <v>0.18904869047619047</v>
      </c>
      <c r="G52" s="57">
        <f t="shared" si="2"/>
        <v>2.3204544702099608E-2</v>
      </c>
    </row>
    <row r="53" spans="2:7">
      <c r="B53" s="15" t="s">
        <v>742</v>
      </c>
      <c r="C53" s="52">
        <f>'Data Analysis'!Y409</f>
        <v>1491</v>
      </c>
      <c r="D53" s="56">
        <f t="shared" si="0"/>
        <v>7.4549999999999996E-4</v>
      </c>
      <c r="E53" s="53">
        <f t="shared" si="1"/>
        <v>1341.3816230717639</v>
      </c>
      <c r="F53" s="56">
        <f>'Data Analysis'!Z409/Summary!C8</f>
        <v>4.0081845238095236E-2</v>
      </c>
      <c r="G53" s="57">
        <f t="shared" si="2"/>
        <v>2.903732786473396E-3</v>
      </c>
    </row>
    <row r="54" spans="2:7">
      <c r="B54" s="15" t="s">
        <v>743</v>
      </c>
      <c r="C54" s="52">
        <f>'Data Analysis'!AA409</f>
        <v>165</v>
      </c>
      <c r="D54" s="56">
        <f t="shared" si="0"/>
        <v>8.25E-5</v>
      </c>
      <c r="E54" s="53">
        <f t="shared" si="1"/>
        <v>12121.212121212122</v>
      </c>
      <c r="F54" s="56">
        <f>'Data Analysis'!AB409/Summary!C8</f>
        <v>9.667857142857143E-3</v>
      </c>
      <c r="G54" s="57">
        <f t="shared" si="2"/>
        <v>3.2133863834212634E-4</v>
      </c>
    </row>
    <row r="55" spans="2:7" ht="13.8" customHeight="1" thickBot="1">
      <c r="B55" s="16" t="s">
        <v>744</v>
      </c>
      <c r="C55" s="58">
        <f>'Data Analysis'!AC409</f>
        <v>31</v>
      </c>
      <c r="D55" s="60">
        <f t="shared" si="0"/>
        <v>1.5500000000000001E-5</v>
      </c>
      <c r="E55" s="59">
        <f t="shared" si="1"/>
        <v>64516.129032258061</v>
      </c>
      <c r="F55" s="60">
        <f>'Data Analysis'!AD409/Summary!C8</f>
        <v>2.9722619047619046E-3</v>
      </c>
      <c r="G55" s="61">
        <f t="shared" si="2"/>
        <v>6.0372713870338884E-5</v>
      </c>
    </row>
    <row r="56" spans="2:7">
      <c r="C56" s="53">
        <f>SUM(C45:C55)</f>
        <v>2000000</v>
      </c>
      <c r="D56" s="104">
        <f>SUM(D45:D55)</f>
        <v>0.99999999999999989</v>
      </c>
      <c r="E56" s="13">
        <f t="shared" si="1"/>
        <v>1</v>
      </c>
      <c r="F56" s="54">
        <f>SUM(F46:F55)</f>
        <v>0.9446586309523809</v>
      </c>
      <c r="G56" s="54">
        <f>SUM(G46:G55)</f>
        <v>1</v>
      </c>
    </row>
  </sheetData>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X409"/>
  <sheetViews>
    <sheetView topLeftCell="A90" zoomScaleNormal="100" workbookViewId="0">
      <selection activeCell="F7" sqref="F7"/>
    </sheetView>
  </sheetViews>
  <sheetFormatPr defaultRowHeight="13.2"/>
  <cols>
    <col min="3" max="4" width="12.33203125" customWidth="1"/>
    <col min="6" max="6" width="13.6640625" customWidth="1"/>
    <col min="8" max="8" width="11.21875" customWidth="1"/>
    <col min="10" max="10" width="11.21875" customWidth="1"/>
    <col min="12" max="12" width="12.33203125" customWidth="1"/>
    <col min="24" max="24" width="59.6640625" bestFit="1" customWidth="1"/>
  </cols>
  <sheetData>
    <row r="1" spans="2:24" ht="13.8" customHeight="1" thickBot="1"/>
    <row r="2" spans="2:24">
      <c r="B2" s="112" t="s">
        <v>0</v>
      </c>
      <c r="C2" s="113" t="s">
        <v>745</v>
      </c>
      <c r="D2" s="114" t="s">
        <v>746</v>
      </c>
      <c r="E2" s="114" t="s">
        <v>747</v>
      </c>
      <c r="F2" s="114" t="s">
        <v>748</v>
      </c>
      <c r="G2" s="114" t="s">
        <v>749</v>
      </c>
      <c r="H2" s="114" t="s">
        <v>750</v>
      </c>
      <c r="I2" s="114" t="s">
        <v>751</v>
      </c>
      <c r="J2" s="114" t="s">
        <v>752</v>
      </c>
      <c r="K2" s="114" t="s">
        <v>753</v>
      </c>
      <c r="L2" s="114" t="s">
        <v>754</v>
      </c>
      <c r="M2" s="114" t="s">
        <v>755</v>
      </c>
      <c r="N2" s="114" t="s">
        <v>756</v>
      </c>
      <c r="O2" s="114" t="s">
        <v>757</v>
      </c>
      <c r="P2" s="114" t="s">
        <v>758</v>
      </c>
      <c r="Q2" s="114" t="s">
        <v>759</v>
      </c>
      <c r="R2" s="114" t="s">
        <v>760</v>
      </c>
      <c r="S2" s="114" t="s">
        <v>761</v>
      </c>
      <c r="T2" s="114" t="s">
        <v>762</v>
      </c>
      <c r="U2" s="114" t="s">
        <v>763</v>
      </c>
      <c r="V2" s="114" t="s">
        <v>764</v>
      </c>
      <c r="W2" s="114" t="s">
        <v>765</v>
      </c>
      <c r="X2" s="115" t="s">
        <v>766</v>
      </c>
    </row>
    <row r="3" spans="2:24">
      <c r="B3" s="116">
        <v>0</v>
      </c>
      <c r="C3" s="7">
        <f t="shared" ref="C3:C66" si="0">(E3+G3+I3+K3+M3+O3+Q3+S3+U3+W3)</f>
        <v>0</v>
      </c>
      <c r="D3" s="8">
        <v>0</v>
      </c>
      <c r="E3" s="7">
        <f>VLOOKUP(D3,'Win Methods'!$C$4:$F$379,4,FALSE)</f>
        <v>0</v>
      </c>
      <c r="F3" s="8"/>
      <c r="G3" s="7">
        <f>VLOOKUP(F3,'Win Methods'!$C$4:$F$379,4,FALSE)</f>
        <v>0</v>
      </c>
      <c r="H3" s="8"/>
      <c r="I3" s="7">
        <f>VLOOKUP(H3,'Win Methods'!$C$4:$F$379,4,FALSE)</f>
        <v>0</v>
      </c>
      <c r="J3" s="8"/>
      <c r="K3" s="7">
        <f>VLOOKUP(J3,'Win Methods'!$C$4:$F$379,4,FALSE)</f>
        <v>0</v>
      </c>
      <c r="L3" s="8"/>
      <c r="M3" s="7">
        <f>VLOOKUP(L3,'Win Methods'!$C$4:$F$379,4,FALSE)</f>
        <v>0</v>
      </c>
      <c r="N3" s="8"/>
      <c r="O3" s="7">
        <f>VLOOKUP(N3,'Win Methods'!$C$4:$F$379,4,FALSE)</f>
        <v>0</v>
      </c>
      <c r="P3" s="8"/>
      <c r="Q3" s="7">
        <f>VLOOKUP(P3,'Win Methods'!$C$4:$F$379,4,FALSE)</f>
        <v>0</v>
      </c>
      <c r="R3" s="8"/>
      <c r="S3" s="7">
        <f>VLOOKUP(R3,'Win Methods'!$C$4:$F$379,4,FALSE)</f>
        <v>0</v>
      </c>
      <c r="T3" s="8"/>
      <c r="U3" s="7">
        <f>VLOOKUP(T3,'Win Methods'!$C$4:$F$379,4,FALSE)</f>
        <v>0</v>
      </c>
      <c r="V3" s="8"/>
      <c r="W3" s="7">
        <f>VLOOKUP(V3,'Win Methods'!$C$4:$F$379,4,FALSE)</f>
        <v>0</v>
      </c>
      <c r="X3" s="117" t="str">
        <f t="shared" ref="X3:X66" si="1">D3&amp;"|"&amp;F3&amp;"|"&amp;H3&amp;"|"&amp;J3&amp;"|"&amp;L3&amp;"|"&amp;N3&amp;"|"&amp;P3&amp;"|"&amp;R3&amp;"|"&amp;T3&amp;"|"&amp;V3</f>
        <v>0|||||||||</v>
      </c>
    </row>
    <row r="4" spans="2:24">
      <c r="B4" s="116">
        <v>1</v>
      </c>
      <c r="C4" s="7">
        <f t="shared" si="0"/>
        <v>0.1</v>
      </c>
      <c r="D4" s="8" t="s">
        <v>5</v>
      </c>
      <c r="E4" s="7">
        <f>VLOOKUP(D4,'Win Methods'!$C$4:$F$379,4,FALSE)</f>
        <v>0.1</v>
      </c>
      <c r="F4" s="8"/>
      <c r="G4" s="7">
        <f>VLOOKUP(F4,'Win Methods'!$C$4:$F$379,4,FALSE)</f>
        <v>0</v>
      </c>
      <c r="H4" s="8"/>
      <c r="I4" s="7">
        <f>VLOOKUP(H4,'Win Methods'!$C$4:$F$379,4,FALSE)</f>
        <v>0</v>
      </c>
      <c r="J4" s="8"/>
      <c r="K4" s="7">
        <f>VLOOKUP(J4,'Win Methods'!$C$4:$F$379,4,FALSE)</f>
        <v>0</v>
      </c>
      <c r="L4" s="8"/>
      <c r="M4" s="7">
        <f>VLOOKUP(L4,'Win Methods'!$C$4:$F$379,4,FALSE)</f>
        <v>0</v>
      </c>
      <c r="N4" s="8"/>
      <c r="O4" s="7">
        <f>VLOOKUP(N4,'Win Methods'!$C$4:$F$379,4,FALSE)</f>
        <v>0</v>
      </c>
      <c r="P4" s="8"/>
      <c r="Q4" s="7">
        <f>VLOOKUP(P4,'Win Methods'!$C$4:$F$379,4,FALSE)</f>
        <v>0</v>
      </c>
      <c r="R4" s="8"/>
      <c r="S4" s="7">
        <f>VLOOKUP(R4,'Win Methods'!$C$4:$F$379,4,FALSE)</f>
        <v>0</v>
      </c>
      <c r="T4" s="8"/>
      <c r="U4" s="7">
        <f>VLOOKUP(T4,'Win Methods'!$C$4:$F$379,4,FALSE)</f>
        <v>0</v>
      </c>
      <c r="V4" s="8"/>
      <c r="W4" s="7">
        <f>VLOOKUP(V4,'Win Methods'!$C$4:$F$379,4,FALSE)</f>
        <v>0</v>
      </c>
      <c r="X4" s="117" t="str">
        <f t="shared" si="1"/>
        <v>main-0|||||||||</v>
      </c>
    </row>
    <row r="5" spans="2:24">
      <c r="B5" s="116">
        <v>2</v>
      </c>
      <c r="C5" s="7">
        <f t="shared" si="0"/>
        <v>0.2</v>
      </c>
      <c r="D5" s="8" t="s">
        <v>8</v>
      </c>
      <c r="E5" s="7">
        <f>VLOOKUP(D5,'Win Methods'!$C$4:$F$379,4,FALSE)</f>
        <v>0.2</v>
      </c>
      <c r="F5" s="8"/>
      <c r="G5" s="7">
        <f>VLOOKUP(F5,'Win Methods'!$C$4:$F$379,4,FALSE)</f>
        <v>0</v>
      </c>
      <c r="H5" s="8"/>
      <c r="I5" s="7">
        <f>VLOOKUP(H5,'Win Methods'!$C$4:$F$379,4,FALSE)</f>
        <v>0</v>
      </c>
      <c r="J5" s="8"/>
      <c r="K5" s="7">
        <f>VLOOKUP(J5,'Win Methods'!$C$4:$F$379,4,FALSE)</f>
        <v>0</v>
      </c>
      <c r="L5" s="8"/>
      <c r="M5" s="7">
        <f>VLOOKUP(L5,'Win Methods'!$C$4:$F$379,4,FALSE)</f>
        <v>0</v>
      </c>
      <c r="N5" s="8"/>
      <c r="O5" s="7">
        <f>VLOOKUP(N5,'Win Methods'!$C$4:$F$379,4,FALSE)</f>
        <v>0</v>
      </c>
      <c r="P5" s="8"/>
      <c r="Q5" s="7">
        <f>VLOOKUP(P5,'Win Methods'!$C$4:$F$379,4,FALSE)</f>
        <v>0</v>
      </c>
      <c r="R5" s="8"/>
      <c r="S5" s="7">
        <f>VLOOKUP(R5,'Win Methods'!$C$4:$F$379,4,FALSE)</f>
        <v>0</v>
      </c>
      <c r="T5" s="8"/>
      <c r="U5" s="7">
        <f>VLOOKUP(T5,'Win Methods'!$C$4:$F$379,4,FALSE)</f>
        <v>0</v>
      </c>
      <c r="V5" s="8"/>
      <c r="W5" s="7">
        <f>VLOOKUP(V5,'Win Methods'!$C$4:$F$379,4,FALSE)</f>
        <v>0</v>
      </c>
      <c r="X5" s="117" t="str">
        <f t="shared" si="1"/>
        <v>main-1|||||||||</v>
      </c>
    </row>
    <row r="6" spans="2:24">
      <c r="B6" s="116">
        <v>3</v>
      </c>
      <c r="C6" s="7">
        <f t="shared" si="0"/>
        <v>0.5</v>
      </c>
      <c r="D6" s="8" t="s">
        <v>9</v>
      </c>
      <c r="E6" s="7">
        <f>VLOOKUP(D6,'Win Methods'!$C$4:$F$379,4,FALSE)</f>
        <v>0.5</v>
      </c>
      <c r="F6" s="8"/>
      <c r="G6" s="7">
        <f>VLOOKUP(F6,'Win Methods'!$C$4:$F$379,4,FALSE)</f>
        <v>0</v>
      </c>
      <c r="H6" s="8"/>
      <c r="I6" s="7">
        <f>VLOOKUP(H6,'Win Methods'!$C$4:$F$379,4,FALSE)</f>
        <v>0</v>
      </c>
      <c r="J6" s="8"/>
      <c r="K6" s="7">
        <f>VLOOKUP(J6,'Win Methods'!$C$4:$F$379,4,FALSE)</f>
        <v>0</v>
      </c>
      <c r="L6" s="8"/>
      <c r="M6" s="7">
        <f>VLOOKUP(L6,'Win Methods'!$C$4:$F$379,4,FALSE)</f>
        <v>0</v>
      </c>
      <c r="N6" s="8"/>
      <c r="O6" s="7">
        <f>VLOOKUP(N6,'Win Methods'!$C$4:$F$379,4,FALSE)</f>
        <v>0</v>
      </c>
      <c r="P6" s="8"/>
      <c r="Q6" s="7">
        <f>VLOOKUP(P6,'Win Methods'!$C$4:$F$379,4,FALSE)</f>
        <v>0</v>
      </c>
      <c r="R6" s="8"/>
      <c r="S6" s="7">
        <f>VLOOKUP(R6,'Win Methods'!$C$4:$F$379,4,FALSE)</f>
        <v>0</v>
      </c>
      <c r="T6" s="8"/>
      <c r="U6" s="7">
        <f>VLOOKUP(T6,'Win Methods'!$C$4:$F$379,4,FALSE)</f>
        <v>0</v>
      </c>
      <c r="V6" s="8"/>
      <c r="W6" s="7">
        <f>VLOOKUP(V6,'Win Methods'!$C$4:$F$379,4,FALSE)</f>
        <v>0</v>
      </c>
      <c r="X6" s="117" t="str">
        <f t="shared" si="1"/>
        <v>main-2|||||||||</v>
      </c>
    </row>
    <row r="7" spans="2:24">
      <c r="B7" s="116">
        <v>4</v>
      </c>
      <c r="C7" s="7">
        <f t="shared" si="0"/>
        <v>1</v>
      </c>
      <c r="D7" s="8" t="s">
        <v>10</v>
      </c>
      <c r="E7" s="7">
        <f>VLOOKUP(D7,'Win Methods'!$C$4:$F$379,4,FALSE)</f>
        <v>1</v>
      </c>
      <c r="F7" s="8"/>
      <c r="G7" s="7">
        <f>VLOOKUP(F7,'Win Methods'!$C$4:$F$379,4,FALSE)</f>
        <v>0</v>
      </c>
      <c r="H7" s="8"/>
      <c r="I7" s="7">
        <f>VLOOKUP(H7,'Win Methods'!$C$4:$F$379,4,FALSE)</f>
        <v>0</v>
      </c>
      <c r="J7" s="8"/>
      <c r="K7" s="7">
        <f>VLOOKUP(J7,'Win Methods'!$C$4:$F$379,4,FALSE)</f>
        <v>0</v>
      </c>
      <c r="L7" s="8"/>
      <c r="M7" s="7">
        <f>VLOOKUP(L7,'Win Methods'!$C$4:$F$379,4,FALSE)</f>
        <v>0</v>
      </c>
      <c r="N7" s="8"/>
      <c r="O7" s="7">
        <f>VLOOKUP(N7,'Win Methods'!$C$4:$F$379,4,FALSE)</f>
        <v>0</v>
      </c>
      <c r="P7" s="8"/>
      <c r="Q7" s="7">
        <f>VLOOKUP(P7,'Win Methods'!$C$4:$F$379,4,FALSE)</f>
        <v>0</v>
      </c>
      <c r="R7" s="8"/>
      <c r="S7" s="7">
        <f>VLOOKUP(R7,'Win Methods'!$C$4:$F$379,4,FALSE)</f>
        <v>0</v>
      </c>
      <c r="T7" s="8"/>
      <c r="U7" s="7">
        <f>VLOOKUP(T7,'Win Methods'!$C$4:$F$379,4,FALSE)</f>
        <v>0</v>
      </c>
      <c r="V7" s="8"/>
      <c r="W7" s="7">
        <f>VLOOKUP(V7,'Win Methods'!$C$4:$F$379,4,FALSE)</f>
        <v>0</v>
      </c>
      <c r="X7" s="117" t="str">
        <f t="shared" si="1"/>
        <v>main-3|||||||||</v>
      </c>
    </row>
    <row r="8" spans="2:24">
      <c r="B8" s="116">
        <v>5</v>
      </c>
      <c r="C8" s="7">
        <f t="shared" si="0"/>
        <v>2</v>
      </c>
      <c r="D8" s="8" t="s">
        <v>11</v>
      </c>
      <c r="E8" s="7">
        <f>VLOOKUP(D8,'Win Methods'!$C$4:$F$379,4,FALSE)</f>
        <v>2</v>
      </c>
      <c r="F8" s="8"/>
      <c r="G8" s="7">
        <f>VLOOKUP(F8,'Win Methods'!$C$4:$F$379,4,FALSE)</f>
        <v>0</v>
      </c>
      <c r="H8" s="8"/>
      <c r="I8" s="7">
        <f>VLOOKUP(H8,'Win Methods'!$C$4:$F$379,4,FALSE)</f>
        <v>0</v>
      </c>
      <c r="J8" s="8"/>
      <c r="K8" s="7">
        <f>VLOOKUP(J8,'Win Methods'!$C$4:$F$379,4,FALSE)</f>
        <v>0</v>
      </c>
      <c r="L8" s="8"/>
      <c r="M8" s="7">
        <f>VLOOKUP(L8,'Win Methods'!$C$4:$F$379,4,FALSE)</f>
        <v>0</v>
      </c>
      <c r="N8" s="8"/>
      <c r="O8" s="7">
        <f>VLOOKUP(N8,'Win Methods'!$C$4:$F$379,4,FALSE)</f>
        <v>0</v>
      </c>
      <c r="P8" s="8"/>
      <c r="Q8" s="7">
        <f>VLOOKUP(P8,'Win Methods'!$C$4:$F$379,4,FALSE)</f>
        <v>0</v>
      </c>
      <c r="R8" s="8"/>
      <c r="S8" s="7">
        <f>VLOOKUP(R8,'Win Methods'!$C$4:$F$379,4,FALSE)</f>
        <v>0</v>
      </c>
      <c r="T8" s="8"/>
      <c r="U8" s="7">
        <f>VLOOKUP(T8,'Win Methods'!$C$4:$F$379,4,FALSE)</f>
        <v>0</v>
      </c>
      <c r="V8" s="8"/>
      <c r="W8" s="7">
        <f>VLOOKUP(V8,'Win Methods'!$C$4:$F$379,4,FALSE)</f>
        <v>0</v>
      </c>
      <c r="X8" s="117" t="str">
        <f t="shared" si="1"/>
        <v>main-4|||||||||</v>
      </c>
    </row>
    <row r="9" spans="2:24">
      <c r="B9" s="116">
        <v>6</v>
      </c>
      <c r="C9" s="7">
        <f t="shared" si="0"/>
        <v>5</v>
      </c>
      <c r="D9" s="8" t="s">
        <v>12</v>
      </c>
      <c r="E9" s="7">
        <f>VLOOKUP(D9,'Win Methods'!$C$4:$F$379,4,FALSE)</f>
        <v>5</v>
      </c>
      <c r="F9" s="8"/>
      <c r="G9" s="7">
        <f>VLOOKUP(F9,'Win Methods'!$C$4:$F$379,4,FALSE)</f>
        <v>0</v>
      </c>
      <c r="H9" s="8"/>
      <c r="I9" s="7">
        <f>VLOOKUP(H9,'Win Methods'!$C$4:$F$379,4,FALSE)</f>
        <v>0</v>
      </c>
      <c r="J9" s="8"/>
      <c r="K9" s="7">
        <f>VLOOKUP(J9,'Win Methods'!$C$4:$F$379,4,FALSE)</f>
        <v>0</v>
      </c>
      <c r="L9" s="8"/>
      <c r="M9" s="7">
        <f>VLOOKUP(L9,'Win Methods'!$C$4:$F$379,4,FALSE)</f>
        <v>0</v>
      </c>
      <c r="N9" s="8"/>
      <c r="O9" s="7">
        <f>VLOOKUP(N9,'Win Methods'!$C$4:$F$379,4,FALSE)</f>
        <v>0</v>
      </c>
      <c r="P9" s="8"/>
      <c r="Q9" s="7">
        <f>VLOOKUP(P9,'Win Methods'!$C$4:$F$379,4,FALSE)</f>
        <v>0</v>
      </c>
      <c r="R9" s="8"/>
      <c r="S9" s="7">
        <f>VLOOKUP(R9,'Win Methods'!$C$4:$F$379,4,FALSE)</f>
        <v>0</v>
      </c>
      <c r="T9" s="8"/>
      <c r="U9" s="7">
        <f>VLOOKUP(T9,'Win Methods'!$C$4:$F$379,4,FALSE)</f>
        <v>0</v>
      </c>
      <c r="V9" s="8"/>
      <c r="W9" s="7">
        <f>VLOOKUP(V9,'Win Methods'!$C$4:$F$379,4,FALSE)</f>
        <v>0</v>
      </c>
      <c r="X9" s="117" t="str">
        <f t="shared" si="1"/>
        <v>main-5|||||||||</v>
      </c>
    </row>
    <row r="10" spans="2:24">
      <c r="B10" s="116">
        <v>7</v>
      </c>
      <c r="C10" s="7">
        <f t="shared" si="0"/>
        <v>10</v>
      </c>
      <c r="D10" s="8" t="s">
        <v>20</v>
      </c>
      <c r="E10" s="7">
        <f>VLOOKUP(D10,'Win Methods'!$C$4:$F$379,4,FALSE)</f>
        <v>10</v>
      </c>
      <c r="F10" s="8"/>
      <c r="G10" s="7">
        <f>VLOOKUP(F10,'Win Methods'!$C$4:$F$379,4,FALSE)</f>
        <v>0</v>
      </c>
      <c r="H10" s="8"/>
      <c r="I10" s="7">
        <f>VLOOKUP(H10,'Win Methods'!$C$4:$F$379,4,FALSE)</f>
        <v>0</v>
      </c>
      <c r="J10" s="8"/>
      <c r="K10" s="7">
        <f>VLOOKUP(J10,'Win Methods'!$C$4:$F$379,4,FALSE)</f>
        <v>0</v>
      </c>
      <c r="L10" s="8"/>
      <c r="M10" s="7">
        <f>VLOOKUP(L10,'Win Methods'!$C$4:$F$379,4,FALSE)</f>
        <v>0</v>
      </c>
      <c r="N10" s="8"/>
      <c r="O10" s="7">
        <f>VLOOKUP(N10,'Win Methods'!$C$4:$F$379,4,FALSE)</f>
        <v>0</v>
      </c>
      <c r="P10" s="8"/>
      <c r="Q10" s="7">
        <f>VLOOKUP(P10,'Win Methods'!$C$4:$F$379,4,FALSE)</f>
        <v>0</v>
      </c>
      <c r="R10" s="8"/>
      <c r="S10" s="7">
        <f>VLOOKUP(R10,'Win Methods'!$C$4:$F$379,4,FALSE)</f>
        <v>0</v>
      </c>
      <c r="T10" s="8"/>
      <c r="U10" s="7">
        <f>VLOOKUP(T10,'Win Methods'!$C$4:$F$379,4,FALSE)</f>
        <v>0</v>
      </c>
      <c r="V10" s="8"/>
      <c r="W10" s="7">
        <f>VLOOKUP(V10,'Win Methods'!$C$4:$F$379,4,FALSE)</f>
        <v>0</v>
      </c>
      <c r="X10" s="117" t="str">
        <f t="shared" si="1"/>
        <v>main-6|||||||||</v>
      </c>
    </row>
    <row r="11" spans="2:24">
      <c r="B11" s="116">
        <v>8</v>
      </c>
      <c r="C11" s="7">
        <f t="shared" si="0"/>
        <v>20</v>
      </c>
      <c r="D11" s="8" t="s">
        <v>21</v>
      </c>
      <c r="E11" s="7">
        <f>VLOOKUP(D11,'Win Methods'!$C$4:$F$379,4,FALSE)</f>
        <v>20</v>
      </c>
      <c r="F11" s="8"/>
      <c r="G11" s="7">
        <f>VLOOKUP(F11,'Win Methods'!$C$4:$F$379,4,FALSE)</f>
        <v>0</v>
      </c>
      <c r="H11" s="8"/>
      <c r="I11" s="7">
        <f>VLOOKUP(H11,'Win Methods'!$C$4:$F$379,4,FALSE)</f>
        <v>0</v>
      </c>
      <c r="J11" s="8"/>
      <c r="K11" s="7">
        <f>VLOOKUP(J11,'Win Methods'!$C$4:$F$379,4,FALSE)</f>
        <v>0</v>
      </c>
      <c r="L11" s="8"/>
      <c r="M11" s="7">
        <f>VLOOKUP(L11,'Win Methods'!$C$4:$F$379,4,FALSE)</f>
        <v>0</v>
      </c>
      <c r="N11" s="8"/>
      <c r="O11" s="7">
        <f>VLOOKUP(N11,'Win Methods'!$C$4:$F$379,4,FALSE)</f>
        <v>0</v>
      </c>
      <c r="P11" s="8"/>
      <c r="Q11" s="7">
        <f>VLOOKUP(P11,'Win Methods'!$C$4:$F$379,4,FALSE)</f>
        <v>0</v>
      </c>
      <c r="R11" s="8"/>
      <c r="S11" s="7">
        <f>VLOOKUP(R11,'Win Methods'!$C$4:$F$379,4,FALSE)</f>
        <v>0</v>
      </c>
      <c r="T11" s="8"/>
      <c r="U11" s="7">
        <f>VLOOKUP(T11,'Win Methods'!$C$4:$F$379,4,FALSE)</f>
        <v>0</v>
      </c>
      <c r="V11" s="8"/>
      <c r="W11" s="7">
        <f>VLOOKUP(V11,'Win Methods'!$C$4:$F$379,4,FALSE)</f>
        <v>0</v>
      </c>
      <c r="X11" s="117" t="str">
        <f t="shared" si="1"/>
        <v>main-7|||||||||</v>
      </c>
    </row>
    <row r="12" spans="2:24">
      <c r="B12" s="116">
        <v>9</v>
      </c>
      <c r="C12" s="7">
        <f t="shared" si="0"/>
        <v>30</v>
      </c>
      <c r="D12" s="8" t="s">
        <v>22</v>
      </c>
      <c r="E12" s="7">
        <f>VLOOKUP(D12,'Win Methods'!$C$4:$F$379,4,FALSE)</f>
        <v>30</v>
      </c>
      <c r="F12" s="8"/>
      <c r="G12" s="7">
        <f>VLOOKUP(F12,'Win Methods'!$C$4:$F$379,4,FALSE)</f>
        <v>0</v>
      </c>
      <c r="H12" s="8"/>
      <c r="I12" s="7">
        <f>VLOOKUP(H12,'Win Methods'!$C$4:$F$379,4,FALSE)</f>
        <v>0</v>
      </c>
      <c r="J12" s="8"/>
      <c r="K12" s="7">
        <f>VLOOKUP(J12,'Win Methods'!$C$4:$F$379,4,FALSE)</f>
        <v>0</v>
      </c>
      <c r="L12" s="8"/>
      <c r="M12" s="7">
        <f>VLOOKUP(L12,'Win Methods'!$C$4:$F$379,4,FALSE)</f>
        <v>0</v>
      </c>
      <c r="N12" s="8"/>
      <c r="O12" s="7">
        <f>VLOOKUP(N12,'Win Methods'!$C$4:$F$379,4,FALSE)</f>
        <v>0</v>
      </c>
      <c r="P12" s="8"/>
      <c r="Q12" s="7">
        <f>VLOOKUP(P12,'Win Methods'!$C$4:$F$379,4,FALSE)</f>
        <v>0</v>
      </c>
      <c r="R12" s="8"/>
      <c r="S12" s="7">
        <f>VLOOKUP(R12,'Win Methods'!$C$4:$F$379,4,FALSE)</f>
        <v>0</v>
      </c>
      <c r="T12" s="8"/>
      <c r="U12" s="7">
        <f>VLOOKUP(T12,'Win Methods'!$C$4:$F$379,4,FALSE)</f>
        <v>0</v>
      </c>
      <c r="V12" s="8"/>
      <c r="W12" s="7">
        <f>VLOOKUP(V12,'Win Methods'!$C$4:$F$379,4,FALSE)</f>
        <v>0</v>
      </c>
      <c r="X12" s="117" t="str">
        <f t="shared" si="1"/>
        <v>main-8|||||||||</v>
      </c>
    </row>
    <row r="13" spans="2:24">
      <c r="B13" s="116">
        <v>10</v>
      </c>
      <c r="C13" s="7">
        <f t="shared" si="0"/>
        <v>40</v>
      </c>
      <c r="D13" s="8" t="s">
        <v>23</v>
      </c>
      <c r="E13" s="7">
        <f>VLOOKUP(D13,'Win Methods'!$C$4:$F$379,4,FALSE)</f>
        <v>40</v>
      </c>
      <c r="F13" s="8"/>
      <c r="G13" s="7">
        <f>VLOOKUP(F13,'Win Methods'!$C$4:$F$379,4,FALSE)</f>
        <v>0</v>
      </c>
      <c r="H13" s="8"/>
      <c r="I13" s="7">
        <f>VLOOKUP(H13,'Win Methods'!$C$4:$F$379,4,FALSE)</f>
        <v>0</v>
      </c>
      <c r="J13" s="8"/>
      <c r="K13" s="7">
        <f>VLOOKUP(J13,'Win Methods'!$C$4:$F$379,4,FALSE)</f>
        <v>0</v>
      </c>
      <c r="L13" s="8"/>
      <c r="M13" s="7">
        <f>VLOOKUP(L13,'Win Methods'!$C$4:$F$379,4,FALSE)</f>
        <v>0</v>
      </c>
      <c r="N13" s="8"/>
      <c r="O13" s="7">
        <f>VLOOKUP(N13,'Win Methods'!$C$4:$F$379,4,FALSE)</f>
        <v>0</v>
      </c>
      <c r="P13" s="8"/>
      <c r="Q13" s="7">
        <f>VLOOKUP(P13,'Win Methods'!$C$4:$F$379,4,FALSE)</f>
        <v>0</v>
      </c>
      <c r="R13" s="8"/>
      <c r="S13" s="7">
        <f>VLOOKUP(R13,'Win Methods'!$C$4:$F$379,4,FALSE)</f>
        <v>0</v>
      </c>
      <c r="T13" s="8"/>
      <c r="U13" s="7">
        <f>VLOOKUP(T13,'Win Methods'!$C$4:$F$379,4,FALSE)</f>
        <v>0</v>
      </c>
      <c r="V13" s="8"/>
      <c r="W13" s="7">
        <f>VLOOKUP(V13,'Win Methods'!$C$4:$F$379,4,FALSE)</f>
        <v>0</v>
      </c>
      <c r="X13" s="117" t="str">
        <f t="shared" si="1"/>
        <v>main-9|||||||||</v>
      </c>
    </row>
    <row r="14" spans="2:24">
      <c r="B14" s="116">
        <v>11</v>
      </c>
      <c r="C14" s="7">
        <f t="shared" si="0"/>
        <v>1</v>
      </c>
      <c r="D14" s="8" t="s">
        <v>24</v>
      </c>
      <c r="E14" s="7">
        <f>VLOOKUP(D14,'Win Methods'!$C$4:$F$379,4,FALSE)</f>
        <v>1</v>
      </c>
      <c r="F14" s="8"/>
      <c r="G14" s="7">
        <f>VLOOKUP(F14,'Win Methods'!$C$4:$F$379,4,FALSE)</f>
        <v>0</v>
      </c>
      <c r="H14" s="8"/>
      <c r="I14" s="7">
        <f>VLOOKUP(H14,'Win Methods'!$C$4:$F$379,4,FALSE)</f>
        <v>0</v>
      </c>
      <c r="J14" s="8"/>
      <c r="K14" s="7">
        <f>VLOOKUP(J14,'Win Methods'!$C$4:$F$379,4,FALSE)</f>
        <v>0</v>
      </c>
      <c r="L14" s="8"/>
      <c r="M14" s="7">
        <f>VLOOKUP(L14,'Win Methods'!$C$4:$F$379,4,FALSE)</f>
        <v>0</v>
      </c>
      <c r="N14" s="8"/>
      <c r="O14" s="7">
        <f>VLOOKUP(N14,'Win Methods'!$C$4:$F$379,4,FALSE)</f>
        <v>0</v>
      </c>
      <c r="P14" s="8"/>
      <c r="Q14" s="7">
        <f>VLOOKUP(P14,'Win Methods'!$C$4:$F$379,4,FALSE)</f>
        <v>0</v>
      </c>
      <c r="R14" s="8"/>
      <c r="S14" s="7">
        <f>VLOOKUP(R14,'Win Methods'!$C$4:$F$379,4,FALSE)</f>
        <v>0</v>
      </c>
      <c r="T14" s="8"/>
      <c r="U14" s="7">
        <f>VLOOKUP(T14,'Win Methods'!$C$4:$F$379,4,FALSE)</f>
        <v>0</v>
      </c>
      <c r="V14" s="8"/>
      <c r="W14" s="7">
        <f>VLOOKUP(V14,'Win Methods'!$C$4:$F$379,4,FALSE)</f>
        <v>0</v>
      </c>
      <c r="X14" s="117" t="str">
        <f t="shared" si="1"/>
        <v>main-10|||||||||</v>
      </c>
    </row>
    <row r="15" spans="2:24">
      <c r="B15" s="116">
        <v>12</v>
      </c>
      <c r="C15" s="7">
        <f t="shared" si="0"/>
        <v>2</v>
      </c>
      <c r="D15" s="8" t="s">
        <v>25</v>
      </c>
      <c r="E15" s="7">
        <f>VLOOKUP(D15,'Win Methods'!$C$4:$F$379,4,FALSE)</f>
        <v>2</v>
      </c>
      <c r="F15" s="8"/>
      <c r="G15" s="7">
        <f>VLOOKUP(F15,'Win Methods'!$C$4:$F$379,4,FALSE)</f>
        <v>0</v>
      </c>
      <c r="H15" s="8"/>
      <c r="I15" s="7">
        <f>VLOOKUP(H15,'Win Methods'!$C$4:$F$379,4,FALSE)</f>
        <v>0</v>
      </c>
      <c r="J15" s="8"/>
      <c r="K15" s="7">
        <f>VLOOKUP(J15,'Win Methods'!$C$4:$F$379,4,FALSE)</f>
        <v>0</v>
      </c>
      <c r="L15" s="8"/>
      <c r="M15" s="7">
        <f>VLOOKUP(L15,'Win Methods'!$C$4:$F$379,4,FALSE)</f>
        <v>0</v>
      </c>
      <c r="N15" s="8"/>
      <c r="O15" s="7">
        <f>VLOOKUP(N15,'Win Methods'!$C$4:$F$379,4,FALSE)</f>
        <v>0</v>
      </c>
      <c r="P15" s="8"/>
      <c r="Q15" s="7">
        <f>VLOOKUP(P15,'Win Methods'!$C$4:$F$379,4,FALSE)</f>
        <v>0</v>
      </c>
      <c r="R15" s="8"/>
      <c r="S15" s="7">
        <f>VLOOKUP(R15,'Win Methods'!$C$4:$F$379,4,FALSE)</f>
        <v>0</v>
      </c>
      <c r="T15" s="8"/>
      <c r="U15" s="7">
        <f>VLOOKUP(T15,'Win Methods'!$C$4:$F$379,4,FALSE)</f>
        <v>0</v>
      </c>
      <c r="V15" s="8"/>
      <c r="W15" s="7">
        <f>VLOOKUP(V15,'Win Methods'!$C$4:$F$379,4,FALSE)</f>
        <v>0</v>
      </c>
      <c r="X15" s="117" t="str">
        <f t="shared" si="1"/>
        <v>main-11|||||||||</v>
      </c>
    </row>
    <row r="16" spans="2:24">
      <c r="B16" s="116">
        <v>13</v>
      </c>
      <c r="C16" s="7">
        <f t="shared" si="0"/>
        <v>3</v>
      </c>
      <c r="D16" s="8" t="s">
        <v>26</v>
      </c>
      <c r="E16" s="7">
        <f>VLOOKUP(D16,'Win Methods'!$C$4:$F$379,4,FALSE)</f>
        <v>3</v>
      </c>
      <c r="F16" s="8"/>
      <c r="G16" s="7">
        <f>VLOOKUP(F16,'Win Methods'!$C$4:$F$379,4,FALSE)</f>
        <v>0</v>
      </c>
      <c r="H16" s="8"/>
      <c r="I16" s="7">
        <f>VLOOKUP(H16,'Win Methods'!$C$4:$F$379,4,FALSE)</f>
        <v>0</v>
      </c>
      <c r="J16" s="8"/>
      <c r="K16" s="7">
        <f>VLOOKUP(J16,'Win Methods'!$C$4:$F$379,4,FALSE)</f>
        <v>0</v>
      </c>
      <c r="L16" s="8"/>
      <c r="M16" s="7">
        <f>VLOOKUP(L16,'Win Methods'!$C$4:$F$379,4,FALSE)</f>
        <v>0</v>
      </c>
      <c r="N16" s="8"/>
      <c r="O16" s="7">
        <f>VLOOKUP(N16,'Win Methods'!$C$4:$F$379,4,FALSE)</f>
        <v>0</v>
      </c>
      <c r="P16" s="8"/>
      <c r="Q16" s="7">
        <f>VLOOKUP(P16,'Win Methods'!$C$4:$F$379,4,FALSE)</f>
        <v>0</v>
      </c>
      <c r="R16" s="8"/>
      <c r="S16" s="7">
        <f>VLOOKUP(R16,'Win Methods'!$C$4:$F$379,4,FALSE)</f>
        <v>0</v>
      </c>
      <c r="T16" s="8"/>
      <c r="U16" s="7">
        <f>VLOOKUP(T16,'Win Methods'!$C$4:$F$379,4,FALSE)</f>
        <v>0</v>
      </c>
      <c r="V16" s="8"/>
      <c r="W16" s="7">
        <f>VLOOKUP(V16,'Win Methods'!$C$4:$F$379,4,FALSE)</f>
        <v>0</v>
      </c>
      <c r="X16" s="117" t="str">
        <f t="shared" si="1"/>
        <v>main-12|||||||||</v>
      </c>
    </row>
    <row r="17" spans="2:24">
      <c r="B17" s="116">
        <v>14</v>
      </c>
      <c r="C17" s="7">
        <f t="shared" si="0"/>
        <v>5</v>
      </c>
      <c r="D17" s="8" t="s">
        <v>27</v>
      </c>
      <c r="E17" s="7">
        <f>VLOOKUP(D17,'Win Methods'!$C$4:$F$379,4,FALSE)</f>
        <v>5</v>
      </c>
      <c r="F17" s="8"/>
      <c r="G17" s="7">
        <f>VLOOKUP(F17,'Win Methods'!$C$4:$F$379,4,FALSE)</f>
        <v>0</v>
      </c>
      <c r="H17" s="8"/>
      <c r="I17" s="7">
        <f>VLOOKUP(H17,'Win Methods'!$C$4:$F$379,4,FALSE)</f>
        <v>0</v>
      </c>
      <c r="J17" s="8"/>
      <c r="K17" s="7">
        <f>VLOOKUP(J17,'Win Methods'!$C$4:$F$379,4,FALSE)</f>
        <v>0</v>
      </c>
      <c r="L17" s="8"/>
      <c r="M17" s="7">
        <f>VLOOKUP(L17,'Win Methods'!$C$4:$F$379,4,FALSE)</f>
        <v>0</v>
      </c>
      <c r="N17" s="8"/>
      <c r="O17" s="7">
        <f>VLOOKUP(N17,'Win Methods'!$C$4:$F$379,4,FALSE)</f>
        <v>0</v>
      </c>
      <c r="P17" s="8"/>
      <c r="Q17" s="7">
        <f>VLOOKUP(P17,'Win Methods'!$C$4:$F$379,4,FALSE)</f>
        <v>0</v>
      </c>
      <c r="R17" s="8"/>
      <c r="S17" s="7">
        <f>VLOOKUP(R17,'Win Methods'!$C$4:$F$379,4,FALSE)</f>
        <v>0</v>
      </c>
      <c r="T17" s="8"/>
      <c r="U17" s="7">
        <f>VLOOKUP(T17,'Win Methods'!$C$4:$F$379,4,FALSE)</f>
        <v>0</v>
      </c>
      <c r="V17" s="8"/>
      <c r="W17" s="7">
        <f>VLOOKUP(V17,'Win Methods'!$C$4:$F$379,4,FALSE)</f>
        <v>0</v>
      </c>
      <c r="X17" s="117" t="str">
        <f t="shared" si="1"/>
        <v>main-13|||||||||</v>
      </c>
    </row>
    <row r="18" spans="2:24">
      <c r="B18" s="116">
        <v>15</v>
      </c>
      <c r="C18" s="7">
        <f t="shared" si="0"/>
        <v>10</v>
      </c>
      <c r="D18" s="8" t="s">
        <v>28</v>
      </c>
      <c r="E18" s="7">
        <f>VLOOKUP(D18,'Win Methods'!$C$4:$F$379,4,FALSE)</f>
        <v>10</v>
      </c>
      <c r="F18" s="8"/>
      <c r="G18" s="7">
        <f>VLOOKUP(F18,'Win Methods'!$C$4:$F$379,4,FALSE)</f>
        <v>0</v>
      </c>
      <c r="H18" s="8"/>
      <c r="I18" s="7">
        <f>VLOOKUP(H18,'Win Methods'!$C$4:$F$379,4,FALSE)</f>
        <v>0</v>
      </c>
      <c r="J18" s="8"/>
      <c r="K18" s="7">
        <f>VLOOKUP(J18,'Win Methods'!$C$4:$F$379,4,FALSE)</f>
        <v>0</v>
      </c>
      <c r="L18" s="8"/>
      <c r="M18" s="7">
        <f>VLOOKUP(L18,'Win Methods'!$C$4:$F$379,4,FALSE)</f>
        <v>0</v>
      </c>
      <c r="N18" s="8"/>
      <c r="O18" s="7">
        <f>VLOOKUP(N18,'Win Methods'!$C$4:$F$379,4,FALSE)</f>
        <v>0</v>
      </c>
      <c r="P18" s="8"/>
      <c r="Q18" s="7">
        <f>VLOOKUP(P18,'Win Methods'!$C$4:$F$379,4,FALSE)</f>
        <v>0</v>
      </c>
      <c r="R18" s="8"/>
      <c r="S18" s="7">
        <f>VLOOKUP(R18,'Win Methods'!$C$4:$F$379,4,FALSE)</f>
        <v>0</v>
      </c>
      <c r="T18" s="8"/>
      <c r="U18" s="7">
        <f>VLOOKUP(T18,'Win Methods'!$C$4:$F$379,4,FALSE)</f>
        <v>0</v>
      </c>
      <c r="V18" s="8"/>
      <c r="W18" s="7">
        <f>VLOOKUP(V18,'Win Methods'!$C$4:$F$379,4,FALSE)</f>
        <v>0</v>
      </c>
      <c r="X18" s="117" t="str">
        <f t="shared" si="1"/>
        <v>main-14|||||||||</v>
      </c>
    </row>
    <row r="19" spans="2:24">
      <c r="B19" s="116">
        <v>16</v>
      </c>
      <c r="C19" s="7">
        <f t="shared" si="0"/>
        <v>20</v>
      </c>
      <c r="D19" s="8" t="s">
        <v>29</v>
      </c>
      <c r="E19" s="7">
        <f>VLOOKUP(D19,'Win Methods'!$C$4:$F$379,4,FALSE)</f>
        <v>20</v>
      </c>
      <c r="F19" s="8"/>
      <c r="G19" s="7">
        <f>VLOOKUP(F19,'Win Methods'!$C$4:$F$379,4,FALSE)</f>
        <v>0</v>
      </c>
      <c r="H19" s="8"/>
      <c r="I19" s="7">
        <f>VLOOKUP(H19,'Win Methods'!$C$4:$F$379,4,FALSE)</f>
        <v>0</v>
      </c>
      <c r="J19" s="8"/>
      <c r="K19" s="7">
        <f>VLOOKUP(J19,'Win Methods'!$C$4:$F$379,4,FALSE)</f>
        <v>0</v>
      </c>
      <c r="L19" s="8"/>
      <c r="M19" s="7">
        <f>VLOOKUP(L19,'Win Methods'!$C$4:$F$379,4,FALSE)</f>
        <v>0</v>
      </c>
      <c r="N19" s="8"/>
      <c r="O19" s="7">
        <f>VLOOKUP(N19,'Win Methods'!$C$4:$F$379,4,FALSE)</f>
        <v>0</v>
      </c>
      <c r="P19" s="8"/>
      <c r="Q19" s="7">
        <f>VLOOKUP(P19,'Win Methods'!$C$4:$F$379,4,FALSE)</f>
        <v>0</v>
      </c>
      <c r="R19" s="8"/>
      <c r="S19" s="7">
        <f>VLOOKUP(R19,'Win Methods'!$C$4:$F$379,4,FALSE)</f>
        <v>0</v>
      </c>
      <c r="T19" s="8"/>
      <c r="U19" s="7">
        <f>VLOOKUP(T19,'Win Methods'!$C$4:$F$379,4,FALSE)</f>
        <v>0</v>
      </c>
      <c r="V19" s="8"/>
      <c r="W19" s="7">
        <f>VLOOKUP(V19,'Win Methods'!$C$4:$F$379,4,FALSE)</f>
        <v>0</v>
      </c>
      <c r="X19" s="117" t="str">
        <f t="shared" si="1"/>
        <v>main-15|||||||||</v>
      </c>
    </row>
    <row r="20" spans="2:24">
      <c r="B20" s="116">
        <v>17</v>
      </c>
      <c r="C20" s="7">
        <f t="shared" si="0"/>
        <v>100</v>
      </c>
      <c r="D20" s="8" t="s">
        <v>30</v>
      </c>
      <c r="E20" s="7">
        <f>VLOOKUP(D20,'Win Methods'!$C$4:$F$379,4,FALSE)</f>
        <v>100</v>
      </c>
      <c r="F20" s="8"/>
      <c r="G20" s="7">
        <f>VLOOKUP(F20,'Win Methods'!$C$4:$F$379,4,FALSE)</f>
        <v>0</v>
      </c>
      <c r="H20" s="8"/>
      <c r="I20" s="7">
        <f>VLOOKUP(H20,'Win Methods'!$C$4:$F$379,4,FALSE)</f>
        <v>0</v>
      </c>
      <c r="J20" s="8"/>
      <c r="K20" s="7">
        <f>VLOOKUP(J20,'Win Methods'!$C$4:$F$379,4,FALSE)</f>
        <v>0</v>
      </c>
      <c r="L20" s="8"/>
      <c r="M20" s="7">
        <f>VLOOKUP(L20,'Win Methods'!$C$4:$F$379,4,FALSE)</f>
        <v>0</v>
      </c>
      <c r="N20" s="8"/>
      <c r="O20" s="7">
        <f>VLOOKUP(N20,'Win Methods'!$C$4:$F$379,4,FALSE)</f>
        <v>0</v>
      </c>
      <c r="P20" s="8"/>
      <c r="Q20" s="7">
        <f>VLOOKUP(P20,'Win Methods'!$C$4:$F$379,4,FALSE)</f>
        <v>0</v>
      </c>
      <c r="R20" s="8"/>
      <c r="S20" s="7">
        <f>VLOOKUP(R20,'Win Methods'!$C$4:$F$379,4,FALSE)</f>
        <v>0</v>
      </c>
      <c r="T20" s="8"/>
      <c r="U20" s="7">
        <f>VLOOKUP(T20,'Win Methods'!$C$4:$F$379,4,FALSE)</f>
        <v>0</v>
      </c>
      <c r="V20" s="8"/>
      <c r="W20" s="7">
        <f>VLOOKUP(V20,'Win Methods'!$C$4:$F$379,4,FALSE)</f>
        <v>0</v>
      </c>
      <c r="X20" s="117" t="str">
        <f t="shared" si="1"/>
        <v>main-16|||||||||</v>
      </c>
    </row>
    <row r="21" spans="2:24">
      <c r="B21" s="116">
        <v>18</v>
      </c>
      <c r="C21" s="7">
        <f t="shared" si="0"/>
        <v>2</v>
      </c>
      <c r="D21" s="8" t="s">
        <v>31</v>
      </c>
      <c r="E21" s="7">
        <f>VLOOKUP(D21,'Win Methods'!$C$4:$F$379,4,FALSE)</f>
        <v>2</v>
      </c>
      <c r="F21" s="8"/>
      <c r="G21" s="7">
        <f>VLOOKUP(F21,'Win Methods'!$C$4:$F$379,4,FALSE)</f>
        <v>0</v>
      </c>
      <c r="H21" s="8"/>
      <c r="I21" s="7">
        <f>VLOOKUP(H21,'Win Methods'!$C$4:$F$379,4,FALSE)</f>
        <v>0</v>
      </c>
      <c r="J21" s="8"/>
      <c r="K21" s="7">
        <f>VLOOKUP(J21,'Win Methods'!$C$4:$F$379,4,FALSE)</f>
        <v>0</v>
      </c>
      <c r="L21" s="8"/>
      <c r="M21" s="7">
        <f>VLOOKUP(L21,'Win Methods'!$C$4:$F$379,4,FALSE)</f>
        <v>0</v>
      </c>
      <c r="N21" s="8"/>
      <c r="O21" s="7">
        <f>VLOOKUP(N21,'Win Methods'!$C$4:$F$379,4,FALSE)</f>
        <v>0</v>
      </c>
      <c r="P21" s="8"/>
      <c r="Q21" s="7">
        <f>VLOOKUP(P21,'Win Methods'!$C$4:$F$379,4,FALSE)</f>
        <v>0</v>
      </c>
      <c r="R21" s="8"/>
      <c r="S21" s="7">
        <f>VLOOKUP(R21,'Win Methods'!$C$4:$F$379,4,FALSE)</f>
        <v>0</v>
      </c>
      <c r="T21" s="8"/>
      <c r="U21" s="7">
        <f>VLOOKUP(T21,'Win Methods'!$C$4:$F$379,4,FALSE)</f>
        <v>0</v>
      </c>
      <c r="V21" s="8"/>
      <c r="W21" s="7">
        <f>VLOOKUP(V21,'Win Methods'!$C$4:$F$379,4,FALSE)</f>
        <v>0</v>
      </c>
      <c r="X21" s="117" t="str">
        <f t="shared" si="1"/>
        <v>main-17|||||||||</v>
      </c>
    </row>
    <row r="22" spans="2:24">
      <c r="B22" s="116">
        <v>19</v>
      </c>
      <c r="C22" s="7">
        <f t="shared" si="0"/>
        <v>3</v>
      </c>
      <c r="D22" s="8" t="s">
        <v>32</v>
      </c>
      <c r="E22" s="7">
        <f>VLOOKUP(D22,'Win Methods'!$C$4:$F$379,4,FALSE)</f>
        <v>3</v>
      </c>
      <c r="F22" s="8"/>
      <c r="G22" s="7">
        <f>VLOOKUP(F22,'Win Methods'!$C$4:$F$379,4,FALSE)</f>
        <v>0</v>
      </c>
      <c r="H22" s="8"/>
      <c r="I22" s="7">
        <f>VLOOKUP(H22,'Win Methods'!$C$4:$F$379,4,FALSE)</f>
        <v>0</v>
      </c>
      <c r="J22" s="8"/>
      <c r="K22" s="7">
        <f>VLOOKUP(J22,'Win Methods'!$C$4:$F$379,4,FALSE)</f>
        <v>0</v>
      </c>
      <c r="L22" s="8"/>
      <c r="M22" s="7">
        <f>VLOOKUP(L22,'Win Methods'!$C$4:$F$379,4,FALSE)</f>
        <v>0</v>
      </c>
      <c r="N22" s="8"/>
      <c r="O22" s="7">
        <f>VLOOKUP(N22,'Win Methods'!$C$4:$F$379,4,FALSE)</f>
        <v>0</v>
      </c>
      <c r="P22" s="8"/>
      <c r="Q22" s="7">
        <f>VLOOKUP(P22,'Win Methods'!$C$4:$F$379,4,FALSE)</f>
        <v>0</v>
      </c>
      <c r="R22" s="8"/>
      <c r="S22" s="7">
        <f>VLOOKUP(R22,'Win Methods'!$C$4:$F$379,4,FALSE)</f>
        <v>0</v>
      </c>
      <c r="T22" s="8"/>
      <c r="U22" s="7">
        <f>VLOOKUP(T22,'Win Methods'!$C$4:$F$379,4,FALSE)</f>
        <v>0</v>
      </c>
      <c r="V22" s="8"/>
      <c r="W22" s="7">
        <f>VLOOKUP(V22,'Win Methods'!$C$4:$F$379,4,FALSE)</f>
        <v>0</v>
      </c>
      <c r="X22" s="117" t="str">
        <f t="shared" si="1"/>
        <v>main-18|||||||||</v>
      </c>
    </row>
    <row r="23" spans="2:24">
      <c r="B23" s="116">
        <v>20</v>
      </c>
      <c r="C23" s="7">
        <f t="shared" si="0"/>
        <v>5</v>
      </c>
      <c r="D23" s="8" t="s">
        <v>33</v>
      </c>
      <c r="E23" s="7">
        <f>VLOOKUP(D23,'Win Methods'!$C$4:$F$379,4,FALSE)</f>
        <v>5</v>
      </c>
      <c r="F23" s="8"/>
      <c r="G23" s="7">
        <f>VLOOKUP(F23,'Win Methods'!$C$4:$F$379,4,FALSE)</f>
        <v>0</v>
      </c>
      <c r="H23" s="8"/>
      <c r="I23" s="7">
        <f>VLOOKUP(H23,'Win Methods'!$C$4:$F$379,4,FALSE)</f>
        <v>0</v>
      </c>
      <c r="J23" s="8"/>
      <c r="K23" s="7">
        <f>VLOOKUP(J23,'Win Methods'!$C$4:$F$379,4,FALSE)</f>
        <v>0</v>
      </c>
      <c r="L23" s="8"/>
      <c r="M23" s="7">
        <f>VLOOKUP(L23,'Win Methods'!$C$4:$F$379,4,FALSE)</f>
        <v>0</v>
      </c>
      <c r="N23" s="8"/>
      <c r="O23" s="7">
        <f>VLOOKUP(N23,'Win Methods'!$C$4:$F$379,4,FALSE)</f>
        <v>0</v>
      </c>
      <c r="P23" s="8"/>
      <c r="Q23" s="7">
        <f>VLOOKUP(P23,'Win Methods'!$C$4:$F$379,4,FALSE)</f>
        <v>0</v>
      </c>
      <c r="R23" s="8"/>
      <c r="S23" s="7">
        <f>VLOOKUP(R23,'Win Methods'!$C$4:$F$379,4,FALSE)</f>
        <v>0</v>
      </c>
      <c r="T23" s="8"/>
      <c r="U23" s="7">
        <f>VLOOKUP(T23,'Win Methods'!$C$4:$F$379,4,FALSE)</f>
        <v>0</v>
      </c>
      <c r="V23" s="8"/>
      <c r="W23" s="7">
        <f>VLOOKUP(V23,'Win Methods'!$C$4:$F$379,4,FALSE)</f>
        <v>0</v>
      </c>
      <c r="X23" s="117" t="str">
        <f t="shared" si="1"/>
        <v>main-19|||||||||</v>
      </c>
    </row>
    <row r="24" spans="2:24">
      <c r="B24" s="116">
        <v>21</v>
      </c>
      <c r="C24" s="7">
        <f t="shared" si="0"/>
        <v>10</v>
      </c>
      <c r="D24" s="8" t="s">
        <v>34</v>
      </c>
      <c r="E24" s="7">
        <f>VLOOKUP(D24,'Win Methods'!$C$4:$F$379,4,FALSE)</f>
        <v>10</v>
      </c>
      <c r="F24" s="8"/>
      <c r="G24" s="7">
        <f>VLOOKUP(F24,'Win Methods'!$C$4:$F$379,4,FALSE)</f>
        <v>0</v>
      </c>
      <c r="H24" s="8"/>
      <c r="I24" s="7">
        <f>VLOOKUP(H24,'Win Methods'!$C$4:$F$379,4,FALSE)</f>
        <v>0</v>
      </c>
      <c r="J24" s="8"/>
      <c r="K24" s="7">
        <f>VLOOKUP(J24,'Win Methods'!$C$4:$F$379,4,FALSE)</f>
        <v>0</v>
      </c>
      <c r="L24" s="8"/>
      <c r="M24" s="7">
        <f>VLOOKUP(L24,'Win Methods'!$C$4:$F$379,4,FALSE)</f>
        <v>0</v>
      </c>
      <c r="N24" s="8"/>
      <c r="O24" s="7">
        <f>VLOOKUP(N24,'Win Methods'!$C$4:$F$379,4,FALSE)</f>
        <v>0</v>
      </c>
      <c r="P24" s="8"/>
      <c r="Q24" s="7">
        <f>VLOOKUP(P24,'Win Methods'!$C$4:$F$379,4,FALSE)</f>
        <v>0</v>
      </c>
      <c r="R24" s="8"/>
      <c r="S24" s="7">
        <f>VLOOKUP(R24,'Win Methods'!$C$4:$F$379,4,FALSE)</f>
        <v>0</v>
      </c>
      <c r="T24" s="8"/>
      <c r="U24" s="7">
        <f>VLOOKUP(T24,'Win Methods'!$C$4:$F$379,4,FALSE)</f>
        <v>0</v>
      </c>
      <c r="V24" s="8"/>
      <c r="W24" s="7">
        <f>VLOOKUP(V24,'Win Methods'!$C$4:$F$379,4,FALSE)</f>
        <v>0</v>
      </c>
      <c r="X24" s="117" t="str">
        <f t="shared" si="1"/>
        <v>main-20|||||||||</v>
      </c>
    </row>
    <row r="25" spans="2:24">
      <c r="B25" s="116">
        <v>22</v>
      </c>
      <c r="C25" s="7">
        <f t="shared" si="0"/>
        <v>20</v>
      </c>
      <c r="D25" s="8" t="s">
        <v>35</v>
      </c>
      <c r="E25" s="7">
        <f>VLOOKUP(D25,'Win Methods'!$C$4:$F$379,4,FALSE)</f>
        <v>20</v>
      </c>
      <c r="F25" s="8"/>
      <c r="G25" s="7">
        <f>VLOOKUP(F25,'Win Methods'!$C$4:$F$379,4,FALSE)</f>
        <v>0</v>
      </c>
      <c r="H25" s="8"/>
      <c r="I25" s="7">
        <f>VLOOKUP(H25,'Win Methods'!$C$4:$F$379,4,FALSE)</f>
        <v>0</v>
      </c>
      <c r="J25" s="8"/>
      <c r="K25" s="7">
        <f>VLOOKUP(J25,'Win Methods'!$C$4:$F$379,4,FALSE)</f>
        <v>0</v>
      </c>
      <c r="L25" s="8"/>
      <c r="M25" s="7">
        <f>VLOOKUP(L25,'Win Methods'!$C$4:$F$379,4,FALSE)</f>
        <v>0</v>
      </c>
      <c r="N25" s="8"/>
      <c r="O25" s="7">
        <f>VLOOKUP(N25,'Win Methods'!$C$4:$F$379,4,FALSE)</f>
        <v>0</v>
      </c>
      <c r="P25" s="8"/>
      <c r="Q25" s="7">
        <f>VLOOKUP(P25,'Win Methods'!$C$4:$F$379,4,FALSE)</f>
        <v>0</v>
      </c>
      <c r="R25" s="8"/>
      <c r="S25" s="7">
        <f>VLOOKUP(R25,'Win Methods'!$C$4:$F$379,4,FALSE)</f>
        <v>0</v>
      </c>
      <c r="T25" s="8"/>
      <c r="U25" s="7">
        <f>VLOOKUP(T25,'Win Methods'!$C$4:$F$379,4,FALSE)</f>
        <v>0</v>
      </c>
      <c r="V25" s="8"/>
      <c r="W25" s="7">
        <f>VLOOKUP(V25,'Win Methods'!$C$4:$F$379,4,FALSE)</f>
        <v>0</v>
      </c>
      <c r="X25" s="117" t="str">
        <f t="shared" si="1"/>
        <v>main-21|||||||||</v>
      </c>
    </row>
    <row r="26" spans="2:24">
      <c r="B26" s="116">
        <v>23</v>
      </c>
      <c r="C26" s="7">
        <f t="shared" si="0"/>
        <v>100</v>
      </c>
      <c r="D26" s="8" t="s">
        <v>36</v>
      </c>
      <c r="E26" s="7">
        <f>VLOOKUP(D26,'Win Methods'!$C$4:$F$379,4,FALSE)</f>
        <v>100</v>
      </c>
      <c r="F26" s="8"/>
      <c r="G26" s="7">
        <f>VLOOKUP(F26,'Win Methods'!$C$4:$F$379,4,FALSE)</f>
        <v>0</v>
      </c>
      <c r="H26" s="8"/>
      <c r="I26" s="7">
        <f>VLOOKUP(H26,'Win Methods'!$C$4:$F$379,4,FALSE)</f>
        <v>0</v>
      </c>
      <c r="J26" s="8"/>
      <c r="K26" s="7">
        <f>VLOOKUP(J26,'Win Methods'!$C$4:$F$379,4,FALSE)</f>
        <v>0</v>
      </c>
      <c r="L26" s="8"/>
      <c r="M26" s="7">
        <f>VLOOKUP(L26,'Win Methods'!$C$4:$F$379,4,FALSE)</f>
        <v>0</v>
      </c>
      <c r="N26" s="8"/>
      <c r="O26" s="7">
        <f>VLOOKUP(N26,'Win Methods'!$C$4:$F$379,4,FALSE)</f>
        <v>0</v>
      </c>
      <c r="P26" s="8"/>
      <c r="Q26" s="7">
        <f>VLOOKUP(P26,'Win Methods'!$C$4:$F$379,4,FALSE)</f>
        <v>0</v>
      </c>
      <c r="R26" s="8"/>
      <c r="S26" s="7">
        <f>VLOOKUP(R26,'Win Methods'!$C$4:$F$379,4,FALSE)</f>
        <v>0</v>
      </c>
      <c r="T26" s="8"/>
      <c r="U26" s="7">
        <f>VLOOKUP(T26,'Win Methods'!$C$4:$F$379,4,FALSE)</f>
        <v>0</v>
      </c>
      <c r="V26" s="8"/>
      <c r="W26" s="7">
        <f>VLOOKUP(V26,'Win Methods'!$C$4:$F$379,4,FALSE)</f>
        <v>0</v>
      </c>
      <c r="X26" s="117" t="str">
        <f t="shared" si="1"/>
        <v>main-22|||||||||</v>
      </c>
    </row>
    <row r="27" spans="2:24">
      <c r="B27" s="116">
        <v>24</v>
      </c>
      <c r="C27" s="7">
        <f t="shared" si="0"/>
        <v>200</v>
      </c>
      <c r="D27" s="8" t="s">
        <v>37</v>
      </c>
      <c r="E27" s="7">
        <f>VLOOKUP(D27,'Win Methods'!$C$4:$F$379,4,FALSE)</f>
        <v>200</v>
      </c>
      <c r="F27" s="8"/>
      <c r="G27" s="7">
        <f>VLOOKUP(F27,'Win Methods'!$C$4:$F$379,4,FALSE)</f>
        <v>0</v>
      </c>
      <c r="H27" s="8"/>
      <c r="I27" s="7">
        <f>VLOOKUP(H27,'Win Methods'!$C$4:$F$379,4,FALSE)</f>
        <v>0</v>
      </c>
      <c r="J27" s="8"/>
      <c r="K27" s="7">
        <f>VLOOKUP(J27,'Win Methods'!$C$4:$F$379,4,FALSE)</f>
        <v>0</v>
      </c>
      <c r="L27" s="8"/>
      <c r="M27" s="7">
        <f>VLOOKUP(L27,'Win Methods'!$C$4:$F$379,4,FALSE)</f>
        <v>0</v>
      </c>
      <c r="N27" s="8"/>
      <c r="O27" s="7">
        <f>VLOOKUP(N27,'Win Methods'!$C$4:$F$379,4,FALSE)</f>
        <v>0</v>
      </c>
      <c r="P27" s="8"/>
      <c r="Q27" s="7">
        <f>VLOOKUP(P27,'Win Methods'!$C$4:$F$379,4,FALSE)</f>
        <v>0</v>
      </c>
      <c r="R27" s="8"/>
      <c r="S27" s="7">
        <f>VLOOKUP(R27,'Win Methods'!$C$4:$F$379,4,FALSE)</f>
        <v>0</v>
      </c>
      <c r="T27" s="8"/>
      <c r="U27" s="7">
        <f>VLOOKUP(T27,'Win Methods'!$C$4:$F$379,4,FALSE)</f>
        <v>0</v>
      </c>
      <c r="V27" s="8"/>
      <c r="W27" s="7">
        <f>VLOOKUP(V27,'Win Methods'!$C$4:$F$379,4,FALSE)</f>
        <v>0</v>
      </c>
      <c r="X27" s="117" t="str">
        <f t="shared" si="1"/>
        <v>main-23|||||||||</v>
      </c>
    </row>
    <row r="28" spans="2:24">
      <c r="B28" s="116">
        <v>25</v>
      </c>
      <c r="C28" s="7">
        <f t="shared" si="0"/>
        <v>3</v>
      </c>
      <c r="D28" s="8" t="s">
        <v>38</v>
      </c>
      <c r="E28" s="7">
        <f>VLOOKUP(D28,'Win Methods'!$C$4:$F$379,4,FALSE)</f>
        <v>3</v>
      </c>
      <c r="F28" s="8"/>
      <c r="G28" s="7">
        <f>VLOOKUP(F28,'Win Methods'!$C$4:$F$379,4,FALSE)</f>
        <v>0</v>
      </c>
      <c r="H28" s="8"/>
      <c r="I28" s="7">
        <f>VLOOKUP(H28,'Win Methods'!$C$4:$F$379,4,FALSE)</f>
        <v>0</v>
      </c>
      <c r="J28" s="8"/>
      <c r="K28" s="7">
        <f>VLOOKUP(J28,'Win Methods'!$C$4:$F$379,4,FALSE)</f>
        <v>0</v>
      </c>
      <c r="L28" s="8"/>
      <c r="M28" s="7">
        <f>VLOOKUP(L28,'Win Methods'!$C$4:$F$379,4,FALSE)</f>
        <v>0</v>
      </c>
      <c r="N28" s="8"/>
      <c r="O28" s="7">
        <f>VLOOKUP(N28,'Win Methods'!$C$4:$F$379,4,FALSE)</f>
        <v>0</v>
      </c>
      <c r="P28" s="8"/>
      <c r="Q28" s="7">
        <f>VLOOKUP(P28,'Win Methods'!$C$4:$F$379,4,FALSE)</f>
        <v>0</v>
      </c>
      <c r="R28" s="8"/>
      <c r="S28" s="7">
        <f>VLOOKUP(R28,'Win Methods'!$C$4:$F$379,4,FALSE)</f>
        <v>0</v>
      </c>
      <c r="T28" s="8"/>
      <c r="U28" s="7">
        <f>VLOOKUP(T28,'Win Methods'!$C$4:$F$379,4,FALSE)</f>
        <v>0</v>
      </c>
      <c r="V28" s="8"/>
      <c r="W28" s="7">
        <f>VLOOKUP(V28,'Win Methods'!$C$4:$F$379,4,FALSE)</f>
        <v>0</v>
      </c>
      <c r="X28" s="117" t="str">
        <f t="shared" si="1"/>
        <v>main-24|||||||||</v>
      </c>
    </row>
    <row r="29" spans="2:24">
      <c r="B29" s="116">
        <v>26</v>
      </c>
      <c r="C29" s="7">
        <f t="shared" si="0"/>
        <v>5</v>
      </c>
      <c r="D29" s="8" t="s">
        <v>39</v>
      </c>
      <c r="E29" s="7">
        <f>VLOOKUP(D29,'Win Methods'!$C$4:$F$379,4,FALSE)</f>
        <v>5</v>
      </c>
      <c r="F29" s="8"/>
      <c r="G29" s="7">
        <f>VLOOKUP(F29,'Win Methods'!$C$4:$F$379,4,FALSE)</f>
        <v>0</v>
      </c>
      <c r="H29" s="8"/>
      <c r="I29" s="7">
        <f>VLOOKUP(H29,'Win Methods'!$C$4:$F$379,4,FALSE)</f>
        <v>0</v>
      </c>
      <c r="J29" s="8"/>
      <c r="K29" s="7">
        <f>VLOOKUP(J29,'Win Methods'!$C$4:$F$379,4,FALSE)</f>
        <v>0</v>
      </c>
      <c r="L29" s="8"/>
      <c r="M29" s="7">
        <f>VLOOKUP(L29,'Win Methods'!$C$4:$F$379,4,FALSE)</f>
        <v>0</v>
      </c>
      <c r="N29" s="8"/>
      <c r="O29" s="7">
        <f>VLOOKUP(N29,'Win Methods'!$C$4:$F$379,4,FALSE)</f>
        <v>0</v>
      </c>
      <c r="P29" s="8"/>
      <c r="Q29" s="7">
        <f>VLOOKUP(P29,'Win Methods'!$C$4:$F$379,4,FALSE)</f>
        <v>0</v>
      </c>
      <c r="R29" s="8"/>
      <c r="S29" s="7">
        <f>VLOOKUP(R29,'Win Methods'!$C$4:$F$379,4,FALSE)</f>
        <v>0</v>
      </c>
      <c r="T29" s="8"/>
      <c r="U29" s="7">
        <f>VLOOKUP(T29,'Win Methods'!$C$4:$F$379,4,FALSE)</f>
        <v>0</v>
      </c>
      <c r="V29" s="8"/>
      <c r="W29" s="7">
        <f>VLOOKUP(V29,'Win Methods'!$C$4:$F$379,4,FALSE)</f>
        <v>0</v>
      </c>
      <c r="X29" s="117" t="str">
        <f t="shared" si="1"/>
        <v>main-25|||||||||</v>
      </c>
    </row>
    <row r="30" spans="2:24">
      <c r="B30" s="116">
        <v>27</v>
      </c>
      <c r="C30" s="7">
        <f t="shared" si="0"/>
        <v>10</v>
      </c>
      <c r="D30" s="8" t="s">
        <v>40</v>
      </c>
      <c r="E30" s="7">
        <f>VLOOKUP(D30,'Win Methods'!$C$4:$F$379,4,FALSE)</f>
        <v>10</v>
      </c>
      <c r="F30" s="8"/>
      <c r="G30" s="7">
        <f>VLOOKUP(F30,'Win Methods'!$C$4:$F$379,4,FALSE)</f>
        <v>0</v>
      </c>
      <c r="H30" s="8"/>
      <c r="I30" s="7">
        <f>VLOOKUP(H30,'Win Methods'!$C$4:$F$379,4,FALSE)</f>
        <v>0</v>
      </c>
      <c r="J30" s="8"/>
      <c r="K30" s="7">
        <f>VLOOKUP(J30,'Win Methods'!$C$4:$F$379,4,FALSE)</f>
        <v>0</v>
      </c>
      <c r="L30" s="8"/>
      <c r="M30" s="7">
        <f>VLOOKUP(L30,'Win Methods'!$C$4:$F$379,4,FALSE)</f>
        <v>0</v>
      </c>
      <c r="N30" s="8"/>
      <c r="O30" s="7">
        <f>VLOOKUP(N30,'Win Methods'!$C$4:$F$379,4,FALSE)</f>
        <v>0</v>
      </c>
      <c r="P30" s="8"/>
      <c r="Q30" s="7">
        <f>VLOOKUP(P30,'Win Methods'!$C$4:$F$379,4,FALSE)</f>
        <v>0</v>
      </c>
      <c r="R30" s="8"/>
      <c r="S30" s="7">
        <f>VLOOKUP(R30,'Win Methods'!$C$4:$F$379,4,FALSE)</f>
        <v>0</v>
      </c>
      <c r="T30" s="8"/>
      <c r="U30" s="7">
        <f>VLOOKUP(T30,'Win Methods'!$C$4:$F$379,4,FALSE)</f>
        <v>0</v>
      </c>
      <c r="V30" s="8"/>
      <c r="W30" s="7">
        <f>VLOOKUP(V30,'Win Methods'!$C$4:$F$379,4,FALSE)</f>
        <v>0</v>
      </c>
      <c r="X30" s="117" t="str">
        <f t="shared" si="1"/>
        <v>main-26|||||||||</v>
      </c>
    </row>
    <row r="31" spans="2:24">
      <c r="B31" s="116">
        <v>28</v>
      </c>
      <c r="C31" s="7">
        <f t="shared" si="0"/>
        <v>20</v>
      </c>
      <c r="D31" s="8" t="s">
        <v>41</v>
      </c>
      <c r="E31" s="7">
        <f>VLOOKUP(D31,'Win Methods'!$C$4:$F$379,4,FALSE)</f>
        <v>20</v>
      </c>
      <c r="F31" s="8"/>
      <c r="G31" s="7">
        <f>VLOOKUP(F31,'Win Methods'!$C$4:$F$379,4,FALSE)</f>
        <v>0</v>
      </c>
      <c r="H31" s="8"/>
      <c r="I31" s="7">
        <f>VLOOKUP(H31,'Win Methods'!$C$4:$F$379,4,FALSE)</f>
        <v>0</v>
      </c>
      <c r="J31" s="8"/>
      <c r="K31" s="7">
        <f>VLOOKUP(J31,'Win Methods'!$C$4:$F$379,4,FALSE)</f>
        <v>0</v>
      </c>
      <c r="L31" s="8"/>
      <c r="M31" s="7">
        <f>VLOOKUP(L31,'Win Methods'!$C$4:$F$379,4,FALSE)</f>
        <v>0</v>
      </c>
      <c r="N31" s="8"/>
      <c r="O31" s="7">
        <f>VLOOKUP(N31,'Win Methods'!$C$4:$F$379,4,FALSE)</f>
        <v>0</v>
      </c>
      <c r="P31" s="8"/>
      <c r="Q31" s="7">
        <f>VLOOKUP(P31,'Win Methods'!$C$4:$F$379,4,FALSE)</f>
        <v>0</v>
      </c>
      <c r="R31" s="8"/>
      <c r="S31" s="7">
        <f>VLOOKUP(R31,'Win Methods'!$C$4:$F$379,4,FALSE)</f>
        <v>0</v>
      </c>
      <c r="T31" s="8"/>
      <c r="U31" s="7">
        <f>VLOOKUP(T31,'Win Methods'!$C$4:$F$379,4,FALSE)</f>
        <v>0</v>
      </c>
      <c r="V31" s="8"/>
      <c r="W31" s="7">
        <f>VLOOKUP(V31,'Win Methods'!$C$4:$F$379,4,FALSE)</f>
        <v>0</v>
      </c>
      <c r="X31" s="117" t="str">
        <f t="shared" si="1"/>
        <v>main-27|||||||||</v>
      </c>
    </row>
    <row r="32" spans="2:24">
      <c r="B32" s="116">
        <v>29</v>
      </c>
      <c r="C32" s="7">
        <f t="shared" si="0"/>
        <v>100</v>
      </c>
      <c r="D32" s="8" t="s">
        <v>42</v>
      </c>
      <c r="E32" s="7">
        <f>VLOOKUP(D32,'Win Methods'!$C$4:$F$379,4,FALSE)</f>
        <v>100</v>
      </c>
      <c r="F32" s="8"/>
      <c r="G32" s="7">
        <f>VLOOKUP(F32,'Win Methods'!$C$4:$F$379,4,FALSE)</f>
        <v>0</v>
      </c>
      <c r="H32" s="8"/>
      <c r="I32" s="7">
        <f>VLOOKUP(H32,'Win Methods'!$C$4:$F$379,4,FALSE)</f>
        <v>0</v>
      </c>
      <c r="J32" s="8"/>
      <c r="K32" s="7">
        <f>VLOOKUP(J32,'Win Methods'!$C$4:$F$379,4,FALSE)</f>
        <v>0</v>
      </c>
      <c r="L32" s="8"/>
      <c r="M32" s="7">
        <f>VLOOKUP(L32,'Win Methods'!$C$4:$F$379,4,FALSE)</f>
        <v>0</v>
      </c>
      <c r="N32" s="8"/>
      <c r="O32" s="7">
        <f>VLOOKUP(N32,'Win Methods'!$C$4:$F$379,4,FALSE)</f>
        <v>0</v>
      </c>
      <c r="P32" s="8"/>
      <c r="Q32" s="7">
        <f>VLOOKUP(P32,'Win Methods'!$C$4:$F$379,4,FALSE)</f>
        <v>0</v>
      </c>
      <c r="R32" s="8"/>
      <c r="S32" s="7">
        <f>VLOOKUP(R32,'Win Methods'!$C$4:$F$379,4,FALSE)</f>
        <v>0</v>
      </c>
      <c r="T32" s="8"/>
      <c r="U32" s="7">
        <f>VLOOKUP(T32,'Win Methods'!$C$4:$F$379,4,FALSE)</f>
        <v>0</v>
      </c>
      <c r="V32" s="8"/>
      <c r="W32" s="7">
        <f>VLOOKUP(V32,'Win Methods'!$C$4:$F$379,4,FALSE)</f>
        <v>0</v>
      </c>
      <c r="X32" s="117" t="str">
        <f t="shared" si="1"/>
        <v>main-28|||||||||</v>
      </c>
    </row>
    <row r="33" spans="2:24">
      <c r="B33" s="116">
        <v>30</v>
      </c>
      <c r="C33" s="7">
        <f t="shared" si="0"/>
        <v>200</v>
      </c>
      <c r="D33" s="8" t="s">
        <v>43</v>
      </c>
      <c r="E33" s="7">
        <f>VLOOKUP(D33,'Win Methods'!$C$4:$F$379,4,FALSE)</f>
        <v>200</v>
      </c>
      <c r="F33" s="8"/>
      <c r="G33" s="7">
        <f>VLOOKUP(F33,'Win Methods'!$C$4:$F$379,4,FALSE)</f>
        <v>0</v>
      </c>
      <c r="H33" s="8"/>
      <c r="I33" s="7">
        <f>VLOOKUP(H33,'Win Methods'!$C$4:$F$379,4,FALSE)</f>
        <v>0</v>
      </c>
      <c r="J33" s="8"/>
      <c r="K33" s="7">
        <f>VLOOKUP(J33,'Win Methods'!$C$4:$F$379,4,FALSE)</f>
        <v>0</v>
      </c>
      <c r="L33" s="8"/>
      <c r="M33" s="7">
        <f>VLOOKUP(L33,'Win Methods'!$C$4:$F$379,4,FALSE)</f>
        <v>0</v>
      </c>
      <c r="N33" s="8"/>
      <c r="O33" s="7">
        <f>VLOOKUP(N33,'Win Methods'!$C$4:$F$379,4,FALSE)</f>
        <v>0</v>
      </c>
      <c r="P33" s="8"/>
      <c r="Q33" s="7">
        <f>VLOOKUP(P33,'Win Methods'!$C$4:$F$379,4,FALSE)</f>
        <v>0</v>
      </c>
      <c r="R33" s="8"/>
      <c r="S33" s="7">
        <f>VLOOKUP(R33,'Win Methods'!$C$4:$F$379,4,FALSE)</f>
        <v>0</v>
      </c>
      <c r="T33" s="8"/>
      <c r="U33" s="7">
        <f>VLOOKUP(T33,'Win Methods'!$C$4:$F$379,4,FALSE)</f>
        <v>0</v>
      </c>
      <c r="V33" s="8"/>
      <c r="W33" s="7">
        <f>VLOOKUP(V33,'Win Methods'!$C$4:$F$379,4,FALSE)</f>
        <v>0</v>
      </c>
      <c r="X33" s="117" t="str">
        <f t="shared" si="1"/>
        <v>main-29|||||||||</v>
      </c>
    </row>
    <row r="34" spans="2:24">
      <c r="B34" s="116">
        <v>31</v>
      </c>
      <c r="C34" s="7">
        <f t="shared" si="0"/>
        <v>1000</v>
      </c>
      <c r="D34" s="8" t="s">
        <v>44</v>
      </c>
      <c r="E34" s="7">
        <f>VLOOKUP(D34,'Win Methods'!$C$4:$F$379,4,FALSE)</f>
        <v>1000</v>
      </c>
      <c r="F34" s="8"/>
      <c r="G34" s="7">
        <f>VLOOKUP(F34,'Win Methods'!$C$4:$F$379,4,FALSE)</f>
        <v>0</v>
      </c>
      <c r="H34" s="8"/>
      <c r="I34" s="7">
        <f>VLOOKUP(H34,'Win Methods'!$C$4:$F$379,4,FALSE)</f>
        <v>0</v>
      </c>
      <c r="J34" s="8"/>
      <c r="K34" s="7">
        <f>VLOOKUP(J34,'Win Methods'!$C$4:$F$379,4,FALSE)</f>
        <v>0</v>
      </c>
      <c r="L34" s="8"/>
      <c r="M34" s="7">
        <f>VLOOKUP(L34,'Win Methods'!$C$4:$F$379,4,FALSE)</f>
        <v>0</v>
      </c>
      <c r="N34" s="8"/>
      <c r="O34" s="7">
        <f>VLOOKUP(N34,'Win Methods'!$C$4:$F$379,4,FALSE)</f>
        <v>0</v>
      </c>
      <c r="P34" s="8"/>
      <c r="Q34" s="7">
        <f>VLOOKUP(P34,'Win Methods'!$C$4:$F$379,4,FALSE)</f>
        <v>0</v>
      </c>
      <c r="R34" s="8"/>
      <c r="S34" s="7">
        <f>VLOOKUP(R34,'Win Methods'!$C$4:$F$379,4,FALSE)</f>
        <v>0</v>
      </c>
      <c r="T34" s="8"/>
      <c r="U34" s="7">
        <f>VLOOKUP(T34,'Win Methods'!$C$4:$F$379,4,FALSE)</f>
        <v>0</v>
      </c>
      <c r="V34" s="8"/>
      <c r="W34" s="7">
        <f>VLOOKUP(V34,'Win Methods'!$C$4:$F$379,4,FALSE)</f>
        <v>0</v>
      </c>
      <c r="X34" s="117" t="str">
        <f t="shared" si="1"/>
        <v>main-30|||||||||</v>
      </c>
    </row>
    <row r="35" spans="2:24">
      <c r="B35" s="116">
        <v>32</v>
      </c>
      <c r="C35" s="7">
        <f t="shared" si="0"/>
        <v>0.1</v>
      </c>
      <c r="D35" s="196" t="s">
        <v>45</v>
      </c>
      <c r="E35" s="7">
        <f>VLOOKUP(D35,'Win Methods'!$C$4:$F$379,4,FALSE)</f>
        <v>0.1</v>
      </c>
      <c r="F35" s="8"/>
      <c r="G35" s="7">
        <f>VLOOKUP(F35,'Win Methods'!$C$4:$F$379,4,FALSE)</f>
        <v>0</v>
      </c>
      <c r="H35" s="8"/>
      <c r="I35" s="7">
        <f>VLOOKUP(H35,'Win Methods'!$C$4:$F$379,4,FALSE)</f>
        <v>0</v>
      </c>
      <c r="J35" s="8"/>
      <c r="K35" s="7">
        <f>VLOOKUP(J35,'Win Methods'!$C$4:$F$379,4,FALSE)</f>
        <v>0</v>
      </c>
      <c r="L35" s="8"/>
      <c r="M35" s="7">
        <f>VLOOKUP(L35,'Win Methods'!$C$4:$F$379,4,FALSE)</f>
        <v>0</v>
      </c>
      <c r="N35" s="8"/>
      <c r="O35" s="7">
        <f>VLOOKUP(N35,'Win Methods'!$C$4:$F$379,4,FALSE)</f>
        <v>0</v>
      </c>
      <c r="P35" s="8"/>
      <c r="Q35" s="7">
        <f>VLOOKUP(P35,'Win Methods'!$C$4:$F$379,4,FALSE)</f>
        <v>0</v>
      </c>
      <c r="R35" s="8"/>
      <c r="S35" s="7">
        <f>VLOOKUP(R35,'Win Methods'!$C$4:$F$379,4,FALSE)</f>
        <v>0</v>
      </c>
      <c r="T35" s="8"/>
      <c r="U35" s="7">
        <f>VLOOKUP(T35,'Win Methods'!$C$4:$F$379,4,FALSE)</f>
        <v>0</v>
      </c>
      <c r="V35" s="8"/>
      <c r="W35" s="7">
        <f>VLOOKUP(V35,'Win Methods'!$C$4:$F$379,4,FALSE)</f>
        <v>0</v>
      </c>
      <c r="X35" s="117" t="str">
        <f t="shared" si="1"/>
        <v>wild-0|||||||||</v>
      </c>
    </row>
    <row r="36" spans="2:24">
      <c r="B36" s="116">
        <v>33</v>
      </c>
      <c r="C36" s="7">
        <f t="shared" si="0"/>
        <v>0.2</v>
      </c>
      <c r="D36" s="196" t="s">
        <v>46</v>
      </c>
      <c r="E36" s="7">
        <f>VLOOKUP(D36,'Win Methods'!$C$4:$F$379,4,FALSE)</f>
        <v>0.2</v>
      </c>
      <c r="F36" s="8"/>
      <c r="G36" s="7">
        <f>VLOOKUP(F36,'Win Methods'!$C$4:$F$379,4,FALSE)</f>
        <v>0</v>
      </c>
      <c r="H36" s="8"/>
      <c r="I36" s="7">
        <f>VLOOKUP(H36,'Win Methods'!$C$4:$F$379,4,FALSE)</f>
        <v>0</v>
      </c>
      <c r="J36" s="8"/>
      <c r="K36" s="7">
        <f>VLOOKUP(J36,'Win Methods'!$C$4:$F$379,4,FALSE)</f>
        <v>0</v>
      </c>
      <c r="L36" s="8"/>
      <c r="M36" s="7">
        <f>VLOOKUP(L36,'Win Methods'!$C$4:$F$379,4,FALSE)</f>
        <v>0</v>
      </c>
      <c r="N36" s="8"/>
      <c r="O36" s="7">
        <f>VLOOKUP(N36,'Win Methods'!$C$4:$F$379,4,FALSE)</f>
        <v>0</v>
      </c>
      <c r="P36" s="8"/>
      <c r="Q36" s="7">
        <f>VLOOKUP(P36,'Win Methods'!$C$4:$F$379,4,FALSE)</f>
        <v>0</v>
      </c>
      <c r="R36" s="8"/>
      <c r="S36" s="7">
        <f>VLOOKUP(R36,'Win Methods'!$C$4:$F$379,4,FALSE)</f>
        <v>0</v>
      </c>
      <c r="T36" s="8"/>
      <c r="U36" s="7">
        <f>VLOOKUP(T36,'Win Methods'!$C$4:$F$379,4,FALSE)</f>
        <v>0</v>
      </c>
      <c r="V36" s="8"/>
      <c r="W36" s="7">
        <f>VLOOKUP(V36,'Win Methods'!$C$4:$F$379,4,FALSE)</f>
        <v>0</v>
      </c>
      <c r="X36" s="117" t="str">
        <f t="shared" si="1"/>
        <v>wild-1|||||||||</v>
      </c>
    </row>
    <row r="37" spans="2:24">
      <c r="B37" s="116">
        <v>34</v>
      </c>
      <c r="C37" s="7">
        <f t="shared" si="0"/>
        <v>0.5</v>
      </c>
      <c r="D37" s="196" t="s">
        <v>47</v>
      </c>
      <c r="E37" s="7">
        <f>VLOOKUP(D37,'Win Methods'!$C$4:$F$379,4,FALSE)</f>
        <v>0.5</v>
      </c>
      <c r="F37" s="8"/>
      <c r="G37" s="7">
        <f>VLOOKUP(F37,'Win Methods'!$C$4:$F$379,4,FALSE)</f>
        <v>0</v>
      </c>
      <c r="H37" s="8"/>
      <c r="I37" s="7">
        <f>VLOOKUP(H37,'Win Methods'!$C$4:$F$379,4,FALSE)</f>
        <v>0</v>
      </c>
      <c r="J37" s="8"/>
      <c r="K37" s="7">
        <f>VLOOKUP(J37,'Win Methods'!$C$4:$F$379,4,FALSE)</f>
        <v>0</v>
      </c>
      <c r="L37" s="8"/>
      <c r="M37" s="7">
        <f>VLOOKUP(L37,'Win Methods'!$C$4:$F$379,4,FALSE)</f>
        <v>0</v>
      </c>
      <c r="N37" s="8"/>
      <c r="O37" s="7">
        <f>VLOOKUP(N37,'Win Methods'!$C$4:$F$379,4,FALSE)</f>
        <v>0</v>
      </c>
      <c r="P37" s="8"/>
      <c r="Q37" s="7">
        <f>VLOOKUP(P37,'Win Methods'!$C$4:$F$379,4,FALSE)</f>
        <v>0</v>
      </c>
      <c r="R37" s="8"/>
      <c r="S37" s="7">
        <f>VLOOKUP(R37,'Win Methods'!$C$4:$F$379,4,FALSE)</f>
        <v>0</v>
      </c>
      <c r="T37" s="8"/>
      <c r="U37" s="7">
        <f>VLOOKUP(T37,'Win Methods'!$C$4:$F$379,4,FALSE)</f>
        <v>0</v>
      </c>
      <c r="V37" s="8"/>
      <c r="W37" s="7">
        <f>VLOOKUP(V37,'Win Methods'!$C$4:$F$379,4,FALSE)</f>
        <v>0</v>
      </c>
      <c r="X37" s="117" t="str">
        <f t="shared" si="1"/>
        <v>wild-2|||||||||</v>
      </c>
    </row>
    <row r="38" spans="2:24">
      <c r="B38" s="116">
        <v>35</v>
      </c>
      <c r="C38" s="7">
        <f t="shared" si="0"/>
        <v>1</v>
      </c>
      <c r="D38" s="196" t="s">
        <v>48</v>
      </c>
      <c r="E38" s="7">
        <f>VLOOKUP(D38,'Win Methods'!$C$4:$F$379,4,FALSE)</f>
        <v>1</v>
      </c>
      <c r="F38" s="8"/>
      <c r="G38" s="7">
        <f>VLOOKUP(F38,'Win Methods'!$C$4:$F$379,4,FALSE)</f>
        <v>0</v>
      </c>
      <c r="H38" s="8"/>
      <c r="I38" s="7">
        <f>VLOOKUP(H38,'Win Methods'!$C$4:$F$379,4,FALSE)</f>
        <v>0</v>
      </c>
      <c r="J38" s="8"/>
      <c r="K38" s="7">
        <f>VLOOKUP(J38,'Win Methods'!$C$4:$F$379,4,FALSE)</f>
        <v>0</v>
      </c>
      <c r="L38" s="8"/>
      <c r="M38" s="7">
        <f>VLOOKUP(L38,'Win Methods'!$C$4:$F$379,4,FALSE)</f>
        <v>0</v>
      </c>
      <c r="N38" s="8"/>
      <c r="O38" s="7">
        <f>VLOOKUP(N38,'Win Methods'!$C$4:$F$379,4,FALSE)</f>
        <v>0</v>
      </c>
      <c r="P38" s="8"/>
      <c r="Q38" s="7">
        <f>VLOOKUP(P38,'Win Methods'!$C$4:$F$379,4,FALSE)</f>
        <v>0</v>
      </c>
      <c r="R38" s="8"/>
      <c r="S38" s="7">
        <f>VLOOKUP(R38,'Win Methods'!$C$4:$F$379,4,FALSE)</f>
        <v>0</v>
      </c>
      <c r="T38" s="8"/>
      <c r="U38" s="7">
        <f>VLOOKUP(T38,'Win Methods'!$C$4:$F$379,4,FALSE)</f>
        <v>0</v>
      </c>
      <c r="V38" s="8"/>
      <c r="W38" s="7">
        <f>VLOOKUP(V38,'Win Methods'!$C$4:$F$379,4,FALSE)</f>
        <v>0</v>
      </c>
      <c r="X38" s="117" t="str">
        <f t="shared" si="1"/>
        <v>wild-3|||||||||</v>
      </c>
    </row>
    <row r="39" spans="2:24">
      <c r="B39" s="116">
        <v>36</v>
      </c>
      <c r="C39" s="7">
        <f t="shared" si="0"/>
        <v>2</v>
      </c>
      <c r="D39" s="196" t="s">
        <v>49</v>
      </c>
      <c r="E39" s="7">
        <f>VLOOKUP(D39,'Win Methods'!$C$4:$F$379,4,FALSE)</f>
        <v>2</v>
      </c>
      <c r="F39" s="8"/>
      <c r="G39" s="7">
        <f>VLOOKUP(F39,'Win Methods'!$C$4:$F$379,4,FALSE)</f>
        <v>0</v>
      </c>
      <c r="H39" s="8"/>
      <c r="I39" s="7">
        <f>VLOOKUP(H39,'Win Methods'!$C$4:$F$379,4,FALSE)</f>
        <v>0</v>
      </c>
      <c r="J39" s="8"/>
      <c r="K39" s="7">
        <f>VLOOKUP(J39,'Win Methods'!$C$4:$F$379,4,FALSE)</f>
        <v>0</v>
      </c>
      <c r="L39" s="8"/>
      <c r="M39" s="7">
        <f>VLOOKUP(L39,'Win Methods'!$C$4:$F$379,4,FALSE)</f>
        <v>0</v>
      </c>
      <c r="N39" s="8"/>
      <c r="O39" s="7">
        <f>VLOOKUP(N39,'Win Methods'!$C$4:$F$379,4,FALSE)</f>
        <v>0</v>
      </c>
      <c r="P39" s="8"/>
      <c r="Q39" s="7">
        <f>VLOOKUP(P39,'Win Methods'!$C$4:$F$379,4,FALSE)</f>
        <v>0</v>
      </c>
      <c r="R39" s="8"/>
      <c r="S39" s="7">
        <f>VLOOKUP(R39,'Win Methods'!$C$4:$F$379,4,FALSE)</f>
        <v>0</v>
      </c>
      <c r="T39" s="8"/>
      <c r="U39" s="7">
        <f>VLOOKUP(T39,'Win Methods'!$C$4:$F$379,4,FALSE)</f>
        <v>0</v>
      </c>
      <c r="V39" s="8"/>
      <c r="W39" s="7">
        <f>VLOOKUP(V39,'Win Methods'!$C$4:$F$379,4,FALSE)</f>
        <v>0</v>
      </c>
      <c r="X39" s="117" t="str">
        <f t="shared" si="1"/>
        <v>wild-4|||||||||</v>
      </c>
    </row>
    <row r="40" spans="2:24">
      <c r="B40" s="116">
        <v>37</v>
      </c>
      <c r="C40" s="7">
        <f t="shared" si="0"/>
        <v>5</v>
      </c>
      <c r="D40" s="196" t="s">
        <v>50</v>
      </c>
      <c r="E40" s="7">
        <f>VLOOKUP(D40,'Win Methods'!$C$4:$F$379,4,FALSE)</f>
        <v>5</v>
      </c>
      <c r="F40" s="8"/>
      <c r="G40" s="7">
        <f>VLOOKUP(F40,'Win Methods'!$C$4:$F$379,4,FALSE)</f>
        <v>0</v>
      </c>
      <c r="H40" s="8"/>
      <c r="I40" s="7">
        <f>VLOOKUP(H40,'Win Methods'!$C$4:$F$379,4,FALSE)</f>
        <v>0</v>
      </c>
      <c r="J40" s="8"/>
      <c r="K40" s="7">
        <f>VLOOKUP(J40,'Win Methods'!$C$4:$F$379,4,FALSE)</f>
        <v>0</v>
      </c>
      <c r="L40" s="8"/>
      <c r="M40" s="7">
        <f>VLOOKUP(L40,'Win Methods'!$C$4:$F$379,4,FALSE)</f>
        <v>0</v>
      </c>
      <c r="N40" s="8"/>
      <c r="O40" s="7">
        <f>VLOOKUP(N40,'Win Methods'!$C$4:$F$379,4,FALSE)</f>
        <v>0</v>
      </c>
      <c r="P40" s="8"/>
      <c r="Q40" s="7">
        <f>VLOOKUP(P40,'Win Methods'!$C$4:$F$379,4,FALSE)</f>
        <v>0</v>
      </c>
      <c r="R40" s="8"/>
      <c r="S40" s="7">
        <f>VLOOKUP(R40,'Win Methods'!$C$4:$F$379,4,FALSE)</f>
        <v>0</v>
      </c>
      <c r="T40" s="8"/>
      <c r="U40" s="7">
        <f>VLOOKUP(T40,'Win Methods'!$C$4:$F$379,4,FALSE)</f>
        <v>0</v>
      </c>
      <c r="V40" s="8"/>
      <c r="W40" s="7">
        <f>VLOOKUP(V40,'Win Methods'!$C$4:$F$379,4,FALSE)</f>
        <v>0</v>
      </c>
      <c r="X40" s="117" t="str">
        <f t="shared" si="1"/>
        <v>wild-5|||||||||</v>
      </c>
    </row>
    <row r="41" spans="2:24">
      <c r="B41" s="116">
        <v>38</v>
      </c>
      <c r="C41" s="7">
        <f t="shared" si="0"/>
        <v>10</v>
      </c>
      <c r="D41" s="196" t="s">
        <v>51</v>
      </c>
      <c r="E41" s="7">
        <f>VLOOKUP(D41,'Win Methods'!$C$4:$F$379,4,FALSE)</f>
        <v>10</v>
      </c>
      <c r="F41" s="8"/>
      <c r="G41" s="7">
        <f>VLOOKUP(F41,'Win Methods'!$C$4:$F$379,4,FALSE)</f>
        <v>0</v>
      </c>
      <c r="H41" s="8"/>
      <c r="I41" s="7">
        <f>VLOOKUP(H41,'Win Methods'!$C$4:$F$379,4,FALSE)</f>
        <v>0</v>
      </c>
      <c r="J41" s="8"/>
      <c r="K41" s="7">
        <f>VLOOKUP(J41,'Win Methods'!$C$4:$F$379,4,FALSE)</f>
        <v>0</v>
      </c>
      <c r="L41" s="8"/>
      <c r="M41" s="7">
        <f>VLOOKUP(L41,'Win Methods'!$C$4:$F$379,4,FALSE)</f>
        <v>0</v>
      </c>
      <c r="N41" s="8"/>
      <c r="O41" s="7">
        <f>VLOOKUP(N41,'Win Methods'!$C$4:$F$379,4,FALSE)</f>
        <v>0</v>
      </c>
      <c r="P41" s="8"/>
      <c r="Q41" s="7">
        <f>VLOOKUP(P41,'Win Methods'!$C$4:$F$379,4,FALSE)</f>
        <v>0</v>
      </c>
      <c r="R41" s="8"/>
      <c r="S41" s="7">
        <f>VLOOKUP(R41,'Win Methods'!$C$4:$F$379,4,FALSE)</f>
        <v>0</v>
      </c>
      <c r="T41" s="8"/>
      <c r="U41" s="7">
        <f>VLOOKUP(T41,'Win Methods'!$C$4:$F$379,4,FALSE)</f>
        <v>0</v>
      </c>
      <c r="V41" s="8"/>
      <c r="W41" s="7">
        <f>VLOOKUP(V41,'Win Methods'!$C$4:$F$379,4,FALSE)</f>
        <v>0</v>
      </c>
      <c r="X41" s="117" t="str">
        <f t="shared" si="1"/>
        <v>wild-6|||||||||</v>
      </c>
    </row>
    <row r="42" spans="2:24">
      <c r="B42" s="116">
        <v>39</v>
      </c>
      <c r="C42" s="7">
        <f t="shared" si="0"/>
        <v>20</v>
      </c>
      <c r="D42" s="196" t="s">
        <v>52</v>
      </c>
      <c r="E42" s="7">
        <f>VLOOKUP(D42,'Win Methods'!$C$4:$F$379,4,FALSE)</f>
        <v>20</v>
      </c>
      <c r="F42" s="8"/>
      <c r="G42" s="7">
        <f>VLOOKUP(F42,'Win Methods'!$C$4:$F$379,4,FALSE)</f>
        <v>0</v>
      </c>
      <c r="H42" s="8"/>
      <c r="I42" s="7">
        <f>VLOOKUP(H42,'Win Methods'!$C$4:$F$379,4,FALSE)</f>
        <v>0</v>
      </c>
      <c r="J42" s="8"/>
      <c r="K42" s="7">
        <f>VLOOKUP(J42,'Win Methods'!$C$4:$F$379,4,FALSE)</f>
        <v>0</v>
      </c>
      <c r="L42" s="8"/>
      <c r="M42" s="7">
        <f>VLOOKUP(L42,'Win Methods'!$C$4:$F$379,4,FALSE)</f>
        <v>0</v>
      </c>
      <c r="N42" s="8"/>
      <c r="O42" s="7">
        <f>VLOOKUP(N42,'Win Methods'!$C$4:$F$379,4,FALSE)</f>
        <v>0</v>
      </c>
      <c r="P42" s="8"/>
      <c r="Q42" s="7">
        <f>VLOOKUP(P42,'Win Methods'!$C$4:$F$379,4,FALSE)</f>
        <v>0</v>
      </c>
      <c r="R42" s="8"/>
      <c r="S42" s="7">
        <f>VLOOKUP(R42,'Win Methods'!$C$4:$F$379,4,FALSE)</f>
        <v>0</v>
      </c>
      <c r="T42" s="8"/>
      <c r="U42" s="7">
        <f>VLOOKUP(T42,'Win Methods'!$C$4:$F$379,4,FALSE)</f>
        <v>0</v>
      </c>
      <c r="V42" s="8"/>
      <c r="W42" s="7">
        <f>VLOOKUP(V42,'Win Methods'!$C$4:$F$379,4,FALSE)</f>
        <v>0</v>
      </c>
      <c r="X42" s="117" t="str">
        <f t="shared" si="1"/>
        <v>wild-7|||||||||</v>
      </c>
    </row>
    <row r="43" spans="2:24">
      <c r="B43" s="116">
        <v>40</v>
      </c>
      <c r="C43" s="7">
        <f t="shared" si="0"/>
        <v>30</v>
      </c>
      <c r="D43" s="196" t="s">
        <v>53</v>
      </c>
      <c r="E43" s="7">
        <f>VLOOKUP(D43,'Win Methods'!$C$4:$F$379,4,FALSE)</f>
        <v>30</v>
      </c>
      <c r="F43" s="8"/>
      <c r="G43" s="7">
        <f>VLOOKUP(F43,'Win Methods'!$C$4:$F$379,4,FALSE)</f>
        <v>0</v>
      </c>
      <c r="H43" s="8"/>
      <c r="I43" s="7">
        <f>VLOOKUP(H43,'Win Methods'!$C$4:$F$379,4,FALSE)</f>
        <v>0</v>
      </c>
      <c r="J43" s="8"/>
      <c r="K43" s="7">
        <f>VLOOKUP(J43,'Win Methods'!$C$4:$F$379,4,FALSE)</f>
        <v>0</v>
      </c>
      <c r="L43" s="8"/>
      <c r="M43" s="7">
        <f>VLOOKUP(L43,'Win Methods'!$C$4:$F$379,4,FALSE)</f>
        <v>0</v>
      </c>
      <c r="N43" s="8"/>
      <c r="O43" s="7">
        <f>VLOOKUP(N43,'Win Methods'!$C$4:$F$379,4,FALSE)</f>
        <v>0</v>
      </c>
      <c r="P43" s="8"/>
      <c r="Q43" s="7">
        <f>VLOOKUP(P43,'Win Methods'!$C$4:$F$379,4,FALSE)</f>
        <v>0</v>
      </c>
      <c r="R43" s="8"/>
      <c r="S43" s="7">
        <f>VLOOKUP(R43,'Win Methods'!$C$4:$F$379,4,FALSE)</f>
        <v>0</v>
      </c>
      <c r="T43" s="8"/>
      <c r="U43" s="7">
        <f>VLOOKUP(T43,'Win Methods'!$C$4:$F$379,4,FALSE)</f>
        <v>0</v>
      </c>
      <c r="V43" s="8"/>
      <c r="W43" s="7">
        <f>VLOOKUP(V43,'Win Methods'!$C$4:$F$379,4,FALSE)</f>
        <v>0</v>
      </c>
      <c r="X43" s="117" t="str">
        <f t="shared" si="1"/>
        <v>wild-8|||||||||</v>
      </c>
    </row>
    <row r="44" spans="2:24">
      <c r="B44" s="116">
        <v>41</v>
      </c>
      <c r="C44" s="7">
        <f t="shared" si="0"/>
        <v>40</v>
      </c>
      <c r="D44" s="196" t="s">
        <v>54</v>
      </c>
      <c r="E44" s="7">
        <f>VLOOKUP(D44,'Win Methods'!$C$4:$F$379,4,FALSE)</f>
        <v>40</v>
      </c>
      <c r="F44" s="8"/>
      <c r="G44" s="7">
        <f>VLOOKUP(F44,'Win Methods'!$C$4:$F$379,4,FALSE)</f>
        <v>0</v>
      </c>
      <c r="H44" s="8"/>
      <c r="I44" s="7">
        <f>VLOOKUP(H44,'Win Methods'!$C$4:$F$379,4,FALSE)</f>
        <v>0</v>
      </c>
      <c r="J44" s="8"/>
      <c r="K44" s="7">
        <f>VLOOKUP(J44,'Win Methods'!$C$4:$F$379,4,FALSE)</f>
        <v>0</v>
      </c>
      <c r="L44" s="8"/>
      <c r="M44" s="7">
        <f>VLOOKUP(L44,'Win Methods'!$C$4:$F$379,4,FALSE)</f>
        <v>0</v>
      </c>
      <c r="N44" s="8"/>
      <c r="O44" s="7">
        <f>VLOOKUP(N44,'Win Methods'!$C$4:$F$379,4,FALSE)</f>
        <v>0</v>
      </c>
      <c r="P44" s="8"/>
      <c r="Q44" s="7">
        <f>VLOOKUP(P44,'Win Methods'!$C$4:$F$379,4,FALSE)</f>
        <v>0</v>
      </c>
      <c r="R44" s="8"/>
      <c r="S44" s="7">
        <f>VLOOKUP(R44,'Win Methods'!$C$4:$F$379,4,FALSE)</f>
        <v>0</v>
      </c>
      <c r="T44" s="8"/>
      <c r="U44" s="7">
        <f>VLOOKUP(T44,'Win Methods'!$C$4:$F$379,4,FALSE)</f>
        <v>0</v>
      </c>
      <c r="V44" s="8"/>
      <c r="W44" s="7">
        <f>VLOOKUP(V44,'Win Methods'!$C$4:$F$379,4,FALSE)</f>
        <v>0</v>
      </c>
      <c r="X44" s="117" t="str">
        <f t="shared" si="1"/>
        <v>wild-9|||||||||</v>
      </c>
    </row>
    <row r="45" spans="2:24">
      <c r="B45" s="116">
        <v>42</v>
      </c>
      <c r="C45" s="7">
        <f t="shared" si="0"/>
        <v>1</v>
      </c>
      <c r="D45" s="196" t="s">
        <v>55</v>
      </c>
      <c r="E45" s="7">
        <f>VLOOKUP(D45,'Win Methods'!$C$4:$F$379,4,FALSE)</f>
        <v>1</v>
      </c>
      <c r="F45" s="8"/>
      <c r="G45" s="7">
        <f>VLOOKUP(F45,'Win Methods'!$C$4:$F$379,4,FALSE)</f>
        <v>0</v>
      </c>
      <c r="H45" s="8"/>
      <c r="I45" s="7">
        <f>VLOOKUP(H45,'Win Methods'!$C$4:$F$379,4,FALSE)</f>
        <v>0</v>
      </c>
      <c r="J45" s="8"/>
      <c r="K45" s="7">
        <f>VLOOKUP(J45,'Win Methods'!$C$4:$F$379,4,FALSE)</f>
        <v>0</v>
      </c>
      <c r="L45" s="8"/>
      <c r="M45" s="7">
        <f>VLOOKUP(L45,'Win Methods'!$C$4:$F$379,4,FALSE)</f>
        <v>0</v>
      </c>
      <c r="N45" s="8"/>
      <c r="O45" s="7">
        <f>VLOOKUP(N45,'Win Methods'!$C$4:$F$379,4,FALSE)</f>
        <v>0</v>
      </c>
      <c r="P45" s="8"/>
      <c r="Q45" s="7">
        <f>VLOOKUP(P45,'Win Methods'!$C$4:$F$379,4,FALSE)</f>
        <v>0</v>
      </c>
      <c r="R45" s="8"/>
      <c r="S45" s="7">
        <f>VLOOKUP(R45,'Win Methods'!$C$4:$F$379,4,FALSE)</f>
        <v>0</v>
      </c>
      <c r="T45" s="8"/>
      <c r="U45" s="7">
        <f>VLOOKUP(T45,'Win Methods'!$C$4:$F$379,4,FALSE)</f>
        <v>0</v>
      </c>
      <c r="V45" s="8"/>
      <c r="W45" s="7">
        <f>VLOOKUP(V45,'Win Methods'!$C$4:$F$379,4,FALSE)</f>
        <v>0</v>
      </c>
      <c r="X45" s="117" t="str">
        <f t="shared" si="1"/>
        <v>wild-10|||||||||</v>
      </c>
    </row>
    <row r="46" spans="2:24">
      <c r="B46" s="116">
        <v>43</v>
      </c>
      <c r="C46" s="7">
        <f t="shared" si="0"/>
        <v>2</v>
      </c>
      <c r="D46" s="196" t="s">
        <v>56</v>
      </c>
      <c r="E46" s="7">
        <f>VLOOKUP(D46,'Win Methods'!$C$4:$F$379,4,FALSE)</f>
        <v>2</v>
      </c>
      <c r="F46" s="8"/>
      <c r="G46" s="7">
        <f>VLOOKUP(F46,'Win Methods'!$C$4:$F$379,4,FALSE)</f>
        <v>0</v>
      </c>
      <c r="H46" s="8"/>
      <c r="I46" s="7">
        <f>VLOOKUP(H46,'Win Methods'!$C$4:$F$379,4,FALSE)</f>
        <v>0</v>
      </c>
      <c r="J46" s="8"/>
      <c r="K46" s="7">
        <f>VLOOKUP(J46,'Win Methods'!$C$4:$F$379,4,FALSE)</f>
        <v>0</v>
      </c>
      <c r="L46" s="8"/>
      <c r="M46" s="7">
        <f>VLOOKUP(L46,'Win Methods'!$C$4:$F$379,4,FALSE)</f>
        <v>0</v>
      </c>
      <c r="N46" s="8"/>
      <c r="O46" s="7">
        <f>VLOOKUP(N46,'Win Methods'!$C$4:$F$379,4,FALSE)</f>
        <v>0</v>
      </c>
      <c r="P46" s="8"/>
      <c r="Q46" s="7">
        <f>VLOOKUP(P46,'Win Methods'!$C$4:$F$379,4,FALSE)</f>
        <v>0</v>
      </c>
      <c r="R46" s="8"/>
      <c r="S46" s="7">
        <f>VLOOKUP(R46,'Win Methods'!$C$4:$F$379,4,FALSE)</f>
        <v>0</v>
      </c>
      <c r="T46" s="8"/>
      <c r="U46" s="7">
        <f>VLOOKUP(T46,'Win Methods'!$C$4:$F$379,4,FALSE)</f>
        <v>0</v>
      </c>
      <c r="V46" s="8"/>
      <c r="W46" s="7">
        <f>VLOOKUP(V46,'Win Methods'!$C$4:$F$379,4,FALSE)</f>
        <v>0</v>
      </c>
      <c r="X46" s="117" t="str">
        <f t="shared" si="1"/>
        <v>wild-11|||||||||</v>
      </c>
    </row>
    <row r="47" spans="2:24">
      <c r="B47" s="116">
        <v>44</v>
      </c>
      <c r="C47" s="7">
        <f t="shared" si="0"/>
        <v>3</v>
      </c>
      <c r="D47" s="196" t="s">
        <v>57</v>
      </c>
      <c r="E47" s="7">
        <f>VLOOKUP(D47,'Win Methods'!$C$4:$F$379,4,FALSE)</f>
        <v>3</v>
      </c>
      <c r="F47" s="8"/>
      <c r="G47" s="7">
        <f>VLOOKUP(F47,'Win Methods'!$C$4:$F$379,4,FALSE)</f>
        <v>0</v>
      </c>
      <c r="H47" s="8"/>
      <c r="I47" s="7">
        <f>VLOOKUP(H47,'Win Methods'!$C$4:$F$379,4,FALSE)</f>
        <v>0</v>
      </c>
      <c r="J47" s="8"/>
      <c r="K47" s="7">
        <f>VLOOKUP(J47,'Win Methods'!$C$4:$F$379,4,FALSE)</f>
        <v>0</v>
      </c>
      <c r="L47" s="8"/>
      <c r="M47" s="7">
        <f>VLOOKUP(L47,'Win Methods'!$C$4:$F$379,4,FALSE)</f>
        <v>0</v>
      </c>
      <c r="N47" s="8"/>
      <c r="O47" s="7">
        <f>VLOOKUP(N47,'Win Methods'!$C$4:$F$379,4,FALSE)</f>
        <v>0</v>
      </c>
      <c r="P47" s="8"/>
      <c r="Q47" s="7">
        <f>VLOOKUP(P47,'Win Methods'!$C$4:$F$379,4,FALSE)</f>
        <v>0</v>
      </c>
      <c r="R47" s="8"/>
      <c r="S47" s="7">
        <f>VLOOKUP(R47,'Win Methods'!$C$4:$F$379,4,FALSE)</f>
        <v>0</v>
      </c>
      <c r="T47" s="8"/>
      <c r="U47" s="7">
        <f>VLOOKUP(T47,'Win Methods'!$C$4:$F$379,4,FALSE)</f>
        <v>0</v>
      </c>
      <c r="V47" s="8"/>
      <c r="W47" s="7">
        <f>VLOOKUP(V47,'Win Methods'!$C$4:$F$379,4,FALSE)</f>
        <v>0</v>
      </c>
      <c r="X47" s="117" t="str">
        <f t="shared" si="1"/>
        <v>wild-12|||||||||</v>
      </c>
    </row>
    <row r="48" spans="2:24">
      <c r="B48" s="116">
        <v>45</v>
      </c>
      <c r="C48" s="7">
        <f t="shared" si="0"/>
        <v>5</v>
      </c>
      <c r="D48" s="196" t="s">
        <v>58</v>
      </c>
      <c r="E48" s="7">
        <f>VLOOKUP(D48,'Win Methods'!$C$4:$F$379,4,FALSE)</f>
        <v>5</v>
      </c>
      <c r="F48" s="8"/>
      <c r="G48" s="7">
        <f>VLOOKUP(F48,'Win Methods'!$C$4:$F$379,4,FALSE)</f>
        <v>0</v>
      </c>
      <c r="H48" s="8"/>
      <c r="I48" s="7">
        <f>VLOOKUP(H48,'Win Methods'!$C$4:$F$379,4,FALSE)</f>
        <v>0</v>
      </c>
      <c r="J48" s="8"/>
      <c r="K48" s="7">
        <f>VLOOKUP(J48,'Win Methods'!$C$4:$F$379,4,FALSE)</f>
        <v>0</v>
      </c>
      <c r="L48" s="8"/>
      <c r="M48" s="7">
        <f>VLOOKUP(L48,'Win Methods'!$C$4:$F$379,4,FALSE)</f>
        <v>0</v>
      </c>
      <c r="N48" s="8"/>
      <c r="O48" s="7">
        <f>VLOOKUP(N48,'Win Methods'!$C$4:$F$379,4,FALSE)</f>
        <v>0</v>
      </c>
      <c r="P48" s="8"/>
      <c r="Q48" s="7">
        <f>VLOOKUP(P48,'Win Methods'!$C$4:$F$379,4,FALSE)</f>
        <v>0</v>
      </c>
      <c r="R48" s="8"/>
      <c r="S48" s="7">
        <f>VLOOKUP(R48,'Win Methods'!$C$4:$F$379,4,FALSE)</f>
        <v>0</v>
      </c>
      <c r="T48" s="8"/>
      <c r="U48" s="7">
        <f>VLOOKUP(T48,'Win Methods'!$C$4:$F$379,4,FALSE)</f>
        <v>0</v>
      </c>
      <c r="V48" s="8"/>
      <c r="W48" s="7">
        <f>VLOOKUP(V48,'Win Methods'!$C$4:$F$379,4,FALSE)</f>
        <v>0</v>
      </c>
      <c r="X48" s="117" t="str">
        <f t="shared" si="1"/>
        <v>wild-13|||||||||</v>
      </c>
    </row>
    <row r="49" spans="2:24">
      <c r="B49" s="116">
        <v>46</v>
      </c>
      <c r="C49" s="7">
        <f t="shared" si="0"/>
        <v>2</v>
      </c>
      <c r="D49" s="196" t="s">
        <v>59</v>
      </c>
      <c r="E49" s="7">
        <f>VLOOKUP(D49,'Win Methods'!$C$4:$F$379,4,FALSE)</f>
        <v>2</v>
      </c>
      <c r="F49" s="8"/>
      <c r="G49" s="7">
        <f>VLOOKUP(F49,'Win Methods'!$C$4:$F$379,4,FALSE)</f>
        <v>0</v>
      </c>
      <c r="H49" s="8"/>
      <c r="I49" s="7">
        <f>VLOOKUP(H49,'Win Methods'!$C$4:$F$379,4,FALSE)</f>
        <v>0</v>
      </c>
      <c r="J49" s="8"/>
      <c r="K49" s="7">
        <f>VLOOKUP(J49,'Win Methods'!$C$4:$F$379,4,FALSE)</f>
        <v>0</v>
      </c>
      <c r="L49" s="8"/>
      <c r="M49" s="7">
        <f>VLOOKUP(L49,'Win Methods'!$C$4:$F$379,4,FALSE)</f>
        <v>0</v>
      </c>
      <c r="N49" s="8"/>
      <c r="O49" s="7">
        <f>VLOOKUP(N49,'Win Methods'!$C$4:$F$379,4,FALSE)</f>
        <v>0</v>
      </c>
      <c r="P49" s="8"/>
      <c r="Q49" s="7">
        <f>VLOOKUP(P49,'Win Methods'!$C$4:$F$379,4,FALSE)</f>
        <v>0</v>
      </c>
      <c r="R49" s="8"/>
      <c r="S49" s="7">
        <f>VLOOKUP(R49,'Win Methods'!$C$4:$F$379,4,FALSE)</f>
        <v>0</v>
      </c>
      <c r="T49" s="8"/>
      <c r="U49" s="7">
        <f>VLOOKUP(T49,'Win Methods'!$C$4:$F$379,4,FALSE)</f>
        <v>0</v>
      </c>
      <c r="V49" s="8"/>
      <c r="W49" s="7">
        <f>VLOOKUP(V49,'Win Methods'!$C$4:$F$379,4,FALSE)</f>
        <v>0</v>
      </c>
      <c r="X49" s="117" t="str">
        <f t="shared" si="1"/>
        <v>wild-14|||||||||</v>
      </c>
    </row>
    <row r="50" spans="2:24">
      <c r="B50" s="116">
        <v>47</v>
      </c>
      <c r="C50" s="7">
        <f t="shared" si="0"/>
        <v>3</v>
      </c>
      <c r="D50" s="196" t="s">
        <v>60</v>
      </c>
      <c r="E50" s="7">
        <f>VLOOKUP(D50,'Win Methods'!$C$4:$F$379,4,FALSE)</f>
        <v>3</v>
      </c>
      <c r="F50" s="8"/>
      <c r="G50" s="7">
        <f>VLOOKUP(F50,'Win Methods'!$C$4:$F$379,4,FALSE)</f>
        <v>0</v>
      </c>
      <c r="H50" s="8"/>
      <c r="I50" s="7">
        <f>VLOOKUP(H50,'Win Methods'!$C$4:$F$379,4,FALSE)</f>
        <v>0</v>
      </c>
      <c r="J50" s="8"/>
      <c r="K50" s="7">
        <f>VLOOKUP(J50,'Win Methods'!$C$4:$F$379,4,FALSE)</f>
        <v>0</v>
      </c>
      <c r="L50" s="8"/>
      <c r="M50" s="7">
        <f>VLOOKUP(L50,'Win Methods'!$C$4:$F$379,4,FALSE)</f>
        <v>0</v>
      </c>
      <c r="N50" s="8"/>
      <c r="O50" s="7">
        <f>VLOOKUP(N50,'Win Methods'!$C$4:$F$379,4,FALSE)</f>
        <v>0</v>
      </c>
      <c r="P50" s="8"/>
      <c r="Q50" s="7">
        <f>VLOOKUP(P50,'Win Methods'!$C$4:$F$379,4,FALSE)</f>
        <v>0</v>
      </c>
      <c r="R50" s="8"/>
      <c r="S50" s="7">
        <f>VLOOKUP(R50,'Win Methods'!$C$4:$F$379,4,FALSE)</f>
        <v>0</v>
      </c>
      <c r="T50" s="8"/>
      <c r="U50" s="7">
        <f>VLOOKUP(T50,'Win Methods'!$C$4:$F$379,4,FALSE)</f>
        <v>0</v>
      </c>
      <c r="V50" s="8"/>
      <c r="W50" s="7">
        <f>VLOOKUP(V50,'Win Methods'!$C$4:$F$379,4,FALSE)</f>
        <v>0</v>
      </c>
      <c r="X50" s="117" t="str">
        <f t="shared" si="1"/>
        <v>wild-15|||||||||</v>
      </c>
    </row>
    <row r="51" spans="2:24">
      <c r="B51" s="116">
        <v>48</v>
      </c>
      <c r="C51" s="7">
        <f t="shared" si="0"/>
        <v>5</v>
      </c>
      <c r="D51" s="196" t="s">
        <v>61</v>
      </c>
      <c r="E51" s="7">
        <f>VLOOKUP(D51,'Win Methods'!$C$4:$F$379,4,FALSE)</f>
        <v>5</v>
      </c>
      <c r="F51" s="8"/>
      <c r="G51" s="7">
        <f>VLOOKUP(F51,'Win Methods'!$C$4:$F$379,4,FALSE)</f>
        <v>0</v>
      </c>
      <c r="H51" s="8"/>
      <c r="I51" s="7">
        <f>VLOOKUP(H51,'Win Methods'!$C$4:$F$379,4,FALSE)</f>
        <v>0</v>
      </c>
      <c r="J51" s="8"/>
      <c r="K51" s="7">
        <f>VLOOKUP(J51,'Win Methods'!$C$4:$F$379,4,FALSE)</f>
        <v>0</v>
      </c>
      <c r="L51" s="8"/>
      <c r="M51" s="7">
        <f>VLOOKUP(L51,'Win Methods'!$C$4:$F$379,4,FALSE)</f>
        <v>0</v>
      </c>
      <c r="N51" s="8"/>
      <c r="O51" s="7">
        <f>VLOOKUP(N51,'Win Methods'!$C$4:$F$379,4,FALSE)</f>
        <v>0</v>
      </c>
      <c r="P51" s="8"/>
      <c r="Q51" s="7">
        <f>VLOOKUP(P51,'Win Methods'!$C$4:$F$379,4,FALSE)</f>
        <v>0</v>
      </c>
      <c r="R51" s="8"/>
      <c r="S51" s="7">
        <f>VLOOKUP(R51,'Win Methods'!$C$4:$F$379,4,FALSE)</f>
        <v>0</v>
      </c>
      <c r="T51" s="8"/>
      <c r="U51" s="7">
        <f>VLOOKUP(T51,'Win Methods'!$C$4:$F$379,4,FALSE)</f>
        <v>0</v>
      </c>
      <c r="V51" s="8"/>
      <c r="W51" s="7">
        <f>VLOOKUP(V51,'Win Methods'!$C$4:$F$379,4,FALSE)</f>
        <v>0</v>
      </c>
      <c r="X51" s="117" t="str">
        <f t="shared" si="1"/>
        <v>wild-16|||||||||</v>
      </c>
    </row>
    <row r="52" spans="2:24">
      <c r="B52" s="116">
        <v>49</v>
      </c>
      <c r="C52" s="7">
        <f t="shared" si="0"/>
        <v>10</v>
      </c>
      <c r="D52" s="196" t="s">
        <v>62</v>
      </c>
      <c r="E52" s="7">
        <f>VLOOKUP(D52,'Win Methods'!$C$4:$F$379,4,FALSE)</f>
        <v>10</v>
      </c>
      <c r="F52" s="8"/>
      <c r="G52" s="7">
        <f>VLOOKUP(F52,'Win Methods'!$C$4:$F$379,4,FALSE)</f>
        <v>0</v>
      </c>
      <c r="H52" s="8"/>
      <c r="I52" s="7">
        <f>VLOOKUP(H52,'Win Methods'!$C$4:$F$379,4,FALSE)</f>
        <v>0</v>
      </c>
      <c r="J52" s="8"/>
      <c r="K52" s="7">
        <f>VLOOKUP(J52,'Win Methods'!$C$4:$F$379,4,FALSE)</f>
        <v>0</v>
      </c>
      <c r="L52" s="8"/>
      <c r="M52" s="7">
        <f>VLOOKUP(L52,'Win Methods'!$C$4:$F$379,4,FALSE)</f>
        <v>0</v>
      </c>
      <c r="N52" s="8"/>
      <c r="O52" s="7">
        <f>VLOOKUP(N52,'Win Methods'!$C$4:$F$379,4,FALSE)</f>
        <v>0</v>
      </c>
      <c r="P52" s="8"/>
      <c r="Q52" s="7">
        <f>VLOOKUP(P52,'Win Methods'!$C$4:$F$379,4,FALSE)</f>
        <v>0</v>
      </c>
      <c r="R52" s="8"/>
      <c r="S52" s="7">
        <f>VLOOKUP(R52,'Win Methods'!$C$4:$F$379,4,FALSE)</f>
        <v>0</v>
      </c>
      <c r="T52" s="8"/>
      <c r="U52" s="7">
        <f>VLOOKUP(T52,'Win Methods'!$C$4:$F$379,4,FALSE)</f>
        <v>0</v>
      </c>
      <c r="V52" s="8"/>
      <c r="W52" s="7">
        <f>VLOOKUP(V52,'Win Methods'!$C$4:$F$379,4,FALSE)</f>
        <v>0</v>
      </c>
      <c r="X52" s="117" t="str">
        <f t="shared" si="1"/>
        <v>wild-17|||||||||</v>
      </c>
    </row>
    <row r="53" spans="2:24">
      <c r="B53" s="116">
        <v>50</v>
      </c>
      <c r="C53" s="7">
        <f t="shared" si="0"/>
        <v>3</v>
      </c>
      <c r="D53" s="196" t="s">
        <v>63</v>
      </c>
      <c r="E53" s="7">
        <f>VLOOKUP(D53,'Win Methods'!$C$4:$F$379,4,FALSE)</f>
        <v>3</v>
      </c>
      <c r="F53" s="8"/>
      <c r="G53" s="7">
        <f>VLOOKUP(F53,'Win Methods'!$C$4:$F$379,4,FALSE)</f>
        <v>0</v>
      </c>
      <c r="H53" s="8"/>
      <c r="I53" s="7">
        <f>VLOOKUP(H53,'Win Methods'!$C$4:$F$379,4,FALSE)</f>
        <v>0</v>
      </c>
      <c r="J53" s="8"/>
      <c r="K53" s="7">
        <f>VLOOKUP(J53,'Win Methods'!$C$4:$F$379,4,FALSE)</f>
        <v>0</v>
      </c>
      <c r="L53" s="8"/>
      <c r="M53" s="7">
        <f>VLOOKUP(L53,'Win Methods'!$C$4:$F$379,4,FALSE)</f>
        <v>0</v>
      </c>
      <c r="N53" s="8"/>
      <c r="O53" s="7">
        <f>VLOOKUP(N53,'Win Methods'!$C$4:$F$379,4,FALSE)</f>
        <v>0</v>
      </c>
      <c r="P53" s="8"/>
      <c r="Q53" s="7">
        <f>VLOOKUP(P53,'Win Methods'!$C$4:$F$379,4,FALSE)</f>
        <v>0</v>
      </c>
      <c r="R53" s="8"/>
      <c r="S53" s="7">
        <f>VLOOKUP(R53,'Win Methods'!$C$4:$F$379,4,FALSE)</f>
        <v>0</v>
      </c>
      <c r="T53" s="8"/>
      <c r="U53" s="7">
        <f>VLOOKUP(T53,'Win Methods'!$C$4:$F$379,4,FALSE)</f>
        <v>0</v>
      </c>
      <c r="V53" s="8"/>
      <c r="W53" s="7">
        <f>VLOOKUP(V53,'Win Methods'!$C$4:$F$379,4,FALSE)</f>
        <v>0</v>
      </c>
      <c r="X53" s="117" t="str">
        <f t="shared" si="1"/>
        <v>wild-18|||||||||</v>
      </c>
    </row>
    <row r="54" spans="2:24">
      <c r="B54" s="116">
        <v>51</v>
      </c>
      <c r="C54" s="7">
        <f t="shared" si="0"/>
        <v>5</v>
      </c>
      <c r="D54" s="196" t="s">
        <v>64</v>
      </c>
      <c r="E54" s="7">
        <f>VLOOKUP(D54,'Win Methods'!$C$4:$F$379,4,FALSE)</f>
        <v>5</v>
      </c>
      <c r="F54" s="8"/>
      <c r="G54" s="7">
        <f>VLOOKUP(F54,'Win Methods'!$C$4:$F$379,4,FALSE)</f>
        <v>0</v>
      </c>
      <c r="H54" s="8"/>
      <c r="I54" s="7">
        <f>VLOOKUP(H54,'Win Methods'!$C$4:$F$379,4,FALSE)</f>
        <v>0</v>
      </c>
      <c r="J54" s="8"/>
      <c r="K54" s="7">
        <f>VLOOKUP(J54,'Win Methods'!$C$4:$F$379,4,FALSE)</f>
        <v>0</v>
      </c>
      <c r="L54" s="8"/>
      <c r="M54" s="7">
        <f>VLOOKUP(L54,'Win Methods'!$C$4:$F$379,4,FALSE)</f>
        <v>0</v>
      </c>
      <c r="N54" s="8"/>
      <c r="O54" s="7">
        <f>VLOOKUP(N54,'Win Methods'!$C$4:$F$379,4,FALSE)</f>
        <v>0</v>
      </c>
      <c r="P54" s="8"/>
      <c r="Q54" s="7">
        <f>VLOOKUP(P54,'Win Methods'!$C$4:$F$379,4,FALSE)</f>
        <v>0</v>
      </c>
      <c r="R54" s="8"/>
      <c r="S54" s="7">
        <f>VLOOKUP(R54,'Win Methods'!$C$4:$F$379,4,FALSE)</f>
        <v>0</v>
      </c>
      <c r="T54" s="8"/>
      <c r="U54" s="7">
        <f>VLOOKUP(T54,'Win Methods'!$C$4:$F$379,4,FALSE)</f>
        <v>0</v>
      </c>
      <c r="V54" s="8"/>
      <c r="W54" s="7">
        <f>VLOOKUP(V54,'Win Methods'!$C$4:$F$379,4,FALSE)</f>
        <v>0</v>
      </c>
      <c r="X54" s="117" t="str">
        <f t="shared" si="1"/>
        <v>wild-19|||||||||</v>
      </c>
    </row>
    <row r="55" spans="2:24">
      <c r="B55" s="116">
        <v>52</v>
      </c>
      <c r="C55" s="7">
        <f t="shared" si="0"/>
        <v>10</v>
      </c>
      <c r="D55" s="196" t="s">
        <v>65</v>
      </c>
      <c r="E55" s="7">
        <f>VLOOKUP(D55,'Win Methods'!$C$4:$F$379,4,FALSE)</f>
        <v>10</v>
      </c>
      <c r="F55" s="8"/>
      <c r="G55" s="7">
        <f>VLOOKUP(F55,'Win Methods'!$C$4:$F$379,4,FALSE)</f>
        <v>0</v>
      </c>
      <c r="H55" s="8"/>
      <c r="I55" s="7">
        <f>VLOOKUP(H55,'Win Methods'!$C$4:$F$379,4,FALSE)</f>
        <v>0</v>
      </c>
      <c r="J55" s="8"/>
      <c r="K55" s="7">
        <f>VLOOKUP(J55,'Win Methods'!$C$4:$F$379,4,FALSE)</f>
        <v>0</v>
      </c>
      <c r="L55" s="8"/>
      <c r="M55" s="7">
        <f>VLOOKUP(L55,'Win Methods'!$C$4:$F$379,4,FALSE)</f>
        <v>0</v>
      </c>
      <c r="N55" s="8"/>
      <c r="O55" s="7">
        <f>VLOOKUP(N55,'Win Methods'!$C$4:$F$379,4,FALSE)</f>
        <v>0</v>
      </c>
      <c r="P55" s="8"/>
      <c r="Q55" s="7">
        <f>VLOOKUP(P55,'Win Methods'!$C$4:$F$379,4,FALSE)</f>
        <v>0</v>
      </c>
      <c r="R55" s="8"/>
      <c r="S55" s="7">
        <f>VLOOKUP(R55,'Win Methods'!$C$4:$F$379,4,FALSE)</f>
        <v>0</v>
      </c>
      <c r="T55" s="8"/>
      <c r="U55" s="7">
        <f>VLOOKUP(T55,'Win Methods'!$C$4:$F$379,4,FALSE)</f>
        <v>0</v>
      </c>
      <c r="V55" s="8"/>
      <c r="W55" s="7">
        <f>VLOOKUP(V55,'Win Methods'!$C$4:$F$379,4,FALSE)</f>
        <v>0</v>
      </c>
      <c r="X55" s="117" t="str">
        <f t="shared" si="1"/>
        <v>wild-20|||||||||</v>
      </c>
    </row>
    <row r="56" spans="2:24">
      <c r="B56" s="116">
        <v>53</v>
      </c>
      <c r="C56" s="7">
        <f t="shared" si="0"/>
        <v>20</v>
      </c>
      <c r="D56" s="196" t="s">
        <v>66</v>
      </c>
      <c r="E56" s="7">
        <f>VLOOKUP(D56,'Win Methods'!$C$4:$F$379,4,FALSE)</f>
        <v>20</v>
      </c>
      <c r="F56" s="8"/>
      <c r="G56" s="7">
        <f>VLOOKUP(F56,'Win Methods'!$C$4:$F$379,4,FALSE)</f>
        <v>0</v>
      </c>
      <c r="H56" s="8"/>
      <c r="I56" s="7">
        <f>VLOOKUP(H56,'Win Methods'!$C$4:$F$379,4,FALSE)</f>
        <v>0</v>
      </c>
      <c r="J56" s="8"/>
      <c r="K56" s="7">
        <f>VLOOKUP(J56,'Win Methods'!$C$4:$F$379,4,FALSE)</f>
        <v>0</v>
      </c>
      <c r="L56" s="8"/>
      <c r="M56" s="7">
        <f>VLOOKUP(L56,'Win Methods'!$C$4:$F$379,4,FALSE)</f>
        <v>0</v>
      </c>
      <c r="N56" s="8"/>
      <c r="O56" s="7">
        <f>VLOOKUP(N56,'Win Methods'!$C$4:$F$379,4,FALSE)</f>
        <v>0</v>
      </c>
      <c r="P56" s="8"/>
      <c r="Q56" s="7">
        <f>VLOOKUP(P56,'Win Methods'!$C$4:$F$379,4,FALSE)</f>
        <v>0</v>
      </c>
      <c r="R56" s="8"/>
      <c r="S56" s="7">
        <f>VLOOKUP(R56,'Win Methods'!$C$4:$F$379,4,FALSE)</f>
        <v>0</v>
      </c>
      <c r="T56" s="8"/>
      <c r="U56" s="7">
        <f>VLOOKUP(T56,'Win Methods'!$C$4:$F$379,4,FALSE)</f>
        <v>0</v>
      </c>
      <c r="V56" s="8"/>
      <c r="W56" s="7">
        <f>VLOOKUP(V56,'Win Methods'!$C$4:$F$379,4,FALSE)</f>
        <v>0</v>
      </c>
      <c r="X56" s="117" t="str">
        <f t="shared" si="1"/>
        <v>wild-21|||||||||</v>
      </c>
    </row>
    <row r="57" spans="2:24">
      <c r="B57" s="116">
        <v>54</v>
      </c>
      <c r="C57" s="7">
        <f t="shared" si="0"/>
        <v>0.7</v>
      </c>
      <c r="D57" s="107" t="s">
        <v>67</v>
      </c>
      <c r="E57" s="7">
        <f>VLOOKUP(D57,'Win Methods'!$C$4:$F$379,4,FALSE)</f>
        <v>0.7</v>
      </c>
      <c r="F57" s="8"/>
      <c r="G57" s="7">
        <f>VLOOKUP(F57,'Win Methods'!$C$4:$F$379,4,FALSE)</f>
        <v>0</v>
      </c>
      <c r="H57" s="8"/>
      <c r="I57" s="7">
        <f>VLOOKUP(H57,'Win Methods'!$C$4:$F$379,4,FALSE)</f>
        <v>0</v>
      </c>
      <c r="J57" s="8"/>
      <c r="K57" s="7">
        <f>VLOOKUP(J57,'Win Methods'!$C$4:$F$379,4,FALSE)</f>
        <v>0</v>
      </c>
      <c r="L57" s="8"/>
      <c r="M57" s="7">
        <f>VLOOKUP(L57,'Win Methods'!$C$4:$F$379,4,FALSE)</f>
        <v>0</v>
      </c>
      <c r="N57" s="8"/>
      <c r="O57" s="7">
        <f>VLOOKUP(N57,'Win Methods'!$C$4:$F$379,4,FALSE)</f>
        <v>0</v>
      </c>
      <c r="P57" s="8"/>
      <c r="Q57" s="7">
        <f>VLOOKUP(P57,'Win Methods'!$C$4:$F$379,4,FALSE)</f>
        <v>0</v>
      </c>
      <c r="R57" s="8"/>
      <c r="S57" s="7">
        <f>VLOOKUP(R57,'Win Methods'!$C$4:$F$379,4,FALSE)</f>
        <v>0</v>
      </c>
      <c r="T57" s="8"/>
      <c r="U57" s="7">
        <f>VLOOKUP(T57,'Win Methods'!$C$4:$F$379,4,FALSE)</f>
        <v>0</v>
      </c>
      <c r="V57" s="8"/>
      <c r="W57" s="7">
        <f>VLOOKUP(V57,'Win Methods'!$C$4:$F$379,4,FALSE)</f>
        <v>0</v>
      </c>
      <c r="X57" s="117" t="str">
        <f t="shared" si="1"/>
        <v>freeplayA-0|||||||||</v>
      </c>
    </row>
    <row r="58" spans="2:24">
      <c r="B58" s="116">
        <v>55</v>
      </c>
      <c r="C58" s="7">
        <f t="shared" si="0"/>
        <v>3</v>
      </c>
      <c r="D58" s="107" t="s">
        <v>69</v>
      </c>
      <c r="E58" s="7">
        <f>VLOOKUP(D58,'Win Methods'!$C$4:$F$379,4,FALSE)</f>
        <v>3</v>
      </c>
      <c r="F58" s="8"/>
      <c r="G58" s="7">
        <f>VLOOKUP(F58,'Win Methods'!$C$4:$F$379,4,FALSE)</f>
        <v>0</v>
      </c>
      <c r="H58" s="8"/>
      <c r="I58" s="7">
        <f>VLOOKUP(H58,'Win Methods'!$C$4:$F$379,4,FALSE)</f>
        <v>0</v>
      </c>
      <c r="J58" s="8"/>
      <c r="K58" s="7">
        <f>VLOOKUP(J58,'Win Methods'!$C$4:$F$379,4,FALSE)</f>
        <v>0</v>
      </c>
      <c r="L58" s="8"/>
      <c r="M58" s="7">
        <f>VLOOKUP(L58,'Win Methods'!$C$4:$F$379,4,FALSE)</f>
        <v>0</v>
      </c>
      <c r="N58" s="8"/>
      <c r="O58" s="7">
        <f>VLOOKUP(N58,'Win Methods'!$C$4:$F$379,4,FALSE)</f>
        <v>0</v>
      </c>
      <c r="P58" s="8"/>
      <c r="Q58" s="7">
        <f>VLOOKUP(P58,'Win Methods'!$C$4:$F$379,4,FALSE)</f>
        <v>0</v>
      </c>
      <c r="R58" s="8"/>
      <c r="S58" s="7">
        <f>VLOOKUP(R58,'Win Methods'!$C$4:$F$379,4,FALSE)</f>
        <v>0</v>
      </c>
      <c r="T58" s="8"/>
      <c r="U58" s="7">
        <f>VLOOKUP(T58,'Win Methods'!$C$4:$F$379,4,FALSE)</f>
        <v>0</v>
      </c>
      <c r="V58" s="8"/>
      <c r="W58" s="7">
        <f>VLOOKUP(V58,'Win Methods'!$C$4:$F$379,4,FALSE)</f>
        <v>0</v>
      </c>
      <c r="X58" s="117" t="str">
        <f t="shared" si="1"/>
        <v>freeplayA-1|||||||||</v>
      </c>
    </row>
    <row r="59" spans="2:24">
      <c r="B59" s="116">
        <v>56</v>
      </c>
      <c r="C59" s="7">
        <f t="shared" si="0"/>
        <v>0.5</v>
      </c>
      <c r="D59" s="107" t="s">
        <v>70</v>
      </c>
      <c r="E59" s="7">
        <f>VLOOKUP(D59,'Win Methods'!$C$4:$F$379,4,FALSE)</f>
        <v>0.5</v>
      </c>
      <c r="F59" s="8"/>
      <c r="G59" s="7">
        <f>VLOOKUP(F59,'Win Methods'!$C$4:$F$379,4,FALSE)</f>
        <v>0</v>
      </c>
      <c r="H59" s="8"/>
      <c r="I59" s="7">
        <f>VLOOKUP(H59,'Win Methods'!$C$4:$F$379,4,FALSE)</f>
        <v>0</v>
      </c>
      <c r="J59" s="8"/>
      <c r="K59" s="7">
        <f>VLOOKUP(J59,'Win Methods'!$C$4:$F$379,4,FALSE)</f>
        <v>0</v>
      </c>
      <c r="L59" s="8"/>
      <c r="M59" s="7">
        <f>VLOOKUP(L59,'Win Methods'!$C$4:$F$379,4,FALSE)</f>
        <v>0</v>
      </c>
      <c r="N59" s="8"/>
      <c r="O59" s="7">
        <f>VLOOKUP(N59,'Win Methods'!$C$4:$F$379,4,FALSE)</f>
        <v>0</v>
      </c>
      <c r="P59" s="8"/>
      <c r="Q59" s="7">
        <f>VLOOKUP(P59,'Win Methods'!$C$4:$F$379,4,FALSE)</f>
        <v>0</v>
      </c>
      <c r="R59" s="8"/>
      <c r="S59" s="7">
        <f>VLOOKUP(R59,'Win Methods'!$C$4:$F$379,4,FALSE)</f>
        <v>0</v>
      </c>
      <c r="T59" s="8"/>
      <c r="U59" s="7">
        <f>VLOOKUP(T59,'Win Methods'!$C$4:$F$379,4,FALSE)</f>
        <v>0</v>
      </c>
      <c r="V59" s="8"/>
      <c r="W59" s="7">
        <f>VLOOKUP(V59,'Win Methods'!$C$4:$F$379,4,FALSE)</f>
        <v>0</v>
      </c>
      <c r="X59" s="117" t="str">
        <f t="shared" si="1"/>
        <v>freeplayA-2|||||||||</v>
      </c>
    </row>
    <row r="60" spans="2:24">
      <c r="B60" s="116">
        <v>57</v>
      </c>
      <c r="C60" s="7">
        <f t="shared" si="0"/>
        <v>0.1</v>
      </c>
      <c r="D60" s="107" t="s">
        <v>71</v>
      </c>
      <c r="E60" s="7">
        <f>VLOOKUP(D60,'Win Methods'!$C$4:$F$379,4,FALSE)</f>
        <v>0.1</v>
      </c>
      <c r="F60" s="8"/>
      <c r="G60" s="7">
        <f>VLOOKUP(F60,'Win Methods'!$C$4:$F$379,4,FALSE)</f>
        <v>0</v>
      </c>
      <c r="H60" s="8"/>
      <c r="I60" s="7">
        <f>VLOOKUP(H60,'Win Methods'!$C$4:$F$379,4,FALSE)</f>
        <v>0</v>
      </c>
      <c r="J60" s="8"/>
      <c r="K60" s="7">
        <f>VLOOKUP(J60,'Win Methods'!$C$4:$F$379,4,FALSE)</f>
        <v>0</v>
      </c>
      <c r="L60" s="8"/>
      <c r="M60" s="7">
        <f>VLOOKUP(L60,'Win Methods'!$C$4:$F$379,4,FALSE)</f>
        <v>0</v>
      </c>
      <c r="N60" s="8"/>
      <c r="O60" s="7">
        <f>VLOOKUP(N60,'Win Methods'!$C$4:$F$379,4,FALSE)</f>
        <v>0</v>
      </c>
      <c r="P60" s="8"/>
      <c r="Q60" s="7">
        <f>VLOOKUP(P60,'Win Methods'!$C$4:$F$379,4,FALSE)</f>
        <v>0</v>
      </c>
      <c r="R60" s="8"/>
      <c r="S60" s="7">
        <f>VLOOKUP(R60,'Win Methods'!$C$4:$F$379,4,FALSE)</f>
        <v>0</v>
      </c>
      <c r="T60" s="8"/>
      <c r="U60" s="7">
        <f>VLOOKUP(T60,'Win Methods'!$C$4:$F$379,4,FALSE)</f>
        <v>0</v>
      </c>
      <c r="V60" s="8"/>
      <c r="W60" s="7">
        <f>VLOOKUP(V60,'Win Methods'!$C$4:$F$379,4,FALSE)</f>
        <v>0</v>
      </c>
      <c r="X60" s="117" t="str">
        <f t="shared" si="1"/>
        <v>freeplayA-3|||||||||</v>
      </c>
    </row>
    <row r="61" spans="2:24">
      <c r="B61" s="116">
        <v>58</v>
      </c>
      <c r="C61" s="7">
        <f t="shared" si="0"/>
        <v>0.7</v>
      </c>
      <c r="D61" s="107" t="s">
        <v>72</v>
      </c>
      <c r="E61" s="7">
        <f>VLOOKUP(D61,'Win Methods'!$C$4:$F$379,4,FALSE)</f>
        <v>0.7</v>
      </c>
      <c r="F61" s="8"/>
      <c r="G61" s="7">
        <f>VLOOKUP(F61,'Win Methods'!$C$4:$F$379,4,FALSE)</f>
        <v>0</v>
      </c>
      <c r="H61" s="8"/>
      <c r="I61" s="7">
        <f>VLOOKUP(H61,'Win Methods'!$C$4:$F$379,4,FALSE)</f>
        <v>0</v>
      </c>
      <c r="J61" s="8"/>
      <c r="K61" s="7">
        <f>VLOOKUP(J61,'Win Methods'!$C$4:$F$379,4,FALSE)</f>
        <v>0</v>
      </c>
      <c r="L61" s="8"/>
      <c r="M61" s="7">
        <f>VLOOKUP(L61,'Win Methods'!$C$4:$F$379,4,FALSE)</f>
        <v>0</v>
      </c>
      <c r="N61" s="8"/>
      <c r="O61" s="7">
        <f>VLOOKUP(N61,'Win Methods'!$C$4:$F$379,4,FALSE)</f>
        <v>0</v>
      </c>
      <c r="P61" s="8"/>
      <c r="Q61" s="7">
        <f>VLOOKUP(P61,'Win Methods'!$C$4:$F$379,4,FALSE)</f>
        <v>0</v>
      </c>
      <c r="R61" s="8"/>
      <c r="S61" s="7">
        <f>VLOOKUP(R61,'Win Methods'!$C$4:$F$379,4,FALSE)</f>
        <v>0</v>
      </c>
      <c r="T61" s="8"/>
      <c r="U61" s="7">
        <f>VLOOKUP(T61,'Win Methods'!$C$4:$F$379,4,FALSE)</f>
        <v>0</v>
      </c>
      <c r="V61" s="8"/>
      <c r="W61" s="7">
        <f>VLOOKUP(V61,'Win Methods'!$C$4:$F$379,4,FALSE)</f>
        <v>0</v>
      </c>
      <c r="X61" s="117" t="str">
        <f t="shared" si="1"/>
        <v>freeplayA-4|||||||||</v>
      </c>
    </row>
    <row r="62" spans="2:24">
      <c r="B62" s="116">
        <v>59</v>
      </c>
      <c r="C62" s="7">
        <f t="shared" si="0"/>
        <v>5</v>
      </c>
      <c r="D62" s="107" t="s">
        <v>73</v>
      </c>
      <c r="E62" s="7">
        <f>VLOOKUP(D62,'Win Methods'!$C$4:$F$379,4,FALSE)</f>
        <v>5</v>
      </c>
      <c r="F62" s="8"/>
      <c r="G62" s="7">
        <f>VLOOKUP(F62,'Win Methods'!$C$4:$F$379,4,FALSE)</f>
        <v>0</v>
      </c>
      <c r="H62" s="8"/>
      <c r="I62" s="7">
        <f>VLOOKUP(H62,'Win Methods'!$C$4:$F$379,4,FALSE)</f>
        <v>0</v>
      </c>
      <c r="J62" s="8"/>
      <c r="K62" s="7">
        <f>VLOOKUP(J62,'Win Methods'!$C$4:$F$379,4,FALSE)</f>
        <v>0</v>
      </c>
      <c r="L62" s="8"/>
      <c r="M62" s="7">
        <f>VLOOKUP(L62,'Win Methods'!$C$4:$F$379,4,FALSE)</f>
        <v>0</v>
      </c>
      <c r="N62" s="8"/>
      <c r="O62" s="7">
        <f>VLOOKUP(N62,'Win Methods'!$C$4:$F$379,4,FALSE)</f>
        <v>0</v>
      </c>
      <c r="P62" s="8"/>
      <c r="Q62" s="7">
        <f>VLOOKUP(P62,'Win Methods'!$C$4:$F$379,4,FALSE)</f>
        <v>0</v>
      </c>
      <c r="R62" s="8"/>
      <c r="S62" s="7">
        <f>VLOOKUP(R62,'Win Methods'!$C$4:$F$379,4,FALSE)</f>
        <v>0</v>
      </c>
      <c r="T62" s="8"/>
      <c r="U62" s="7">
        <f>VLOOKUP(T62,'Win Methods'!$C$4:$F$379,4,FALSE)</f>
        <v>0</v>
      </c>
      <c r="V62" s="8"/>
      <c r="W62" s="7">
        <f>VLOOKUP(V62,'Win Methods'!$C$4:$F$379,4,FALSE)</f>
        <v>0</v>
      </c>
      <c r="X62" s="117" t="str">
        <f t="shared" si="1"/>
        <v>freeplayA-5|||||||||</v>
      </c>
    </row>
    <row r="63" spans="2:24">
      <c r="B63" s="116">
        <v>60</v>
      </c>
      <c r="C63" s="7">
        <f t="shared" si="0"/>
        <v>5</v>
      </c>
      <c r="D63" s="107" t="s">
        <v>74</v>
      </c>
      <c r="E63" s="7">
        <f>VLOOKUP(D63,'Win Methods'!$C$4:$F$379,4,FALSE)</f>
        <v>5</v>
      </c>
      <c r="F63" s="8"/>
      <c r="G63" s="7">
        <f>VLOOKUP(F63,'Win Methods'!$C$4:$F$379,4,FALSE)</f>
        <v>0</v>
      </c>
      <c r="H63" s="8"/>
      <c r="I63" s="7">
        <f>VLOOKUP(H63,'Win Methods'!$C$4:$F$379,4,FALSE)</f>
        <v>0</v>
      </c>
      <c r="J63" s="8"/>
      <c r="K63" s="7">
        <f>VLOOKUP(J63,'Win Methods'!$C$4:$F$379,4,FALSE)</f>
        <v>0</v>
      </c>
      <c r="L63" s="8"/>
      <c r="M63" s="7">
        <f>VLOOKUP(L63,'Win Methods'!$C$4:$F$379,4,FALSE)</f>
        <v>0</v>
      </c>
      <c r="N63" s="8"/>
      <c r="O63" s="7">
        <f>VLOOKUP(N63,'Win Methods'!$C$4:$F$379,4,FALSE)</f>
        <v>0</v>
      </c>
      <c r="P63" s="8"/>
      <c r="Q63" s="7">
        <f>VLOOKUP(P63,'Win Methods'!$C$4:$F$379,4,FALSE)</f>
        <v>0</v>
      </c>
      <c r="R63" s="8"/>
      <c r="S63" s="7">
        <f>VLOOKUP(R63,'Win Methods'!$C$4:$F$379,4,FALSE)</f>
        <v>0</v>
      </c>
      <c r="T63" s="8"/>
      <c r="U63" s="7">
        <f>VLOOKUP(T63,'Win Methods'!$C$4:$F$379,4,FALSE)</f>
        <v>0</v>
      </c>
      <c r="V63" s="8"/>
      <c r="W63" s="7">
        <f>VLOOKUP(V63,'Win Methods'!$C$4:$F$379,4,FALSE)</f>
        <v>0</v>
      </c>
      <c r="X63" s="117" t="str">
        <f t="shared" si="1"/>
        <v>freeplayA-6|||||||||</v>
      </c>
    </row>
    <row r="64" spans="2:24">
      <c r="B64" s="116">
        <v>61</v>
      </c>
      <c r="C64" s="7">
        <f t="shared" si="0"/>
        <v>0.2</v>
      </c>
      <c r="D64" s="107" t="s">
        <v>75</v>
      </c>
      <c r="E64" s="7">
        <f>VLOOKUP(D64,'Win Methods'!$C$4:$F$379,4,FALSE)</f>
        <v>0.2</v>
      </c>
      <c r="F64" s="8"/>
      <c r="G64" s="7">
        <f>VLOOKUP(F64,'Win Methods'!$C$4:$F$379,4,FALSE)</f>
        <v>0</v>
      </c>
      <c r="H64" s="8"/>
      <c r="I64" s="7">
        <f>VLOOKUP(H64,'Win Methods'!$C$4:$F$379,4,FALSE)</f>
        <v>0</v>
      </c>
      <c r="J64" s="8"/>
      <c r="K64" s="7">
        <f>VLOOKUP(J64,'Win Methods'!$C$4:$F$379,4,FALSE)</f>
        <v>0</v>
      </c>
      <c r="L64" s="8"/>
      <c r="M64" s="7">
        <f>VLOOKUP(L64,'Win Methods'!$C$4:$F$379,4,FALSE)</f>
        <v>0</v>
      </c>
      <c r="N64" s="8"/>
      <c r="O64" s="7">
        <f>VLOOKUP(N64,'Win Methods'!$C$4:$F$379,4,FALSE)</f>
        <v>0</v>
      </c>
      <c r="P64" s="8"/>
      <c r="Q64" s="7">
        <f>VLOOKUP(P64,'Win Methods'!$C$4:$F$379,4,FALSE)</f>
        <v>0</v>
      </c>
      <c r="R64" s="8"/>
      <c r="S64" s="7">
        <f>VLOOKUP(R64,'Win Methods'!$C$4:$F$379,4,FALSE)</f>
        <v>0</v>
      </c>
      <c r="T64" s="8"/>
      <c r="U64" s="7">
        <f>VLOOKUP(T64,'Win Methods'!$C$4:$F$379,4,FALSE)</f>
        <v>0</v>
      </c>
      <c r="V64" s="8"/>
      <c r="W64" s="7">
        <f>VLOOKUP(V64,'Win Methods'!$C$4:$F$379,4,FALSE)</f>
        <v>0</v>
      </c>
      <c r="X64" s="117" t="str">
        <f t="shared" si="1"/>
        <v>freeplayA-7|||||||||</v>
      </c>
    </row>
    <row r="65" spans="2:24">
      <c r="B65" s="116">
        <v>62</v>
      </c>
      <c r="C65" s="7">
        <f t="shared" si="0"/>
        <v>0.2</v>
      </c>
      <c r="D65" s="107" t="s">
        <v>76</v>
      </c>
      <c r="E65" s="7">
        <f>VLOOKUP(D65,'Win Methods'!$C$4:$F$379,4,FALSE)</f>
        <v>0.2</v>
      </c>
      <c r="F65" s="8"/>
      <c r="G65" s="7">
        <f>VLOOKUP(F65,'Win Methods'!$C$4:$F$379,4,FALSE)</f>
        <v>0</v>
      </c>
      <c r="H65" s="8"/>
      <c r="I65" s="7">
        <f>VLOOKUP(H65,'Win Methods'!$C$4:$F$379,4,FALSE)</f>
        <v>0</v>
      </c>
      <c r="J65" s="8"/>
      <c r="K65" s="7">
        <f>VLOOKUP(J65,'Win Methods'!$C$4:$F$379,4,FALSE)</f>
        <v>0</v>
      </c>
      <c r="L65" s="8"/>
      <c r="M65" s="7">
        <f>VLOOKUP(L65,'Win Methods'!$C$4:$F$379,4,FALSE)</f>
        <v>0</v>
      </c>
      <c r="N65" s="8"/>
      <c r="O65" s="7">
        <f>VLOOKUP(N65,'Win Methods'!$C$4:$F$379,4,FALSE)</f>
        <v>0</v>
      </c>
      <c r="P65" s="8"/>
      <c r="Q65" s="7">
        <f>VLOOKUP(P65,'Win Methods'!$C$4:$F$379,4,FALSE)</f>
        <v>0</v>
      </c>
      <c r="R65" s="8"/>
      <c r="S65" s="7">
        <f>VLOOKUP(R65,'Win Methods'!$C$4:$F$379,4,FALSE)</f>
        <v>0</v>
      </c>
      <c r="T65" s="8"/>
      <c r="U65" s="7">
        <f>VLOOKUP(T65,'Win Methods'!$C$4:$F$379,4,FALSE)</f>
        <v>0</v>
      </c>
      <c r="V65" s="8"/>
      <c r="W65" s="7">
        <f>VLOOKUP(V65,'Win Methods'!$C$4:$F$379,4,FALSE)</f>
        <v>0</v>
      </c>
      <c r="X65" s="117" t="str">
        <f t="shared" si="1"/>
        <v>freeplayA-8|||||||||</v>
      </c>
    </row>
    <row r="66" spans="2:24">
      <c r="B66" s="116">
        <v>63</v>
      </c>
      <c r="C66" s="7">
        <f t="shared" si="0"/>
        <v>3</v>
      </c>
      <c r="D66" s="107" t="s">
        <v>77</v>
      </c>
      <c r="E66" s="7">
        <f>VLOOKUP(D66,'Win Methods'!$C$4:$F$379,4,FALSE)</f>
        <v>3</v>
      </c>
      <c r="F66" s="8"/>
      <c r="G66" s="7">
        <f>VLOOKUP(F66,'Win Methods'!$C$4:$F$379,4,FALSE)</f>
        <v>0</v>
      </c>
      <c r="H66" s="8"/>
      <c r="I66" s="7">
        <f>VLOOKUP(H66,'Win Methods'!$C$4:$F$379,4,FALSE)</f>
        <v>0</v>
      </c>
      <c r="J66" s="8"/>
      <c r="K66" s="7">
        <f>VLOOKUP(J66,'Win Methods'!$C$4:$F$379,4,FALSE)</f>
        <v>0</v>
      </c>
      <c r="L66" s="8"/>
      <c r="M66" s="7">
        <f>VLOOKUP(L66,'Win Methods'!$C$4:$F$379,4,FALSE)</f>
        <v>0</v>
      </c>
      <c r="N66" s="8"/>
      <c r="O66" s="7">
        <f>VLOOKUP(N66,'Win Methods'!$C$4:$F$379,4,FALSE)</f>
        <v>0</v>
      </c>
      <c r="P66" s="8"/>
      <c r="Q66" s="7">
        <f>VLOOKUP(P66,'Win Methods'!$C$4:$F$379,4,FALSE)</f>
        <v>0</v>
      </c>
      <c r="R66" s="8"/>
      <c r="S66" s="7">
        <f>VLOOKUP(R66,'Win Methods'!$C$4:$F$379,4,FALSE)</f>
        <v>0</v>
      </c>
      <c r="T66" s="8"/>
      <c r="U66" s="7">
        <f>VLOOKUP(T66,'Win Methods'!$C$4:$F$379,4,FALSE)</f>
        <v>0</v>
      </c>
      <c r="V66" s="8"/>
      <c r="W66" s="7">
        <f>VLOOKUP(V66,'Win Methods'!$C$4:$F$379,4,FALSE)</f>
        <v>0</v>
      </c>
      <c r="X66" s="117" t="str">
        <f t="shared" si="1"/>
        <v>freeplayA-9|||||||||</v>
      </c>
    </row>
    <row r="67" spans="2:24">
      <c r="B67" s="116">
        <v>64</v>
      </c>
      <c r="C67" s="7">
        <f t="shared" ref="C67:C130" si="2">(E67+G67+I67+K67+M67+O67+Q67+S67+U67+W67)</f>
        <v>5</v>
      </c>
      <c r="D67" s="107" t="s">
        <v>78</v>
      </c>
      <c r="E67" s="7">
        <f>VLOOKUP(D67,'Win Methods'!$C$4:$F$379,4,FALSE)</f>
        <v>5</v>
      </c>
      <c r="F67" s="8"/>
      <c r="G67" s="7">
        <f>VLOOKUP(F67,'Win Methods'!$C$4:$F$379,4,FALSE)</f>
        <v>0</v>
      </c>
      <c r="H67" s="8"/>
      <c r="I67" s="7">
        <f>VLOOKUP(H67,'Win Methods'!$C$4:$F$379,4,FALSE)</f>
        <v>0</v>
      </c>
      <c r="J67" s="8"/>
      <c r="K67" s="7">
        <f>VLOOKUP(J67,'Win Methods'!$C$4:$F$379,4,FALSE)</f>
        <v>0</v>
      </c>
      <c r="L67" s="8"/>
      <c r="M67" s="7">
        <f>VLOOKUP(L67,'Win Methods'!$C$4:$F$379,4,FALSE)</f>
        <v>0</v>
      </c>
      <c r="N67" s="8"/>
      <c r="O67" s="7">
        <f>VLOOKUP(N67,'Win Methods'!$C$4:$F$379,4,FALSE)</f>
        <v>0</v>
      </c>
      <c r="P67" s="8"/>
      <c r="Q67" s="7">
        <f>VLOOKUP(P67,'Win Methods'!$C$4:$F$379,4,FALSE)</f>
        <v>0</v>
      </c>
      <c r="R67" s="8"/>
      <c r="S67" s="7">
        <f>VLOOKUP(R67,'Win Methods'!$C$4:$F$379,4,FALSE)</f>
        <v>0</v>
      </c>
      <c r="T67" s="8"/>
      <c r="U67" s="7">
        <f>VLOOKUP(T67,'Win Methods'!$C$4:$F$379,4,FALSE)</f>
        <v>0</v>
      </c>
      <c r="V67" s="8"/>
      <c r="W67" s="7">
        <f>VLOOKUP(V67,'Win Methods'!$C$4:$F$379,4,FALSE)</f>
        <v>0</v>
      </c>
      <c r="X67" s="117" t="str">
        <f t="shared" ref="X67:X130" si="3">D67&amp;"|"&amp;F67&amp;"|"&amp;H67&amp;"|"&amp;J67&amp;"|"&amp;L67&amp;"|"&amp;N67&amp;"|"&amp;P67&amp;"|"&amp;R67&amp;"|"&amp;T67&amp;"|"&amp;V67</f>
        <v>freeplayA-10|||||||||</v>
      </c>
    </row>
    <row r="68" spans="2:24">
      <c r="B68" s="116">
        <v>65</v>
      </c>
      <c r="C68" s="7">
        <f t="shared" si="2"/>
        <v>3</v>
      </c>
      <c r="D68" s="107" t="s">
        <v>79</v>
      </c>
      <c r="E68" s="7">
        <f>VLOOKUP(D68,'Win Methods'!$C$4:$F$379,4,FALSE)</f>
        <v>3</v>
      </c>
      <c r="F68" s="8"/>
      <c r="G68" s="7">
        <f>VLOOKUP(F68,'Win Methods'!$C$4:$F$379,4,FALSE)</f>
        <v>0</v>
      </c>
      <c r="H68" s="8"/>
      <c r="I68" s="7">
        <f>VLOOKUP(H68,'Win Methods'!$C$4:$F$379,4,FALSE)</f>
        <v>0</v>
      </c>
      <c r="J68" s="8"/>
      <c r="K68" s="7">
        <f>VLOOKUP(J68,'Win Methods'!$C$4:$F$379,4,FALSE)</f>
        <v>0</v>
      </c>
      <c r="L68" s="8"/>
      <c r="M68" s="7">
        <f>VLOOKUP(L68,'Win Methods'!$C$4:$F$379,4,FALSE)</f>
        <v>0</v>
      </c>
      <c r="N68" s="8"/>
      <c r="O68" s="7">
        <f>VLOOKUP(N68,'Win Methods'!$C$4:$F$379,4,FALSE)</f>
        <v>0</v>
      </c>
      <c r="P68" s="8"/>
      <c r="Q68" s="7">
        <f>VLOOKUP(P68,'Win Methods'!$C$4:$F$379,4,FALSE)</f>
        <v>0</v>
      </c>
      <c r="R68" s="8"/>
      <c r="S68" s="7">
        <f>VLOOKUP(R68,'Win Methods'!$C$4:$F$379,4,FALSE)</f>
        <v>0</v>
      </c>
      <c r="T68" s="8"/>
      <c r="U68" s="7">
        <f>VLOOKUP(T68,'Win Methods'!$C$4:$F$379,4,FALSE)</f>
        <v>0</v>
      </c>
      <c r="V68" s="8"/>
      <c r="W68" s="7">
        <f>VLOOKUP(V68,'Win Methods'!$C$4:$F$379,4,FALSE)</f>
        <v>0</v>
      </c>
      <c r="X68" s="117" t="str">
        <f t="shared" si="3"/>
        <v>freeplayA-11|||||||||</v>
      </c>
    </row>
    <row r="69" spans="2:24">
      <c r="B69" s="116">
        <v>66</v>
      </c>
      <c r="C69" s="7">
        <f t="shared" si="2"/>
        <v>0.2</v>
      </c>
      <c r="D69" s="107" t="s">
        <v>80</v>
      </c>
      <c r="E69" s="7">
        <f>VLOOKUP(D69,'Win Methods'!$C$4:$F$379,4,FALSE)</f>
        <v>0.2</v>
      </c>
      <c r="F69" s="8"/>
      <c r="G69" s="7">
        <f>VLOOKUP(F69,'Win Methods'!$C$4:$F$379,4,FALSE)</f>
        <v>0</v>
      </c>
      <c r="H69" s="8"/>
      <c r="I69" s="7">
        <f>VLOOKUP(H69,'Win Methods'!$C$4:$F$379,4,FALSE)</f>
        <v>0</v>
      </c>
      <c r="J69" s="8"/>
      <c r="K69" s="7">
        <f>VLOOKUP(J69,'Win Methods'!$C$4:$F$379,4,FALSE)</f>
        <v>0</v>
      </c>
      <c r="L69" s="8"/>
      <c r="M69" s="7">
        <f>VLOOKUP(L69,'Win Methods'!$C$4:$F$379,4,FALSE)</f>
        <v>0</v>
      </c>
      <c r="N69" s="8"/>
      <c r="O69" s="7">
        <f>VLOOKUP(N69,'Win Methods'!$C$4:$F$379,4,FALSE)</f>
        <v>0</v>
      </c>
      <c r="P69" s="8"/>
      <c r="Q69" s="7">
        <f>VLOOKUP(P69,'Win Methods'!$C$4:$F$379,4,FALSE)</f>
        <v>0</v>
      </c>
      <c r="R69" s="8"/>
      <c r="S69" s="7">
        <f>VLOOKUP(R69,'Win Methods'!$C$4:$F$379,4,FALSE)</f>
        <v>0</v>
      </c>
      <c r="T69" s="8"/>
      <c r="U69" s="7">
        <f>VLOOKUP(T69,'Win Methods'!$C$4:$F$379,4,FALSE)</f>
        <v>0</v>
      </c>
      <c r="V69" s="8"/>
      <c r="W69" s="7">
        <f>VLOOKUP(V69,'Win Methods'!$C$4:$F$379,4,FALSE)</f>
        <v>0</v>
      </c>
      <c r="X69" s="117" t="str">
        <f t="shared" si="3"/>
        <v>freeplayA-12|||||||||</v>
      </c>
    </row>
    <row r="70" spans="2:24">
      <c r="B70" s="116">
        <v>67</v>
      </c>
      <c r="C70" s="7">
        <f t="shared" si="2"/>
        <v>3</v>
      </c>
      <c r="D70" s="107" t="s">
        <v>81</v>
      </c>
      <c r="E70" s="7">
        <f>VLOOKUP(D70,'Win Methods'!$C$4:$F$379,4,FALSE)</f>
        <v>3</v>
      </c>
      <c r="F70" s="8"/>
      <c r="G70" s="7">
        <f>VLOOKUP(F70,'Win Methods'!$C$4:$F$379,4,FALSE)</f>
        <v>0</v>
      </c>
      <c r="H70" s="8"/>
      <c r="I70" s="7">
        <f>VLOOKUP(H70,'Win Methods'!$C$4:$F$379,4,FALSE)</f>
        <v>0</v>
      </c>
      <c r="J70" s="8"/>
      <c r="K70" s="7">
        <f>VLOOKUP(J70,'Win Methods'!$C$4:$F$379,4,FALSE)</f>
        <v>0</v>
      </c>
      <c r="L70" s="8"/>
      <c r="M70" s="7">
        <f>VLOOKUP(L70,'Win Methods'!$C$4:$F$379,4,FALSE)</f>
        <v>0</v>
      </c>
      <c r="N70" s="8"/>
      <c r="O70" s="7">
        <f>VLOOKUP(N70,'Win Methods'!$C$4:$F$379,4,FALSE)</f>
        <v>0</v>
      </c>
      <c r="P70" s="8"/>
      <c r="Q70" s="7">
        <f>VLOOKUP(P70,'Win Methods'!$C$4:$F$379,4,FALSE)</f>
        <v>0</v>
      </c>
      <c r="R70" s="8"/>
      <c r="S70" s="7">
        <f>VLOOKUP(R70,'Win Methods'!$C$4:$F$379,4,FALSE)</f>
        <v>0</v>
      </c>
      <c r="T70" s="8"/>
      <c r="U70" s="7">
        <f>VLOOKUP(T70,'Win Methods'!$C$4:$F$379,4,FALSE)</f>
        <v>0</v>
      </c>
      <c r="V70" s="8"/>
      <c r="W70" s="7">
        <f>VLOOKUP(V70,'Win Methods'!$C$4:$F$379,4,FALSE)</f>
        <v>0</v>
      </c>
      <c r="X70" s="117" t="str">
        <f t="shared" si="3"/>
        <v>freeplayA-13|||||||||</v>
      </c>
    </row>
    <row r="71" spans="2:24">
      <c r="B71" s="116">
        <v>68</v>
      </c>
      <c r="C71" s="7">
        <f t="shared" si="2"/>
        <v>3</v>
      </c>
      <c r="D71" s="107" t="s">
        <v>82</v>
      </c>
      <c r="E71" s="7">
        <f>VLOOKUP(D71,'Win Methods'!$C$4:$F$379,4,FALSE)</f>
        <v>3</v>
      </c>
      <c r="F71" s="8"/>
      <c r="G71" s="7">
        <f>VLOOKUP(F71,'Win Methods'!$C$4:$F$379,4,FALSE)</f>
        <v>0</v>
      </c>
      <c r="H71" s="8"/>
      <c r="I71" s="7">
        <f>VLOOKUP(H71,'Win Methods'!$C$4:$F$379,4,FALSE)</f>
        <v>0</v>
      </c>
      <c r="J71" s="8"/>
      <c r="K71" s="7">
        <f>VLOOKUP(J71,'Win Methods'!$C$4:$F$379,4,FALSE)</f>
        <v>0</v>
      </c>
      <c r="L71" s="8"/>
      <c r="M71" s="7">
        <f>VLOOKUP(L71,'Win Methods'!$C$4:$F$379,4,FALSE)</f>
        <v>0</v>
      </c>
      <c r="N71" s="8"/>
      <c r="O71" s="7">
        <f>VLOOKUP(N71,'Win Methods'!$C$4:$F$379,4,FALSE)</f>
        <v>0</v>
      </c>
      <c r="P71" s="8"/>
      <c r="Q71" s="7">
        <f>VLOOKUP(P71,'Win Methods'!$C$4:$F$379,4,FALSE)</f>
        <v>0</v>
      </c>
      <c r="R71" s="8"/>
      <c r="S71" s="7">
        <f>VLOOKUP(R71,'Win Methods'!$C$4:$F$379,4,FALSE)</f>
        <v>0</v>
      </c>
      <c r="T71" s="8"/>
      <c r="U71" s="7">
        <f>VLOOKUP(T71,'Win Methods'!$C$4:$F$379,4,FALSE)</f>
        <v>0</v>
      </c>
      <c r="V71" s="8"/>
      <c r="W71" s="7">
        <f>VLOOKUP(V71,'Win Methods'!$C$4:$F$379,4,FALSE)</f>
        <v>0</v>
      </c>
      <c r="X71" s="117" t="str">
        <f t="shared" si="3"/>
        <v>freeplayA-14|||||||||</v>
      </c>
    </row>
    <row r="72" spans="2:24">
      <c r="B72" s="116">
        <v>69</v>
      </c>
      <c r="C72" s="7">
        <f t="shared" si="2"/>
        <v>1</v>
      </c>
      <c r="D72" s="107" t="s">
        <v>83</v>
      </c>
      <c r="E72" s="7">
        <f>VLOOKUP(D72,'Win Methods'!$C$4:$F$379,4,FALSE)</f>
        <v>1</v>
      </c>
      <c r="F72" s="8"/>
      <c r="G72" s="7">
        <f>VLOOKUP(F72,'Win Methods'!$C$4:$F$379,4,FALSE)</f>
        <v>0</v>
      </c>
      <c r="H72" s="8"/>
      <c r="I72" s="7">
        <f>VLOOKUP(H72,'Win Methods'!$C$4:$F$379,4,FALSE)</f>
        <v>0</v>
      </c>
      <c r="J72" s="8"/>
      <c r="K72" s="7">
        <f>VLOOKUP(J72,'Win Methods'!$C$4:$F$379,4,FALSE)</f>
        <v>0</v>
      </c>
      <c r="L72" s="8"/>
      <c r="M72" s="7">
        <f>VLOOKUP(L72,'Win Methods'!$C$4:$F$379,4,FALSE)</f>
        <v>0</v>
      </c>
      <c r="N72" s="8"/>
      <c r="O72" s="7">
        <f>VLOOKUP(N72,'Win Methods'!$C$4:$F$379,4,FALSE)</f>
        <v>0</v>
      </c>
      <c r="P72" s="8"/>
      <c r="Q72" s="7">
        <f>VLOOKUP(P72,'Win Methods'!$C$4:$F$379,4,FALSE)</f>
        <v>0</v>
      </c>
      <c r="R72" s="8"/>
      <c r="S72" s="7">
        <f>VLOOKUP(R72,'Win Methods'!$C$4:$F$379,4,FALSE)</f>
        <v>0</v>
      </c>
      <c r="T72" s="8"/>
      <c r="U72" s="7">
        <f>VLOOKUP(T72,'Win Methods'!$C$4:$F$379,4,FALSE)</f>
        <v>0</v>
      </c>
      <c r="V72" s="8"/>
      <c r="W72" s="7">
        <f>VLOOKUP(V72,'Win Methods'!$C$4:$F$379,4,FALSE)</f>
        <v>0</v>
      </c>
      <c r="X72" s="117" t="str">
        <f t="shared" si="3"/>
        <v>freeplayA-15|||||||||</v>
      </c>
    </row>
    <row r="73" spans="2:24">
      <c r="B73" s="116">
        <v>70</v>
      </c>
      <c r="C73" s="7">
        <f t="shared" si="2"/>
        <v>20</v>
      </c>
      <c r="D73" s="107" t="s">
        <v>84</v>
      </c>
      <c r="E73" s="7">
        <f>VLOOKUP(D73,'Win Methods'!$C$4:$F$379,4,FALSE)</f>
        <v>20</v>
      </c>
      <c r="F73" s="8"/>
      <c r="G73" s="7">
        <f>VLOOKUP(F73,'Win Methods'!$C$4:$F$379,4,FALSE)</f>
        <v>0</v>
      </c>
      <c r="H73" s="8"/>
      <c r="I73" s="7">
        <f>VLOOKUP(H73,'Win Methods'!$C$4:$F$379,4,FALSE)</f>
        <v>0</v>
      </c>
      <c r="J73" s="8"/>
      <c r="K73" s="7">
        <f>VLOOKUP(J73,'Win Methods'!$C$4:$F$379,4,FALSE)</f>
        <v>0</v>
      </c>
      <c r="L73" s="8"/>
      <c r="M73" s="7">
        <f>VLOOKUP(L73,'Win Methods'!$C$4:$F$379,4,FALSE)</f>
        <v>0</v>
      </c>
      <c r="N73" s="8"/>
      <c r="O73" s="7">
        <f>VLOOKUP(N73,'Win Methods'!$C$4:$F$379,4,FALSE)</f>
        <v>0</v>
      </c>
      <c r="P73" s="8"/>
      <c r="Q73" s="7">
        <f>VLOOKUP(P73,'Win Methods'!$C$4:$F$379,4,FALSE)</f>
        <v>0</v>
      </c>
      <c r="R73" s="8"/>
      <c r="S73" s="7">
        <f>VLOOKUP(R73,'Win Methods'!$C$4:$F$379,4,FALSE)</f>
        <v>0</v>
      </c>
      <c r="T73" s="8"/>
      <c r="U73" s="7">
        <f>VLOOKUP(T73,'Win Methods'!$C$4:$F$379,4,FALSE)</f>
        <v>0</v>
      </c>
      <c r="V73" s="8"/>
      <c r="W73" s="7">
        <f>VLOOKUP(V73,'Win Methods'!$C$4:$F$379,4,FALSE)</f>
        <v>0</v>
      </c>
      <c r="X73" s="117" t="str">
        <f t="shared" si="3"/>
        <v>freeplayA-16|||||||||</v>
      </c>
    </row>
    <row r="74" spans="2:24">
      <c r="B74" s="116">
        <v>71</v>
      </c>
      <c r="C74" s="7">
        <f t="shared" si="2"/>
        <v>3</v>
      </c>
      <c r="D74" s="107" t="s">
        <v>85</v>
      </c>
      <c r="E74" s="7">
        <f>VLOOKUP(D74,'Win Methods'!$C$4:$F$379,4,FALSE)</f>
        <v>3</v>
      </c>
      <c r="F74" s="8"/>
      <c r="G74" s="7">
        <f>VLOOKUP(F74,'Win Methods'!$C$4:$F$379,4,FALSE)</f>
        <v>0</v>
      </c>
      <c r="H74" s="8"/>
      <c r="I74" s="7">
        <f>VLOOKUP(H74,'Win Methods'!$C$4:$F$379,4,FALSE)</f>
        <v>0</v>
      </c>
      <c r="J74" s="8"/>
      <c r="K74" s="7">
        <f>VLOOKUP(J74,'Win Methods'!$C$4:$F$379,4,FALSE)</f>
        <v>0</v>
      </c>
      <c r="L74" s="8"/>
      <c r="M74" s="7">
        <f>VLOOKUP(L74,'Win Methods'!$C$4:$F$379,4,FALSE)</f>
        <v>0</v>
      </c>
      <c r="N74" s="8"/>
      <c r="O74" s="7">
        <f>VLOOKUP(N74,'Win Methods'!$C$4:$F$379,4,FALSE)</f>
        <v>0</v>
      </c>
      <c r="P74" s="8"/>
      <c r="Q74" s="7">
        <f>VLOOKUP(P74,'Win Methods'!$C$4:$F$379,4,FALSE)</f>
        <v>0</v>
      </c>
      <c r="R74" s="8"/>
      <c r="S74" s="7">
        <f>VLOOKUP(R74,'Win Methods'!$C$4:$F$379,4,FALSE)</f>
        <v>0</v>
      </c>
      <c r="T74" s="8"/>
      <c r="U74" s="7">
        <f>VLOOKUP(T74,'Win Methods'!$C$4:$F$379,4,FALSE)</f>
        <v>0</v>
      </c>
      <c r="V74" s="8"/>
      <c r="W74" s="7">
        <f>VLOOKUP(V74,'Win Methods'!$C$4:$F$379,4,FALSE)</f>
        <v>0</v>
      </c>
      <c r="X74" s="117" t="str">
        <f t="shared" si="3"/>
        <v>freeplayA-17|||||||||</v>
      </c>
    </row>
    <row r="75" spans="2:24">
      <c r="B75" s="116">
        <v>72</v>
      </c>
      <c r="C75" s="7">
        <f t="shared" si="2"/>
        <v>1</v>
      </c>
      <c r="D75" s="107" t="s">
        <v>86</v>
      </c>
      <c r="E75" s="7">
        <f>VLOOKUP(D75,'Win Methods'!$C$4:$F$379,4,FALSE)</f>
        <v>1</v>
      </c>
      <c r="F75" s="8"/>
      <c r="G75" s="7">
        <f>VLOOKUP(F75,'Win Methods'!$C$4:$F$379,4,FALSE)</f>
        <v>0</v>
      </c>
      <c r="H75" s="8"/>
      <c r="I75" s="7">
        <f>VLOOKUP(H75,'Win Methods'!$C$4:$F$379,4,FALSE)</f>
        <v>0</v>
      </c>
      <c r="J75" s="8"/>
      <c r="K75" s="7">
        <f>VLOOKUP(J75,'Win Methods'!$C$4:$F$379,4,FALSE)</f>
        <v>0</v>
      </c>
      <c r="L75" s="8"/>
      <c r="M75" s="7">
        <f>VLOOKUP(L75,'Win Methods'!$C$4:$F$379,4,FALSE)</f>
        <v>0</v>
      </c>
      <c r="N75" s="8"/>
      <c r="O75" s="7">
        <f>VLOOKUP(N75,'Win Methods'!$C$4:$F$379,4,FALSE)</f>
        <v>0</v>
      </c>
      <c r="P75" s="8"/>
      <c r="Q75" s="7">
        <f>VLOOKUP(P75,'Win Methods'!$C$4:$F$379,4,FALSE)</f>
        <v>0</v>
      </c>
      <c r="R75" s="8"/>
      <c r="S75" s="7">
        <f>VLOOKUP(R75,'Win Methods'!$C$4:$F$379,4,FALSE)</f>
        <v>0</v>
      </c>
      <c r="T75" s="8"/>
      <c r="U75" s="7">
        <f>VLOOKUP(T75,'Win Methods'!$C$4:$F$379,4,FALSE)</f>
        <v>0</v>
      </c>
      <c r="V75" s="8"/>
      <c r="W75" s="7">
        <f>VLOOKUP(V75,'Win Methods'!$C$4:$F$379,4,FALSE)</f>
        <v>0</v>
      </c>
      <c r="X75" s="117" t="str">
        <f t="shared" si="3"/>
        <v>freeplayA-18|||||||||</v>
      </c>
    </row>
    <row r="76" spans="2:24">
      <c r="B76" s="116">
        <v>73</v>
      </c>
      <c r="C76" s="7">
        <f t="shared" si="2"/>
        <v>2</v>
      </c>
      <c r="D76" s="107" t="s">
        <v>87</v>
      </c>
      <c r="E76" s="7">
        <f>VLOOKUP(D76,'Win Methods'!$C$4:$F$379,4,FALSE)</f>
        <v>2</v>
      </c>
      <c r="F76" s="8"/>
      <c r="G76" s="7">
        <f>VLOOKUP(F76,'Win Methods'!$C$4:$F$379,4,FALSE)</f>
        <v>0</v>
      </c>
      <c r="H76" s="8"/>
      <c r="I76" s="7">
        <f>VLOOKUP(H76,'Win Methods'!$C$4:$F$379,4,FALSE)</f>
        <v>0</v>
      </c>
      <c r="J76" s="8"/>
      <c r="K76" s="7">
        <f>VLOOKUP(J76,'Win Methods'!$C$4:$F$379,4,FALSE)</f>
        <v>0</v>
      </c>
      <c r="L76" s="8"/>
      <c r="M76" s="7">
        <f>VLOOKUP(L76,'Win Methods'!$C$4:$F$379,4,FALSE)</f>
        <v>0</v>
      </c>
      <c r="N76" s="8"/>
      <c r="O76" s="7">
        <f>VLOOKUP(N76,'Win Methods'!$C$4:$F$379,4,FALSE)</f>
        <v>0</v>
      </c>
      <c r="P76" s="8"/>
      <c r="Q76" s="7">
        <f>VLOOKUP(P76,'Win Methods'!$C$4:$F$379,4,FALSE)</f>
        <v>0</v>
      </c>
      <c r="R76" s="8"/>
      <c r="S76" s="7">
        <f>VLOOKUP(R76,'Win Methods'!$C$4:$F$379,4,FALSE)</f>
        <v>0</v>
      </c>
      <c r="T76" s="8"/>
      <c r="U76" s="7">
        <f>VLOOKUP(T76,'Win Methods'!$C$4:$F$379,4,FALSE)</f>
        <v>0</v>
      </c>
      <c r="V76" s="8"/>
      <c r="W76" s="7">
        <f>VLOOKUP(V76,'Win Methods'!$C$4:$F$379,4,FALSE)</f>
        <v>0</v>
      </c>
      <c r="X76" s="117" t="str">
        <f t="shared" si="3"/>
        <v>freeplayA-19|||||||||</v>
      </c>
    </row>
    <row r="77" spans="2:24">
      <c r="B77" s="116">
        <v>74</v>
      </c>
      <c r="C77" s="7">
        <f t="shared" si="2"/>
        <v>10</v>
      </c>
      <c r="D77" s="107" t="s">
        <v>88</v>
      </c>
      <c r="E77" s="7">
        <f>VLOOKUP(D77,'Win Methods'!$C$4:$F$379,4,FALSE)</f>
        <v>10</v>
      </c>
      <c r="F77" s="8"/>
      <c r="G77" s="7">
        <f>VLOOKUP(F77,'Win Methods'!$C$4:$F$379,4,FALSE)</f>
        <v>0</v>
      </c>
      <c r="H77" s="8"/>
      <c r="I77" s="7">
        <f>VLOOKUP(H77,'Win Methods'!$C$4:$F$379,4,FALSE)</f>
        <v>0</v>
      </c>
      <c r="J77" s="8"/>
      <c r="K77" s="7">
        <f>VLOOKUP(J77,'Win Methods'!$C$4:$F$379,4,FALSE)</f>
        <v>0</v>
      </c>
      <c r="L77" s="8"/>
      <c r="M77" s="7">
        <f>VLOOKUP(L77,'Win Methods'!$C$4:$F$379,4,FALSE)</f>
        <v>0</v>
      </c>
      <c r="N77" s="8"/>
      <c r="O77" s="7">
        <f>VLOOKUP(N77,'Win Methods'!$C$4:$F$379,4,FALSE)</f>
        <v>0</v>
      </c>
      <c r="P77" s="8"/>
      <c r="Q77" s="7">
        <f>VLOOKUP(P77,'Win Methods'!$C$4:$F$379,4,FALSE)</f>
        <v>0</v>
      </c>
      <c r="R77" s="8"/>
      <c r="S77" s="7">
        <f>VLOOKUP(R77,'Win Methods'!$C$4:$F$379,4,FALSE)</f>
        <v>0</v>
      </c>
      <c r="T77" s="8"/>
      <c r="U77" s="7">
        <f>VLOOKUP(T77,'Win Methods'!$C$4:$F$379,4,FALSE)</f>
        <v>0</v>
      </c>
      <c r="V77" s="8"/>
      <c r="W77" s="7">
        <f>VLOOKUP(V77,'Win Methods'!$C$4:$F$379,4,FALSE)</f>
        <v>0</v>
      </c>
      <c r="X77" s="117" t="str">
        <f t="shared" si="3"/>
        <v>freeplayA-20|||||||||</v>
      </c>
    </row>
    <row r="78" spans="2:24">
      <c r="B78" s="116">
        <v>75</v>
      </c>
      <c r="C78" s="7">
        <f t="shared" si="2"/>
        <v>20</v>
      </c>
      <c r="D78" s="107" t="s">
        <v>89</v>
      </c>
      <c r="E78" s="7">
        <f>VLOOKUP(D78,'Win Methods'!$C$4:$F$379,4,FALSE)</f>
        <v>20</v>
      </c>
      <c r="F78" s="8"/>
      <c r="G78" s="7">
        <f>VLOOKUP(F78,'Win Methods'!$C$4:$F$379,4,FALSE)</f>
        <v>0</v>
      </c>
      <c r="H78" s="8"/>
      <c r="I78" s="7">
        <f>VLOOKUP(H78,'Win Methods'!$C$4:$F$379,4,FALSE)</f>
        <v>0</v>
      </c>
      <c r="J78" s="8"/>
      <c r="K78" s="7">
        <f>VLOOKUP(J78,'Win Methods'!$C$4:$F$379,4,FALSE)</f>
        <v>0</v>
      </c>
      <c r="L78" s="8"/>
      <c r="M78" s="7">
        <f>VLOOKUP(L78,'Win Methods'!$C$4:$F$379,4,FALSE)</f>
        <v>0</v>
      </c>
      <c r="N78" s="8"/>
      <c r="O78" s="7">
        <f>VLOOKUP(N78,'Win Methods'!$C$4:$F$379,4,FALSE)</f>
        <v>0</v>
      </c>
      <c r="P78" s="8"/>
      <c r="Q78" s="7">
        <f>VLOOKUP(P78,'Win Methods'!$C$4:$F$379,4,FALSE)</f>
        <v>0</v>
      </c>
      <c r="R78" s="8"/>
      <c r="S78" s="7">
        <f>VLOOKUP(R78,'Win Methods'!$C$4:$F$379,4,FALSE)</f>
        <v>0</v>
      </c>
      <c r="T78" s="8"/>
      <c r="U78" s="7">
        <f>VLOOKUP(T78,'Win Methods'!$C$4:$F$379,4,FALSE)</f>
        <v>0</v>
      </c>
      <c r="V78" s="8"/>
      <c r="W78" s="7">
        <f>VLOOKUP(V78,'Win Methods'!$C$4:$F$379,4,FALSE)</f>
        <v>0</v>
      </c>
      <c r="X78" s="117" t="str">
        <f t="shared" si="3"/>
        <v>freeplayA-21|||||||||</v>
      </c>
    </row>
    <row r="79" spans="2:24">
      <c r="B79" s="116">
        <v>76</v>
      </c>
      <c r="C79" s="7">
        <f t="shared" si="2"/>
        <v>3.2</v>
      </c>
      <c r="D79" s="107" t="s">
        <v>90</v>
      </c>
      <c r="E79" s="7">
        <f>VLOOKUP(D79,'Win Methods'!$C$4:$F$379,4,FALSE)</f>
        <v>3.2</v>
      </c>
      <c r="F79" s="8"/>
      <c r="G79" s="7">
        <f>VLOOKUP(F79,'Win Methods'!$C$4:$F$379,4,FALSE)</f>
        <v>0</v>
      </c>
      <c r="H79" s="8"/>
      <c r="I79" s="7">
        <f>VLOOKUP(H79,'Win Methods'!$C$4:$F$379,4,FALSE)</f>
        <v>0</v>
      </c>
      <c r="J79" s="8"/>
      <c r="K79" s="7">
        <f>VLOOKUP(J79,'Win Methods'!$C$4:$F$379,4,FALSE)</f>
        <v>0</v>
      </c>
      <c r="L79" s="8"/>
      <c r="M79" s="7">
        <f>VLOOKUP(L79,'Win Methods'!$C$4:$F$379,4,FALSE)</f>
        <v>0</v>
      </c>
      <c r="N79" s="8"/>
      <c r="O79" s="7">
        <f>VLOOKUP(N79,'Win Methods'!$C$4:$F$379,4,FALSE)</f>
        <v>0</v>
      </c>
      <c r="P79" s="8"/>
      <c r="Q79" s="7">
        <f>VLOOKUP(P79,'Win Methods'!$C$4:$F$379,4,FALSE)</f>
        <v>0</v>
      </c>
      <c r="R79" s="8"/>
      <c r="S79" s="7">
        <f>VLOOKUP(R79,'Win Methods'!$C$4:$F$379,4,FALSE)</f>
        <v>0</v>
      </c>
      <c r="T79" s="8"/>
      <c r="U79" s="7">
        <f>VLOOKUP(T79,'Win Methods'!$C$4:$F$379,4,FALSE)</f>
        <v>0</v>
      </c>
      <c r="V79" s="8"/>
      <c r="W79" s="7">
        <f>VLOOKUP(V79,'Win Methods'!$C$4:$F$379,4,FALSE)</f>
        <v>0</v>
      </c>
      <c r="X79" s="117" t="str">
        <f t="shared" si="3"/>
        <v>freeplayA-22|||||||||</v>
      </c>
    </row>
    <row r="80" spans="2:24">
      <c r="B80" s="116">
        <v>77</v>
      </c>
      <c r="C80" s="7">
        <f t="shared" si="2"/>
        <v>20</v>
      </c>
      <c r="D80" s="107" t="s">
        <v>91</v>
      </c>
      <c r="E80" s="7">
        <f>VLOOKUP(D80,'Win Methods'!$C$4:$F$379,4,FALSE)</f>
        <v>20</v>
      </c>
      <c r="F80" s="8"/>
      <c r="G80" s="7">
        <f>VLOOKUP(F80,'Win Methods'!$C$4:$F$379,4,FALSE)</f>
        <v>0</v>
      </c>
      <c r="H80" s="8"/>
      <c r="I80" s="7">
        <f>VLOOKUP(H80,'Win Methods'!$C$4:$F$379,4,FALSE)</f>
        <v>0</v>
      </c>
      <c r="J80" s="8"/>
      <c r="K80" s="7">
        <f>VLOOKUP(J80,'Win Methods'!$C$4:$F$379,4,FALSE)</f>
        <v>0</v>
      </c>
      <c r="L80" s="8"/>
      <c r="M80" s="7">
        <f>VLOOKUP(L80,'Win Methods'!$C$4:$F$379,4,FALSE)</f>
        <v>0</v>
      </c>
      <c r="N80" s="8"/>
      <c r="O80" s="7">
        <f>VLOOKUP(N80,'Win Methods'!$C$4:$F$379,4,FALSE)</f>
        <v>0</v>
      </c>
      <c r="P80" s="8"/>
      <c r="Q80" s="7">
        <f>VLOOKUP(P80,'Win Methods'!$C$4:$F$379,4,FALSE)</f>
        <v>0</v>
      </c>
      <c r="R80" s="8"/>
      <c r="S80" s="7">
        <f>VLOOKUP(R80,'Win Methods'!$C$4:$F$379,4,FALSE)</f>
        <v>0</v>
      </c>
      <c r="T80" s="8"/>
      <c r="U80" s="7">
        <f>VLOOKUP(T80,'Win Methods'!$C$4:$F$379,4,FALSE)</f>
        <v>0</v>
      </c>
      <c r="V80" s="8"/>
      <c r="W80" s="7">
        <f>VLOOKUP(V80,'Win Methods'!$C$4:$F$379,4,FALSE)</f>
        <v>0</v>
      </c>
      <c r="X80" s="117" t="str">
        <f t="shared" si="3"/>
        <v>freeplayA-23|||||||||</v>
      </c>
    </row>
    <row r="81" spans="2:24">
      <c r="B81" s="116">
        <v>78</v>
      </c>
      <c r="C81" s="7">
        <f t="shared" si="2"/>
        <v>11.2</v>
      </c>
      <c r="D81" s="107" t="s">
        <v>92</v>
      </c>
      <c r="E81" s="7">
        <f>VLOOKUP(D81,'Win Methods'!$C$4:$F$379,4,FALSE)</f>
        <v>11.2</v>
      </c>
      <c r="F81" s="8"/>
      <c r="G81" s="7">
        <f>VLOOKUP(F81,'Win Methods'!$C$4:$F$379,4,FALSE)</f>
        <v>0</v>
      </c>
      <c r="H81" s="8"/>
      <c r="I81" s="7">
        <f>VLOOKUP(H81,'Win Methods'!$C$4:$F$379,4,FALSE)</f>
        <v>0</v>
      </c>
      <c r="J81" s="8"/>
      <c r="K81" s="7">
        <f>VLOOKUP(J81,'Win Methods'!$C$4:$F$379,4,FALSE)</f>
        <v>0</v>
      </c>
      <c r="L81" s="8"/>
      <c r="M81" s="7">
        <f>VLOOKUP(L81,'Win Methods'!$C$4:$F$379,4,FALSE)</f>
        <v>0</v>
      </c>
      <c r="N81" s="8"/>
      <c r="O81" s="7">
        <f>VLOOKUP(N81,'Win Methods'!$C$4:$F$379,4,FALSE)</f>
        <v>0</v>
      </c>
      <c r="P81" s="8"/>
      <c r="Q81" s="7">
        <f>VLOOKUP(P81,'Win Methods'!$C$4:$F$379,4,FALSE)</f>
        <v>0</v>
      </c>
      <c r="R81" s="8"/>
      <c r="S81" s="7">
        <f>VLOOKUP(R81,'Win Methods'!$C$4:$F$379,4,FALSE)</f>
        <v>0</v>
      </c>
      <c r="T81" s="8"/>
      <c r="U81" s="7">
        <f>VLOOKUP(T81,'Win Methods'!$C$4:$F$379,4,FALSE)</f>
        <v>0</v>
      </c>
      <c r="V81" s="8"/>
      <c r="W81" s="7">
        <f>VLOOKUP(V81,'Win Methods'!$C$4:$F$379,4,FALSE)</f>
        <v>0</v>
      </c>
      <c r="X81" s="117" t="str">
        <f t="shared" si="3"/>
        <v>freeplayA-24|||||||||</v>
      </c>
    </row>
    <row r="82" spans="2:24">
      <c r="B82" s="116">
        <v>79</v>
      </c>
      <c r="C82" s="7">
        <f t="shared" si="2"/>
        <v>5</v>
      </c>
      <c r="D82" s="107" t="s">
        <v>93</v>
      </c>
      <c r="E82" s="7">
        <f>VLOOKUP(D82,'Win Methods'!$C$4:$F$379,4,FALSE)</f>
        <v>5</v>
      </c>
      <c r="F82" s="8"/>
      <c r="G82" s="7">
        <f>VLOOKUP(F82,'Win Methods'!$C$4:$F$379,4,FALSE)</f>
        <v>0</v>
      </c>
      <c r="H82" s="8"/>
      <c r="I82" s="7">
        <f>VLOOKUP(H82,'Win Methods'!$C$4:$F$379,4,FALSE)</f>
        <v>0</v>
      </c>
      <c r="J82" s="8"/>
      <c r="K82" s="7">
        <f>VLOOKUP(J82,'Win Methods'!$C$4:$F$379,4,FALSE)</f>
        <v>0</v>
      </c>
      <c r="L82" s="8"/>
      <c r="M82" s="7">
        <f>VLOOKUP(L82,'Win Methods'!$C$4:$F$379,4,FALSE)</f>
        <v>0</v>
      </c>
      <c r="N82" s="8"/>
      <c r="O82" s="7">
        <f>VLOOKUP(N82,'Win Methods'!$C$4:$F$379,4,FALSE)</f>
        <v>0</v>
      </c>
      <c r="P82" s="8"/>
      <c r="Q82" s="7">
        <f>VLOOKUP(P82,'Win Methods'!$C$4:$F$379,4,FALSE)</f>
        <v>0</v>
      </c>
      <c r="R82" s="8"/>
      <c r="S82" s="7">
        <f>VLOOKUP(R82,'Win Methods'!$C$4:$F$379,4,FALSE)</f>
        <v>0</v>
      </c>
      <c r="T82" s="8"/>
      <c r="U82" s="7">
        <f>VLOOKUP(T82,'Win Methods'!$C$4:$F$379,4,FALSE)</f>
        <v>0</v>
      </c>
      <c r="V82" s="8"/>
      <c r="W82" s="7">
        <f>VLOOKUP(V82,'Win Methods'!$C$4:$F$379,4,FALSE)</f>
        <v>0</v>
      </c>
      <c r="X82" s="117" t="str">
        <f t="shared" si="3"/>
        <v>freeplayA-25|||||||||</v>
      </c>
    </row>
    <row r="83" spans="2:24">
      <c r="B83" s="116">
        <v>80</v>
      </c>
      <c r="C83" s="7">
        <f t="shared" si="2"/>
        <v>5</v>
      </c>
      <c r="D83" s="107" t="s">
        <v>94</v>
      </c>
      <c r="E83" s="7">
        <f>VLOOKUP(D83,'Win Methods'!$C$4:$F$379,4,FALSE)</f>
        <v>5</v>
      </c>
      <c r="F83" s="8"/>
      <c r="G83" s="7">
        <f>VLOOKUP(F83,'Win Methods'!$C$4:$F$379,4,FALSE)</f>
        <v>0</v>
      </c>
      <c r="H83" s="8"/>
      <c r="I83" s="7">
        <f>VLOOKUP(H83,'Win Methods'!$C$4:$F$379,4,FALSE)</f>
        <v>0</v>
      </c>
      <c r="J83" s="8"/>
      <c r="K83" s="7">
        <f>VLOOKUP(J83,'Win Methods'!$C$4:$F$379,4,FALSE)</f>
        <v>0</v>
      </c>
      <c r="L83" s="8"/>
      <c r="M83" s="7">
        <f>VLOOKUP(L83,'Win Methods'!$C$4:$F$379,4,FALSE)</f>
        <v>0</v>
      </c>
      <c r="N83" s="8"/>
      <c r="O83" s="7">
        <f>VLOOKUP(N83,'Win Methods'!$C$4:$F$379,4,FALSE)</f>
        <v>0</v>
      </c>
      <c r="P83" s="8"/>
      <c r="Q83" s="7">
        <f>VLOOKUP(P83,'Win Methods'!$C$4:$F$379,4,FALSE)</f>
        <v>0</v>
      </c>
      <c r="R83" s="8"/>
      <c r="S83" s="7">
        <f>VLOOKUP(R83,'Win Methods'!$C$4:$F$379,4,FALSE)</f>
        <v>0</v>
      </c>
      <c r="T83" s="8"/>
      <c r="U83" s="7">
        <f>VLOOKUP(T83,'Win Methods'!$C$4:$F$379,4,FALSE)</f>
        <v>0</v>
      </c>
      <c r="V83" s="8"/>
      <c r="W83" s="7">
        <f>VLOOKUP(V83,'Win Methods'!$C$4:$F$379,4,FALSE)</f>
        <v>0</v>
      </c>
      <c r="X83" s="117" t="str">
        <f t="shared" si="3"/>
        <v>freeplayA-26|||||||||</v>
      </c>
    </row>
    <row r="84" spans="2:24">
      <c r="B84" s="116">
        <v>81</v>
      </c>
      <c r="C84" s="7">
        <f t="shared" si="2"/>
        <v>0.5</v>
      </c>
      <c r="D84" s="107" t="s">
        <v>95</v>
      </c>
      <c r="E84" s="7">
        <f>VLOOKUP(D84,'Win Methods'!$C$4:$F$379,4,FALSE)</f>
        <v>0.5</v>
      </c>
      <c r="F84" s="8"/>
      <c r="G84" s="7">
        <f>VLOOKUP(F84,'Win Methods'!$C$4:$F$379,4,FALSE)</f>
        <v>0</v>
      </c>
      <c r="H84" s="8"/>
      <c r="I84" s="7">
        <f>VLOOKUP(H84,'Win Methods'!$C$4:$F$379,4,FALSE)</f>
        <v>0</v>
      </c>
      <c r="J84" s="8"/>
      <c r="K84" s="7">
        <f>VLOOKUP(J84,'Win Methods'!$C$4:$F$379,4,FALSE)</f>
        <v>0</v>
      </c>
      <c r="L84" s="8"/>
      <c r="M84" s="7">
        <f>VLOOKUP(L84,'Win Methods'!$C$4:$F$379,4,FALSE)</f>
        <v>0</v>
      </c>
      <c r="N84" s="8"/>
      <c r="O84" s="7">
        <f>VLOOKUP(N84,'Win Methods'!$C$4:$F$379,4,FALSE)</f>
        <v>0</v>
      </c>
      <c r="P84" s="8"/>
      <c r="Q84" s="7">
        <f>VLOOKUP(P84,'Win Methods'!$C$4:$F$379,4,FALSE)</f>
        <v>0</v>
      </c>
      <c r="R84" s="8"/>
      <c r="S84" s="7">
        <f>VLOOKUP(R84,'Win Methods'!$C$4:$F$379,4,FALSE)</f>
        <v>0</v>
      </c>
      <c r="T84" s="8"/>
      <c r="U84" s="7">
        <f>VLOOKUP(T84,'Win Methods'!$C$4:$F$379,4,FALSE)</f>
        <v>0</v>
      </c>
      <c r="V84" s="8"/>
      <c r="W84" s="7">
        <f>VLOOKUP(V84,'Win Methods'!$C$4:$F$379,4,FALSE)</f>
        <v>0</v>
      </c>
      <c r="X84" s="117" t="str">
        <f t="shared" si="3"/>
        <v>freeplayA-27|||||||||</v>
      </c>
    </row>
    <row r="85" spans="2:24">
      <c r="B85" s="116">
        <v>82</v>
      </c>
      <c r="C85" s="7">
        <f t="shared" si="2"/>
        <v>3.1</v>
      </c>
      <c r="D85" s="107" t="s">
        <v>96</v>
      </c>
      <c r="E85" s="7">
        <f>VLOOKUP(D85,'Win Methods'!$C$4:$F$379,4,FALSE)</f>
        <v>3.1</v>
      </c>
      <c r="F85" s="8"/>
      <c r="G85" s="7">
        <f>VLOOKUP(F85,'Win Methods'!$C$4:$F$379,4,FALSE)</f>
        <v>0</v>
      </c>
      <c r="H85" s="8"/>
      <c r="I85" s="7">
        <f>VLOOKUP(H85,'Win Methods'!$C$4:$F$379,4,FALSE)</f>
        <v>0</v>
      </c>
      <c r="J85" s="8"/>
      <c r="K85" s="7">
        <f>VLOOKUP(J85,'Win Methods'!$C$4:$F$379,4,FALSE)</f>
        <v>0</v>
      </c>
      <c r="L85" s="8"/>
      <c r="M85" s="7">
        <f>VLOOKUP(L85,'Win Methods'!$C$4:$F$379,4,FALSE)</f>
        <v>0</v>
      </c>
      <c r="N85" s="8"/>
      <c r="O85" s="7">
        <f>VLOOKUP(N85,'Win Methods'!$C$4:$F$379,4,FALSE)</f>
        <v>0</v>
      </c>
      <c r="P85" s="8"/>
      <c r="Q85" s="7">
        <f>VLOOKUP(P85,'Win Methods'!$C$4:$F$379,4,FALSE)</f>
        <v>0</v>
      </c>
      <c r="R85" s="8"/>
      <c r="S85" s="7">
        <f>VLOOKUP(R85,'Win Methods'!$C$4:$F$379,4,FALSE)</f>
        <v>0</v>
      </c>
      <c r="T85" s="8"/>
      <c r="U85" s="7">
        <f>VLOOKUP(T85,'Win Methods'!$C$4:$F$379,4,FALSE)</f>
        <v>0</v>
      </c>
      <c r="V85" s="8"/>
      <c r="W85" s="7">
        <f>VLOOKUP(V85,'Win Methods'!$C$4:$F$379,4,FALSE)</f>
        <v>0</v>
      </c>
      <c r="X85" s="117" t="str">
        <f t="shared" si="3"/>
        <v>freeplayA-28|||||||||</v>
      </c>
    </row>
    <row r="86" spans="2:24">
      <c r="B86" s="116">
        <v>83</v>
      </c>
      <c r="C86" s="7">
        <f t="shared" si="2"/>
        <v>2</v>
      </c>
      <c r="D86" s="107" t="s">
        <v>97</v>
      </c>
      <c r="E86" s="7">
        <f>VLOOKUP(D86,'Win Methods'!$C$4:$F$379,4,FALSE)</f>
        <v>2</v>
      </c>
      <c r="F86" s="8"/>
      <c r="G86" s="7">
        <f>VLOOKUP(F86,'Win Methods'!$C$4:$F$379,4,FALSE)</f>
        <v>0</v>
      </c>
      <c r="H86" s="8"/>
      <c r="I86" s="7">
        <f>VLOOKUP(H86,'Win Methods'!$C$4:$F$379,4,FALSE)</f>
        <v>0</v>
      </c>
      <c r="J86" s="8"/>
      <c r="K86" s="7">
        <f>VLOOKUP(J86,'Win Methods'!$C$4:$F$379,4,FALSE)</f>
        <v>0</v>
      </c>
      <c r="L86" s="8"/>
      <c r="M86" s="7">
        <f>VLOOKUP(L86,'Win Methods'!$C$4:$F$379,4,FALSE)</f>
        <v>0</v>
      </c>
      <c r="N86" s="8"/>
      <c r="O86" s="7">
        <f>VLOOKUP(N86,'Win Methods'!$C$4:$F$379,4,FALSE)</f>
        <v>0</v>
      </c>
      <c r="P86" s="8"/>
      <c r="Q86" s="7">
        <f>VLOOKUP(P86,'Win Methods'!$C$4:$F$379,4,FALSE)</f>
        <v>0</v>
      </c>
      <c r="R86" s="8"/>
      <c r="S86" s="7">
        <f>VLOOKUP(R86,'Win Methods'!$C$4:$F$379,4,FALSE)</f>
        <v>0</v>
      </c>
      <c r="T86" s="8"/>
      <c r="U86" s="7">
        <f>VLOOKUP(T86,'Win Methods'!$C$4:$F$379,4,FALSE)</f>
        <v>0</v>
      </c>
      <c r="V86" s="8"/>
      <c r="W86" s="7">
        <f>VLOOKUP(V86,'Win Methods'!$C$4:$F$379,4,FALSE)</f>
        <v>0</v>
      </c>
      <c r="X86" s="117" t="str">
        <f t="shared" si="3"/>
        <v>freeplayA-29|||||||||</v>
      </c>
    </row>
    <row r="87" spans="2:24">
      <c r="B87" s="116">
        <v>84</v>
      </c>
      <c r="C87" s="7">
        <f t="shared" si="2"/>
        <v>0.1</v>
      </c>
      <c r="D87" s="107" t="s">
        <v>98</v>
      </c>
      <c r="E87" s="7">
        <f>VLOOKUP(D87,'Win Methods'!$C$4:$F$379,4,FALSE)</f>
        <v>0.1</v>
      </c>
      <c r="F87" s="8"/>
      <c r="G87" s="7">
        <f>VLOOKUP(F87,'Win Methods'!$C$4:$F$379,4,FALSE)</f>
        <v>0</v>
      </c>
      <c r="H87" s="8"/>
      <c r="I87" s="7">
        <f>VLOOKUP(H87,'Win Methods'!$C$4:$F$379,4,FALSE)</f>
        <v>0</v>
      </c>
      <c r="J87" s="8"/>
      <c r="K87" s="7">
        <f>VLOOKUP(J87,'Win Methods'!$C$4:$F$379,4,FALSE)</f>
        <v>0</v>
      </c>
      <c r="L87" s="8"/>
      <c r="M87" s="7">
        <f>VLOOKUP(L87,'Win Methods'!$C$4:$F$379,4,FALSE)</f>
        <v>0</v>
      </c>
      <c r="N87" s="8"/>
      <c r="O87" s="7">
        <f>VLOOKUP(N87,'Win Methods'!$C$4:$F$379,4,FALSE)</f>
        <v>0</v>
      </c>
      <c r="P87" s="8"/>
      <c r="Q87" s="7">
        <f>VLOOKUP(P87,'Win Methods'!$C$4:$F$379,4,FALSE)</f>
        <v>0</v>
      </c>
      <c r="R87" s="8"/>
      <c r="S87" s="7">
        <f>VLOOKUP(R87,'Win Methods'!$C$4:$F$379,4,FALSE)</f>
        <v>0</v>
      </c>
      <c r="T87" s="8"/>
      <c r="U87" s="7">
        <f>VLOOKUP(T87,'Win Methods'!$C$4:$F$379,4,FALSE)</f>
        <v>0</v>
      </c>
      <c r="V87" s="8"/>
      <c r="W87" s="7">
        <f>VLOOKUP(V87,'Win Methods'!$C$4:$F$379,4,FALSE)</f>
        <v>0</v>
      </c>
      <c r="X87" s="117" t="str">
        <f t="shared" si="3"/>
        <v>freeplayA-30|||||||||</v>
      </c>
    </row>
    <row r="88" spans="2:24">
      <c r="B88" s="116">
        <v>85</v>
      </c>
      <c r="C88" s="7">
        <f t="shared" si="2"/>
        <v>10</v>
      </c>
      <c r="D88" s="107" t="s">
        <v>99</v>
      </c>
      <c r="E88" s="7">
        <f>VLOOKUP(D88,'Win Methods'!$C$4:$F$379,4,FALSE)</f>
        <v>10</v>
      </c>
      <c r="F88" s="8"/>
      <c r="G88" s="7">
        <f>VLOOKUP(F88,'Win Methods'!$C$4:$F$379,4,FALSE)</f>
        <v>0</v>
      </c>
      <c r="H88" s="8"/>
      <c r="I88" s="7">
        <f>VLOOKUP(H88,'Win Methods'!$C$4:$F$379,4,FALSE)</f>
        <v>0</v>
      </c>
      <c r="J88" s="8"/>
      <c r="K88" s="7">
        <f>VLOOKUP(J88,'Win Methods'!$C$4:$F$379,4,FALSE)</f>
        <v>0</v>
      </c>
      <c r="L88" s="8"/>
      <c r="M88" s="7">
        <f>VLOOKUP(L88,'Win Methods'!$C$4:$F$379,4,FALSE)</f>
        <v>0</v>
      </c>
      <c r="N88" s="8"/>
      <c r="O88" s="7">
        <f>VLOOKUP(N88,'Win Methods'!$C$4:$F$379,4,FALSE)</f>
        <v>0</v>
      </c>
      <c r="P88" s="8"/>
      <c r="Q88" s="7">
        <f>VLOOKUP(P88,'Win Methods'!$C$4:$F$379,4,FALSE)</f>
        <v>0</v>
      </c>
      <c r="R88" s="8"/>
      <c r="S88" s="7">
        <f>VLOOKUP(R88,'Win Methods'!$C$4:$F$379,4,FALSE)</f>
        <v>0</v>
      </c>
      <c r="T88" s="8"/>
      <c r="U88" s="7">
        <f>VLOOKUP(T88,'Win Methods'!$C$4:$F$379,4,FALSE)</f>
        <v>0</v>
      </c>
      <c r="V88" s="8"/>
      <c r="W88" s="7">
        <f>VLOOKUP(V88,'Win Methods'!$C$4:$F$379,4,FALSE)</f>
        <v>0</v>
      </c>
      <c r="X88" s="117" t="str">
        <f t="shared" si="3"/>
        <v>freeplayA-31|||||||||</v>
      </c>
    </row>
    <row r="89" spans="2:24">
      <c r="B89" s="116">
        <v>86</v>
      </c>
      <c r="C89" s="7">
        <f t="shared" si="2"/>
        <v>0.1</v>
      </c>
      <c r="D89" s="107" t="s">
        <v>100</v>
      </c>
      <c r="E89" s="7">
        <f>VLOOKUP(D89,'Win Methods'!$C$4:$F$379,4,FALSE)</f>
        <v>0.1</v>
      </c>
      <c r="F89" s="8"/>
      <c r="G89" s="7">
        <f>VLOOKUP(F89,'Win Methods'!$C$4:$F$379,4,FALSE)</f>
        <v>0</v>
      </c>
      <c r="H89" s="8"/>
      <c r="I89" s="7">
        <f>VLOOKUP(H89,'Win Methods'!$C$4:$F$379,4,FALSE)</f>
        <v>0</v>
      </c>
      <c r="J89" s="8"/>
      <c r="K89" s="7">
        <f>VLOOKUP(J89,'Win Methods'!$C$4:$F$379,4,FALSE)</f>
        <v>0</v>
      </c>
      <c r="L89" s="8"/>
      <c r="M89" s="7">
        <f>VLOOKUP(L89,'Win Methods'!$C$4:$F$379,4,FALSE)</f>
        <v>0</v>
      </c>
      <c r="N89" s="8"/>
      <c r="O89" s="7">
        <f>VLOOKUP(N89,'Win Methods'!$C$4:$F$379,4,FALSE)</f>
        <v>0</v>
      </c>
      <c r="P89" s="8"/>
      <c r="Q89" s="7">
        <f>VLOOKUP(P89,'Win Methods'!$C$4:$F$379,4,FALSE)</f>
        <v>0</v>
      </c>
      <c r="R89" s="8"/>
      <c r="S89" s="7">
        <f>VLOOKUP(R89,'Win Methods'!$C$4:$F$379,4,FALSE)</f>
        <v>0</v>
      </c>
      <c r="T89" s="8"/>
      <c r="U89" s="7">
        <f>VLOOKUP(T89,'Win Methods'!$C$4:$F$379,4,FALSE)</f>
        <v>0</v>
      </c>
      <c r="V89" s="8"/>
      <c r="W89" s="7">
        <f>VLOOKUP(V89,'Win Methods'!$C$4:$F$379,4,FALSE)</f>
        <v>0</v>
      </c>
      <c r="X89" s="117" t="str">
        <f t="shared" si="3"/>
        <v>freeplayA-32|||||||||</v>
      </c>
    </row>
    <row r="90" spans="2:24">
      <c r="B90" s="116">
        <v>87</v>
      </c>
      <c r="C90" s="7">
        <f t="shared" si="2"/>
        <v>5</v>
      </c>
      <c r="D90" s="107" t="s">
        <v>101</v>
      </c>
      <c r="E90" s="7">
        <f>VLOOKUP(D90,'Win Methods'!$C$4:$F$379,4,FALSE)</f>
        <v>5</v>
      </c>
      <c r="F90" s="8"/>
      <c r="G90" s="7">
        <f>VLOOKUP(F90,'Win Methods'!$C$4:$F$379,4,FALSE)</f>
        <v>0</v>
      </c>
      <c r="H90" s="8"/>
      <c r="I90" s="7">
        <f>VLOOKUP(H90,'Win Methods'!$C$4:$F$379,4,FALSE)</f>
        <v>0</v>
      </c>
      <c r="J90" s="8"/>
      <c r="K90" s="7">
        <f>VLOOKUP(J90,'Win Methods'!$C$4:$F$379,4,FALSE)</f>
        <v>0</v>
      </c>
      <c r="L90" s="8"/>
      <c r="M90" s="7">
        <f>VLOOKUP(L90,'Win Methods'!$C$4:$F$379,4,FALSE)</f>
        <v>0</v>
      </c>
      <c r="N90" s="8"/>
      <c r="O90" s="7">
        <f>VLOOKUP(N90,'Win Methods'!$C$4:$F$379,4,FALSE)</f>
        <v>0</v>
      </c>
      <c r="P90" s="8"/>
      <c r="Q90" s="7">
        <f>VLOOKUP(P90,'Win Methods'!$C$4:$F$379,4,FALSE)</f>
        <v>0</v>
      </c>
      <c r="R90" s="8"/>
      <c r="S90" s="7">
        <f>VLOOKUP(R90,'Win Methods'!$C$4:$F$379,4,FALSE)</f>
        <v>0</v>
      </c>
      <c r="T90" s="8"/>
      <c r="U90" s="7">
        <f>VLOOKUP(T90,'Win Methods'!$C$4:$F$379,4,FALSE)</f>
        <v>0</v>
      </c>
      <c r="V90" s="8"/>
      <c r="W90" s="7">
        <f>VLOOKUP(V90,'Win Methods'!$C$4:$F$379,4,FALSE)</f>
        <v>0</v>
      </c>
      <c r="X90" s="117" t="str">
        <f t="shared" si="3"/>
        <v>freeplayA-33|||||||||</v>
      </c>
    </row>
    <row r="91" spans="2:24">
      <c r="B91" s="116">
        <v>88</v>
      </c>
      <c r="C91" s="7">
        <f t="shared" si="2"/>
        <v>20</v>
      </c>
      <c r="D91" s="107" t="s">
        <v>102</v>
      </c>
      <c r="E91" s="7">
        <f>VLOOKUP(D91,'Win Methods'!$C$4:$F$379,4,FALSE)</f>
        <v>20</v>
      </c>
      <c r="F91" s="8"/>
      <c r="G91" s="7">
        <f>VLOOKUP(F91,'Win Methods'!$C$4:$F$379,4,FALSE)</f>
        <v>0</v>
      </c>
      <c r="H91" s="8"/>
      <c r="I91" s="7">
        <f>VLOOKUP(H91,'Win Methods'!$C$4:$F$379,4,FALSE)</f>
        <v>0</v>
      </c>
      <c r="J91" s="8"/>
      <c r="K91" s="7">
        <f>VLOOKUP(J91,'Win Methods'!$C$4:$F$379,4,FALSE)</f>
        <v>0</v>
      </c>
      <c r="L91" s="8"/>
      <c r="M91" s="7">
        <f>VLOOKUP(L91,'Win Methods'!$C$4:$F$379,4,FALSE)</f>
        <v>0</v>
      </c>
      <c r="N91" s="8"/>
      <c r="O91" s="7">
        <f>VLOOKUP(N91,'Win Methods'!$C$4:$F$379,4,FALSE)</f>
        <v>0</v>
      </c>
      <c r="P91" s="8"/>
      <c r="Q91" s="7">
        <f>VLOOKUP(P91,'Win Methods'!$C$4:$F$379,4,FALSE)</f>
        <v>0</v>
      </c>
      <c r="R91" s="8"/>
      <c r="S91" s="7">
        <f>VLOOKUP(R91,'Win Methods'!$C$4:$F$379,4,FALSE)</f>
        <v>0</v>
      </c>
      <c r="T91" s="8"/>
      <c r="U91" s="7">
        <f>VLOOKUP(T91,'Win Methods'!$C$4:$F$379,4,FALSE)</f>
        <v>0</v>
      </c>
      <c r="V91" s="8"/>
      <c r="W91" s="7">
        <f>VLOOKUP(V91,'Win Methods'!$C$4:$F$379,4,FALSE)</f>
        <v>0</v>
      </c>
      <c r="X91" s="117" t="str">
        <f t="shared" si="3"/>
        <v>freeplayA-34|||||||||</v>
      </c>
    </row>
    <row r="92" spans="2:24">
      <c r="B92" s="116">
        <v>89</v>
      </c>
      <c r="C92" s="7">
        <f t="shared" si="2"/>
        <v>0.2</v>
      </c>
      <c r="D92" s="107" t="s">
        <v>104</v>
      </c>
      <c r="E92" s="7">
        <f>VLOOKUP(D92,'Win Methods'!$C$4:$F$379,4,FALSE)</f>
        <v>0.2</v>
      </c>
      <c r="F92" s="8"/>
      <c r="G92" s="7">
        <f>VLOOKUP(F92,'Win Methods'!$C$4:$F$379,4,FALSE)</f>
        <v>0</v>
      </c>
      <c r="H92" s="8"/>
      <c r="I92" s="7">
        <f>VLOOKUP(H92,'Win Methods'!$C$4:$F$379,4,FALSE)</f>
        <v>0</v>
      </c>
      <c r="J92" s="8"/>
      <c r="K92" s="7">
        <f>VLOOKUP(J92,'Win Methods'!$C$4:$F$379,4,FALSE)</f>
        <v>0</v>
      </c>
      <c r="L92" s="8"/>
      <c r="M92" s="7">
        <f>VLOOKUP(L92,'Win Methods'!$C$4:$F$379,4,FALSE)</f>
        <v>0</v>
      </c>
      <c r="N92" s="8"/>
      <c r="O92" s="7">
        <f>VLOOKUP(N92,'Win Methods'!$C$4:$F$379,4,FALSE)</f>
        <v>0</v>
      </c>
      <c r="P92" s="8"/>
      <c r="Q92" s="7">
        <f>VLOOKUP(P92,'Win Methods'!$C$4:$F$379,4,FALSE)</f>
        <v>0</v>
      </c>
      <c r="R92" s="8"/>
      <c r="S92" s="7">
        <f>VLOOKUP(R92,'Win Methods'!$C$4:$F$379,4,FALSE)</f>
        <v>0</v>
      </c>
      <c r="T92" s="8"/>
      <c r="U92" s="7">
        <f>VLOOKUP(T92,'Win Methods'!$C$4:$F$379,4,FALSE)</f>
        <v>0</v>
      </c>
      <c r="V92" s="8"/>
      <c r="W92" s="7">
        <f>VLOOKUP(V92,'Win Methods'!$C$4:$F$379,4,FALSE)</f>
        <v>0</v>
      </c>
      <c r="X92" s="117" t="str">
        <f t="shared" si="3"/>
        <v>freeplayA-35|||||||||</v>
      </c>
    </row>
    <row r="93" spans="2:24">
      <c r="B93" s="116">
        <v>90</v>
      </c>
      <c r="C93" s="7">
        <f t="shared" si="2"/>
        <v>2</v>
      </c>
      <c r="D93" s="107" t="s">
        <v>105</v>
      </c>
      <c r="E93" s="7">
        <f>VLOOKUP(D93,'Win Methods'!$C$4:$F$379,4,FALSE)</f>
        <v>2</v>
      </c>
      <c r="F93" s="8"/>
      <c r="G93" s="7">
        <f>VLOOKUP(F93,'Win Methods'!$C$4:$F$379,4,FALSE)</f>
        <v>0</v>
      </c>
      <c r="H93" s="8"/>
      <c r="I93" s="7">
        <f>VLOOKUP(H93,'Win Methods'!$C$4:$F$379,4,FALSE)</f>
        <v>0</v>
      </c>
      <c r="J93" s="8"/>
      <c r="K93" s="7">
        <f>VLOOKUP(J93,'Win Methods'!$C$4:$F$379,4,FALSE)</f>
        <v>0</v>
      </c>
      <c r="L93" s="8"/>
      <c r="M93" s="7">
        <f>VLOOKUP(L93,'Win Methods'!$C$4:$F$379,4,FALSE)</f>
        <v>0</v>
      </c>
      <c r="N93" s="8"/>
      <c r="O93" s="7">
        <f>VLOOKUP(N93,'Win Methods'!$C$4:$F$379,4,FALSE)</f>
        <v>0</v>
      </c>
      <c r="P93" s="8"/>
      <c r="Q93" s="7">
        <f>VLOOKUP(P93,'Win Methods'!$C$4:$F$379,4,FALSE)</f>
        <v>0</v>
      </c>
      <c r="R93" s="8"/>
      <c r="S93" s="7">
        <f>VLOOKUP(R93,'Win Methods'!$C$4:$F$379,4,FALSE)</f>
        <v>0</v>
      </c>
      <c r="T93" s="8"/>
      <c r="U93" s="7">
        <f>VLOOKUP(T93,'Win Methods'!$C$4:$F$379,4,FALSE)</f>
        <v>0</v>
      </c>
      <c r="V93" s="8"/>
      <c r="W93" s="7">
        <f>VLOOKUP(V93,'Win Methods'!$C$4:$F$379,4,FALSE)</f>
        <v>0</v>
      </c>
      <c r="X93" s="117" t="str">
        <f t="shared" si="3"/>
        <v>freeplayA-36|||||||||</v>
      </c>
    </row>
    <row r="94" spans="2:24">
      <c r="B94" s="116">
        <v>91</v>
      </c>
      <c r="C94" s="7">
        <f t="shared" si="2"/>
        <v>1</v>
      </c>
      <c r="D94" s="107" t="s">
        <v>106</v>
      </c>
      <c r="E94" s="7">
        <f>VLOOKUP(D94,'Win Methods'!$C$4:$F$379,4,FALSE)</f>
        <v>1</v>
      </c>
      <c r="F94" s="8"/>
      <c r="G94" s="7">
        <f>VLOOKUP(F94,'Win Methods'!$C$4:$F$379,4,FALSE)</f>
        <v>0</v>
      </c>
      <c r="H94" s="8"/>
      <c r="I94" s="7">
        <f>VLOOKUP(H94,'Win Methods'!$C$4:$F$379,4,FALSE)</f>
        <v>0</v>
      </c>
      <c r="J94" s="8"/>
      <c r="K94" s="7">
        <f>VLOOKUP(J94,'Win Methods'!$C$4:$F$379,4,FALSE)</f>
        <v>0</v>
      </c>
      <c r="L94" s="8"/>
      <c r="M94" s="7">
        <f>VLOOKUP(L94,'Win Methods'!$C$4:$F$379,4,FALSE)</f>
        <v>0</v>
      </c>
      <c r="N94" s="8"/>
      <c r="O94" s="7">
        <f>VLOOKUP(N94,'Win Methods'!$C$4:$F$379,4,FALSE)</f>
        <v>0</v>
      </c>
      <c r="P94" s="8"/>
      <c r="Q94" s="7">
        <f>VLOOKUP(P94,'Win Methods'!$C$4:$F$379,4,FALSE)</f>
        <v>0</v>
      </c>
      <c r="R94" s="8"/>
      <c r="S94" s="7">
        <f>VLOOKUP(R94,'Win Methods'!$C$4:$F$379,4,FALSE)</f>
        <v>0</v>
      </c>
      <c r="T94" s="8"/>
      <c r="U94" s="7">
        <f>VLOOKUP(T94,'Win Methods'!$C$4:$F$379,4,FALSE)</f>
        <v>0</v>
      </c>
      <c r="V94" s="8"/>
      <c r="W94" s="7">
        <f>VLOOKUP(V94,'Win Methods'!$C$4:$F$379,4,FALSE)</f>
        <v>0</v>
      </c>
      <c r="X94" s="117" t="str">
        <f t="shared" si="3"/>
        <v>freeplayA-37|||||||||</v>
      </c>
    </row>
    <row r="95" spans="2:24">
      <c r="B95" s="116">
        <v>92</v>
      </c>
      <c r="C95" s="7">
        <f t="shared" si="2"/>
        <v>5</v>
      </c>
      <c r="D95" s="107" t="s">
        <v>108</v>
      </c>
      <c r="E95" s="7">
        <f>VLOOKUP(D95,'Win Methods'!$C$4:$F$379,4,FALSE)</f>
        <v>5</v>
      </c>
      <c r="F95" s="8"/>
      <c r="G95" s="7">
        <f>VLOOKUP(F95,'Win Methods'!$C$4:$F$379,4,FALSE)</f>
        <v>0</v>
      </c>
      <c r="H95" s="8"/>
      <c r="I95" s="7">
        <f>VLOOKUP(H95,'Win Methods'!$C$4:$F$379,4,FALSE)</f>
        <v>0</v>
      </c>
      <c r="J95" s="8"/>
      <c r="K95" s="7">
        <f>VLOOKUP(J95,'Win Methods'!$C$4:$F$379,4,FALSE)</f>
        <v>0</v>
      </c>
      <c r="L95" s="8"/>
      <c r="M95" s="7">
        <f>VLOOKUP(L95,'Win Methods'!$C$4:$F$379,4,FALSE)</f>
        <v>0</v>
      </c>
      <c r="N95" s="8"/>
      <c r="O95" s="7">
        <f>VLOOKUP(N95,'Win Methods'!$C$4:$F$379,4,FALSE)</f>
        <v>0</v>
      </c>
      <c r="P95" s="8"/>
      <c r="Q95" s="7">
        <f>VLOOKUP(P95,'Win Methods'!$C$4:$F$379,4,FALSE)</f>
        <v>0</v>
      </c>
      <c r="R95" s="8"/>
      <c r="S95" s="7">
        <f>VLOOKUP(R95,'Win Methods'!$C$4:$F$379,4,FALSE)</f>
        <v>0</v>
      </c>
      <c r="T95" s="8"/>
      <c r="U95" s="7">
        <f>VLOOKUP(T95,'Win Methods'!$C$4:$F$379,4,FALSE)</f>
        <v>0</v>
      </c>
      <c r="V95" s="8"/>
      <c r="W95" s="7">
        <f>VLOOKUP(V95,'Win Methods'!$C$4:$F$379,4,FALSE)</f>
        <v>0</v>
      </c>
      <c r="X95" s="117" t="str">
        <f t="shared" si="3"/>
        <v>freeplayA-38|||||||||</v>
      </c>
    </row>
    <row r="96" spans="2:24">
      <c r="B96" s="116">
        <v>93</v>
      </c>
      <c r="C96" s="7">
        <f t="shared" si="2"/>
        <v>3</v>
      </c>
      <c r="D96" s="107" t="s">
        <v>109</v>
      </c>
      <c r="E96" s="7">
        <f>VLOOKUP(D96,'Win Methods'!$C$4:$F$379,4,FALSE)</f>
        <v>3</v>
      </c>
      <c r="F96" s="8"/>
      <c r="G96" s="7">
        <f>VLOOKUP(F96,'Win Methods'!$C$4:$F$379,4,FALSE)</f>
        <v>0</v>
      </c>
      <c r="H96" s="8"/>
      <c r="I96" s="7">
        <f>VLOOKUP(H96,'Win Methods'!$C$4:$F$379,4,FALSE)</f>
        <v>0</v>
      </c>
      <c r="J96" s="8"/>
      <c r="K96" s="7">
        <f>VLOOKUP(J96,'Win Methods'!$C$4:$F$379,4,FALSE)</f>
        <v>0</v>
      </c>
      <c r="L96" s="8"/>
      <c r="M96" s="7">
        <f>VLOOKUP(L96,'Win Methods'!$C$4:$F$379,4,FALSE)</f>
        <v>0</v>
      </c>
      <c r="N96" s="8"/>
      <c r="O96" s="7">
        <f>VLOOKUP(N96,'Win Methods'!$C$4:$F$379,4,FALSE)</f>
        <v>0</v>
      </c>
      <c r="P96" s="8"/>
      <c r="Q96" s="7">
        <f>VLOOKUP(P96,'Win Methods'!$C$4:$F$379,4,FALSE)</f>
        <v>0</v>
      </c>
      <c r="R96" s="8"/>
      <c r="S96" s="7">
        <f>VLOOKUP(R96,'Win Methods'!$C$4:$F$379,4,FALSE)</f>
        <v>0</v>
      </c>
      <c r="T96" s="8"/>
      <c r="U96" s="7">
        <f>VLOOKUP(T96,'Win Methods'!$C$4:$F$379,4,FALSE)</f>
        <v>0</v>
      </c>
      <c r="V96" s="8"/>
      <c r="W96" s="7">
        <f>VLOOKUP(V96,'Win Methods'!$C$4:$F$379,4,FALSE)</f>
        <v>0</v>
      </c>
      <c r="X96" s="117" t="str">
        <f t="shared" si="3"/>
        <v>freeplayA-39|||||||||</v>
      </c>
    </row>
    <row r="97" spans="2:24">
      <c r="B97" s="116">
        <v>94</v>
      </c>
      <c r="C97" s="7">
        <f t="shared" si="2"/>
        <v>0.2</v>
      </c>
      <c r="D97" s="107" t="s">
        <v>110</v>
      </c>
      <c r="E97" s="7">
        <f>VLOOKUP(D97,'Win Methods'!$C$4:$F$379,4,FALSE)</f>
        <v>0.2</v>
      </c>
      <c r="F97" s="8"/>
      <c r="G97" s="7">
        <f>VLOOKUP(F97,'Win Methods'!$C$4:$F$379,4,FALSE)</f>
        <v>0</v>
      </c>
      <c r="H97" s="8"/>
      <c r="I97" s="7">
        <f>VLOOKUP(H97,'Win Methods'!$C$4:$F$379,4,FALSE)</f>
        <v>0</v>
      </c>
      <c r="J97" s="8"/>
      <c r="K97" s="7">
        <f>VLOOKUP(J97,'Win Methods'!$C$4:$F$379,4,FALSE)</f>
        <v>0</v>
      </c>
      <c r="L97" s="8"/>
      <c r="M97" s="7">
        <f>VLOOKUP(L97,'Win Methods'!$C$4:$F$379,4,FALSE)</f>
        <v>0</v>
      </c>
      <c r="N97" s="8"/>
      <c r="O97" s="7">
        <f>VLOOKUP(N97,'Win Methods'!$C$4:$F$379,4,FALSE)</f>
        <v>0</v>
      </c>
      <c r="P97" s="8"/>
      <c r="Q97" s="7">
        <f>VLOOKUP(P97,'Win Methods'!$C$4:$F$379,4,FALSE)</f>
        <v>0</v>
      </c>
      <c r="R97" s="8"/>
      <c r="S97" s="7">
        <f>VLOOKUP(R97,'Win Methods'!$C$4:$F$379,4,FALSE)</f>
        <v>0</v>
      </c>
      <c r="T97" s="8"/>
      <c r="U97" s="7">
        <f>VLOOKUP(T97,'Win Methods'!$C$4:$F$379,4,FALSE)</f>
        <v>0</v>
      </c>
      <c r="V97" s="8"/>
      <c r="W97" s="7">
        <f>VLOOKUP(V97,'Win Methods'!$C$4:$F$379,4,FALSE)</f>
        <v>0</v>
      </c>
      <c r="X97" s="117" t="str">
        <f t="shared" si="3"/>
        <v>freeplayA-40|||||||||</v>
      </c>
    </row>
    <row r="98" spans="2:24">
      <c r="B98" s="116">
        <v>95</v>
      </c>
      <c r="C98" s="7">
        <f t="shared" si="2"/>
        <v>1</v>
      </c>
      <c r="D98" s="107" t="s">
        <v>111</v>
      </c>
      <c r="E98" s="7">
        <f>VLOOKUP(D98,'Win Methods'!$C$4:$F$379,4,FALSE)</f>
        <v>1</v>
      </c>
      <c r="F98" s="8"/>
      <c r="G98" s="7">
        <f>VLOOKUP(F98,'Win Methods'!$C$4:$F$379,4,FALSE)</f>
        <v>0</v>
      </c>
      <c r="H98" s="8"/>
      <c r="I98" s="7">
        <f>VLOOKUP(H98,'Win Methods'!$C$4:$F$379,4,FALSE)</f>
        <v>0</v>
      </c>
      <c r="J98" s="8"/>
      <c r="K98" s="7">
        <f>VLOOKUP(J98,'Win Methods'!$C$4:$F$379,4,FALSE)</f>
        <v>0</v>
      </c>
      <c r="L98" s="8"/>
      <c r="M98" s="7">
        <f>VLOOKUP(L98,'Win Methods'!$C$4:$F$379,4,FALSE)</f>
        <v>0</v>
      </c>
      <c r="N98" s="8"/>
      <c r="O98" s="7">
        <f>VLOOKUP(N98,'Win Methods'!$C$4:$F$379,4,FALSE)</f>
        <v>0</v>
      </c>
      <c r="P98" s="8"/>
      <c r="Q98" s="7">
        <f>VLOOKUP(P98,'Win Methods'!$C$4:$F$379,4,FALSE)</f>
        <v>0</v>
      </c>
      <c r="R98" s="8"/>
      <c r="S98" s="7">
        <f>VLOOKUP(R98,'Win Methods'!$C$4:$F$379,4,FALSE)</f>
        <v>0</v>
      </c>
      <c r="T98" s="8"/>
      <c r="U98" s="7">
        <f>VLOOKUP(T98,'Win Methods'!$C$4:$F$379,4,FALSE)</f>
        <v>0</v>
      </c>
      <c r="V98" s="8"/>
      <c r="W98" s="7">
        <f>VLOOKUP(V98,'Win Methods'!$C$4:$F$379,4,FALSE)</f>
        <v>0</v>
      </c>
      <c r="X98" s="117" t="str">
        <f t="shared" si="3"/>
        <v>freeplayA-41|||||||||</v>
      </c>
    </row>
    <row r="99" spans="2:24">
      <c r="B99" s="116">
        <v>96</v>
      </c>
      <c r="C99" s="7">
        <f t="shared" si="2"/>
        <v>5</v>
      </c>
      <c r="D99" s="107" t="s">
        <v>113</v>
      </c>
      <c r="E99" s="7">
        <f>VLOOKUP(D99,'Win Methods'!$C$4:$F$379,4,FALSE)</f>
        <v>5</v>
      </c>
      <c r="F99" s="8"/>
      <c r="G99" s="7">
        <f>VLOOKUP(F99,'Win Methods'!$C$4:$F$379,4,FALSE)</f>
        <v>0</v>
      </c>
      <c r="H99" s="8"/>
      <c r="I99" s="7">
        <f>VLOOKUP(H99,'Win Methods'!$C$4:$F$379,4,FALSE)</f>
        <v>0</v>
      </c>
      <c r="J99" s="8"/>
      <c r="K99" s="7">
        <f>VLOOKUP(J99,'Win Methods'!$C$4:$F$379,4,FALSE)</f>
        <v>0</v>
      </c>
      <c r="L99" s="8"/>
      <c r="M99" s="7">
        <f>VLOOKUP(L99,'Win Methods'!$C$4:$F$379,4,FALSE)</f>
        <v>0</v>
      </c>
      <c r="N99" s="8"/>
      <c r="O99" s="7">
        <f>VLOOKUP(N99,'Win Methods'!$C$4:$F$379,4,FALSE)</f>
        <v>0</v>
      </c>
      <c r="P99" s="8"/>
      <c r="Q99" s="7">
        <f>VLOOKUP(P99,'Win Methods'!$C$4:$F$379,4,FALSE)</f>
        <v>0</v>
      </c>
      <c r="R99" s="8"/>
      <c r="S99" s="7">
        <f>VLOOKUP(R99,'Win Methods'!$C$4:$F$379,4,FALSE)</f>
        <v>0</v>
      </c>
      <c r="T99" s="8"/>
      <c r="U99" s="7">
        <f>VLOOKUP(T99,'Win Methods'!$C$4:$F$379,4,FALSE)</f>
        <v>0</v>
      </c>
      <c r="V99" s="8"/>
      <c r="W99" s="7">
        <f>VLOOKUP(V99,'Win Methods'!$C$4:$F$379,4,FALSE)</f>
        <v>0</v>
      </c>
      <c r="X99" s="117" t="str">
        <f t="shared" si="3"/>
        <v>freeplayA-42|||||||||</v>
      </c>
    </row>
    <row r="100" spans="2:24">
      <c r="B100" s="116">
        <v>97</v>
      </c>
      <c r="C100" s="7">
        <f t="shared" si="2"/>
        <v>3</v>
      </c>
      <c r="D100" s="107" t="s">
        <v>114</v>
      </c>
      <c r="E100" s="7">
        <f>VLOOKUP(D100,'Win Methods'!$C$4:$F$379,4,FALSE)</f>
        <v>3</v>
      </c>
      <c r="F100" s="8"/>
      <c r="G100" s="7">
        <f>VLOOKUP(F100,'Win Methods'!$C$4:$F$379,4,FALSE)</f>
        <v>0</v>
      </c>
      <c r="H100" s="8"/>
      <c r="I100" s="7">
        <f>VLOOKUP(H100,'Win Methods'!$C$4:$F$379,4,FALSE)</f>
        <v>0</v>
      </c>
      <c r="J100" s="8"/>
      <c r="K100" s="7">
        <f>VLOOKUP(J100,'Win Methods'!$C$4:$F$379,4,FALSE)</f>
        <v>0</v>
      </c>
      <c r="L100" s="8"/>
      <c r="M100" s="7">
        <f>VLOOKUP(L100,'Win Methods'!$C$4:$F$379,4,FALSE)</f>
        <v>0</v>
      </c>
      <c r="N100" s="8"/>
      <c r="O100" s="7">
        <f>VLOOKUP(N100,'Win Methods'!$C$4:$F$379,4,FALSE)</f>
        <v>0</v>
      </c>
      <c r="P100" s="8"/>
      <c r="Q100" s="7">
        <f>VLOOKUP(P100,'Win Methods'!$C$4:$F$379,4,FALSE)</f>
        <v>0</v>
      </c>
      <c r="R100" s="8"/>
      <c r="S100" s="7">
        <f>VLOOKUP(R100,'Win Methods'!$C$4:$F$379,4,FALSE)</f>
        <v>0</v>
      </c>
      <c r="T100" s="8"/>
      <c r="U100" s="7">
        <f>VLOOKUP(T100,'Win Methods'!$C$4:$F$379,4,FALSE)</f>
        <v>0</v>
      </c>
      <c r="V100" s="8"/>
      <c r="W100" s="7">
        <f>VLOOKUP(V100,'Win Methods'!$C$4:$F$379,4,FALSE)</f>
        <v>0</v>
      </c>
      <c r="X100" s="117" t="str">
        <f t="shared" si="3"/>
        <v>freeplayA-43|||||||||</v>
      </c>
    </row>
    <row r="101" spans="2:24">
      <c r="B101" s="116">
        <v>98</v>
      </c>
      <c r="C101" s="7">
        <f t="shared" si="2"/>
        <v>0.2</v>
      </c>
      <c r="D101" s="107" t="s">
        <v>115</v>
      </c>
      <c r="E101" s="7">
        <f>VLOOKUP(D101,'Win Methods'!$C$4:$F$379,4,FALSE)</f>
        <v>0.2</v>
      </c>
      <c r="F101" s="8"/>
      <c r="G101" s="7">
        <f>VLOOKUP(F101,'Win Methods'!$C$4:$F$379,4,FALSE)</f>
        <v>0</v>
      </c>
      <c r="H101" s="8"/>
      <c r="I101" s="7">
        <f>VLOOKUP(H101,'Win Methods'!$C$4:$F$379,4,FALSE)</f>
        <v>0</v>
      </c>
      <c r="J101" s="8"/>
      <c r="K101" s="7">
        <f>VLOOKUP(J101,'Win Methods'!$C$4:$F$379,4,FALSE)</f>
        <v>0</v>
      </c>
      <c r="L101" s="8"/>
      <c r="M101" s="7">
        <f>VLOOKUP(L101,'Win Methods'!$C$4:$F$379,4,FALSE)</f>
        <v>0</v>
      </c>
      <c r="N101" s="8"/>
      <c r="O101" s="7">
        <f>VLOOKUP(N101,'Win Methods'!$C$4:$F$379,4,FALSE)</f>
        <v>0</v>
      </c>
      <c r="P101" s="8"/>
      <c r="Q101" s="7">
        <f>VLOOKUP(P101,'Win Methods'!$C$4:$F$379,4,FALSE)</f>
        <v>0</v>
      </c>
      <c r="R101" s="8"/>
      <c r="S101" s="7">
        <f>VLOOKUP(R101,'Win Methods'!$C$4:$F$379,4,FALSE)</f>
        <v>0</v>
      </c>
      <c r="T101" s="8"/>
      <c r="U101" s="7">
        <f>VLOOKUP(T101,'Win Methods'!$C$4:$F$379,4,FALSE)</f>
        <v>0</v>
      </c>
      <c r="V101" s="8"/>
      <c r="W101" s="7">
        <f>VLOOKUP(V101,'Win Methods'!$C$4:$F$379,4,FALSE)</f>
        <v>0</v>
      </c>
      <c r="X101" s="117" t="str">
        <f t="shared" si="3"/>
        <v>freeplayA-44|||||||||</v>
      </c>
    </row>
    <row r="102" spans="2:24">
      <c r="B102" s="116">
        <v>99</v>
      </c>
      <c r="C102" s="7">
        <f t="shared" si="2"/>
        <v>0.2</v>
      </c>
      <c r="D102" s="8" t="s">
        <v>5</v>
      </c>
      <c r="E102" s="7">
        <f>VLOOKUP(D102,'Win Methods'!$C$4:$F$379,4,FALSE)</f>
        <v>0.1</v>
      </c>
      <c r="F102" s="8" t="s">
        <v>5</v>
      </c>
      <c r="G102" s="7">
        <f>VLOOKUP(F102,'Win Methods'!$C$4:$F$379,4,FALSE)</f>
        <v>0.1</v>
      </c>
      <c r="H102" s="8"/>
      <c r="I102" s="7">
        <f>VLOOKUP(H102,'Win Methods'!$C$4:$F$379,4,FALSE)</f>
        <v>0</v>
      </c>
      <c r="J102" s="8"/>
      <c r="K102" s="7">
        <f>VLOOKUP(J102,'Win Methods'!$C$4:$F$379,4,FALSE)</f>
        <v>0</v>
      </c>
      <c r="L102" s="8"/>
      <c r="M102" s="7">
        <f>VLOOKUP(L102,'Win Methods'!$C$4:$F$379,4,FALSE)</f>
        <v>0</v>
      </c>
      <c r="N102" s="8"/>
      <c r="O102" s="7">
        <f>VLOOKUP(N102,'Win Methods'!$C$4:$F$379,4,FALSE)</f>
        <v>0</v>
      </c>
      <c r="P102" s="8"/>
      <c r="Q102" s="7">
        <f>VLOOKUP(P102,'Win Methods'!$C$4:$F$379,4,FALSE)</f>
        <v>0</v>
      </c>
      <c r="R102" s="8"/>
      <c r="S102" s="7">
        <f>VLOOKUP(R102,'Win Methods'!$C$4:$F$379,4,FALSE)</f>
        <v>0</v>
      </c>
      <c r="T102" s="8"/>
      <c r="U102" s="7">
        <f>VLOOKUP(T102,'Win Methods'!$C$4:$F$379,4,FALSE)</f>
        <v>0</v>
      </c>
      <c r="V102" s="8"/>
      <c r="W102" s="7">
        <f>VLOOKUP(V102,'Win Methods'!$C$4:$F$379,4,FALSE)</f>
        <v>0</v>
      </c>
      <c r="X102" s="117" t="str">
        <f t="shared" si="3"/>
        <v>main-0|main-0||||||||</v>
      </c>
    </row>
    <row r="103" spans="2:24">
      <c r="B103" s="116">
        <v>100</v>
      </c>
      <c r="C103" s="7">
        <f t="shared" si="2"/>
        <v>0.30000000000000004</v>
      </c>
      <c r="D103" s="8" t="s">
        <v>5</v>
      </c>
      <c r="E103" s="7">
        <f>VLOOKUP(D103,'Win Methods'!$C$4:$F$379,4,FALSE)</f>
        <v>0.1</v>
      </c>
      <c r="F103" s="8" t="s">
        <v>8</v>
      </c>
      <c r="G103" s="7">
        <f>VLOOKUP(F103,'Win Methods'!$C$4:$F$379,4,FALSE)</f>
        <v>0.2</v>
      </c>
      <c r="H103" s="8"/>
      <c r="I103" s="7">
        <f>VLOOKUP(H103,'Win Methods'!$C$4:$F$379,4,FALSE)</f>
        <v>0</v>
      </c>
      <c r="J103" s="8"/>
      <c r="K103" s="7">
        <f>VLOOKUP(J103,'Win Methods'!$C$4:$F$379,4,FALSE)</f>
        <v>0</v>
      </c>
      <c r="L103" s="8"/>
      <c r="M103" s="7">
        <f>VLOOKUP(L103,'Win Methods'!$C$4:$F$379,4,FALSE)</f>
        <v>0</v>
      </c>
      <c r="N103" s="8"/>
      <c r="O103" s="7">
        <f>VLOOKUP(N103,'Win Methods'!$C$4:$F$379,4,FALSE)</f>
        <v>0</v>
      </c>
      <c r="P103" s="8"/>
      <c r="Q103" s="7">
        <f>VLOOKUP(P103,'Win Methods'!$C$4:$F$379,4,FALSE)</f>
        <v>0</v>
      </c>
      <c r="R103" s="8"/>
      <c r="S103" s="7">
        <f>VLOOKUP(R103,'Win Methods'!$C$4:$F$379,4,FALSE)</f>
        <v>0</v>
      </c>
      <c r="T103" s="8"/>
      <c r="U103" s="7">
        <f>VLOOKUP(T103,'Win Methods'!$C$4:$F$379,4,FALSE)</f>
        <v>0</v>
      </c>
      <c r="V103" s="8"/>
      <c r="W103" s="7">
        <f>VLOOKUP(V103,'Win Methods'!$C$4:$F$379,4,FALSE)</f>
        <v>0</v>
      </c>
      <c r="X103" s="117" t="str">
        <f t="shared" si="3"/>
        <v>main-0|main-1||||||||</v>
      </c>
    </row>
    <row r="104" spans="2:24">
      <c r="B104" s="116">
        <v>101</v>
      </c>
      <c r="C104" s="7">
        <f t="shared" si="2"/>
        <v>0.4</v>
      </c>
      <c r="D104" s="8" t="s">
        <v>8</v>
      </c>
      <c r="E104" s="7">
        <f>VLOOKUP(D104,'Win Methods'!$C$4:$F$379,4,FALSE)</f>
        <v>0.2</v>
      </c>
      <c r="F104" s="8" t="s">
        <v>8</v>
      </c>
      <c r="G104" s="7">
        <f>VLOOKUP(F104,'Win Methods'!$C$4:$F$379,4,FALSE)</f>
        <v>0.2</v>
      </c>
      <c r="H104" s="8"/>
      <c r="I104" s="7">
        <f>VLOOKUP(H104,'Win Methods'!$C$4:$F$379,4,FALSE)</f>
        <v>0</v>
      </c>
      <c r="J104" s="8"/>
      <c r="K104" s="7">
        <f>VLOOKUP(J104,'Win Methods'!$C$4:$F$379,4,FALSE)</f>
        <v>0</v>
      </c>
      <c r="L104" s="8"/>
      <c r="M104" s="7">
        <f>VLOOKUP(L104,'Win Methods'!$C$4:$F$379,4,FALSE)</f>
        <v>0</v>
      </c>
      <c r="N104" s="8"/>
      <c r="O104" s="7">
        <f>VLOOKUP(N104,'Win Methods'!$C$4:$F$379,4,FALSE)</f>
        <v>0</v>
      </c>
      <c r="P104" s="8"/>
      <c r="Q104" s="7">
        <f>VLOOKUP(P104,'Win Methods'!$C$4:$F$379,4,FALSE)</f>
        <v>0</v>
      </c>
      <c r="R104" s="8"/>
      <c r="S104" s="7">
        <f>VLOOKUP(R104,'Win Methods'!$C$4:$F$379,4,FALSE)</f>
        <v>0</v>
      </c>
      <c r="T104" s="8"/>
      <c r="U104" s="7">
        <f>VLOOKUP(T104,'Win Methods'!$C$4:$F$379,4,FALSE)</f>
        <v>0</v>
      </c>
      <c r="V104" s="8"/>
      <c r="W104" s="7">
        <f>VLOOKUP(V104,'Win Methods'!$C$4:$F$379,4,FALSE)</f>
        <v>0</v>
      </c>
      <c r="X104" s="117" t="str">
        <f t="shared" si="3"/>
        <v>main-1|main-1||||||||</v>
      </c>
    </row>
    <row r="105" spans="2:24">
      <c r="B105" s="116">
        <v>102</v>
      </c>
      <c r="C105" s="7">
        <f t="shared" si="2"/>
        <v>0.6</v>
      </c>
      <c r="D105" s="8" t="s">
        <v>5</v>
      </c>
      <c r="E105" s="7">
        <f>VLOOKUP(D105,'Win Methods'!$C$4:$F$379,4,FALSE)</f>
        <v>0.1</v>
      </c>
      <c r="F105" s="8" t="s">
        <v>9</v>
      </c>
      <c r="G105" s="7">
        <f>VLOOKUP(F105,'Win Methods'!$C$4:$F$379,4,FALSE)</f>
        <v>0.5</v>
      </c>
      <c r="H105" s="8"/>
      <c r="I105" s="7">
        <f>VLOOKUP(H105,'Win Methods'!$C$4:$F$379,4,FALSE)</f>
        <v>0</v>
      </c>
      <c r="J105" s="8"/>
      <c r="K105" s="7">
        <f>VLOOKUP(J105,'Win Methods'!$C$4:$F$379,4,FALSE)</f>
        <v>0</v>
      </c>
      <c r="L105" s="8"/>
      <c r="M105" s="7">
        <f>VLOOKUP(L105,'Win Methods'!$C$4:$F$379,4,FALSE)</f>
        <v>0</v>
      </c>
      <c r="N105" s="8"/>
      <c r="O105" s="7">
        <f>VLOOKUP(N105,'Win Methods'!$C$4:$F$379,4,FALSE)</f>
        <v>0</v>
      </c>
      <c r="P105" s="8"/>
      <c r="Q105" s="7">
        <f>VLOOKUP(P105,'Win Methods'!$C$4:$F$379,4,FALSE)</f>
        <v>0</v>
      </c>
      <c r="R105" s="8"/>
      <c r="S105" s="7">
        <f>VLOOKUP(R105,'Win Methods'!$C$4:$F$379,4,FALSE)</f>
        <v>0</v>
      </c>
      <c r="T105" s="8"/>
      <c r="U105" s="7">
        <f>VLOOKUP(T105,'Win Methods'!$C$4:$F$379,4,FALSE)</f>
        <v>0</v>
      </c>
      <c r="V105" s="8"/>
      <c r="W105" s="7">
        <f>VLOOKUP(V105,'Win Methods'!$C$4:$F$379,4,FALSE)</f>
        <v>0</v>
      </c>
      <c r="X105" s="117" t="str">
        <f t="shared" si="3"/>
        <v>main-0|main-2||||||||</v>
      </c>
    </row>
    <row r="106" spans="2:24">
      <c r="B106" s="116">
        <v>103</v>
      </c>
      <c r="C106" s="7">
        <f t="shared" si="2"/>
        <v>0.7</v>
      </c>
      <c r="D106" s="8" t="s">
        <v>8</v>
      </c>
      <c r="E106" s="7">
        <f>VLOOKUP(D106,'Win Methods'!$C$4:$F$379,4,FALSE)</f>
        <v>0.2</v>
      </c>
      <c r="F106" s="8" t="s">
        <v>9</v>
      </c>
      <c r="G106" s="7">
        <f>VLOOKUP(F106,'Win Methods'!$C$4:$F$379,4,FALSE)</f>
        <v>0.5</v>
      </c>
      <c r="H106" s="8"/>
      <c r="I106" s="7">
        <f>VLOOKUP(H106,'Win Methods'!$C$4:$F$379,4,FALSE)</f>
        <v>0</v>
      </c>
      <c r="J106" s="8"/>
      <c r="K106" s="7">
        <f>VLOOKUP(J106,'Win Methods'!$C$4:$F$379,4,FALSE)</f>
        <v>0</v>
      </c>
      <c r="L106" s="8"/>
      <c r="M106" s="7">
        <f>VLOOKUP(L106,'Win Methods'!$C$4:$F$379,4,FALSE)</f>
        <v>0</v>
      </c>
      <c r="N106" s="8"/>
      <c r="O106" s="7">
        <f>VLOOKUP(N106,'Win Methods'!$C$4:$F$379,4,FALSE)</f>
        <v>0</v>
      </c>
      <c r="P106" s="8"/>
      <c r="Q106" s="7">
        <f>VLOOKUP(P106,'Win Methods'!$C$4:$F$379,4,FALSE)</f>
        <v>0</v>
      </c>
      <c r="R106" s="8"/>
      <c r="S106" s="7">
        <f>VLOOKUP(R106,'Win Methods'!$C$4:$F$379,4,FALSE)</f>
        <v>0</v>
      </c>
      <c r="T106" s="8"/>
      <c r="U106" s="7">
        <f>VLOOKUP(T106,'Win Methods'!$C$4:$F$379,4,FALSE)</f>
        <v>0</v>
      </c>
      <c r="V106" s="8"/>
      <c r="W106" s="7">
        <f>VLOOKUP(V106,'Win Methods'!$C$4:$F$379,4,FALSE)</f>
        <v>0</v>
      </c>
      <c r="X106" s="117" t="str">
        <f t="shared" si="3"/>
        <v>main-1|main-2||||||||</v>
      </c>
    </row>
    <row r="107" spans="2:24">
      <c r="B107" s="116">
        <v>104</v>
      </c>
      <c r="C107" s="7">
        <f t="shared" si="2"/>
        <v>1.1000000000000001</v>
      </c>
      <c r="D107" s="8" t="s">
        <v>10</v>
      </c>
      <c r="E107" s="7">
        <f>VLOOKUP(D107,'Win Methods'!$C$4:$F$379,4,FALSE)</f>
        <v>1</v>
      </c>
      <c r="F107" s="8" t="s">
        <v>5</v>
      </c>
      <c r="G107" s="7">
        <f>VLOOKUP(F107,'Win Methods'!$C$4:$F$379,4,FALSE)</f>
        <v>0.1</v>
      </c>
      <c r="H107" s="8"/>
      <c r="I107" s="7">
        <f>VLOOKUP(H107,'Win Methods'!$C$4:$F$379,4,FALSE)</f>
        <v>0</v>
      </c>
      <c r="J107" s="8"/>
      <c r="K107" s="7">
        <f>VLOOKUP(J107,'Win Methods'!$C$4:$F$379,4,FALSE)</f>
        <v>0</v>
      </c>
      <c r="L107" s="8"/>
      <c r="M107" s="7">
        <f>VLOOKUP(L107,'Win Methods'!$C$4:$F$379,4,FALSE)</f>
        <v>0</v>
      </c>
      <c r="N107" s="8"/>
      <c r="O107" s="7">
        <f>VLOOKUP(N107,'Win Methods'!$C$4:$F$379,4,FALSE)</f>
        <v>0</v>
      </c>
      <c r="P107" s="8"/>
      <c r="Q107" s="7">
        <f>VLOOKUP(P107,'Win Methods'!$C$4:$F$379,4,FALSE)</f>
        <v>0</v>
      </c>
      <c r="R107" s="8"/>
      <c r="S107" s="7">
        <f>VLOOKUP(R107,'Win Methods'!$C$4:$F$379,4,FALSE)</f>
        <v>0</v>
      </c>
      <c r="T107" s="8"/>
      <c r="U107" s="7">
        <f>VLOOKUP(T107,'Win Methods'!$C$4:$F$379,4,FALSE)</f>
        <v>0</v>
      </c>
      <c r="V107" s="8"/>
      <c r="W107" s="7">
        <f>VLOOKUP(V107,'Win Methods'!$C$4:$F$379,4,FALSE)</f>
        <v>0</v>
      </c>
      <c r="X107" s="117" t="str">
        <f t="shared" si="3"/>
        <v>main-3|main-0||||||||</v>
      </c>
    </row>
    <row r="108" spans="2:24">
      <c r="B108" s="116">
        <v>105</v>
      </c>
      <c r="C108" s="7">
        <f t="shared" si="2"/>
        <v>1.2</v>
      </c>
      <c r="D108" s="8" t="s">
        <v>10</v>
      </c>
      <c r="E108" s="7">
        <f>VLOOKUP(D108,'Win Methods'!$C$4:$F$379,4,FALSE)</f>
        <v>1</v>
      </c>
      <c r="F108" s="8" t="s">
        <v>8</v>
      </c>
      <c r="G108" s="7">
        <f>VLOOKUP(F108,'Win Methods'!$C$4:$F$379,4,FALSE)</f>
        <v>0.2</v>
      </c>
      <c r="H108" s="8"/>
      <c r="I108" s="7">
        <f>VLOOKUP(H108,'Win Methods'!$C$4:$F$379,4,FALSE)</f>
        <v>0</v>
      </c>
      <c r="J108" s="8"/>
      <c r="K108" s="7">
        <f>VLOOKUP(J108,'Win Methods'!$C$4:$F$379,4,FALSE)</f>
        <v>0</v>
      </c>
      <c r="L108" s="8"/>
      <c r="M108" s="7">
        <f>VLOOKUP(L108,'Win Methods'!$C$4:$F$379,4,FALSE)</f>
        <v>0</v>
      </c>
      <c r="N108" s="8"/>
      <c r="O108" s="7">
        <f>VLOOKUP(N108,'Win Methods'!$C$4:$F$379,4,FALSE)</f>
        <v>0</v>
      </c>
      <c r="P108" s="8"/>
      <c r="Q108" s="7">
        <f>VLOOKUP(P108,'Win Methods'!$C$4:$F$379,4,FALSE)</f>
        <v>0</v>
      </c>
      <c r="R108" s="8"/>
      <c r="S108" s="7">
        <f>VLOOKUP(R108,'Win Methods'!$C$4:$F$379,4,FALSE)</f>
        <v>0</v>
      </c>
      <c r="T108" s="8"/>
      <c r="U108" s="7">
        <f>VLOOKUP(T108,'Win Methods'!$C$4:$F$379,4,FALSE)</f>
        <v>0</v>
      </c>
      <c r="V108" s="8"/>
      <c r="W108" s="7">
        <f>VLOOKUP(V108,'Win Methods'!$C$4:$F$379,4,FALSE)</f>
        <v>0</v>
      </c>
      <c r="X108" s="117" t="str">
        <f t="shared" si="3"/>
        <v>main-3|main-1||||||||</v>
      </c>
    </row>
    <row r="109" spans="2:24">
      <c r="B109" s="116">
        <v>106</v>
      </c>
      <c r="C109" s="7">
        <f t="shared" si="2"/>
        <v>5.2</v>
      </c>
      <c r="D109" s="8" t="s">
        <v>8</v>
      </c>
      <c r="E109" s="7">
        <f>VLOOKUP(D109,'Win Methods'!$C$4:$F$379,4,FALSE)</f>
        <v>0.2</v>
      </c>
      <c r="F109" s="8" t="s">
        <v>12</v>
      </c>
      <c r="G109" s="7">
        <f>VLOOKUP(F109,'Win Methods'!$C$4:$F$379,4,FALSE)</f>
        <v>5</v>
      </c>
      <c r="H109" s="8"/>
      <c r="I109" s="7">
        <f>VLOOKUP(H109,'Win Methods'!$C$4:$F$379,4,FALSE)</f>
        <v>0</v>
      </c>
      <c r="J109" s="8"/>
      <c r="K109" s="7">
        <f>VLOOKUP(J109,'Win Methods'!$C$4:$F$379,4,FALSE)</f>
        <v>0</v>
      </c>
      <c r="L109" s="8"/>
      <c r="M109" s="7">
        <f>VLOOKUP(L109,'Win Methods'!$C$4:$F$379,4,FALSE)</f>
        <v>0</v>
      </c>
      <c r="N109" s="8"/>
      <c r="O109" s="7">
        <f>VLOOKUP(N109,'Win Methods'!$C$4:$F$379,4,FALSE)</f>
        <v>0</v>
      </c>
      <c r="P109" s="8"/>
      <c r="Q109" s="7">
        <f>VLOOKUP(P109,'Win Methods'!$C$4:$F$379,4,FALSE)</f>
        <v>0</v>
      </c>
      <c r="R109" s="8"/>
      <c r="S109" s="7">
        <f>VLOOKUP(R109,'Win Methods'!$C$4:$F$379,4,FALSE)</f>
        <v>0</v>
      </c>
      <c r="T109" s="8"/>
      <c r="U109" s="7">
        <f>VLOOKUP(T109,'Win Methods'!$C$4:$F$379,4,FALSE)</f>
        <v>0</v>
      </c>
      <c r="V109" s="8"/>
      <c r="W109" s="7">
        <f>VLOOKUP(V109,'Win Methods'!$C$4:$F$379,4,FALSE)</f>
        <v>0</v>
      </c>
      <c r="X109" s="117" t="str">
        <f t="shared" si="3"/>
        <v>main-1|main-5||||||||</v>
      </c>
    </row>
    <row r="110" spans="2:24">
      <c r="B110" s="116">
        <v>107</v>
      </c>
      <c r="C110" s="7">
        <f t="shared" si="2"/>
        <v>7</v>
      </c>
      <c r="D110" s="8" t="s">
        <v>11</v>
      </c>
      <c r="E110" s="7">
        <f>VLOOKUP(D110,'Win Methods'!$C$4:$F$379,4,FALSE)</f>
        <v>2</v>
      </c>
      <c r="F110" s="8" t="s">
        <v>33</v>
      </c>
      <c r="G110" s="7">
        <f>VLOOKUP(F110,'Win Methods'!$C$4:$F$379,4,FALSE)</f>
        <v>5</v>
      </c>
      <c r="H110" s="8"/>
      <c r="I110" s="7">
        <f>VLOOKUP(H110,'Win Methods'!$C$4:$F$379,4,FALSE)</f>
        <v>0</v>
      </c>
      <c r="J110" s="8"/>
      <c r="K110" s="7">
        <f>VLOOKUP(J110,'Win Methods'!$C$4:$F$379,4,FALSE)</f>
        <v>0</v>
      </c>
      <c r="L110" s="8"/>
      <c r="M110" s="7">
        <f>VLOOKUP(L110,'Win Methods'!$C$4:$F$379,4,FALSE)</f>
        <v>0</v>
      </c>
      <c r="N110" s="8"/>
      <c r="O110" s="7">
        <f>VLOOKUP(N110,'Win Methods'!$C$4:$F$379,4,FALSE)</f>
        <v>0</v>
      </c>
      <c r="P110" s="8"/>
      <c r="Q110" s="7">
        <f>VLOOKUP(P110,'Win Methods'!$C$4:$F$379,4,FALSE)</f>
        <v>0</v>
      </c>
      <c r="R110" s="8"/>
      <c r="S110" s="7">
        <f>VLOOKUP(R110,'Win Methods'!$C$4:$F$379,4,FALSE)</f>
        <v>0</v>
      </c>
      <c r="T110" s="8"/>
      <c r="U110" s="7">
        <f>VLOOKUP(T110,'Win Methods'!$C$4:$F$379,4,FALSE)</f>
        <v>0</v>
      </c>
      <c r="V110" s="8"/>
      <c r="W110" s="7">
        <f>VLOOKUP(V110,'Win Methods'!$C$4:$F$379,4,FALSE)</f>
        <v>0</v>
      </c>
      <c r="X110" s="117" t="str">
        <f t="shared" si="3"/>
        <v>main-4|main-19||||||||</v>
      </c>
    </row>
    <row r="111" spans="2:24">
      <c r="B111" s="116">
        <v>108</v>
      </c>
      <c r="C111" s="7">
        <f t="shared" si="2"/>
        <v>11</v>
      </c>
      <c r="D111" s="8" t="s">
        <v>10</v>
      </c>
      <c r="E111" s="7">
        <f>VLOOKUP(D111,'Win Methods'!$C$4:$F$379,4,FALSE)</f>
        <v>1</v>
      </c>
      <c r="F111" s="8" t="s">
        <v>34</v>
      </c>
      <c r="G111" s="7">
        <f>VLOOKUP(F111,'Win Methods'!$C$4:$F$379,4,FALSE)</f>
        <v>10</v>
      </c>
      <c r="H111" s="8"/>
      <c r="I111" s="7">
        <f>VLOOKUP(H111,'Win Methods'!$C$4:$F$379,4,FALSE)</f>
        <v>0</v>
      </c>
      <c r="J111" s="8"/>
      <c r="K111" s="7">
        <f>VLOOKUP(J111,'Win Methods'!$C$4:$F$379,4,FALSE)</f>
        <v>0</v>
      </c>
      <c r="L111" s="8"/>
      <c r="M111" s="7">
        <f>VLOOKUP(L111,'Win Methods'!$C$4:$F$379,4,FALSE)</f>
        <v>0</v>
      </c>
      <c r="N111" s="8"/>
      <c r="O111" s="7">
        <f>VLOOKUP(N111,'Win Methods'!$C$4:$F$379,4,FALSE)</f>
        <v>0</v>
      </c>
      <c r="P111" s="8"/>
      <c r="Q111" s="7">
        <f>VLOOKUP(P111,'Win Methods'!$C$4:$F$379,4,FALSE)</f>
        <v>0</v>
      </c>
      <c r="R111" s="8"/>
      <c r="S111" s="7">
        <f>VLOOKUP(R111,'Win Methods'!$C$4:$F$379,4,FALSE)</f>
        <v>0</v>
      </c>
      <c r="T111" s="8"/>
      <c r="U111" s="7">
        <f>VLOOKUP(T111,'Win Methods'!$C$4:$F$379,4,FALSE)</f>
        <v>0</v>
      </c>
      <c r="V111" s="8"/>
      <c r="W111" s="7">
        <f>VLOOKUP(V111,'Win Methods'!$C$4:$F$379,4,FALSE)</f>
        <v>0</v>
      </c>
      <c r="X111" s="117" t="str">
        <f t="shared" si="3"/>
        <v>main-3|main-20||||||||</v>
      </c>
    </row>
    <row r="112" spans="2:24">
      <c r="B112" s="116">
        <v>109</v>
      </c>
      <c r="C112" s="7">
        <f t="shared" si="2"/>
        <v>7</v>
      </c>
      <c r="D112" s="8" t="s">
        <v>11</v>
      </c>
      <c r="E112" s="7">
        <f>VLOOKUP(D112,'Win Methods'!$C$4:$F$379,4,FALSE)</f>
        <v>2</v>
      </c>
      <c r="F112" s="8" t="s">
        <v>12</v>
      </c>
      <c r="G112" s="7">
        <f>VLOOKUP(F112,'Win Methods'!$C$4:$F$379,4,FALSE)</f>
        <v>5</v>
      </c>
      <c r="H112" s="8"/>
      <c r="I112" s="7">
        <f>VLOOKUP(H112,'Win Methods'!$C$4:$F$379,4,FALSE)</f>
        <v>0</v>
      </c>
      <c r="J112" s="8"/>
      <c r="K112" s="7">
        <f>VLOOKUP(J112,'Win Methods'!$C$4:$F$379,4,FALSE)</f>
        <v>0</v>
      </c>
      <c r="L112" s="8"/>
      <c r="M112" s="7">
        <f>VLOOKUP(L112,'Win Methods'!$C$4:$F$379,4,FALSE)</f>
        <v>0</v>
      </c>
      <c r="N112" s="8"/>
      <c r="O112" s="7">
        <f>VLOOKUP(N112,'Win Methods'!$C$4:$F$379,4,FALSE)</f>
        <v>0</v>
      </c>
      <c r="P112" s="8"/>
      <c r="Q112" s="7">
        <f>VLOOKUP(P112,'Win Methods'!$C$4:$F$379,4,FALSE)</f>
        <v>0</v>
      </c>
      <c r="R112" s="8"/>
      <c r="S112" s="7">
        <f>VLOOKUP(R112,'Win Methods'!$C$4:$F$379,4,FALSE)</f>
        <v>0</v>
      </c>
      <c r="T112" s="8"/>
      <c r="U112" s="7">
        <f>VLOOKUP(T112,'Win Methods'!$C$4:$F$379,4,FALSE)</f>
        <v>0</v>
      </c>
      <c r="V112" s="8"/>
      <c r="W112" s="7">
        <f>VLOOKUP(V112,'Win Methods'!$C$4:$F$379,4,FALSE)</f>
        <v>0</v>
      </c>
      <c r="X112" s="117" t="str">
        <f t="shared" si="3"/>
        <v>main-4|main-5||||||||</v>
      </c>
    </row>
    <row r="113" spans="2:24">
      <c r="B113" s="116">
        <v>110</v>
      </c>
      <c r="C113" s="7">
        <f t="shared" si="2"/>
        <v>10</v>
      </c>
      <c r="D113" s="8" t="s">
        <v>12</v>
      </c>
      <c r="E113" s="7">
        <f>VLOOKUP(D113,'Win Methods'!$C$4:$F$379,4,FALSE)</f>
        <v>5</v>
      </c>
      <c r="F113" s="8" t="s">
        <v>39</v>
      </c>
      <c r="G113" s="7">
        <f>VLOOKUP(F113,'Win Methods'!$C$4:$F$379,4,FALSE)</f>
        <v>5</v>
      </c>
      <c r="H113" s="8"/>
      <c r="I113" s="7">
        <f>VLOOKUP(H113,'Win Methods'!$C$4:$F$379,4,FALSE)</f>
        <v>0</v>
      </c>
      <c r="J113" s="8"/>
      <c r="K113" s="7">
        <f>VLOOKUP(J113,'Win Methods'!$C$4:$F$379,4,FALSE)</f>
        <v>0</v>
      </c>
      <c r="L113" s="8"/>
      <c r="M113" s="7">
        <f>VLOOKUP(L113,'Win Methods'!$C$4:$F$379,4,FALSE)</f>
        <v>0</v>
      </c>
      <c r="N113" s="8"/>
      <c r="O113" s="7">
        <f>VLOOKUP(N113,'Win Methods'!$C$4:$F$379,4,FALSE)</f>
        <v>0</v>
      </c>
      <c r="P113" s="8"/>
      <c r="Q113" s="7">
        <f>VLOOKUP(P113,'Win Methods'!$C$4:$F$379,4,FALSE)</f>
        <v>0</v>
      </c>
      <c r="R113" s="8"/>
      <c r="S113" s="7">
        <f>VLOOKUP(R113,'Win Methods'!$C$4:$F$379,4,FALSE)</f>
        <v>0</v>
      </c>
      <c r="T113" s="8"/>
      <c r="U113" s="7">
        <f>VLOOKUP(T113,'Win Methods'!$C$4:$F$379,4,FALSE)</f>
        <v>0</v>
      </c>
      <c r="V113" s="8"/>
      <c r="W113" s="7">
        <f>VLOOKUP(V113,'Win Methods'!$C$4:$F$379,4,FALSE)</f>
        <v>0</v>
      </c>
      <c r="X113" s="117" t="str">
        <f t="shared" si="3"/>
        <v>main-5|main-25||||||||</v>
      </c>
    </row>
    <row r="114" spans="2:24">
      <c r="B114" s="116">
        <v>111</v>
      </c>
      <c r="C114" s="7">
        <f t="shared" si="2"/>
        <v>15</v>
      </c>
      <c r="D114" s="8" t="s">
        <v>12</v>
      </c>
      <c r="E114" s="7">
        <f>VLOOKUP(D114,'Win Methods'!$C$4:$F$379,4,FALSE)</f>
        <v>5</v>
      </c>
      <c r="F114" s="8" t="s">
        <v>40</v>
      </c>
      <c r="G114" s="7">
        <f>VLOOKUP(F114,'Win Methods'!$C$4:$F$379,4,FALSE)</f>
        <v>10</v>
      </c>
      <c r="H114" s="8"/>
      <c r="I114" s="7">
        <f>VLOOKUP(H114,'Win Methods'!$C$4:$F$379,4,FALSE)</f>
        <v>0</v>
      </c>
      <c r="J114" s="8"/>
      <c r="K114" s="7">
        <f>VLOOKUP(J114,'Win Methods'!$C$4:$F$379,4,FALSE)</f>
        <v>0</v>
      </c>
      <c r="L114" s="8"/>
      <c r="M114" s="7">
        <f>VLOOKUP(L114,'Win Methods'!$C$4:$F$379,4,FALSE)</f>
        <v>0</v>
      </c>
      <c r="N114" s="8"/>
      <c r="O114" s="7">
        <f>VLOOKUP(N114,'Win Methods'!$C$4:$F$379,4,FALSE)</f>
        <v>0</v>
      </c>
      <c r="P114" s="8"/>
      <c r="Q114" s="7">
        <f>VLOOKUP(P114,'Win Methods'!$C$4:$F$379,4,FALSE)</f>
        <v>0</v>
      </c>
      <c r="R114" s="8"/>
      <c r="S114" s="7">
        <f>VLOOKUP(R114,'Win Methods'!$C$4:$F$379,4,FALSE)</f>
        <v>0</v>
      </c>
      <c r="T114" s="8"/>
      <c r="U114" s="7">
        <f>VLOOKUP(T114,'Win Methods'!$C$4:$F$379,4,FALSE)</f>
        <v>0</v>
      </c>
      <c r="V114" s="8"/>
      <c r="W114" s="7">
        <f>VLOOKUP(V114,'Win Methods'!$C$4:$F$379,4,FALSE)</f>
        <v>0</v>
      </c>
      <c r="X114" s="117" t="str">
        <f t="shared" si="3"/>
        <v>main-5|main-26||||||||</v>
      </c>
    </row>
    <row r="115" spans="2:24">
      <c r="B115" s="116">
        <v>112</v>
      </c>
      <c r="C115" s="7">
        <f t="shared" si="2"/>
        <v>20.100000000000001</v>
      </c>
      <c r="D115" s="8" t="s">
        <v>5</v>
      </c>
      <c r="E115" s="7">
        <f>VLOOKUP(D115,'Win Methods'!$C$4:$F$379,4,FALSE)</f>
        <v>0.1</v>
      </c>
      <c r="F115" s="8" t="s">
        <v>41</v>
      </c>
      <c r="G115" s="7">
        <f>VLOOKUP(F115,'Win Methods'!$C$4:$F$379,4,FALSE)</f>
        <v>20</v>
      </c>
      <c r="H115" s="8"/>
      <c r="I115" s="7">
        <f>VLOOKUP(H115,'Win Methods'!$C$4:$F$379,4,FALSE)</f>
        <v>0</v>
      </c>
      <c r="J115" s="8"/>
      <c r="K115" s="7">
        <f>VLOOKUP(J115,'Win Methods'!$C$4:$F$379,4,FALSE)</f>
        <v>0</v>
      </c>
      <c r="L115" s="8"/>
      <c r="M115" s="7">
        <f>VLOOKUP(L115,'Win Methods'!$C$4:$F$379,4,FALSE)</f>
        <v>0</v>
      </c>
      <c r="N115" s="8"/>
      <c r="O115" s="7">
        <f>VLOOKUP(N115,'Win Methods'!$C$4:$F$379,4,FALSE)</f>
        <v>0</v>
      </c>
      <c r="P115" s="8"/>
      <c r="Q115" s="7">
        <f>VLOOKUP(P115,'Win Methods'!$C$4:$F$379,4,FALSE)</f>
        <v>0</v>
      </c>
      <c r="R115" s="8"/>
      <c r="S115" s="7">
        <f>VLOOKUP(R115,'Win Methods'!$C$4:$F$379,4,FALSE)</f>
        <v>0</v>
      </c>
      <c r="T115" s="8"/>
      <c r="U115" s="7">
        <f>VLOOKUP(T115,'Win Methods'!$C$4:$F$379,4,FALSE)</f>
        <v>0</v>
      </c>
      <c r="V115" s="8"/>
      <c r="W115" s="7">
        <f>VLOOKUP(V115,'Win Methods'!$C$4:$F$379,4,FALSE)</f>
        <v>0</v>
      </c>
      <c r="X115" s="117" t="str">
        <f t="shared" si="3"/>
        <v>main-0|main-27||||||||</v>
      </c>
    </row>
    <row r="116" spans="2:24">
      <c r="B116" s="116">
        <v>113</v>
      </c>
      <c r="C116" s="7">
        <f t="shared" si="2"/>
        <v>22</v>
      </c>
      <c r="D116" s="8" t="s">
        <v>11</v>
      </c>
      <c r="E116" s="7">
        <f>VLOOKUP(D116,'Win Methods'!$C$4:$F$379,4,FALSE)</f>
        <v>2</v>
      </c>
      <c r="F116" s="8" t="s">
        <v>35</v>
      </c>
      <c r="G116" s="7">
        <f>VLOOKUP(F116,'Win Methods'!$C$4:$F$379,4,FALSE)</f>
        <v>20</v>
      </c>
      <c r="H116" s="8"/>
      <c r="I116" s="7">
        <f>VLOOKUP(H116,'Win Methods'!$C$4:$F$379,4,FALSE)</f>
        <v>0</v>
      </c>
      <c r="J116" s="8"/>
      <c r="K116" s="7">
        <f>VLOOKUP(J116,'Win Methods'!$C$4:$F$379,4,FALSE)</f>
        <v>0</v>
      </c>
      <c r="L116" s="8"/>
      <c r="M116" s="7">
        <f>VLOOKUP(L116,'Win Methods'!$C$4:$F$379,4,FALSE)</f>
        <v>0</v>
      </c>
      <c r="N116" s="8"/>
      <c r="O116" s="7">
        <f>VLOOKUP(N116,'Win Methods'!$C$4:$F$379,4,FALSE)</f>
        <v>0</v>
      </c>
      <c r="P116" s="8"/>
      <c r="Q116" s="7">
        <f>VLOOKUP(P116,'Win Methods'!$C$4:$F$379,4,FALSE)</f>
        <v>0</v>
      </c>
      <c r="R116" s="8"/>
      <c r="S116" s="7">
        <f>VLOOKUP(R116,'Win Methods'!$C$4:$F$379,4,FALSE)</f>
        <v>0</v>
      </c>
      <c r="T116" s="8"/>
      <c r="U116" s="7">
        <f>VLOOKUP(T116,'Win Methods'!$C$4:$F$379,4,FALSE)</f>
        <v>0</v>
      </c>
      <c r="V116" s="8"/>
      <c r="W116" s="7">
        <f>VLOOKUP(V116,'Win Methods'!$C$4:$F$379,4,FALSE)</f>
        <v>0</v>
      </c>
      <c r="X116" s="117" t="str">
        <f t="shared" si="3"/>
        <v>main-4|main-21||||||||</v>
      </c>
    </row>
    <row r="117" spans="2:24">
      <c r="B117" s="116">
        <v>114</v>
      </c>
      <c r="C117" s="7">
        <f t="shared" si="2"/>
        <v>5.0999999999999996</v>
      </c>
      <c r="D117" s="8" t="s">
        <v>5</v>
      </c>
      <c r="E117" s="7">
        <f>VLOOKUP(D117,'Win Methods'!$C$4:$F$379,4,FALSE)</f>
        <v>0.1</v>
      </c>
      <c r="F117" s="8" t="s">
        <v>32</v>
      </c>
      <c r="G117" s="7">
        <f>VLOOKUP(F117,'Win Methods'!$C$4:$F$379,4,FALSE)</f>
        <v>3</v>
      </c>
      <c r="H117" s="8" t="s">
        <v>11</v>
      </c>
      <c r="I117" s="7">
        <f>VLOOKUP(H117,'Win Methods'!$C$4:$F$379,4,FALSE)</f>
        <v>2</v>
      </c>
      <c r="J117" s="8"/>
      <c r="K117" s="7">
        <f>VLOOKUP(J117,'Win Methods'!$C$4:$F$379,4,FALSE)</f>
        <v>0</v>
      </c>
      <c r="L117" s="8"/>
      <c r="M117" s="7">
        <f>VLOOKUP(L117,'Win Methods'!$C$4:$F$379,4,FALSE)</f>
        <v>0</v>
      </c>
      <c r="N117" s="8"/>
      <c r="O117" s="7">
        <f>VLOOKUP(N117,'Win Methods'!$C$4:$F$379,4,FALSE)</f>
        <v>0</v>
      </c>
      <c r="P117" s="8"/>
      <c r="Q117" s="7">
        <f>VLOOKUP(P117,'Win Methods'!$C$4:$F$379,4,FALSE)</f>
        <v>0</v>
      </c>
      <c r="R117" s="8"/>
      <c r="S117" s="7">
        <f>VLOOKUP(R117,'Win Methods'!$C$4:$F$379,4,FALSE)</f>
        <v>0</v>
      </c>
      <c r="T117" s="8"/>
      <c r="U117" s="7">
        <f>VLOOKUP(T117,'Win Methods'!$C$4:$F$379,4,FALSE)</f>
        <v>0</v>
      </c>
      <c r="V117" s="8"/>
      <c r="W117" s="7">
        <f>VLOOKUP(V117,'Win Methods'!$C$4:$F$379,4,FALSE)</f>
        <v>0</v>
      </c>
      <c r="X117" s="117" t="str">
        <f t="shared" si="3"/>
        <v>main-0|main-18|main-4|||||||</v>
      </c>
    </row>
    <row r="118" spans="2:24">
      <c r="B118" s="116">
        <v>115</v>
      </c>
      <c r="C118" s="7">
        <f t="shared" si="2"/>
        <v>8.1999999999999993</v>
      </c>
      <c r="D118" s="8" t="s">
        <v>8</v>
      </c>
      <c r="E118" s="7">
        <f>VLOOKUP(D118,'Win Methods'!$C$4:$F$379,4,FALSE)</f>
        <v>0.2</v>
      </c>
      <c r="F118" s="8" t="s">
        <v>39</v>
      </c>
      <c r="G118" s="7">
        <f>VLOOKUP(F118,'Win Methods'!$C$4:$F$379,4,FALSE)</f>
        <v>5</v>
      </c>
      <c r="H118" s="8" t="s">
        <v>32</v>
      </c>
      <c r="I118" s="7">
        <f>VLOOKUP(H118,'Win Methods'!$C$4:$F$379,4,FALSE)</f>
        <v>3</v>
      </c>
      <c r="J118" s="8"/>
      <c r="K118" s="7">
        <f>VLOOKUP(J118,'Win Methods'!$C$4:$F$379,4,FALSE)</f>
        <v>0</v>
      </c>
      <c r="L118" s="8"/>
      <c r="M118" s="7">
        <f>VLOOKUP(L118,'Win Methods'!$C$4:$F$379,4,FALSE)</f>
        <v>0</v>
      </c>
      <c r="N118" s="8"/>
      <c r="O118" s="7">
        <f>VLOOKUP(N118,'Win Methods'!$C$4:$F$379,4,FALSE)</f>
        <v>0</v>
      </c>
      <c r="P118" s="8"/>
      <c r="Q118" s="7">
        <f>VLOOKUP(P118,'Win Methods'!$C$4:$F$379,4,FALSE)</f>
        <v>0</v>
      </c>
      <c r="R118" s="8"/>
      <c r="S118" s="7">
        <f>VLOOKUP(R118,'Win Methods'!$C$4:$F$379,4,FALSE)</f>
        <v>0</v>
      </c>
      <c r="T118" s="8"/>
      <c r="U118" s="7">
        <f>VLOOKUP(T118,'Win Methods'!$C$4:$F$379,4,FALSE)</f>
        <v>0</v>
      </c>
      <c r="V118" s="8"/>
      <c r="W118" s="7">
        <f>VLOOKUP(V118,'Win Methods'!$C$4:$F$379,4,FALSE)</f>
        <v>0</v>
      </c>
      <c r="X118" s="117" t="str">
        <f t="shared" si="3"/>
        <v>main-1|main-25|main-18|||||||</v>
      </c>
    </row>
    <row r="119" spans="2:24">
      <c r="B119" s="116">
        <v>116</v>
      </c>
      <c r="C119" s="7">
        <f t="shared" si="2"/>
        <v>6.5</v>
      </c>
      <c r="D119" s="8" t="s">
        <v>9</v>
      </c>
      <c r="E119" s="7">
        <f>VLOOKUP(D119,'Win Methods'!$C$4:$F$379,4,FALSE)</f>
        <v>0.5</v>
      </c>
      <c r="F119" s="8" t="s">
        <v>33</v>
      </c>
      <c r="G119" s="7">
        <f>VLOOKUP(F119,'Win Methods'!$C$4:$F$379,4,FALSE)</f>
        <v>5</v>
      </c>
      <c r="H119" s="8" t="s">
        <v>10</v>
      </c>
      <c r="I119" s="7">
        <f>VLOOKUP(H119,'Win Methods'!$C$4:$F$379,4,FALSE)</f>
        <v>1</v>
      </c>
      <c r="J119" s="8"/>
      <c r="K119" s="7">
        <f>VLOOKUP(J119,'Win Methods'!$C$4:$F$379,4,FALSE)</f>
        <v>0</v>
      </c>
      <c r="L119" s="8"/>
      <c r="M119" s="7">
        <f>VLOOKUP(L119,'Win Methods'!$C$4:$F$379,4,FALSE)</f>
        <v>0</v>
      </c>
      <c r="N119" s="8"/>
      <c r="O119" s="7">
        <f>VLOOKUP(N119,'Win Methods'!$C$4:$F$379,4,FALSE)</f>
        <v>0</v>
      </c>
      <c r="P119" s="8"/>
      <c r="Q119" s="7">
        <f>VLOOKUP(P119,'Win Methods'!$C$4:$F$379,4,FALSE)</f>
        <v>0</v>
      </c>
      <c r="R119" s="8"/>
      <c r="S119" s="7">
        <f>VLOOKUP(R119,'Win Methods'!$C$4:$F$379,4,FALSE)</f>
        <v>0</v>
      </c>
      <c r="T119" s="8"/>
      <c r="U119" s="7">
        <f>VLOOKUP(T119,'Win Methods'!$C$4:$F$379,4,FALSE)</f>
        <v>0</v>
      </c>
      <c r="V119" s="8"/>
      <c r="W119" s="7">
        <f>VLOOKUP(V119,'Win Methods'!$C$4:$F$379,4,FALSE)</f>
        <v>0</v>
      </c>
      <c r="X119" s="117" t="str">
        <f t="shared" si="3"/>
        <v>main-2|main-19|main-3|||||||</v>
      </c>
    </row>
    <row r="120" spans="2:24">
      <c r="B120" s="116">
        <v>117</v>
      </c>
      <c r="C120" s="7">
        <f t="shared" si="2"/>
        <v>7.1</v>
      </c>
      <c r="D120" s="8" t="s">
        <v>11</v>
      </c>
      <c r="E120" s="7">
        <f>VLOOKUP(D120,'Win Methods'!$C$4:$F$379,4,FALSE)</f>
        <v>2</v>
      </c>
      <c r="F120" s="8" t="s">
        <v>27</v>
      </c>
      <c r="G120" s="7">
        <f>VLOOKUP(F120,'Win Methods'!$C$4:$F$379,4,FALSE)</f>
        <v>5</v>
      </c>
      <c r="H120" s="8" t="s">
        <v>5</v>
      </c>
      <c r="I120" s="7">
        <f>VLOOKUP(H120,'Win Methods'!$C$4:$F$379,4,FALSE)</f>
        <v>0.1</v>
      </c>
      <c r="J120" s="8"/>
      <c r="K120" s="7">
        <f>VLOOKUP(J120,'Win Methods'!$C$4:$F$379,4,FALSE)</f>
        <v>0</v>
      </c>
      <c r="L120" s="8"/>
      <c r="M120" s="7">
        <f>VLOOKUP(L120,'Win Methods'!$C$4:$F$379,4,FALSE)</f>
        <v>0</v>
      </c>
      <c r="N120" s="8"/>
      <c r="O120" s="7">
        <f>VLOOKUP(N120,'Win Methods'!$C$4:$F$379,4,FALSE)</f>
        <v>0</v>
      </c>
      <c r="P120" s="8"/>
      <c r="Q120" s="7">
        <f>VLOOKUP(P120,'Win Methods'!$C$4:$F$379,4,FALSE)</f>
        <v>0</v>
      </c>
      <c r="R120" s="8"/>
      <c r="S120" s="7">
        <f>VLOOKUP(R120,'Win Methods'!$C$4:$F$379,4,FALSE)</f>
        <v>0</v>
      </c>
      <c r="T120" s="8"/>
      <c r="U120" s="7">
        <f>VLOOKUP(T120,'Win Methods'!$C$4:$F$379,4,FALSE)</f>
        <v>0</v>
      </c>
      <c r="V120" s="8"/>
      <c r="W120" s="7">
        <f>VLOOKUP(V120,'Win Methods'!$C$4:$F$379,4,FALSE)</f>
        <v>0</v>
      </c>
      <c r="X120" s="117" t="str">
        <f t="shared" si="3"/>
        <v>main-4|main-13|main-0|||||||</v>
      </c>
    </row>
    <row r="121" spans="2:24">
      <c r="B121" s="116">
        <v>118</v>
      </c>
      <c r="C121" s="7">
        <f t="shared" si="2"/>
        <v>13.2</v>
      </c>
      <c r="D121" s="8" t="s">
        <v>8</v>
      </c>
      <c r="E121" s="7">
        <f>VLOOKUP(D121,'Win Methods'!$C$4:$F$379,4,FALSE)</f>
        <v>0.2</v>
      </c>
      <c r="F121" s="8" t="s">
        <v>32</v>
      </c>
      <c r="G121" s="7">
        <f>VLOOKUP(F121,'Win Methods'!$C$4:$F$379,4,FALSE)</f>
        <v>3</v>
      </c>
      <c r="H121" s="8" t="s">
        <v>40</v>
      </c>
      <c r="I121" s="7">
        <f>VLOOKUP(H121,'Win Methods'!$C$4:$F$379,4,FALSE)</f>
        <v>10</v>
      </c>
      <c r="J121" s="8"/>
      <c r="K121" s="7">
        <f>VLOOKUP(J121,'Win Methods'!$C$4:$F$379,4,FALSE)</f>
        <v>0</v>
      </c>
      <c r="L121" s="8"/>
      <c r="M121" s="7">
        <f>VLOOKUP(L121,'Win Methods'!$C$4:$F$379,4,FALSE)</f>
        <v>0</v>
      </c>
      <c r="N121" s="8"/>
      <c r="O121" s="7">
        <f>VLOOKUP(N121,'Win Methods'!$C$4:$F$379,4,FALSE)</f>
        <v>0</v>
      </c>
      <c r="P121" s="8"/>
      <c r="Q121" s="7">
        <f>VLOOKUP(P121,'Win Methods'!$C$4:$F$379,4,FALSE)</f>
        <v>0</v>
      </c>
      <c r="R121" s="8"/>
      <c r="S121" s="7">
        <f>VLOOKUP(R121,'Win Methods'!$C$4:$F$379,4,FALSE)</f>
        <v>0</v>
      </c>
      <c r="T121" s="8"/>
      <c r="U121" s="7">
        <f>VLOOKUP(T121,'Win Methods'!$C$4:$F$379,4,FALSE)</f>
        <v>0</v>
      </c>
      <c r="V121" s="8"/>
      <c r="W121" s="7">
        <f>VLOOKUP(V121,'Win Methods'!$C$4:$F$379,4,FALSE)</f>
        <v>0</v>
      </c>
      <c r="X121" s="117" t="str">
        <f t="shared" si="3"/>
        <v>main-1|main-18|main-26|||||||</v>
      </c>
    </row>
    <row r="122" spans="2:24">
      <c r="B122" s="116">
        <v>119</v>
      </c>
      <c r="C122" s="7">
        <f t="shared" si="2"/>
        <v>10.1</v>
      </c>
      <c r="D122" s="8" t="s">
        <v>12</v>
      </c>
      <c r="E122" s="7">
        <f>VLOOKUP(D122,'Win Methods'!$C$4:$F$379,4,FALSE)</f>
        <v>5</v>
      </c>
      <c r="F122" s="8" t="s">
        <v>39</v>
      </c>
      <c r="G122" s="7">
        <f>VLOOKUP(F122,'Win Methods'!$C$4:$F$379,4,FALSE)</f>
        <v>5</v>
      </c>
      <c r="H122" s="8" t="s">
        <v>5</v>
      </c>
      <c r="I122" s="7">
        <f>VLOOKUP(H122,'Win Methods'!$C$4:$F$379,4,FALSE)</f>
        <v>0.1</v>
      </c>
      <c r="J122" s="8"/>
      <c r="K122" s="7">
        <f>VLOOKUP(J122,'Win Methods'!$C$4:$F$379,4,FALSE)</f>
        <v>0</v>
      </c>
      <c r="L122" s="8"/>
      <c r="M122" s="7">
        <f>VLOOKUP(L122,'Win Methods'!$C$4:$F$379,4,FALSE)</f>
        <v>0</v>
      </c>
      <c r="N122" s="8"/>
      <c r="O122" s="7">
        <f>VLOOKUP(N122,'Win Methods'!$C$4:$F$379,4,FALSE)</f>
        <v>0</v>
      </c>
      <c r="P122" s="8"/>
      <c r="Q122" s="7">
        <f>VLOOKUP(P122,'Win Methods'!$C$4:$F$379,4,FALSE)</f>
        <v>0</v>
      </c>
      <c r="R122" s="8"/>
      <c r="S122" s="7">
        <f>VLOOKUP(R122,'Win Methods'!$C$4:$F$379,4,FALSE)</f>
        <v>0</v>
      </c>
      <c r="T122" s="8"/>
      <c r="U122" s="7">
        <f>VLOOKUP(T122,'Win Methods'!$C$4:$F$379,4,FALSE)</f>
        <v>0</v>
      </c>
      <c r="V122" s="8"/>
      <c r="W122" s="7">
        <f>VLOOKUP(V122,'Win Methods'!$C$4:$F$379,4,FALSE)</f>
        <v>0</v>
      </c>
      <c r="X122" s="117" t="str">
        <f t="shared" si="3"/>
        <v>main-5|main-25|main-0|||||||</v>
      </c>
    </row>
    <row r="123" spans="2:24">
      <c r="B123" s="116">
        <v>120</v>
      </c>
      <c r="C123" s="7">
        <f t="shared" si="2"/>
        <v>12.1</v>
      </c>
      <c r="D123" s="8" t="s">
        <v>11</v>
      </c>
      <c r="E123" s="7">
        <f>VLOOKUP(D123,'Win Methods'!$C$4:$F$379,4,FALSE)</f>
        <v>2</v>
      </c>
      <c r="F123" s="8" t="s">
        <v>5</v>
      </c>
      <c r="G123" s="7">
        <f>VLOOKUP(F123,'Win Methods'!$C$4:$F$379,4,FALSE)</f>
        <v>0.1</v>
      </c>
      <c r="H123" s="8" t="s">
        <v>34</v>
      </c>
      <c r="I123" s="7">
        <f>VLOOKUP(H123,'Win Methods'!$C$4:$F$379,4,FALSE)</f>
        <v>10</v>
      </c>
      <c r="J123" s="8"/>
      <c r="K123" s="7">
        <f>VLOOKUP(J123,'Win Methods'!$C$4:$F$379,4,FALSE)</f>
        <v>0</v>
      </c>
      <c r="L123" s="8"/>
      <c r="M123" s="7">
        <f>VLOOKUP(L123,'Win Methods'!$C$4:$F$379,4,FALSE)</f>
        <v>0</v>
      </c>
      <c r="N123" s="8"/>
      <c r="O123" s="7">
        <f>VLOOKUP(N123,'Win Methods'!$C$4:$F$379,4,FALSE)</f>
        <v>0</v>
      </c>
      <c r="P123" s="8"/>
      <c r="Q123" s="7">
        <f>VLOOKUP(P123,'Win Methods'!$C$4:$F$379,4,FALSE)</f>
        <v>0</v>
      </c>
      <c r="R123" s="8"/>
      <c r="S123" s="7">
        <f>VLOOKUP(R123,'Win Methods'!$C$4:$F$379,4,FALSE)</f>
        <v>0</v>
      </c>
      <c r="T123" s="8"/>
      <c r="U123" s="7">
        <f>VLOOKUP(T123,'Win Methods'!$C$4:$F$379,4,FALSE)</f>
        <v>0</v>
      </c>
      <c r="V123" s="8"/>
      <c r="W123" s="7">
        <f>VLOOKUP(V123,'Win Methods'!$C$4:$F$379,4,FALSE)</f>
        <v>0</v>
      </c>
      <c r="X123" s="117" t="str">
        <f t="shared" si="3"/>
        <v>main-4|main-0|main-20|||||||</v>
      </c>
    </row>
    <row r="124" spans="2:24">
      <c r="B124" s="116">
        <v>121</v>
      </c>
      <c r="C124" s="7">
        <f t="shared" si="2"/>
        <v>12</v>
      </c>
      <c r="D124" s="8" t="s">
        <v>25</v>
      </c>
      <c r="E124" s="7">
        <f>VLOOKUP(D124,'Win Methods'!$C$4:$F$379,4,FALSE)</f>
        <v>2</v>
      </c>
      <c r="F124" s="8" t="s">
        <v>39</v>
      </c>
      <c r="G124" s="7">
        <f>VLOOKUP(F124,'Win Methods'!$C$4:$F$379,4,FALSE)</f>
        <v>5</v>
      </c>
      <c r="H124" s="8" t="s">
        <v>12</v>
      </c>
      <c r="I124" s="7">
        <f>VLOOKUP(H124,'Win Methods'!$C$4:$F$379,4,FALSE)</f>
        <v>5</v>
      </c>
      <c r="J124" s="8"/>
      <c r="K124" s="7">
        <f>VLOOKUP(J124,'Win Methods'!$C$4:$F$379,4,FALSE)</f>
        <v>0</v>
      </c>
      <c r="L124" s="8"/>
      <c r="M124" s="7">
        <f>VLOOKUP(L124,'Win Methods'!$C$4:$F$379,4,FALSE)</f>
        <v>0</v>
      </c>
      <c r="N124" s="8"/>
      <c r="O124" s="7">
        <f>VLOOKUP(N124,'Win Methods'!$C$4:$F$379,4,FALSE)</f>
        <v>0</v>
      </c>
      <c r="P124" s="8"/>
      <c r="Q124" s="7">
        <f>VLOOKUP(P124,'Win Methods'!$C$4:$F$379,4,FALSE)</f>
        <v>0</v>
      </c>
      <c r="R124" s="8"/>
      <c r="S124" s="7">
        <f>VLOOKUP(R124,'Win Methods'!$C$4:$F$379,4,FALSE)</f>
        <v>0</v>
      </c>
      <c r="T124" s="8"/>
      <c r="U124" s="7">
        <f>VLOOKUP(T124,'Win Methods'!$C$4:$F$379,4,FALSE)</f>
        <v>0</v>
      </c>
      <c r="V124" s="8"/>
      <c r="W124" s="7">
        <f>VLOOKUP(V124,'Win Methods'!$C$4:$F$379,4,FALSE)</f>
        <v>0</v>
      </c>
      <c r="X124" s="117" t="str">
        <f t="shared" si="3"/>
        <v>main-11|main-25|main-5|||||||</v>
      </c>
    </row>
    <row r="125" spans="2:24">
      <c r="B125" s="116">
        <v>122</v>
      </c>
      <c r="C125" s="7">
        <f t="shared" si="2"/>
        <v>13</v>
      </c>
      <c r="D125" s="8" t="s">
        <v>32</v>
      </c>
      <c r="E125" s="7">
        <f>VLOOKUP(D125,'Win Methods'!$C$4:$F$379,4,FALSE)</f>
        <v>3</v>
      </c>
      <c r="F125" s="8" t="s">
        <v>33</v>
      </c>
      <c r="G125" s="7">
        <f>VLOOKUP(F125,'Win Methods'!$C$4:$F$379,4,FALSE)</f>
        <v>5</v>
      </c>
      <c r="H125" s="8" t="s">
        <v>12</v>
      </c>
      <c r="I125" s="7">
        <f>VLOOKUP(H125,'Win Methods'!$C$4:$F$379,4,FALSE)</f>
        <v>5</v>
      </c>
      <c r="J125" s="8"/>
      <c r="K125" s="7">
        <f>VLOOKUP(J125,'Win Methods'!$C$4:$F$379,4,FALSE)</f>
        <v>0</v>
      </c>
      <c r="L125" s="8"/>
      <c r="M125" s="7">
        <f>VLOOKUP(L125,'Win Methods'!$C$4:$F$379,4,FALSE)</f>
        <v>0</v>
      </c>
      <c r="N125" s="8"/>
      <c r="O125" s="7">
        <f>VLOOKUP(N125,'Win Methods'!$C$4:$F$379,4,FALSE)</f>
        <v>0</v>
      </c>
      <c r="P125" s="8"/>
      <c r="Q125" s="7">
        <f>VLOOKUP(P125,'Win Methods'!$C$4:$F$379,4,FALSE)</f>
        <v>0</v>
      </c>
      <c r="R125" s="8"/>
      <c r="S125" s="7">
        <f>VLOOKUP(R125,'Win Methods'!$C$4:$F$379,4,FALSE)</f>
        <v>0</v>
      </c>
      <c r="T125" s="8"/>
      <c r="U125" s="7">
        <f>VLOOKUP(T125,'Win Methods'!$C$4:$F$379,4,FALSE)</f>
        <v>0</v>
      </c>
      <c r="V125" s="8"/>
      <c r="W125" s="7">
        <f>VLOOKUP(V125,'Win Methods'!$C$4:$F$379,4,FALSE)</f>
        <v>0</v>
      </c>
      <c r="X125" s="117" t="str">
        <f t="shared" si="3"/>
        <v>main-18|main-19|main-5|||||||</v>
      </c>
    </row>
    <row r="126" spans="2:24">
      <c r="B126" s="116">
        <v>123</v>
      </c>
      <c r="C126" s="7">
        <f t="shared" si="2"/>
        <v>13</v>
      </c>
      <c r="D126" s="8" t="s">
        <v>10</v>
      </c>
      <c r="E126" s="7">
        <f>VLOOKUP(D126,'Win Methods'!$C$4:$F$379,4,FALSE)</f>
        <v>1</v>
      </c>
      <c r="F126" s="8" t="s">
        <v>34</v>
      </c>
      <c r="G126" s="7">
        <f>VLOOKUP(F126,'Win Methods'!$C$4:$F$379,4,FALSE)</f>
        <v>10</v>
      </c>
      <c r="H126" s="8" t="s">
        <v>11</v>
      </c>
      <c r="I126" s="7">
        <f>VLOOKUP(H126,'Win Methods'!$C$4:$F$379,4,FALSE)</f>
        <v>2</v>
      </c>
      <c r="J126" s="8"/>
      <c r="K126" s="7">
        <f>VLOOKUP(J126,'Win Methods'!$C$4:$F$379,4,FALSE)</f>
        <v>0</v>
      </c>
      <c r="L126" s="8"/>
      <c r="M126" s="7">
        <f>VLOOKUP(L126,'Win Methods'!$C$4:$F$379,4,FALSE)</f>
        <v>0</v>
      </c>
      <c r="N126" s="8"/>
      <c r="O126" s="7">
        <f>VLOOKUP(N126,'Win Methods'!$C$4:$F$379,4,FALSE)</f>
        <v>0</v>
      </c>
      <c r="P126" s="8"/>
      <c r="Q126" s="7">
        <f>VLOOKUP(P126,'Win Methods'!$C$4:$F$379,4,FALSE)</f>
        <v>0</v>
      </c>
      <c r="R126" s="8"/>
      <c r="S126" s="7">
        <f>VLOOKUP(R126,'Win Methods'!$C$4:$F$379,4,FALSE)</f>
        <v>0</v>
      </c>
      <c r="T126" s="8"/>
      <c r="U126" s="7">
        <f>VLOOKUP(T126,'Win Methods'!$C$4:$F$379,4,FALSE)</f>
        <v>0</v>
      </c>
      <c r="V126" s="8"/>
      <c r="W126" s="7">
        <f>VLOOKUP(V126,'Win Methods'!$C$4:$F$379,4,FALSE)</f>
        <v>0</v>
      </c>
      <c r="X126" s="117" t="str">
        <f t="shared" si="3"/>
        <v>main-3|main-20|main-4|||||||</v>
      </c>
    </row>
    <row r="127" spans="2:24">
      <c r="B127" s="116">
        <v>124</v>
      </c>
      <c r="C127" s="7">
        <f t="shared" si="2"/>
        <v>11</v>
      </c>
      <c r="D127" s="8" t="s">
        <v>10</v>
      </c>
      <c r="E127" s="7">
        <f>VLOOKUP(D127,'Win Methods'!$C$4:$F$379,4,FALSE)</f>
        <v>1</v>
      </c>
      <c r="F127" s="8" t="s">
        <v>12</v>
      </c>
      <c r="G127" s="7">
        <f>VLOOKUP(F127,'Win Methods'!$C$4:$F$379,4,FALSE)</f>
        <v>5</v>
      </c>
      <c r="H127" s="8" t="s">
        <v>33</v>
      </c>
      <c r="I127" s="7">
        <f>VLOOKUP(H127,'Win Methods'!$C$4:$F$379,4,FALSE)</f>
        <v>5</v>
      </c>
      <c r="J127" s="8"/>
      <c r="K127" s="7">
        <f>VLOOKUP(J127,'Win Methods'!$C$4:$F$379,4,FALSE)</f>
        <v>0</v>
      </c>
      <c r="L127" s="8"/>
      <c r="M127" s="7">
        <f>VLOOKUP(L127,'Win Methods'!$C$4:$F$379,4,FALSE)</f>
        <v>0</v>
      </c>
      <c r="N127" s="8"/>
      <c r="O127" s="7">
        <f>VLOOKUP(N127,'Win Methods'!$C$4:$F$379,4,FALSE)</f>
        <v>0</v>
      </c>
      <c r="P127" s="8"/>
      <c r="Q127" s="7">
        <f>VLOOKUP(P127,'Win Methods'!$C$4:$F$379,4,FALSE)</f>
        <v>0</v>
      </c>
      <c r="R127" s="8"/>
      <c r="S127" s="7">
        <f>VLOOKUP(R127,'Win Methods'!$C$4:$F$379,4,FALSE)</f>
        <v>0</v>
      </c>
      <c r="T127" s="8"/>
      <c r="U127" s="7">
        <f>VLOOKUP(T127,'Win Methods'!$C$4:$F$379,4,FALSE)</f>
        <v>0</v>
      </c>
      <c r="V127" s="8"/>
      <c r="W127" s="7">
        <f>VLOOKUP(V127,'Win Methods'!$C$4:$F$379,4,FALSE)</f>
        <v>0</v>
      </c>
      <c r="X127" s="117" t="str">
        <f t="shared" si="3"/>
        <v>main-3|main-5|main-19|||||||</v>
      </c>
    </row>
    <row r="128" spans="2:24">
      <c r="B128" s="116">
        <v>125</v>
      </c>
      <c r="C128" s="7">
        <f t="shared" si="2"/>
        <v>15.2</v>
      </c>
      <c r="D128" s="8" t="s">
        <v>12</v>
      </c>
      <c r="E128" s="7">
        <f>VLOOKUP(D128,'Win Methods'!$C$4:$F$379,4,FALSE)</f>
        <v>5</v>
      </c>
      <c r="F128" s="8" t="s">
        <v>40</v>
      </c>
      <c r="G128" s="7">
        <f>VLOOKUP(F128,'Win Methods'!$C$4:$F$379,4,FALSE)</f>
        <v>10</v>
      </c>
      <c r="H128" s="8" t="s">
        <v>8</v>
      </c>
      <c r="I128" s="7">
        <f>VLOOKUP(H128,'Win Methods'!$C$4:$F$379,4,FALSE)</f>
        <v>0.2</v>
      </c>
      <c r="J128" s="8"/>
      <c r="K128" s="7">
        <f>VLOOKUP(J128,'Win Methods'!$C$4:$F$379,4,FALSE)</f>
        <v>0</v>
      </c>
      <c r="L128" s="8"/>
      <c r="M128" s="7">
        <f>VLOOKUP(L128,'Win Methods'!$C$4:$F$379,4,FALSE)</f>
        <v>0</v>
      </c>
      <c r="N128" s="8"/>
      <c r="O128" s="7">
        <f>VLOOKUP(N128,'Win Methods'!$C$4:$F$379,4,FALSE)</f>
        <v>0</v>
      </c>
      <c r="P128" s="8"/>
      <c r="Q128" s="7">
        <f>VLOOKUP(P128,'Win Methods'!$C$4:$F$379,4,FALSE)</f>
        <v>0</v>
      </c>
      <c r="R128" s="8"/>
      <c r="S128" s="7">
        <f>VLOOKUP(R128,'Win Methods'!$C$4:$F$379,4,FALSE)</f>
        <v>0</v>
      </c>
      <c r="T128" s="8"/>
      <c r="U128" s="7">
        <f>VLOOKUP(T128,'Win Methods'!$C$4:$F$379,4,FALSE)</f>
        <v>0</v>
      </c>
      <c r="V128" s="8"/>
      <c r="W128" s="7">
        <f>VLOOKUP(V128,'Win Methods'!$C$4:$F$379,4,FALSE)</f>
        <v>0</v>
      </c>
      <c r="X128" s="117" t="str">
        <f t="shared" si="3"/>
        <v>main-5|main-26|main-1|||||||</v>
      </c>
    </row>
    <row r="129" spans="2:24">
      <c r="B129" s="116">
        <v>126</v>
      </c>
      <c r="C129" s="7">
        <f t="shared" si="2"/>
        <v>15</v>
      </c>
      <c r="D129" s="8" t="s">
        <v>12</v>
      </c>
      <c r="E129" s="7">
        <f>VLOOKUP(D129,'Win Methods'!$C$4:$F$379,4,FALSE)</f>
        <v>5</v>
      </c>
      <c r="F129" s="8" t="s">
        <v>39</v>
      </c>
      <c r="G129" s="7">
        <f>VLOOKUP(F129,'Win Methods'!$C$4:$F$379,4,FALSE)</f>
        <v>5</v>
      </c>
      <c r="H129" s="8" t="s">
        <v>33</v>
      </c>
      <c r="I129" s="7">
        <f>VLOOKUP(H129,'Win Methods'!$C$4:$F$379,4,FALSE)</f>
        <v>5</v>
      </c>
      <c r="J129" s="8"/>
      <c r="K129" s="7">
        <f>VLOOKUP(J129,'Win Methods'!$C$4:$F$379,4,FALSE)</f>
        <v>0</v>
      </c>
      <c r="L129" s="8"/>
      <c r="M129" s="7">
        <f>VLOOKUP(L129,'Win Methods'!$C$4:$F$379,4,FALSE)</f>
        <v>0</v>
      </c>
      <c r="N129" s="8"/>
      <c r="O129" s="7">
        <f>VLOOKUP(N129,'Win Methods'!$C$4:$F$379,4,FALSE)</f>
        <v>0</v>
      </c>
      <c r="P129" s="8"/>
      <c r="Q129" s="7">
        <f>VLOOKUP(P129,'Win Methods'!$C$4:$F$379,4,FALSE)</f>
        <v>0</v>
      </c>
      <c r="R129" s="8"/>
      <c r="S129" s="7">
        <f>VLOOKUP(R129,'Win Methods'!$C$4:$F$379,4,FALSE)</f>
        <v>0</v>
      </c>
      <c r="T129" s="8"/>
      <c r="U129" s="7">
        <f>VLOOKUP(T129,'Win Methods'!$C$4:$F$379,4,FALSE)</f>
        <v>0</v>
      </c>
      <c r="V129" s="8"/>
      <c r="W129" s="7">
        <f>VLOOKUP(V129,'Win Methods'!$C$4:$F$379,4,FALSE)</f>
        <v>0</v>
      </c>
      <c r="X129" s="117" t="str">
        <f t="shared" si="3"/>
        <v>main-5|main-25|main-19|||||||</v>
      </c>
    </row>
    <row r="130" spans="2:24">
      <c r="B130" s="116">
        <v>127</v>
      </c>
      <c r="C130" s="7">
        <f t="shared" si="2"/>
        <v>12</v>
      </c>
      <c r="D130" s="8" t="s">
        <v>11</v>
      </c>
      <c r="E130" s="7">
        <f>VLOOKUP(D130,'Win Methods'!$C$4:$F$379,4,FALSE)</f>
        <v>2</v>
      </c>
      <c r="F130" s="8" t="s">
        <v>33</v>
      </c>
      <c r="G130" s="7">
        <f>VLOOKUP(F130,'Win Methods'!$C$4:$F$379,4,FALSE)</f>
        <v>5</v>
      </c>
      <c r="H130" s="8" t="s">
        <v>12</v>
      </c>
      <c r="I130" s="7">
        <f>VLOOKUP(H130,'Win Methods'!$C$4:$F$379,4,FALSE)</f>
        <v>5</v>
      </c>
      <c r="J130" s="8"/>
      <c r="K130" s="7">
        <f>VLOOKUP(J130,'Win Methods'!$C$4:$F$379,4,FALSE)</f>
        <v>0</v>
      </c>
      <c r="L130" s="8"/>
      <c r="M130" s="7">
        <f>VLOOKUP(L130,'Win Methods'!$C$4:$F$379,4,FALSE)</f>
        <v>0</v>
      </c>
      <c r="N130" s="8"/>
      <c r="O130" s="7">
        <f>VLOOKUP(N130,'Win Methods'!$C$4:$F$379,4,FALSE)</f>
        <v>0</v>
      </c>
      <c r="P130" s="8"/>
      <c r="Q130" s="7">
        <f>VLOOKUP(P130,'Win Methods'!$C$4:$F$379,4,FALSE)</f>
        <v>0</v>
      </c>
      <c r="R130" s="8"/>
      <c r="S130" s="7">
        <f>VLOOKUP(R130,'Win Methods'!$C$4:$F$379,4,FALSE)</f>
        <v>0</v>
      </c>
      <c r="T130" s="8"/>
      <c r="U130" s="7">
        <f>VLOOKUP(T130,'Win Methods'!$C$4:$F$379,4,FALSE)</f>
        <v>0</v>
      </c>
      <c r="V130" s="8"/>
      <c r="W130" s="7">
        <f>VLOOKUP(V130,'Win Methods'!$C$4:$F$379,4,FALSE)</f>
        <v>0</v>
      </c>
      <c r="X130" s="117" t="str">
        <f t="shared" si="3"/>
        <v>main-4|main-19|main-5|||||||</v>
      </c>
    </row>
    <row r="131" spans="2:24">
      <c r="B131" s="116">
        <v>128</v>
      </c>
      <c r="C131" s="7">
        <f t="shared" ref="C131:C194" si="4">(E131+G131+I131+K131+M131+O131+Q131+S131+U131+W131)</f>
        <v>20.6</v>
      </c>
      <c r="D131" s="8" t="s">
        <v>5</v>
      </c>
      <c r="E131" s="7">
        <f>VLOOKUP(D131,'Win Methods'!$C$4:$F$379,4,FALSE)</f>
        <v>0.1</v>
      </c>
      <c r="F131" s="8" t="s">
        <v>41</v>
      </c>
      <c r="G131" s="7">
        <f>VLOOKUP(F131,'Win Methods'!$C$4:$F$379,4,FALSE)</f>
        <v>20</v>
      </c>
      <c r="H131" s="8" t="s">
        <v>9</v>
      </c>
      <c r="I131" s="7">
        <f>VLOOKUP(H131,'Win Methods'!$C$4:$F$379,4,FALSE)</f>
        <v>0.5</v>
      </c>
      <c r="J131" s="8"/>
      <c r="K131" s="7">
        <f>VLOOKUP(J131,'Win Methods'!$C$4:$F$379,4,FALSE)</f>
        <v>0</v>
      </c>
      <c r="L131" s="8"/>
      <c r="M131" s="7">
        <f>VLOOKUP(L131,'Win Methods'!$C$4:$F$379,4,FALSE)</f>
        <v>0</v>
      </c>
      <c r="N131" s="8"/>
      <c r="O131" s="7">
        <f>VLOOKUP(N131,'Win Methods'!$C$4:$F$379,4,FALSE)</f>
        <v>0</v>
      </c>
      <c r="P131" s="8"/>
      <c r="Q131" s="7">
        <f>VLOOKUP(P131,'Win Methods'!$C$4:$F$379,4,FALSE)</f>
        <v>0</v>
      </c>
      <c r="R131" s="8"/>
      <c r="S131" s="7">
        <f>VLOOKUP(R131,'Win Methods'!$C$4:$F$379,4,FALSE)</f>
        <v>0</v>
      </c>
      <c r="T131" s="8"/>
      <c r="U131" s="7">
        <f>VLOOKUP(T131,'Win Methods'!$C$4:$F$379,4,FALSE)</f>
        <v>0</v>
      </c>
      <c r="V131" s="8"/>
      <c r="W131" s="7">
        <f>VLOOKUP(V131,'Win Methods'!$C$4:$F$379,4,FALSE)</f>
        <v>0</v>
      </c>
      <c r="X131" s="117" t="str">
        <f t="shared" ref="X131:X194" si="5">D131&amp;"|"&amp;F131&amp;"|"&amp;H131&amp;"|"&amp;J131&amp;"|"&amp;L131&amp;"|"&amp;N131&amp;"|"&amp;P131&amp;"|"&amp;R131&amp;"|"&amp;T131&amp;"|"&amp;V131</f>
        <v>main-0|main-27|main-2|||||||</v>
      </c>
    </row>
    <row r="132" spans="2:24">
      <c r="B132" s="116">
        <v>129</v>
      </c>
      <c r="C132" s="7">
        <f t="shared" si="4"/>
        <v>32</v>
      </c>
      <c r="D132" s="8" t="s">
        <v>11</v>
      </c>
      <c r="E132" s="7">
        <f>VLOOKUP(D132,'Win Methods'!$C$4:$F$379,4,FALSE)</f>
        <v>2</v>
      </c>
      <c r="F132" s="8" t="s">
        <v>28</v>
      </c>
      <c r="G132" s="7">
        <f>VLOOKUP(F132,'Win Methods'!$C$4:$F$379,4,FALSE)</f>
        <v>10</v>
      </c>
      <c r="H132" s="8" t="s">
        <v>29</v>
      </c>
      <c r="I132" s="7">
        <f>VLOOKUP(H132,'Win Methods'!$C$4:$F$379,4,FALSE)</f>
        <v>20</v>
      </c>
      <c r="J132" s="8"/>
      <c r="K132" s="7">
        <f>VLOOKUP(J132,'Win Methods'!$C$4:$F$379,4,FALSE)</f>
        <v>0</v>
      </c>
      <c r="L132" s="8"/>
      <c r="M132" s="7">
        <f>VLOOKUP(L132,'Win Methods'!$C$4:$F$379,4,FALSE)</f>
        <v>0</v>
      </c>
      <c r="N132" s="8"/>
      <c r="O132" s="7">
        <f>VLOOKUP(N132,'Win Methods'!$C$4:$F$379,4,FALSE)</f>
        <v>0</v>
      </c>
      <c r="P132" s="8"/>
      <c r="Q132" s="7">
        <f>VLOOKUP(P132,'Win Methods'!$C$4:$F$379,4,FALSE)</f>
        <v>0</v>
      </c>
      <c r="R132" s="8"/>
      <c r="S132" s="7">
        <f>VLOOKUP(R132,'Win Methods'!$C$4:$F$379,4,FALSE)</f>
        <v>0</v>
      </c>
      <c r="T132" s="8"/>
      <c r="U132" s="7">
        <f>VLOOKUP(T132,'Win Methods'!$C$4:$F$379,4,FALSE)</f>
        <v>0</v>
      </c>
      <c r="V132" s="8"/>
      <c r="W132" s="7">
        <f>VLOOKUP(V132,'Win Methods'!$C$4:$F$379,4,FALSE)</f>
        <v>0</v>
      </c>
      <c r="X132" s="117" t="str">
        <f t="shared" si="5"/>
        <v>main-4|main-14|main-15|||||||</v>
      </c>
    </row>
    <row r="133" spans="2:24">
      <c r="B133" s="116">
        <v>130</v>
      </c>
      <c r="C133" s="7">
        <f t="shared" si="4"/>
        <v>103</v>
      </c>
      <c r="D133" s="8" t="s">
        <v>11</v>
      </c>
      <c r="E133" s="7">
        <f>VLOOKUP(D133,'Win Methods'!$C$4:$F$379,4,FALSE)</f>
        <v>2</v>
      </c>
      <c r="F133" s="8" t="s">
        <v>42</v>
      </c>
      <c r="G133" s="7">
        <f>VLOOKUP(F133,'Win Methods'!$C$4:$F$379,4,FALSE)</f>
        <v>100</v>
      </c>
      <c r="H133" s="8" t="s">
        <v>10</v>
      </c>
      <c r="I133" s="7">
        <f>VLOOKUP(H133,'Win Methods'!$C$4:$F$379,4,FALSE)</f>
        <v>1</v>
      </c>
      <c r="J133" s="8"/>
      <c r="K133" s="7">
        <f>VLOOKUP(J133,'Win Methods'!$C$4:$F$379,4,FALSE)</f>
        <v>0</v>
      </c>
      <c r="L133" s="8"/>
      <c r="M133" s="7">
        <f>VLOOKUP(L133,'Win Methods'!$C$4:$F$379,4,FALSE)</f>
        <v>0</v>
      </c>
      <c r="N133" s="8"/>
      <c r="O133" s="7">
        <f>VLOOKUP(N133,'Win Methods'!$C$4:$F$379,4,FALSE)</f>
        <v>0</v>
      </c>
      <c r="P133" s="8"/>
      <c r="Q133" s="7">
        <f>VLOOKUP(P133,'Win Methods'!$C$4:$F$379,4,FALSE)</f>
        <v>0</v>
      </c>
      <c r="R133" s="8"/>
      <c r="S133" s="7">
        <f>VLOOKUP(R133,'Win Methods'!$C$4:$F$379,4,FALSE)</f>
        <v>0</v>
      </c>
      <c r="T133" s="8"/>
      <c r="U133" s="7">
        <f>VLOOKUP(T133,'Win Methods'!$C$4:$F$379,4,FALSE)</f>
        <v>0</v>
      </c>
      <c r="V133" s="8"/>
      <c r="W133" s="7">
        <f>VLOOKUP(V133,'Win Methods'!$C$4:$F$379,4,FALSE)</f>
        <v>0</v>
      </c>
      <c r="X133" s="117" t="str">
        <f t="shared" si="5"/>
        <v>main-4|main-28|main-3|||||||</v>
      </c>
    </row>
    <row r="134" spans="2:24">
      <c r="B134" s="116">
        <v>131</v>
      </c>
      <c r="C134" s="7">
        <f t="shared" si="4"/>
        <v>5.3000000000000007</v>
      </c>
      <c r="D134" s="8" t="s">
        <v>11</v>
      </c>
      <c r="E134" s="7">
        <f>VLOOKUP(D134,'Win Methods'!$C$4:$F$379,4,FALSE)</f>
        <v>2</v>
      </c>
      <c r="F134" s="8" t="s">
        <v>5</v>
      </c>
      <c r="G134" s="7">
        <f>VLOOKUP(F134,'Win Methods'!$C$4:$F$379,4,FALSE)</f>
        <v>0.1</v>
      </c>
      <c r="H134" s="8" t="s">
        <v>8</v>
      </c>
      <c r="I134" s="7">
        <f>VLOOKUP(H134,'Win Methods'!$C$4:$F$379,4,FALSE)</f>
        <v>0.2</v>
      </c>
      <c r="J134" s="8" t="s">
        <v>32</v>
      </c>
      <c r="K134" s="7">
        <f>VLOOKUP(J134,'Win Methods'!$C$4:$F$379,4,FALSE)</f>
        <v>3</v>
      </c>
      <c r="L134" s="8"/>
      <c r="M134" s="7">
        <f>VLOOKUP(L134,'Win Methods'!$C$4:$F$379,4,FALSE)</f>
        <v>0</v>
      </c>
      <c r="N134" s="8"/>
      <c r="O134" s="7">
        <f>VLOOKUP(N134,'Win Methods'!$C$4:$F$379,4,FALSE)</f>
        <v>0</v>
      </c>
      <c r="P134" s="8"/>
      <c r="Q134" s="7">
        <f>VLOOKUP(P134,'Win Methods'!$C$4:$F$379,4,FALSE)</f>
        <v>0</v>
      </c>
      <c r="R134" s="8"/>
      <c r="S134" s="7">
        <f>VLOOKUP(R134,'Win Methods'!$C$4:$F$379,4,FALSE)</f>
        <v>0</v>
      </c>
      <c r="T134" s="8"/>
      <c r="U134" s="7">
        <f>VLOOKUP(T134,'Win Methods'!$C$4:$F$379,4,FALSE)</f>
        <v>0</v>
      </c>
      <c r="V134" s="8"/>
      <c r="W134" s="7">
        <f>VLOOKUP(V134,'Win Methods'!$C$4:$F$379,4,FALSE)</f>
        <v>0</v>
      </c>
      <c r="X134" s="117" t="str">
        <f t="shared" si="5"/>
        <v>main-4|main-0|main-1|main-18||||||</v>
      </c>
    </row>
    <row r="135" spans="2:24">
      <c r="B135" s="116">
        <v>132</v>
      </c>
      <c r="C135" s="7">
        <f t="shared" si="4"/>
        <v>7.2</v>
      </c>
      <c r="D135" s="8" t="s">
        <v>5</v>
      </c>
      <c r="E135" s="7">
        <f>VLOOKUP(D135,'Win Methods'!$C$4:$F$379,4,FALSE)</f>
        <v>0.1</v>
      </c>
      <c r="F135" s="8" t="s">
        <v>11</v>
      </c>
      <c r="G135" s="7">
        <f>VLOOKUP(F135,'Win Methods'!$C$4:$F$379,4,FALSE)</f>
        <v>2</v>
      </c>
      <c r="H135" s="8" t="s">
        <v>5</v>
      </c>
      <c r="I135" s="7">
        <f>VLOOKUP(H135,'Win Methods'!$C$4:$F$379,4,FALSE)</f>
        <v>0.1</v>
      </c>
      <c r="J135" s="8" t="s">
        <v>33</v>
      </c>
      <c r="K135" s="7">
        <f>VLOOKUP(J135,'Win Methods'!$C$4:$F$379,4,FALSE)</f>
        <v>5</v>
      </c>
      <c r="L135" s="8"/>
      <c r="M135" s="7">
        <f>VLOOKUP(L135,'Win Methods'!$C$4:$F$379,4,FALSE)</f>
        <v>0</v>
      </c>
      <c r="N135" s="8"/>
      <c r="O135" s="7">
        <f>VLOOKUP(N135,'Win Methods'!$C$4:$F$379,4,FALSE)</f>
        <v>0</v>
      </c>
      <c r="P135" s="8"/>
      <c r="Q135" s="7">
        <f>VLOOKUP(P135,'Win Methods'!$C$4:$F$379,4,FALSE)</f>
        <v>0</v>
      </c>
      <c r="R135" s="8"/>
      <c r="S135" s="7">
        <f>VLOOKUP(R135,'Win Methods'!$C$4:$F$379,4,FALSE)</f>
        <v>0</v>
      </c>
      <c r="T135" s="8"/>
      <c r="U135" s="7">
        <f>VLOOKUP(T135,'Win Methods'!$C$4:$F$379,4,FALSE)</f>
        <v>0</v>
      </c>
      <c r="V135" s="8"/>
      <c r="W135" s="7">
        <f>VLOOKUP(V135,'Win Methods'!$C$4:$F$379,4,FALSE)</f>
        <v>0</v>
      </c>
      <c r="X135" s="117" t="str">
        <f t="shared" si="5"/>
        <v>main-0|main-4|main-0|main-19||||||</v>
      </c>
    </row>
    <row r="136" spans="2:24">
      <c r="B136" s="116">
        <v>133</v>
      </c>
      <c r="C136" s="7">
        <f t="shared" si="4"/>
        <v>18.100000000000001</v>
      </c>
      <c r="D136" s="8" t="s">
        <v>5</v>
      </c>
      <c r="E136" s="7">
        <f>VLOOKUP(D136,'Win Methods'!$C$4:$F$379,4,FALSE)</f>
        <v>0.1</v>
      </c>
      <c r="F136" s="8" t="s">
        <v>27</v>
      </c>
      <c r="G136" s="7">
        <f>VLOOKUP(F136,'Win Methods'!$C$4:$F$379,4,FALSE)</f>
        <v>5</v>
      </c>
      <c r="H136" s="8" t="s">
        <v>40</v>
      </c>
      <c r="I136" s="7">
        <f>VLOOKUP(H136,'Win Methods'!$C$4:$F$379,4,FALSE)</f>
        <v>10</v>
      </c>
      <c r="J136" s="8" t="s">
        <v>32</v>
      </c>
      <c r="K136" s="7">
        <f>VLOOKUP(J136,'Win Methods'!$C$4:$F$379,4,FALSE)</f>
        <v>3</v>
      </c>
      <c r="L136" s="8"/>
      <c r="M136" s="7">
        <f>VLOOKUP(L136,'Win Methods'!$C$4:$F$379,4,FALSE)</f>
        <v>0</v>
      </c>
      <c r="N136" s="8"/>
      <c r="O136" s="7">
        <f>VLOOKUP(N136,'Win Methods'!$C$4:$F$379,4,FALSE)</f>
        <v>0</v>
      </c>
      <c r="P136" s="8"/>
      <c r="Q136" s="7">
        <f>VLOOKUP(P136,'Win Methods'!$C$4:$F$379,4,FALSE)</f>
        <v>0</v>
      </c>
      <c r="R136" s="8"/>
      <c r="S136" s="7">
        <f>VLOOKUP(R136,'Win Methods'!$C$4:$F$379,4,FALSE)</f>
        <v>0</v>
      </c>
      <c r="T136" s="8"/>
      <c r="U136" s="7">
        <f>VLOOKUP(T136,'Win Methods'!$C$4:$F$379,4,FALSE)</f>
        <v>0</v>
      </c>
      <c r="V136" s="8"/>
      <c r="W136" s="7">
        <f>VLOOKUP(V136,'Win Methods'!$C$4:$F$379,4,FALSE)</f>
        <v>0</v>
      </c>
      <c r="X136" s="117" t="str">
        <f t="shared" si="5"/>
        <v>main-0|main-13|main-26|main-18||||||</v>
      </c>
    </row>
    <row r="137" spans="2:24">
      <c r="B137" s="116">
        <v>134</v>
      </c>
      <c r="C137" s="7">
        <f t="shared" si="4"/>
        <v>15.1</v>
      </c>
      <c r="D137" s="8" t="s">
        <v>12</v>
      </c>
      <c r="E137" s="7">
        <f>VLOOKUP(D137,'Win Methods'!$C$4:$F$379,4,FALSE)</f>
        <v>5</v>
      </c>
      <c r="F137" s="8" t="s">
        <v>27</v>
      </c>
      <c r="G137" s="7">
        <f>VLOOKUP(F137,'Win Methods'!$C$4:$F$379,4,FALSE)</f>
        <v>5</v>
      </c>
      <c r="H137" s="8" t="s">
        <v>39</v>
      </c>
      <c r="I137" s="7">
        <f>VLOOKUP(H137,'Win Methods'!$C$4:$F$379,4,FALSE)</f>
        <v>5</v>
      </c>
      <c r="J137" s="8" t="s">
        <v>5</v>
      </c>
      <c r="K137" s="7">
        <f>VLOOKUP(J137,'Win Methods'!$C$4:$F$379,4,FALSE)</f>
        <v>0.1</v>
      </c>
      <c r="L137" s="8"/>
      <c r="M137" s="7">
        <f>VLOOKUP(L137,'Win Methods'!$C$4:$F$379,4,FALSE)</f>
        <v>0</v>
      </c>
      <c r="N137" s="8"/>
      <c r="O137" s="7">
        <f>VLOOKUP(N137,'Win Methods'!$C$4:$F$379,4,FALSE)</f>
        <v>0</v>
      </c>
      <c r="P137" s="8"/>
      <c r="Q137" s="7">
        <f>VLOOKUP(P137,'Win Methods'!$C$4:$F$379,4,FALSE)</f>
        <v>0</v>
      </c>
      <c r="R137" s="8"/>
      <c r="S137" s="7">
        <f>VLOOKUP(R137,'Win Methods'!$C$4:$F$379,4,FALSE)</f>
        <v>0</v>
      </c>
      <c r="T137" s="8"/>
      <c r="U137" s="7">
        <f>VLOOKUP(T137,'Win Methods'!$C$4:$F$379,4,FALSE)</f>
        <v>0</v>
      </c>
      <c r="V137" s="8"/>
      <c r="W137" s="7">
        <f>VLOOKUP(V137,'Win Methods'!$C$4:$F$379,4,FALSE)</f>
        <v>0</v>
      </c>
      <c r="X137" s="117" t="str">
        <f t="shared" si="5"/>
        <v>main-5|main-13|main-25|main-0||||||</v>
      </c>
    </row>
    <row r="138" spans="2:24">
      <c r="B138" s="116">
        <v>135</v>
      </c>
      <c r="C138" s="7">
        <f t="shared" si="4"/>
        <v>14</v>
      </c>
      <c r="D138" s="8" t="s">
        <v>32</v>
      </c>
      <c r="E138" s="7">
        <f>VLOOKUP(D138,'Win Methods'!$C$4:$F$379,4,FALSE)</f>
        <v>3</v>
      </c>
      <c r="F138" s="8" t="s">
        <v>12</v>
      </c>
      <c r="G138" s="7">
        <f>VLOOKUP(F138,'Win Methods'!$C$4:$F$379,4,FALSE)</f>
        <v>5</v>
      </c>
      <c r="H138" s="8" t="s">
        <v>27</v>
      </c>
      <c r="I138" s="7">
        <f>VLOOKUP(H138,'Win Methods'!$C$4:$F$379,4,FALSE)</f>
        <v>5</v>
      </c>
      <c r="J138" s="8" t="s">
        <v>10</v>
      </c>
      <c r="K138" s="7">
        <f>VLOOKUP(J138,'Win Methods'!$C$4:$F$379,4,FALSE)</f>
        <v>1</v>
      </c>
      <c r="L138" s="8"/>
      <c r="M138" s="7">
        <f>VLOOKUP(L138,'Win Methods'!$C$4:$F$379,4,FALSE)</f>
        <v>0</v>
      </c>
      <c r="N138" s="8"/>
      <c r="O138" s="7">
        <f>VLOOKUP(N138,'Win Methods'!$C$4:$F$379,4,FALSE)</f>
        <v>0</v>
      </c>
      <c r="P138" s="8"/>
      <c r="Q138" s="7">
        <f>VLOOKUP(P138,'Win Methods'!$C$4:$F$379,4,FALSE)</f>
        <v>0</v>
      </c>
      <c r="R138" s="8"/>
      <c r="S138" s="7">
        <f>VLOOKUP(R138,'Win Methods'!$C$4:$F$379,4,FALSE)</f>
        <v>0</v>
      </c>
      <c r="T138" s="8"/>
      <c r="U138" s="7">
        <f>VLOOKUP(T138,'Win Methods'!$C$4:$F$379,4,FALSE)</f>
        <v>0</v>
      </c>
      <c r="V138" s="8"/>
      <c r="W138" s="7">
        <f>VLOOKUP(V138,'Win Methods'!$C$4:$F$379,4,FALSE)</f>
        <v>0</v>
      </c>
      <c r="X138" s="117" t="str">
        <f t="shared" si="5"/>
        <v>main-18|main-5|main-13|main-3||||||</v>
      </c>
    </row>
    <row r="139" spans="2:24">
      <c r="B139" s="116">
        <v>136</v>
      </c>
      <c r="C139" s="7">
        <f t="shared" si="4"/>
        <v>21</v>
      </c>
      <c r="D139" s="8" t="s">
        <v>10</v>
      </c>
      <c r="E139" s="7">
        <f>VLOOKUP(D139,'Win Methods'!$C$4:$F$379,4,FALSE)</f>
        <v>1</v>
      </c>
      <c r="F139" s="8" t="s">
        <v>33</v>
      </c>
      <c r="G139" s="7">
        <f>VLOOKUP(F139,'Win Methods'!$C$4:$F$379,4,FALSE)</f>
        <v>5</v>
      </c>
      <c r="H139" s="8" t="s">
        <v>27</v>
      </c>
      <c r="I139" s="7">
        <f>VLOOKUP(H139,'Win Methods'!$C$4:$F$379,4,FALSE)</f>
        <v>5</v>
      </c>
      <c r="J139" s="8" t="s">
        <v>40</v>
      </c>
      <c r="K139" s="7">
        <f>VLOOKUP(J139,'Win Methods'!$C$4:$F$379,4,FALSE)</f>
        <v>10</v>
      </c>
      <c r="L139" s="8"/>
      <c r="M139" s="7">
        <f>VLOOKUP(L139,'Win Methods'!$C$4:$F$379,4,FALSE)</f>
        <v>0</v>
      </c>
      <c r="N139" s="8"/>
      <c r="O139" s="7">
        <f>VLOOKUP(N139,'Win Methods'!$C$4:$F$379,4,FALSE)</f>
        <v>0</v>
      </c>
      <c r="P139" s="8"/>
      <c r="Q139" s="7">
        <f>VLOOKUP(P139,'Win Methods'!$C$4:$F$379,4,FALSE)</f>
        <v>0</v>
      </c>
      <c r="R139" s="8"/>
      <c r="S139" s="7">
        <f>VLOOKUP(R139,'Win Methods'!$C$4:$F$379,4,FALSE)</f>
        <v>0</v>
      </c>
      <c r="T139" s="8"/>
      <c r="U139" s="7">
        <f>VLOOKUP(T139,'Win Methods'!$C$4:$F$379,4,FALSE)</f>
        <v>0</v>
      </c>
      <c r="V139" s="8"/>
      <c r="W139" s="7">
        <f>VLOOKUP(V139,'Win Methods'!$C$4:$F$379,4,FALSE)</f>
        <v>0</v>
      </c>
      <c r="X139" s="117" t="str">
        <f t="shared" si="5"/>
        <v>main-3|main-19|main-13|main-26||||||</v>
      </c>
    </row>
    <row r="140" spans="2:24">
      <c r="B140" s="116">
        <v>137</v>
      </c>
      <c r="C140" s="7">
        <f t="shared" si="4"/>
        <v>27.2</v>
      </c>
      <c r="D140" s="8" t="s">
        <v>33</v>
      </c>
      <c r="E140" s="7">
        <f>VLOOKUP(D140,'Win Methods'!$C$4:$F$379,4,FALSE)</f>
        <v>5</v>
      </c>
      <c r="F140" s="8" t="s">
        <v>11</v>
      </c>
      <c r="G140" s="7">
        <f>VLOOKUP(F140,'Win Methods'!$C$4:$F$379,4,FALSE)</f>
        <v>2</v>
      </c>
      <c r="H140" s="8" t="s">
        <v>8</v>
      </c>
      <c r="I140" s="7">
        <f>VLOOKUP(H140,'Win Methods'!$C$4:$F$379,4,FALSE)</f>
        <v>0.2</v>
      </c>
      <c r="J140" s="8" t="s">
        <v>29</v>
      </c>
      <c r="K140" s="7">
        <f>VLOOKUP(J140,'Win Methods'!$C$4:$F$379,4,FALSE)</f>
        <v>20</v>
      </c>
      <c r="L140" s="8"/>
      <c r="M140" s="7">
        <f>VLOOKUP(L140,'Win Methods'!$C$4:$F$379,4,FALSE)</f>
        <v>0</v>
      </c>
      <c r="N140" s="8"/>
      <c r="O140" s="7">
        <f>VLOOKUP(N140,'Win Methods'!$C$4:$F$379,4,FALSE)</f>
        <v>0</v>
      </c>
      <c r="P140" s="8"/>
      <c r="Q140" s="7">
        <f>VLOOKUP(P140,'Win Methods'!$C$4:$F$379,4,FALSE)</f>
        <v>0</v>
      </c>
      <c r="R140" s="8"/>
      <c r="S140" s="7">
        <f>VLOOKUP(R140,'Win Methods'!$C$4:$F$379,4,FALSE)</f>
        <v>0</v>
      </c>
      <c r="T140" s="8"/>
      <c r="U140" s="7">
        <f>VLOOKUP(T140,'Win Methods'!$C$4:$F$379,4,FALSE)</f>
        <v>0</v>
      </c>
      <c r="V140" s="8"/>
      <c r="W140" s="7">
        <f>VLOOKUP(V140,'Win Methods'!$C$4:$F$379,4,FALSE)</f>
        <v>0</v>
      </c>
      <c r="X140" s="117" t="str">
        <f t="shared" si="5"/>
        <v>main-19|main-4|main-1|main-15||||||</v>
      </c>
    </row>
    <row r="141" spans="2:24">
      <c r="B141" s="116">
        <v>138</v>
      </c>
      <c r="C141" s="7">
        <f t="shared" si="4"/>
        <v>31</v>
      </c>
      <c r="D141" s="8" t="s">
        <v>12</v>
      </c>
      <c r="E141" s="7">
        <f>VLOOKUP(D141,'Win Methods'!$C$4:$F$379,4,FALSE)</f>
        <v>5</v>
      </c>
      <c r="F141" s="8" t="s">
        <v>10</v>
      </c>
      <c r="G141" s="7">
        <f>VLOOKUP(F141,'Win Methods'!$C$4:$F$379,4,FALSE)</f>
        <v>1</v>
      </c>
      <c r="H141" s="8" t="s">
        <v>12</v>
      </c>
      <c r="I141" s="7">
        <f>VLOOKUP(H141,'Win Methods'!$C$4:$F$379,4,FALSE)</f>
        <v>5</v>
      </c>
      <c r="J141" s="8" t="s">
        <v>29</v>
      </c>
      <c r="K141" s="7">
        <f>VLOOKUP(J141,'Win Methods'!$C$4:$F$379,4,FALSE)</f>
        <v>20</v>
      </c>
      <c r="L141" s="8"/>
      <c r="M141" s="7">
        <f>VLOOKUP(L141,'Win Methods'!$C$4:$F$379,4,FALSE)</f>
        <v>0</v>
      </c>
      <c r="N141" s="8"/>
      <c r="O141" s="7">
        <f>VLOOKUP(N141,'Win Methods'!$C$4:$F$379,4,FALSE)</f>
        <v>0</v>
      </c>
      <c r="P141" s="8"/>
      <c r="Q141" s="7">
        <f>VLOOKUP(P141,'Win Methods'!$C$4:$F$379,4,FALSE)</f>
        <v>0</v>
      </c>
      <c r="R141" s="8"/>
      <c r="S141" s="7">
        <f>VLOOKUP(R141,'Win Methods'!$C$4:$F$379,4,FALSE)</f>
        <v>0</v>
      </c>
      <c r="T141" s="8"/>
      <c r="U141" s="7">
        <f>VLOOKUP(T141,'Win Methods'!$C$4:$F$379,4,FALSE)</f>
        <v>0</v>
      </c>
      <c r="V141" s="8"/>
      <c r="W141" s="7">
        <f>VLOOKUP(V141,'Win Methods'!$C$4:$F$379,4,FALSE)</f>
        <v>0</v>
      </c>
      <c r="X141" s="117" t="str">
        <f t="shared" si="5"/>
        <v>main-5|main-3|main-5|main-15||||||</v>
      </c>
    </row>
    <row r="142" spans="2:24">
      <c r="B142" s="116">
        <v>139</v>
      </c>
      <c r="C142" s="7">
        <f t="shared" si="4"/>
        <v>105.1</v>
      </c>
      <c r="D142" s="8" t="s">
        <v>11</v>
      </c>
      <c r="E142" s="7">
        <f>VLOOKUP(D142,'Win Methods'!$C$4:$F$379,4,FALSE)</f>
        <v>2</v>
      </c>
      <c r="F142" s="8" t="s">
        <v>32</v>
      </c>
      <c r="G142" s="7">
        <f>VLOOKUP(F142,'Win Methods'!$C$4:$F$379,4,FALSE)</f>
        <v>3</v>
      </c>
      <c r="H142" s="8" t="s">
        <v>42</v>
      </c>
      <c r="I142" s="7">
        <f>VLOOKUP(H142,'Win Methods'!$C$4:$F$379,4,FALSE)</f>
        <v>100</v>
      </c>
      <c r="J142" s="8" t="s">
        <v>5</v>
      </c>
      <c r="K142" s="7">
        <f>VLOOKUP(J142,'Win Methods'!$C$4:$F$379,4,FALSE)</f>
        <v>0.1</v>
      </c>
      <c r="L142" s="8"/>
      <c r="M142" s="7">
        <f>VLOOKUP(L142,'Win Methods'!$C$4:$F$379,4,FALSE)</f>
        <v>0</v>
      </c>
      <c r="N142" s="8"/>
      <c r="O142" s="7">
        <f>VLOOKUP(N142,'Win Methods'!$C$4:$F$379,4,FALSE)</f>
        <v>0</v>
      </c>
      <c r="P142" s="8"/>
      <c r="Q142" s="7">
        <f>VLOOKUP(P142,'Win Methods'!$C$4:$F$379,4,FALSE)</f>
        <v>0</v>
      </c>
      <c r="R142" s="8"/>
      <c r="S142" s="7">
        <f>VLOOKUP(R142,'Win Methods'!$C$4:$F$379,4,FALSE)</f>
        <v>0</v>
      </c>
      <c r="T142" s="8"/>
      <c r="U142" s="7">
        <f>VLOOKUP(T142,'Win Methods'!$C$4:$F$379,4,FALSE)</f>
        <v>0</v>
      </c>
      <c r="V142" s="8"/>
      <c r="W142" s="7">
        <f>VLOOKUP(V142,'Win Methods'!$C$4:$F$379,4,FALSE)</f>
        <v>0</v>
      </c>
      <c r="X142" s="117" t="str">
        <f t="shared" si="5"/>
        <v>main-4|main-18|main-28|main-0||||||</v>
      </c>
    </row>
    <row r="143" spans="2:24">
      <c r="B143" s="116">
        <v>140</v>
      </c>
      <c r="C143" s="7">
        <f t="shared" si="4"/>
        <v>11.2</v>
      </c>
      <c r="D143" s="8" t="s">
        <v>33</v>
      </c>
      <c r="E143" s="7">
        <f>VLOOKUP(D143,'Win Methods'!$C$4:$F$379,4,FALSE)</f>
        <v>5</v>
      </c>
      <c r="F143" s="8" t="s">
        <v>10</v>
      </c>
      <c r="G143" s="7">
        <f>VLOOKUP(F143,'Win Methods'!$C$4:$F$379,4,FALSE)</f>
        <v>1</v>
      </c>
      <c r="H143" s="8" t="s">
        <v>8</v>
      </c>
      <c r="I143" s="7">
        <f>VLOOKUP(H143,'Win Methods'!$C$4:$F$379,4,FALSE)</f>
        <v>0.2</v>
      </c>
      <c r="J143" s="8" t="s">
        <v>32</v>
      </c>
      <c r="K143" s="7">
        <f>VLOOKUP(J143,'Win Methods'!$C$4:$F$379,4,FALSE)</f>
        <v>3</v>
      </c>
      <c r="L143" s="8" t="s">
        <v>11</v>
      </c>
      <c r="M143" s="7">
        <f>VLOOKUP(L143,'Win Methods'!$C$4:$F$379,4,FALSE)</f>
        <v>2</v>
      </c>
      <c r="N143" s="8"/>
      <c r="O143" s="7">
        <f>VLOOKUP(N143,'Win Methods'!$C$4:$F$379,4,FALSE)</f>
        <v>0</v>
      </c>
      <c r="P143" s="8"/>
      <c r="Q143" s="7">
        <f>VLOOKUP(P143,'Win Methods'!$C$4:$F$379,4,FALSE)</f>
        <v>0</v>
      </c>
      <c r="R143" s="8"/>
      <c r="S143" s="7">
        <f>VLOOKUP(R143,'Win Methods'!$C$4:$F$379,4,FALSE)</f>
        <v>0</v>
      </c>
      <c r="T143" s="8"/>
      <c r="U143" s="7">
        <f>VLOOKUP(T143,'Win Methods'!$C$4:$F$379,4,FALSE)</f>
        <v>0</v>
      </c>
      <c r="V143" s="8"/>
      <c r="W143" s="7">
        <f>VLOOKUP(V143,'Win Methods'!$C$4:$F$379,4,FALSE)</f>
        <v>0</v>
      </c>
      <c r="X143" s="117" t="str">
        <f t="shared" si="5"/>
        <v>main-19|main-3|main-1|main-18|main-4|||||</v>
      </c>
    </row>
    <row r="144" spans="2:24">
      <c r="B144" s="116">
        <v>141</v>
      </c>
      <c r="C144" s="7">
        <f t="shared" si="4"/>
        <v>17.100000000000001</v>
      </c>
      <c r="D144" s="8" t="s">
        <v>40</v>
      </c>
      <c r="E144" s="7">
        <f>VLOOKUP(D144,'Win Methods'!$C$4:$F$379,4,FALSE)</f>
        <v>10</v>
      </c>
      <c r="F144" s="8" t="s">
        <v>5</v>
      </c>
      <c r="G144" s="7">
        <f>VLOOKUP(F144,'Win Methods'!$C$4:$F$379,4,FALSE)</f>
        <v>0.1</v>
      </c>
      <c r="H144" s="8" t="s">
        <v>10</v>
      </c>
      <c r="I144" s="7">
        <f>VLOOKUP(H144,'Win Methods'!$C$4:$F$379,4,FALSE)</f>
        <v>1</v>
      </c>
      <c r="J144" s="8" t="s">
        <v>32</v>
      </c>
      <c r="K144" s="7">
        <f>VLOOKUP(J144,'Win Methods'!$C$4:$F$379,4,FALSE)</f>
        <v>3</v>
      </c>
      <c r="L144" s="8" t="s">
        <v>32</v>
      </c>
      <c r="M144" s="7">
        <f>VLOOKUP(L144,'Win Methods'!$C$4:$F$379,4,FALSE)</f>
        <v>3</v>
      </c>
      <c r="N144" s="8"/>
      <c r="O144" s="7">
        <f>VLOOKUP(N144,'Win Methods'!$C$4:$F$379,4,FALSE)</f>
        <v>0</v>
      </c>
      <c r="P144" s="8"/>
      <c r="Q144" s="7">
        <f>VLOOKUP(P144,'Win Methods'!$C$4:$F$379,4,FALSE)</f>
        <v>0</v>
      </c>
      <c r="R144" s="8"/>
      <c r="S144" s="7">
        <f>VLOOKUP(R144,'Win Methods'!$C$4:$F$379,4,FALSE)</f>
        <v>0</v>
      </c>
      <c r="T144" s="8"/>
      <c r="U144" s="7">
        <f>VLOOKUP(T144,'Win Methods'!$C$4:$F$379,4,FALSE)</f>
        <v>0</v>
      </c>
      <c r="V144" s="8"/>
      <c r="W144" s="7">
        <f>VLOOKUP(V144,'Win Methods'!$C$4:$F$379,4,FALSE)</f>
        <v>0</v>
      </c>
      <c r="X144" s="117" t="str">
        <f t="shared" si="5"/>
        <v>main-26|main-0|main-3|main-18|main-18|||||</v>
      </c>
    </row>
    <row r="145" spans="2:24">
      <c r="B145" s="116">
        <v>142</v>
      </c>
      <c r="C145" s="7">
        <f t="shared" si="4"/>
        <v>9.5</v>
      </c>
      <c r="D145" s="8" t="s">
        <v>11</v>
      </c>
      <c r="E145" s="7">
        <f>VLOOKUP(D145,'Win Methods'!$C$4:$F$379,4,FALSE)</f>
        <v>2</v>
      </c>
      <c r="F145" s="8" t="s">
        <v>9</v>
      </c>
      <c r="G145" s="7">
        <f>VLOOKUP(F145,'Win Methods'!$C$4:$F$379,4,FALSE)</f>
        <v>0.5</v>
      </c>
      <c r="H145" s="8" t="s">
        <v>12</v>
      </c>
      <c r="I145" s="7">
        <f>VLOOKUP(H145,'Win Methods'!$C$4:$F$379,4,FALSE)</f>
        <v>5</v>
      </c>
      <c r="J145" s="8" t="s">
        <v>10</v>
      </c>
      <c r="K145" s="7">
        <f>VLOOKUP(J145,'Win Methods'!$C$4:$F$379,4,FALSE)</f>
        <v>1</v>
      </c>
      <c r="L145" s="8" t="s">
        <v>10</v>
      </c>
      <c r="M145" s="7">
        <f>VLOOKUP(L145,'Win Methods'!$C$4:$F$379,4,FALSE)</f>
        <v>1</v>
      </c>
      <c r="N145" s="8"/>
      <c r="O145" s="7">
        <f>VLOOKUP(N145,'Win Methods'!$C$4:$F$379,4,FALSE)</f>
        <v>0</v>
      </c>
      <c r="P145" s="8"/>
      <c r="Q145" s="7">
        <f>VLOOKUP(P145,'Win Methods'!$C$4:$F$379,4,FALSE)</f>
        <v>0</v>
      </c>
      <c r="R145" s="8"/>
      <c r="S145" s="7">
        <f>VLOOKUP(R145,'Win Methods'!$C$4:$F$379,4,FALSE)</f>
        <v>0</v>
      </c>
      <c r="T145" s="8"/>
      <c r="U145" s="7">
        <f>VLOOKUP(T145,'Win Methods'!$C$4:$F$379,4,FALSE)</f>
        <v>0</v>
      </c>
      <c r="V145" s="8"/>
      <c r="W145" s="7">
        <f>VLOOKUP(V145,'Win Methods'!$C$4:$F$379,4,FALSE)</f>
        <v>0</v>
      </c>
      <c r="X145" s="117" t="str">
        <f t="shared" si="5"/>
        <v>main-4|main-2|main-5|main-3|main-3|||||</v>
      </c>
    </row>
    <row r="146" spans="2:24">
      <c r="B146" s="116">
        <v>143</v>
      </c>
      <c r="C146" s="7">
        <f t="shared" si="4"/>
        <v>12.1</v>
      </c>
      <c r="D146" s="8" t="s">
        <v>12</v>
      </c>
      <c r="E146" s="7">
        <f>VLOOKUP(D146,'Win Methods'!$C$4:$F$379,4,FALSE)</f>
        <v>5</v>
      </c>
      <c r="F146" s="8" t="s">
        <v>5</v>
      </c>
      <c r="G146" s="7">
        <f>VLOOKUP(F146,'Win Methods'!$C$4:$F$379,4,FALSE)</f>
        <v>0.1</v>
      </c>
      <c r="H146" s="8" t="s">
        <v>11</v>
      </c>
      <c r="I146" s="7">
        <f>VLOOKUP(H146,'Win Methods'!$C$4:$F$379,4,FALSE)</f>
        <v>2</v>
      </c>
      <c r="J146" s="8" t="s">
        <v>11</v>
      </c>
      <c r="K146" s="7">
        <f>VLOOKUP(J146,'Win Methods'!$C$4:$F$379,4,FALSE)</f>
        <v>2</v>
      </c>
      <c r="L146" s="8" t="s">
        <v>32</v>
      </c>
      <c r="M146" s="7">
        <f>VLOOKUP(L146,'Win Methods'!$C$4:$F$379,4,FALSE)</f>
        <v>3</v>
      </c>
      <c r="N146" s="8"/>
      <c r="O146" s="7">
        <f>VLOOKUP(N146,'Win Methods'!$C$4:$F$379,4,FALSE)</f>
        <v>0</v>
      </c>
      <c r="P146" s="8"/>
      <c r="Q146" s="7">
        <f>VLOOKUP(P146,'Win Methods'!$C$4:$F$379,4,FALSE)</f>
        <v>0</v>
      </c>
      <c r="R146" s="8"/>
      <c r="S146" s="7">
        <f>VLOOKUP(R146,'Win Methods'!$C$4:$F$379,4,FALSE)</f>
        <v>0</v>
      </c>
      <c r="T146" s="8"/>
      <c r="U146" s="7">
        <f>VLOOKUP(T146,'Win Methods'!$C$4:$F$379,4,FALSE)</f>
        <v>0</v>
      </c>
      <c r="V146" s="8"/>
      <c r="W146" s="7">
        <f>VLOOKUP(V146,'Win Methods'!$C$4:$F$379,4,FALSE)</f>
        <v>0</v>
      </c>
      <c r="X146" s="117" t="str">
        <f t="shared" si="5"/>
        <v>main-5|main-0|main-4|main-4|main-18|||||</v>
      </c>
    </row>
    <row r="147" spans="2:24">
      <c r="B147" s="116">
        <v>144</v>
      </c>
      <c r="C147" s="7">
        <f t="shared" si="4"/>
        <v>19.100000000000001</v>
      </c>
      <c r="D147" s="8" t="s">
        <v>12</v>
      </c>
      <c r="E147" s="7">
        <f>VLOOKUP(D147,'Win Methods'!$C$4:$F$379,4,FALSE)</f>
        <v>5</v>
      </c>
      <c r="F147" s="8" t="s">
        <v>10</v>
      </c>
      <c r="G147" s="7">
        <f>VLOOKUP(F147,'Win Methods'!$C$4:$F$379,4,FALSE)</f>
        <v>1</v>
      </c>
      <c r="H147" s="8" t="s">
        <v>32</v>
      </c>
      <c r="I147" s="7">
        <f>VLOOKUP(H147,'Win Methods'!$C$4:$F$379,4,FALSE)</f>
        <v>3</v>
      </c>
      <c r="J147" s="8" t="s">
        <v>5</v>
      </c>
      <c r="K147" s="7">
        <f>VLOOKUP(J147,'Win Methods'!$C$4:$F$379,4,FALSE)</f>
        <v>0.1</v>
      </c>
      <c r="L147" s="8" t="s">
        <v>40</v>
      </c>
      <c r="M147" s="7">
        <f>VLOOKUP(L147,'Win Methods'!$C$4:$F$379,4,FALSE)</f>
        <v>10</v>
      </c>
      <c r="N147" s="8"/>
      <c r="O147" s="7">
        <f>VLOOKUP(N147,'Win Methods'!$C$4:$F$379,4,FALSE)</f>
        <v>0</v>
      </c>
      <c r="P147" s="8"/>
      <c r="Q147" s="7">
        <f>VLOOKUP(P147,'Win Methods'!$C$4:$F$379,4,FALSE)</f>
        <v>0</v>
      </c>
      <c r="R147" s="8"/>
      <c r="S147" s="7">
        <f>VLOOKUP(R147,'Win Methods'!$C$4:$F$379,4,FALSE)</f>
        <v>0</v>
      </c>
      <c r="T147" s="8"/>
      <c r="U147" s="7">
        <f>VLOOKUP(T147,'Win Methods'!$C$4:$F$379,4,FALSE)</f>
        <v>0</v>
      </c>
      <c r="V147" s="8"/>
      <c r="W147" s="7">
        <f>VLOOKUP(V147,'Win Methods'!$C$4:$F$379,4,FALSE)</f>
        <v>0</v>
      </c>
      <c r="X147" s="117" t="str">
        <f t="shared" si="5"/>
        <v>main-5|main-3|main-18|main-0|main-26|||||</v>
      </c>
    </row>
    <row r="148" spans="2:24">
      <c r="B148" s="116">
        <v>145</v>
      </c>
      <c r="C148" s="7">
        <f t="shared" si="4"/>
        <v>23.2</v>
      </c>
      <c r="D148" s="8" t="s">
        <v>10</v>
      </c>
      <c r="E148" s="7">
        <f>VLOOKUP(D148,'Win Methods'!$C$4:$F$379,4,FALSE)</f>
        <v>1</v>
      </c>
      <c r="F148" s="8" t="s">
        <v>8</v>
      </c>
      <c r="G148" s="7">
        <f>VLOOKUP(F148,'Win Methods'!$C$4:$F$379,4,FALSE)</f>
        <v>0.2</v>
      </c>
      <c r="H148" s="8" t="s">
        <v>11</v>
      </c>
      <c r="I148" s="7">
        <f>VLOOKUP(H148,'Win Methods'!$C$4:$F$379,4,FALSE)</f>
        <v>2</v>
      </c>
      <c r="J148" s="8" t="s">
        <v>40</v>
      </c>
      <c r="K148" s="7">
        <f>VLOOKUP(J148,'Win Methods'!$C$4:$F$379,4,FALSE)</f>
        <v>10</v>
      </c>
      <c r="L148" s="8" t="s">
        <v>40</v>
      </c>
      <c r="M148" s="7">
        <f>VLOOKUP(L148,'Win Methods'!$C$4:$F$379,4,FALSE)</f>
        <v>10</v>
      </c>
      <c r="N148" s="8"/>
      <c r="O148" s="7">
        <f>VLOOKUP(N148,'Win Methods'!$C$4:$F$379,4,FALSE)</f>
        <v>0</v>
      </c>
      <c r="P148" s="8"/>
      <c r="Q148" s="7">
        <f>VLOOKUP(P148,'Win Methods'!$C$4:$F$379,4,FALSE)</f>
        <v>0</v>
      </c>
      <c r="R148" s="8"/>
      <c r="S148" s="7">
        <f>VLOOKUP(R148,'Win Methods'!$C$4:$F$379,4,FALSE)</f>
        <v>0</v>
      </c>
      <c r="T148" s="8"/>
      <c r="U148" s="7">
        <f>VLOOKUP(T148,'Win Methods'!$C$4:$F$379,4,FALSE)</f>
        <v>0</v>
      </c>
      <c r="V148" s="8"/>
      <c r="W148" s="7">
        <f>VLOOKUP(V148,'Win Methods'!$C$4:$F$379,4,FALSE)</f>
        <v>0</v>
      </c>
      <c r="X148" s="117" t="str">
        <f t="shared" si="5"/>
        <v>main-3|main-1|main-4|main-26|main-26|||||</v>
      </c>
    </row>
    <row r="149" spans="2:24">
      <c r="B149" s="116">
        <v>146</v>
      </c>
      <c r="C149" s="7">
        <f t="shared" si="4"/>
        <v>24.1</v>
      </c>
      <c r="D149" s="8" t="s">
        <v>40</v>
      </c>
      <c r="E149" s="7">
        <f>VLOOKUP(D149,'Win Methods'!$C$4:$F$379,4,FALSE)</f>
        <v>10</v>
      </c>
      <c r="F149" s="8" t="s">
        <v>11</v>
      </c>
      <c r="G149" s="7">
        <f>VLOOKUP(F149,'Win Methods'!$C$4:$F$379,4,FALSE)</f>
        <v>2</v>
      </c>
      <c r="H149" s="8" t="s">
        <v>11</v>
      </c>
      <c r="I149" s="7">
        <f>VLOOKUP(H149,'Win Methods'!$C$4:$F$379,4,FALSE)</f>
        <v>2</v>
      </c>
      <c r="J149" s="8" t="s">
        <v>5</v>
      </c>
      <c r="K149" s="7">
        <f>VLOOKUP(J149,'Win Methods'!$C$4:$F$379,4,FALSE)</f>
        <v>0.1</v>
      </c>
      <c r="L149" s="8" t="s">
        <v>40</v>
      </c>
      <c r="M149" s="7">
        <f>VLOOKUP(L149,'Win Methods'!$C$4:$F$379,4,FALSE)</f>
        <v>10</v>
      </c>
      <c r="N149" s="8"/>
      <c r="O149" s="7">
        <f>VLOOKUP(N149,'Win Methods'!$C$4:$F$379,4,FALSE)</f>
        <v>0</v>
      </c>
      <c r="P149" s="8"/>
      <c r="Q149" s="7">
        <f>VLOOKUP(P149,'Win Methods'!$C$4:$F$379,4,FALSE)</f>
        <v>0</v>
      </c>
      <c r="R149" s="8"/>
      <c r="S149" s="7">
        <f>VLOOKUP(R149,'Win Methods'!$C$4:$F$379,4,FALSE)</f>
        <v>0</v>
      </c>
      <c r="T149" s="8"/>
      <c r="U149" s="7">
        <f>VLOOKUP(T149,'Win Methods'!$C$4:$F$379,4,FALSE)</f>
        <v>0</v>
      </c>
      <c r="V149" s="8"/>
      <c r="W149" s="7">
        <f>VLOOKUP(V149,'Win Methods'!$C$4:$F$379,4,FALSE)</f>
        <v>0</v>
      </c>
      <c r="X149" s="117" t="str">
        <f t="shared" si="5"/>
        <v>main-26|main-4|main-4|main-0|main-26|||||</v>
      </c>
    </row>
    <row r="150" spans="2:24">
      <c r="B150" s="116">
        <v>147</v>
      </c>
      <c r="C150" s="7">
        <f t="shared" si="4"/>
        <v>27.2</v>
      </c>
      <c r="D150" s="8" t="s">
        <v>34</v>
      </c>
      <c r="E150" s="7">
        <f>VLOOKUP(D150,'Win Methods'!$C$4:$F$379,4,FALSE)</f>
        <v>10</v>
      </c>
      <c r="F150" s="8" t="s">
        <v>11</v>
      </c>
      <c r="G150" s="7">
        <f>VLOOKUP(F150,'Win Methods'!$C$4:$F$379,4,FALSE)</f>
        <v>2</v>
      </c>
      <c r="H150" s="8" t="s">
        <v>8</v>
      </c>
      <c r="I150" s="7">
        <f>VLOOKUP(H150,'Win Methods'!$C$4:$F$379,4,FALSE)</f>
        <v>0.2</v>
      </c>
      <c r="J150" s="8" t="s">
        <v>40</v>
      </c>
      <c r="K150" s="7">
        <f>VLOOKUP(J150,'Win Methods'!$C$4:$F$379,4,FALSE)</f>
        <v>10</v>
      </c>
      <c r="L150" s="8" t="s">
        <v>12</v>
      </c>
      <c r="M150" s="7">
        <f>VLOOKUP(L150,'Win Methods'!$C$4:$F$379,4,FALSE)</f>
        <v>5</v>
      </c>
      <c r="N150" s="8"/>
      <c r="O150" s="7">
        <f>VLOOKUP(N150,'Win Methods'!$C$4:$F$379,4,FALSE)</f>
        <v>0</v>
      </c>
      <c r="P150" s="8"/>
      <c r="Q150" s="7">
        <f>VLOOKUP(P150,'Win Methods'!$C$4:$F$379,4,FALSE)</f>
        <v>0</v>
      </c>
      <c r="R150" s="8"/>
      <c r="S150" s="7">
        <f>VLOOKUP(R150,'Win Methods'!$C$4:$F$379,4,FALSE)</f>
        <v>0</v>
      </c>
      <c r="T150" s="8"/>
      <c r="U150" s="7">
        <f>VLOOKUP(T150,'Win Methods'!$C$4:$F$379,4,FALSE)</f>
        <v>0</v>
      </c>
      <c r="V150" s="8"/>
      <c r="W150" s="7">
        <f>VLOOKUP(V150,'Win Methods'!$C$4:$F$379,4,FALSE)</f>
        <v>0</v>
      </c>
      <c r="X150" s="117" t="str">
        <f t="shared" si="5"/>
        <v>main-20|main-4|main-1|main-26|main-5|||||</v>
      </c>
    </row>
    <row r="151" spans="2:24">
      <c r="B151" s="116">
        <v>148</v>
      </c>
      <c r="C151" s="7">
        <f t="shared" si="4"/>
        <v>35.5</v>
      </c>
      <c r="D151" s="8" t="s">
        <v>35</v>
      </c>
      <c r="E151" s="7">
        <f>VLOOKUP(D151,'Win Methods'!$C$4:$F$379,4,FALSE)</f>
        <v>20</v>
      </c>
      <c r="F151" s="8" t="s">
        <v>12</v>
      </c>
      <c r="G151" s="7">
        <f>VLOOKUP(F151,'Win Methods'!$C$4:$F$379,4,FALSE)</f>
        <v>5</v>
      </c>
      <c r="H151" s="8" t="s">
        <v>9</v>
      </c>
      <c r="I151" s="7">
        <f>VLOOKUP(H151,'Win Methods'!$C$4:$F$379,4,FALSE)</f>
        <v>0.5</v>
      </c>
      <c r="J151" s="8" t="s">
        <v>33</v>
      </c>
      <c r="K151" s="7">
        <f>VLOOKUP(J151,'Win Methods'!$C$4:$F$379,4,FALSE)</f>
        <v>5</v>
      </c>
      <c r="L151" s="8" t="s">
        <v>33</v>
      </c>
      <c r="M151" s="7">
        <f>VLOOKUP(L151,'Win Methods'!$C$4:$F$379,4,FALSE)</f>
        <v>5</v>
      </c>
      <c r="N151" s="8"/>
      <c r="O151" s="7">
        <f>VLOOKUP(N151,'Win Methods'!$C$4:$F$379,4,FALSE)</f>
        <v>0</v>
      </c>
      <c r="P151" s="8"/>
      <c r="Q151" s="7">
        <f>VLOOKUP(P151,'Win Methods'!$C$4:$F$379,4,FALSE)</f>
        <v>0</v>
      </c>
      <c r="R151" s="8"/>
      <c r="S151" s="7">
        <f>VLOOKUP(R151,'Win Methods'!$C$4:$F$379,4,FALSE)</f>
        <v>0</v>
      </c>
      <c r="T151" s="8"/>
      <c r="U151" s="7">
        <f>VLOOKUP(T151,'Win Methods'!$C$4:$F$379,4,FALSE)</f>
        <v>0</v>
      </c>
      <c r="V151" s="8"/>
      <c r="W151" s="7">
        <f>VLOOKUP(V151,'Win Methods'!$C$4:$F$379,4,FALSE)</f>
        <v>0</v>
      </c>
      <c r="X151" s="117" t="str">
        <f t="shared" si="5"/>
        <v>main-21|main-5|main-2|main-19|main-19|||||</v>
      </c>
    </row>
    <row r="152" spans="2:24">
      <c r="B152" s="116">
        <v>149</v>
      </c>
      <c r="C152" s="7">
        <f t="shared" si="4"/>
        <v>36</v>
      </c>
      <c r="D152" s="8" t="s">
        <v>41</v>
      </c>
      <c r="E152" s="7">
        <f>VLOOKUP(D152,'Win Methods'!$C$4:$F$379,4,FALSE)</f>
        <v>20</v>
      </c>
      <c r="F152" s="8" t="s">
        <v>12</v>
      </c>
      <c r="G152" s="7">
        <f>VLOOKUP(F152,'Win Methods'!$C$4:$F$379,4,FALSE)</f>
        <v>5</v>
      </c>
      <c r="H152" s="8" t="s">
        <v>12</v>
      </c>
      <c r="I152" s="7">
        <f>VLOOKUP(H152,'Win Methods'!$C$4:$F$379,4,FALSE)</f>
        <v>5</v>
      </c>
      <c r="J152" s="8" t="s">
        <v>33</v>
      </c>
      <c r="K152" s="7">
        <f>VLOOKUP(J152,'Win Methods'!$C$4:$F$379,4,FALSE)</f>
        <v>5</v>
      </c>
      <c r="L152" s="8" t="s">
        <v>10</v>
      </c>
      <c r="M152" s="7">
        <f>VLOOKUP(L152,'Win Methods'!$C$4:$F$379,4,FALSE)</f>
        <v>1</v>
      </c>
      <c r="N152" s="8"/>
      <c r="O152" s="7">
        <f>VLOOKUP(N152,'Win Methods'!$C$4:$F$379,4,FALSE)</f>
        <v>0</v>
      </c>
      <c r="P152" s="8"/>
      <c r="Q152" s="7">
        <f>VLOOKUP(P152,'Win Methods'!$C$4:$F$379,4,FALSE)</f>
        <v>0</v>
      </c>
      <c r="R152" s="8"/>
      <c r="S152" s="7">
        <f>VLOOKUP(R152,'Win Methods'!$C$4:$F$379,4,FALSE)</f>
        <v>0</v>
      </c>
      <c r="T152" s="8"/>
      <c r="U152" s="7">
        <f>VLOOKUP(T152,'Win Methods'!$C$4:$F$379,4,FALSE)</f>
        <v>0</v>
      </c>
      <c r="V152" s="8"/>
      <c r="W152" s="7">
        <f>VLOOKUP(V152,'Win Methods'!$C$4:$F$379,4,FALSE)</f>
        <v>0</v>
      </c>
      <c r="X152" s="117" t="str">
        <f t="shared" si="5"/>
        <v>main-27|main-5|main-5|main-19|main-3|||||</v>
      </c>
    </row>
    <row r="153" spans="2:24">
      <c r="B153" s="116">
        <v>150</v>
      </c>
      <c r="C153" s="7">
        <f t="shared" si="4"/>
        <v>0.6</v>
      </c>
      <c r="D153" s="8" t="s">
        <v>5</v>
      </c>
      <c r="E153" s="7">
        <f>VLOOKUP(D153,'Win Methods'!$C$4:$F$379,4,FALSE)</f>
        <v>0.1</v>
      </c>
      <c r="F153" s="197" t="s">
        <v>47</v>
      </c>
      <c r="G153" s="7">
        <f>VLOOKUP(F153,'Win Methods'!$C$4:$F$379,4,FALSE)</f>
        <v>0.5</v>
      </c>
      <c r="H153" s="8"/>
      <c r="I153" s="7">
        <f>VLOOKUP(H153,'Win Methods'!$C$4:$F$379,4,FALSE)</f>
        <v>0</v>
      </c>
      <c r="J153" s="8"/>
      <c r="K153" s="7">
        <f>VLOOKUP(J153,'Win Methods'!$C$4:$F$379,4,FALSE)</f>
        <v>0</v>
      </c>
      <c r="L153" s="8"/>
      <c r="M153" s="7">
        <f>VLOOKUP(L153,'Win Methods'!$C$4:$F$379,4,FALSE)</f>
        <v>0</v>
      </c>
      <c r="N153" s="8"/>
      <c r="O153" s="7">
        <f>VLOOKUP(N153,'Win Methods'!$C$4:$F$379,4,FALSE)</f>
        <v>0</v>
      </c>
      <c r="P153" s="8"/>
      <c r="Q153" s="7">
        <f>VLOOKUP(P153,'Win Methods'!$C$4:$F$379,4,FALSE)</f>
        <v>0</v>
      </c>
      <c r="R153" s="8"/>
      <c r="S153" s="7">
        <f>VLOOKUP(R153,'Win Methods'!$C$4:$F$379,4,FALSE)</f>
        <v>0</v>
      </c>
      <c r="T153" s="8"/>
      <c r="U153" s="7">
        <f>VLOOKUP(T153,'Win Methods'!$C$4:$F$379,4,FALSE)</f>
        <v>0</v>
      </c>
      <c r="V153" s="8"/>
      <c r="W153" s="7">
        <f>VLOOKUP(V153,'Win Methods'!$C$4:$F$379,4,FALSE)</f>
        <v>0</v>
      </c>
      <c r="X153" s="117" t="str">
        <f t="shared" si="5"/>
        <v>main-0|wild-2||||||||</v>
      </c>
    </row>
    <row r="154" spans="2:24">
      <c r="B154" s="116">
        <v>151</v>
      </c>
      <c r="C154" s="7">
        <f t="shared" si="4"/>
        <v>1.2</v>
      </c>
      <c r="D154" s="8" t="s">
        <v>8</v>
      </c>
      <c r="E154" s="7">
        <f>VLOOKUP(D154,'Win Methods'!$C$4:$F$379,4,FALSE)</f>
        <v>0.2</v>
      </c>
      <c r="F154" s="197" t="s">
        <v>48</v>
      </c>
      <c r="G154" s="7">
        <f>VLOOKUP(F154,'Win Methods'!$C$4:$F$379,4,FALSE)</f>
        <v>1</v>
      </c>
      <c r="H154" s="8"/>
      <c r="I154" s="7">
        <f>VLOOKUP(H154,'Win Methods'!$C$4:$F$379,4,FALSE)</f>
        <v>0</v>
      </c>
      <c r="J154" s="8"/>
      <c r="K154" s="7">
        <f>VLOOKUP(J154,'Win Methods'!$C$4:$F$379,4,FALSE)</f>
        <v>0</v>
      </c>
      <c r="L154" s="8"/>
      <c r="M154" s="7">
        <f>VLOOKUP(L154,'Win Methods'!$C$4:$F$379,4,FALSE)</f>
        <v>0</v>
      </c>
      <c r="N154" s="8"/>
      <c r="O154" s="7">
        <f>VLOOKUP(N154,'Win Methods'!$C$4:$F$379,4,FALSE)</f>
        <v>0</v>
      </c>
      <c r="P154" s="8"/>
      <c r="Q154" s="7">
        <f>VLOOKUP(P154,'Win Methods'!$C$4:$F$379,4,FALSE)</f>
        <v>0</v>
      </c>
      <c r="R154" s="8"/>
      <c r="S154" s="7">
        <f>VLOOKUP(R154,'Win Methods'!$C$4:$F$379,4,FALSE)</f>
        <v>0</v>
      </c>
      <c r="T154" s="8"/>
      <c r="U154" s="7">
        <f>VLOOKUP(T154,'Win Methods'!$C$4:$F$379,4,FALSE)</f>
        <v>0</v>
      </c>
      <c r="V154" s="8"/>
      <c r="W154" s="7">
        <f>VLOOKUP(V154,'Win Methods'!$C$4:$F$379,4,FALSE)</f>
        <v>0</v>
      </c>
      <c r="X154" s="117" t="str">
        <f t="shared" si="5"/>
        <v>main-1|wild-3||||||||</v>
      </c>
    </row>
    <row r="155" spans="2:24">
      <c r="B155" s="116">
        <v>152</v>
      </c>
      <c r="C155" s="7">
        <f t="shared" si="4"/>
        <v>2.5</v>
      </c>
      <c r="D155" s="8" t="s">
        <v>9</v>
      </c>
      <c r="E155" s="7">
        <f>VLOOKUP(D155,'Win Methods'!$C$4:$F$379,4,FALSE)</f>
        <v>0.5</v>
      </c>
      <c r="F155" s="197" t="s">
        <v>49</v>
      </c>
      <c r="G155" s="7">
        <f>VLOOKUP(F155,'Win Methods'!$C$4:$F$379,4,FALSE)</f>
        <v>2</v>
      </c>
      <c r="H155" s="8"/>
      <c r="I155" s="7">
        <f>VLOOKUP(H155,'Win Methods'!$C$4:$F$379,4,FALSE)</f>
        <v>0</v>
      </c>
      <c r="J155" s="8"/>
      <c r="K155" s="7">
        <f>VLOOKUP(J155,'Win Methods'!$C$4:$F$379,4,FALSE)</f>
        <v>0</v>
      </c>
      <c r="L155" s="8"/>
      <c r="M155" s="7">
        <f>VLOOKUP(L155,'Win Methods'!$C$4:$F$379,4,FALSE)</f>
        <v>0</v>
      </c>
      <c r="N155" s="8"/>
      <c r="O155" s="7">
        <f>VLOOKUP(N155,'Win Methods'!$C$4:$F$379,4,FALSE)</f>
        <v>0</v>
      </c>
      <c r="P155" s="8"/>
      <c r="Q155" s="7">
        <f>VLOOKUP(P155,'Win Methods'!$C$4:$F$379,4,FALSE)</f>
        <v>0</v>
      </c>
      <c r="R155" s="8"/>
      <c r="S155" s="7">
        <f>VLOOKUP(R155,'Win Methods'!$C$4:$F$379,4,FALSE)</f>
        <v>0</v>
      </c>
      <c r="T155" s="8"/>
      <c r="U155" s="7">
        <f>VLOOKUP(T155,'Win Methods'!$C$4:$F$379,4,FALSE)</f>
        <v>0</v>
      </c>
      <c r="V155" s="8"/>
      <c r="W155" s="7">
        <f>VLOOKUP(V155,'Win Methods'!$C$4:$F$379,4,FALSE)</f>
        <v>0</v>
      </c>
      <c r="X155" s="117" t="str">
        <f t="shared" si="5"/>
        <v>main-2|wild-4||||||||</v>
      </c>
    </row>
    <row r="156" spans="2:24">
      <c r="B156" s="116">
        <v>153</v>
      </c>
      <c r="C156" s="7">
        <f t="shared" si="4"/>
        <v>6</v>
      </c>
      <c r="D156" s="8" t="s">
        <v>10</v>
      </c>
      <c r="E156" s="7">
        <f>VLOOKUP(D156,'Win Methods'!$C$4:$F$379,4,FALSE)</f>
        <v>1</v>
      </c>
      <c r="F156" s="197" t="s">
        <v>50</v>
      </c>
      <c r="G156" s="7">
        <f>VLOOKUP(F156,'Win Methods'!$C$4:$F$379,4,FALSE)</f>
        <v>5</v>
      </c>
      <c r="H156" s="8"/>
      <c r="I156" s="7">
        <f>VLOOKUP(H156,'Win Methods'!$C$4:$F$379,4,FALSE)</f>
        <v>0</v>
      </c>
      <c r="J156" s="8"/>
      <c r="K156" s="7">
        <f>VLOOKUP(J156,'Win Methods'!$C$4:$F$379,4,FALSE)</f>
        <v>0</v>
      </c>
      <c r="L156" s="8"/>
      <c r="M156" s="7">
        <f>VLOOKUP(L156,'Win Methods'!$C$4:$F$379,4,FALSE)</f>
        <v>0</v>
      </c>
      <c r="N156" s="8"/>
      <c r="O156" s="7">
        <f>VLOOKUP(N156,'Win Methods'!$C$4:$F$379,4,FALSE)</f>
        <v>0</v>
      </c>
      <c r="P156" s="8"/>
      <c r="Q156" s="7">
        <f>VLOOKUP(P156,'Win Methods'!$C$4:$F$379,4,FALSE)</f>
        <v>0</v>
      </c>
      <c r="R156" s="8"/>
      <c r="S156" s="7">
        <f>VLOOKUP(R156,'Win Methods'!$C$4:$F$379,4,FALSE)</f>
        <v>0</v>
      </c>
      <c r="T156" s="8"/>
      <c r="U156" s="7">
        <f>VLOOKUP(T156,'Win Methods'!$C$4:$F$379,4,FALSE)</f>
        <v>0</v>
      </c>
      <c r="V156" s="8"/>
      <c r="W156" s="7">
        <f>VLOOKUP(V156,'Win Methods'!$C$4:$F$379,4,FALSE)</f>
        <v>0</v>
      </c>
      <c r="X156" s="117" t="str">
        <f t="shared" si="5"/>
        <v>main-3|wild-5||||||||</v>
      </c>
    </row>
    <row r="157" spans="2:24">
      <c r="B157" s="116">
        <v>154</v>
      </c>
      <c r="C157" s="7">
        <f t="shared" si="4"/>
        <v>4</v>
      </c>
      <c r="D157" s="8" t="s">
        <v>11</v>
      </c>
      <c r="E157" s="7">
        <f>VLOOKUP(D157,'Win Methods'!$C$4:$F$379,4,FALSE)</f>
        <v>2</v>
      </c>
      <c r="F157" s="197" t="s">
        <v>59</v>
      </c>
      <c r="G157" s="7">
        <f>VLOOKUP(F157,'Win Methods'!$C$4:$F$379,4,FALSE)</f>
        <v>2</v>
      </c>
      <c r="H157" s="8"/>
      <c r="I157" s="7">
        <f>VLOOKUP(H157,'Win Methods'!$C$4:$F$379,4,FALSE)</f>
        <v>0</v>
      </c>
      <c r="J157" s="8"/>
      <c r="K157" s="7">
        <f>VLOOKUP(J157,'Win Methods'!$C$4:$F$379,4,FALSE)</f>
        <v>0</v>
      </c>
      <c r="L157" s="8"/>
      <c r="M157" s="7">
        <f>VLOOKUP(L157,'Win Methods'!$C$4:$F$379,4,FALSE)</f>
        <v>0</v>
      </c>
      <c r="N157" s="8"/>
      <c r="O157" s="7">
        <f>VLOOKUP(N157,'Win Methods'!$C$4:$F$379,4,FALSE)</f>
        <v>0</v>
      </c>
      <c r="P157" s="8"/>
      <c r="Q157" s="7">
        <f>VLOOKUP(P157,'Win Methods'!$C$4:$F$379,4,FALSE)</f>
        <v>0</v>
      </c>
      <c r="R157" s="8"/>
      <c r="S157" s="7">
        <f>VLOOKUP(R157,'Win Methods'!$C$4:$F$379,4,FALSE)</f>
        <v>0</v>
      </c>
      <c r="T157" s="8"/>
      <c r="U157" s="7">
        <f>VLOOKUP(T157,'Win Methods'!$C$4:$F$379,4,FALSE)</f>
        <v>0</v>
      </c>
      <c r="V157" s="8"/>
      <c r="W157" s="7">
        <f>VLOOKUP(V157,'Win Methods'!$C$4:$F$379,4,FALSE)</f>
        <v>0</v>
      </c>
      <c r="X157" s="117" t="str">
        <f t="shared" si="5"/>
        <v>main-4|wild-14||||||||</v>
      </c>
    </row>
    <row r="158" spans="2:24">
      <c r="B158" s="116">
        <v>155</v>
      </c>
      <c r="C158" s="7">
        <f t="shared" si="4"/>
        <v>10</v>
      </c>
      <c r="D158" s="8" t="s">
        <v>12</v>
      </c>
      <c r="E158" s="7">
        <f>VLOOKUP(D158,'Win Methods'!$C$4:$F$379,4,FALSE)</f>
        <v>5</v>
      </c>
      <c r="F158" s="197" t="s">
        <v>61</v>
      </c>
      <c r="G158" s="7">
        <f>VLOOKUP(F158,'Win Methods'!$C$4:$F$379,4,FALSE)</f>
        <v>5</v>
      </c>
      <c r="H158" s="8"/>
      <c r="I158" s="7">
        <f>VLOOKUP(H158,'Win Methods'!$C$4:$F$379,4,FALSE)</f>
        <v>0</v>
      </c>
      <c r="J158" s="8"/>
      <c r="K158" s="7">
        <f>VLOOKUP(J158,'Win Methods'!$C$4:$F$379,4,FALSE)</f>
        <v>0</v>
      </c>
      <c r="L158" s="8"/>
      <c r="M158" s="7">
        <f>VLOOKUP(L158,'Win Methods'!$C$4:$F$379,4,FALSE)</f>
        <v>0</v>
      </c>
      <c r="N158" s="8"/>
      <c r="O158" s="7">
        <f>VLOOKUP(N158,'Win Methods'!$C$4:$F$379,4,FALSE)</f>
        <v>0</v>
      </c>
      <c r="P158" s="8"/>
      <c r="Q158" s="7">
        <f>VLOOKUP(P158,'Win Methods'!$C$4:$F$379,4,FALSE)</f>
        <v>0</v>
      </c>
      <c r="R158" s="8"/>
      <c r="S158" s="7">
        <f>VLOOKUP(R158,'Win Methods'!$C$4:$F$379,4,FALSE)</f>
        <v>0</v>
      </c>
      <c r="T158" s="8"/>
      <c r="U158" s="7">
        <f>VLOOKUP(T158,'Win Methods'!$C$4:$F$379,4,FALSE)</f>
        <v>0</v>
      </c>
      <c r="V158" s="8"/>
      <c r="W158" s="7">
        <f>VLOOKUP(V158,'Win Methods'!$C$4:$F$379,4,FALSE)</f>
        <v>0</v>
      </c>
      <c r="X158" s="117" t="str">
        <f t="shared" si="5"/>
        <v>main-5|wild-16||||||||</v>
      </c>
    </row>
    <row r="159" spans="2:24">
      <c r="B159" s="116">
        <v>156</v>
      </c>
      <c r="C159" s="7">
        <f t="shared" si="4"/>
        <v>10.1</v>
      </c>
      <c r="D159" s="8" t="s">
        <v>5</v>
      </c>
      <c r="E159" s="7">
        <f>VLOOKUP(D159,'Win Methods'!$C$4:$F$379,4,FALSE)</f>
        <v>0.1</v>
      </c>
      <c r="F159" s="197" t="s">
        <v>62</v>
      </c>
      <c r="G159" s="7">
        <f>VLOOKUP(F159,'Win Methods'!$C$4:$F$379,4,FALSE)</f>
        <v>10</v>
      </c>
      <c r="H159" s="8"/>
      <c r="I159" s="7">
        <f>VLOOKUP(H159,'Win Methods'!$C$4:$F$379,4,FALSE)</f>
        <v>0</v>
      </c>
      <c r="J159" s="8"/>
      <c r="K159" s="7">
        <f>VLOOKUP(J159,'Win Methods'!$C$4:$F$379,4,FALSE)</f>
        <v>0</v>
      </c>
      <c r="L159" s="8"/>
      <c r="M159" s="7">
        <f>VLOOKUP(L159,'Win Methods'!$C$4:$F$379,4,FALSE)</f>
        <v>0</v>
      </c>
      <c r="N159" s="8"/>
      <c r="O159" s="7">
        <f>VLOOKUP(N159,'Win Methods'!$C$4:$F$379,4,FALSE)</f>
        <v>0</v>
      </c>
      <c r="P159" s="8"/>
      <c r="Q159" s="7">
        <f>VLOOKUP(P159,'Win Methods'!$C$4:$F$379,4,FALSE)</f>
        <v>0</v>
      </c>
      <c r="R159" s="8"/>
      <c r="S159" s="7">
        <f>VLOOKUP(R159,'Win Methods'!$C$4:$F$379,4,FALSE)</f>
        <v>0</v>
      </c>
      <c r="T159" s="8"/>
      <c r="U159" s="7">
        <f>VLOOKUP(T159,'Win Methods'!$C$4:$F$379,4,FALSE)</f>
        <v>0</v>
      </c>
      <c r="V159" s="8"/>
      <c r="W159" s="7">
        <f>VLOOKUP(V159,'Win Methods'!$C$4:$F$379,4,FALSE)</f>
        <v>0</v>
      </c>
      <c r="X159" s="117" t="str">
        <f t="shared" si="5"/>
        <v>main-0|wild-17||||||||</v>
      </c>
    </row>
    <row r="160" spans="2:24">
      <c r="B160" s="116">
        <v>157</v>
      </c>
      <c r="C160" s="7">
        <f t="shared" si="4"/>
        <v>3.2</v>
      </c>
      <c r="D160" s="8" t="s">
        <v>8</v>
      </c>
      <c r="E160" s="7">
        <f>VLOOKUP(D160,'Win Methods'!$C$4:$F$379,4,FALSE)</f>
        <v>0.2</v>
      </c>
      <c r="F160" s="197" t="s">
        <v>63</v>
      </c>
      <c r="G160" s="7">
        <f>VLOOKUP(F160,'Win Methods'!$C$4:$F$379,4,FALSE)</f>
        <v>3</v>
      </c>
      <c r="H160" s="8"/>
      <c r="I160" s="7">
        <f>VLOOKUP(H160,'Win Methods'!$C$4:$F$379,4,FALSE)</f>
        <v>0</v>
      </c>
      <c r="J160" s="8"/>
      <c r="K160" s="7">
        <f>VLOOKUP(J160,'Win Methods'!$C$4:$F$379,4,FALSE)</f>
        <v>0</v>
      </c>
      <c r="L160" s="8"/>
      <c r="M160" s="7">
        <f>VLOOKUP(L160,'Win Methods'!$C$4:$F$379,4,FALSE)</f>
        <v>0</v>
      </c>
      <c r="N160" s="8"/>
      <c r="O160" s="7">
        <f>VLOOKUP(N160,'Win Methods'!$C$4:$F$379,4,FALSE)</f>
        <v>0</v>
      </c>
      <c r="P160" s="8"/>
      <c r="Q160" s="7">
        <f>VLOOKUP(P160,'Win Methods'!$C$4:$F$379,4,FALSE)</f>
        <v>0</v>
      </c>
      <c r="R160" s="8"/>
      <c r="S160" s="7">
        <f>VLOOKUP(R160,'Win Methods'!$C$4:$F$379,4,FALSE)</f>
        <v>0</v>
      </c>
      <c r="T160" s="8"/>
      <c r="U160" s="7">
        <f>VLOOKUP(T160,'Win Methods'!$C$4:$F$379,4,FALSE)</f>
        <v>0</v>
      </c>
      <c r="V160" s="8"/>
      <c r="W160" s="7">
        <f>VLOOKUP(V160,'Win Methods'!$C$4:$F$379,4,FALSE)</f>
        <v>0</v>
      </c>
      <c r="X160" s="117" t="str">
        <f t="shared" si="5"/>
        <v>main-1|wild-18||||||||</v>
      </c>
    </row>
    <row r="161" spans="2:24">
      <c r="B161" s="116">
        <v>158</v>
      </c>
      <c r="C161" s="7">
        <f t="shared" si="4"/>
        <v>0.7</v>
      </c>
      <c r="D161" s="8" t="s">
        <v>9</v>
      </c>
      <c r="E161" s="7">
        <f>VLOOKUP(D161,'Win Methods'!$C$4:$F$379,4,FALSE)</f>
        <v>0.5</v>
      </c>
      <c r="F161" s="197" t="s">
        <v>46</v>
      </c>
      <c r="G161" s="7">
        <f>VLOOKUP(F161,'Win Methods'!$C$4:$F$379,4,FALSE)</f>
        <v>0.2</v>
      </c>
      <c r="H161" s="8"/>
      <c r="I161" s="7">
        <f>VLOOKUP(H161,'Win Methods'!$C$4:$F$379,4,FALSE)</f>
        <v>0</v>
      </c>
      <c r="J161" s="8"/>
      <c r="K161" s="7">
        <f>VLOOKUP(J161,'Win Methods'!$C$4:$F$379,4,FALSE)</f>
        <v>0</v>
      </c>
      <c r="L161" s="8"/>
      <c r="M161" s="7">
        <f>VLOOKUP(L161,'Win Methods'!$C$4:$F$379,4,FALSE)</f>
        <v>0</v>
      </c>
      <c r="N161" s="8"/>
      <c r="O161" s="7">
        <f>VLOOKUP(N161,'Win Methods'!$C$4:$F$379,4,FALSE)</f>
        <v>0</v>
      </c>
      <c r="P161" s="8"/>
      <c r="Q161" s="7">
        <f>VLOOKUP(P161,'Win Methods'!$C$4:$F$379,4,FALSE)</f>
        <v>0</v>
      </c>
      <c r="R161" s="8"/>
      <c r="S161" s="7">
        <f>VLOOKUP(R161,'Win Methods'!$C$4:$F$379,4,FALSE)</f>
        <v>0</v>
      </c>
      <c r="T161" s="8"/>
      <c r="U161" s="7">
        <f>VLOOKUP(T161,'Win Methods'!$C$4:$F$379,4,FALSE)</f>
        <v>0</v>
      </c>
      <c r="V161" s="8"/>
      <c r="W161" s="7">
        <f>VLOOKUP(V161,'Win Methods'!$C$4:$F$379,4,FALSE)</f>
        <v>0</v>
      </c>
      <c r="X161" s="117" t="str">
        <f t="shared" si="5"/>
        <v>main-2|wild-1||||||||</v>
      </c>
    </row>
    <row r="162" spans="2:24">
      <c r="B162" s="116">
        <v>159</v>
      </c>
      <c r="C162" s="7">
        <f t="shared" si="4"/>
        <v>1.5</v>
      </c>
      <c r="D162" s="8" t="s">
        <v>10</v>
      </c>
      <c r="E162" s="7">
        <f>VLOOKUP(D162,'Win Methods'!$C$4:$F$379,4,FALSE)</f>
        <v>1</v>
      </c>
      <c r="F162" s="197" t="s">
        <v>47</v>
      </c>
      <c r="G162" s="7">
        <f>VLOOKUP(F162,'Win Methods'!$C$4:$F$379,4,FALSE)</f>
        <v>0.5</v>
      </c>
      <c r="H162" s="8"/>
      <c r="I162" s="7">
        <f>VLOOKUP(H162,'Win Methods'!$C$4:$F$379,4,FALSE)</f>
        <v>0</v>
      </c>
      <c r="J162" s="8"/>
      <c r="K162" s="7">
        <f>VLOOKUP(J162,'Win Methods'!$C$4:$F$379,4,FALSE)</f>
        <v>0</v>
      </c>
      <c r="L162" s="8"/>
      <c r="M162" s="7">
        <f>VLOOKUP(L162,'Win Methods'!$C$4:$F$379,4,FALSE)</f>
        <v>0</v>
      </c>
      <c r="N162" s="8"/>
      <c r="O162" s="7">
        <f>VLOOKUP(N162,'Win Methods'!$C$4:$F$379,4,FALSE)</f>
        <v>0</v>
      </c>
      <c r="P162" s="8"/>
      <c r="Q162" s="7">
        <f>VLOOKUP(P162,'Win Methods'!$C$4:$F$379,4,FALSE)</f>
        <v>0</v>
      </c>
      <c r="R162" s="8"/>
      <c r="S162" s="7">
        <f>VLOOKUP(R162,'Win Methods'!$C$4:$F$379,4,FALSE)</f>
        <v>0</v>
      </c>
      <c r="T162" s="8"/>
      <c r="U162" s="7">
        <f>VLOOKUP(T162,'Win Methods'!$C$4:$F$379,4,FALSE)</f>
        <v>0</v>
      </c>
      <c r="V162" s="8"/>
      <c r="W162" s="7">
        <f>VLOOKUP(V162,'Win Methods'!$C$4:$F$379,4,FALSE)</f>
        <v>0</v>
      </c>
      <c r="X162" s="117" t="str">
        <f t="shared" si="5"/>
        <v>main-3|wild-2||||||||</v>
      </c>
    </row>
    <row r="163" spans="2:24">
      <c r="B163" s="116">
        <v>160</v>
      </c>
      <c r="C163" s="7">
        <f t="shared" si="4"/>
        <v>3</v>
      </c>
      <c r="D163" s="8" t="s">
        <v>11</v>
      </c>
      <c r="E163" s="7">
        <f>VLOOKUP(D163,'Win Methods'!$C$4:$F$379,4,FALSE)</f>
        <v>2</v>
      </c>
      <c r="F163" s="197" t="s">
        <v>48</v>
      </c>
      <c r="G163" s="7">
        <f>VLOOKUP(F163,'Win Methods'!$C$4:$F$379,4,FALSE)</f>
        <v>1</v>
      </c>
      <c r="H163" s="8"/>
      <c r="I163" s="7">
        <f>VLOOKUP(H163,'Win Methods'!$C$4:$F$379,4,FALSE)</f>
        <v>0</v>
      </c>
      <c r="J163" s="8"/>
      <c r="K163" s="7">
        <f>VLOOKUP(J163,'Win Methods'!$C$4:$F$379,4,FALSE)</f>
        <v>0</v>
      </c>
      <c r="L163" s="8"/>
      <c r="M163" s="7">
        <f>VLOOKUP(L163,'Win Methods'!$C$4:$F$379,4,FALSE)</f>
        <v>0</v>
      </c>
      <c r="N163" s="8"/>
      <c r="O163" s="7">
        <f>VLOOKUP(N163,'Win Methods'!$C$4:$F$379,4,FALSE)</f>
        <v>0</v>
      </c>
      <c r="P163" s="8"/>
      <c r="Q163" s="7">
        <f>VLOOKUP(P163,'Win Methods'!$C$4:$F$379,4,FALSE)</f>
        <v>0</v>
      </c>
      <c r="R163" s="8"/>
      <c r="S163" s="7">
        <f>VLOOKUP(R163,'Win Methods'!$C$4:$F$379,4,FALSE)</f>
        <v>0</v>
      </c>
      <c r="T163" s="8"/>
      <c r="U163" s="7">
        <f>VLOOKUP(T163,'Win Methods'!$C$4:$F$379,4,FALSE)</f>
        <v>0</v>
      </c>
      <c r="V163" s="8"/>
      <c r="W163" s="7">
        <f>VLOOKUP(V163,'Win Methods'!$C$4:$F$379,4,FALSE)</f>
        <v>0</v>
      </c>
      <c r="X163" s="117" t="str">
        <f t="shared" si="5"/>
        <v>main-4|wild-3||||||||</v>
      </c>
    </row>
    <row r="164" spans="2:24">
      <c r="B164" s="116">
        <v>161</v>
      </c>
      <c r="C164" s="7">
        <f t="shared" si="4"/>
        <v>7</v>
      </c>
      <c r="D164" s="8" t="s">
        <v>12</v>
      </c>
      <c r="E164" s="7">
        <f>VLOOKUP(D164,'Win Methods'!$C$4:$F$379,4,FALSE)</f>
        <v>5</v>
      </c>
      <c r="F164" s="197" t="s">
        <v>49</v>
      </c>
      <c r="G164" s="7">
        <f>VLOOKUP(F164,'Win Methods'!$C$4:$F$379,4,FALSE)</f>
        <v>2</v>
      </c>
      <c r="H164" s="8"/>
      <c r="I164" s="7">
        <f>VLOOKUP(H164,'Win Methods'!$C$4:$F$379,4,FALSE)</f>
        <v>0</v>
      </c>
      <c r="J164" s="8"/>
      <c r="K164" s="7">
        <f>VLOOKUP(J164,'Win Methods'!$C$4:$F$379,4,FALSE)</f>
        <v>0</v>
      </c>
      <c r="L164" s="8"/>
      <c r="M164" s="7">
        <f>VLOOKUP(L164,'Win Methods'!$C$4:$F$379,4,FALSE)</f>
        <v>0</v>
      </c>
      <c r="N164" s="8"/>
      <c r="O164" s="7">
        <f>VLOOKUP(N164,'Win Methods'!$C$4:$F$379,4,FALSE)</f>
        <v>0</v>
      </c>
      <c r="P164" s="8"/>
      <c r="Q164" s="7">
        <f>VLOOKUP(P164,'Win Methods'!$C$4:$F$379,4,FALSE)</f>
        <v>0</v>
      </c>
      <c r="R164" s="8"/>
      <c r="S164" s="7">
        <f>VLOOKUP(R164,'Win Methods'!$C$4:$F$379,4,FALSE)</f>
        <v>0</v>
      </c>
      <c r="T164" s="8"/>
      <c r="U164" s="7">
        <f>VLOOKUP(T164,'Win Methods'!$C$4:$F$379,4,FALSE)</f>
        <v>0</v>
      </c>
      <c r="V164" s="8"/>
      <c r="W164" s="7">
        <f>VLOOKUP(V164,'Win Methods'!$C$4:$F$379,4,FALSE)</f>
        <v>0</v>
      </c>
      <c r="X164" s="117" t="str">
        <f t="shared" si="5"/>
        <v>main-5|wild-4||||||||</v>
      </c>
    </row>
    <row r="165" spans="2:24">
      <c r="B165" s="116">
        <v>162</v>
      </c>
      <c r="C165" s="7">
        <f t="shared" si="4"/>
        <v>7</v>
      </c>
      <c r="D165" s="8" t="s">
        <v>12</v>
      </c>
      <c r="E165" s="7">
        <f>VLOOKUP(D165,'Win Methods'!$C$4:$F$379,4,FALSE)</f>
        <v>5</v>
      </c>
      <c r="F165" s="197" t="s">
        <v>56</v>
      </c>
      <c r="G165" s="7">
        <f>VLOOKUP(F165,'Win Methods'!$C$4:$F$379,4,FALSE)</f>
        <v>2</v>
      </c>
      <c r="H165" s="8"/>
      <c r="I165" s="7">
        <f>VLOOKUP(H165,'Win Methods'!$C$4:$F$379,4,FALSE)</f>
        <v>0</v>
      </c>
      <c r="J165" s="8"/>
      <c r="K165" s="7">
        <f>VLOOKUP(J165,'Win Methods'!$C$4:$F$379,4,FALSE)</f>
        <v>0</v>
      </c>
      <c r="L165" s="8"/>
      <c r="M165" s="7">
        <f>VLOOKUP(L165,'Win Methods'!$C$4:$F$379,4,FALSE)</f>
        <v>0</v>
      </c>
      <c r="N165" s="8"/>
      <c r="O165" s="7">
        <f>VLOOKUP(N165,'Win Methods'!$C$4:$F$379,4,FALSE)</f>
        <v>0</v>
      </c>
      <c r="P165" s="8"/>
      <c r="Q165" s="7">
        <f>VLOOKUP(P165,'Win Methods'!$C$4:$F$379,4,FALSE)</f>
        <v>0</v>
      </c>
      <c r="R165" s="8"/>
      <c r="S165" s="7">
        <f>VLOOKUP(R165,'Win Methods'!$C$4:$F$379,4,FALSE)</f>
        <v>0</v>
      </c>
      <c r="T165" s="8"/>
      <c r="U165" s="7">
        <f>VLOOKUP(T165,'Win Methods'!$C$4:$F$379,4,FALSE)</f>
        <v>0</v>
      </c>
      <c r="V165" s="8"/>
      <c r="W165" s="7">
        <f>VLOOKUP(V165,'Win Methods'!$C$4:$F$379,4,FALSE)</f>
        <v>0</v>
      </c>
      <c r="X165" s="117" t="str">
        <f t="shared" si="5"/>
        <v>main-5|wild-11||||||||</v>
      </c>
    </row>
    <row r="166" spans="2:24">
      <c r="B166" s="116">
        <v>163</v>
      </c>
      <c r="C166" s="7">
        <f t="shared" si="4"/>
        <v>3.1</v>
      </c>
      <c r="D166" s="8" t="s">
        <v>5</v>
      </c>
      <c r="E166" s="7">
        <f>VLOOKUP(D166,'Win Methods'!$C$4:$F$379,4,FALSE)</f>
        <v>0.1</v>
      </c>
      <c r="F166" s="197" t="s">
        <v>57</v>
      </c>
      <c r="G166" s="7">
        <f>VLOOKUP(F166,'Win Methods'!$C$4:$F$379,4,FALSE)</f>
        <v>3</v>
      </c>
      <c r="H166" s="8"/>
      <c r="I166" s="7">
        <f>VLOOKUP(H166,'Win Methods'!$C$4:$F$379,4,FALSE)</f>
        <v>0</v>
      </c>
      <c r="J166" s="8"/>
      <c r="K166" s="7">
        <f>VLOOKUP(J166,'Win Methods'!$C$4:$F$379,4,FALSE)</f>
        <v>0</v>
      </c>
      <c r="L166" s="8"/>
      <c r="M166" s="7">
        <f>VLOOKUP(L166,'Win Methods'!$C$4:$F$379,4,FALSE)</f>
        <v>0</v>
      </c>
      <c r="N166" s="8"/>
      <c r="O166" s="7">
        <f>VLOOKUP(N166,'Win Methods'!$C$4:$F$379,4,FALSE)</f>
        <v>0</v>
      </c>
      <c r="P166" s="8"/>
      <c r="Q166" s="7">
        <f>VLOOKUP(P166,'Win Methods'!$C$4:$F$379,4,FALSE)</f>
        <v>0</v>
      </c>
      <c r="R166" s="8"/>
      <c r="S166" s="7">
        <f>VLOOKUP(R166,'Win Methods'!$C$4:$F$379,4,FALSE)</f>
        <v>0</v>
      </c>
      <c r="T166" s="8"/>
      <c r="U166" s="7">
        <f>VLOOKUP(T166,'Win Methods'!$C$4:$F$379,4,FALSE)</f>
        <v>0</v>
      </c>
      <c r="V166" s="8"/>
      <c r="W166" s="7">
        <f>VLOOKUP(V166,'Win Methods'!$C$4:$F$379,4,FALSE)</f>
        <v>0</v>
      </c>
      <c r="X166" s="117" t="str">
        <f t="shared" si="5"/>
        <v>main-0|wild-12||||||||</v>
      </c>
    </row>
    <row r="167" spans="2:24">
      <c r="B167" s="116">
        <v>164</v>
      </c>
      <c r="C167" s="7">
        <f t="shared" si="4"/>
        <v>7</v>
      </c>
      <c r="D167" s="8" t="s">
        <v>11</v>
      </c>
      <c r="E167" s="7">
        <f>VLOOKUP(D167,'Win Methods'!$C$4:$F$379,4,FALSE)</f>
        <v>2</v>
      </c>
      <c r="F167" s="197" t="s">
        <v>58</v>
      </c>
      <c r="G167" s="7">
        <f>VLOOKUP(F167,'Win Methods'!$C$4:$F$379,4,FALSE)</f>
        <v>5</v>
      </c>
      <c r="H167" s="8"/>
      <c r="I167" s="7">
        <f>VLOOKUP(H167,'Win Methods'!$C$4:$F$379,4,FALSE)</f>
        <v>0</v>
      </c>
      <c r="J167" s="8"/>
      <c r="K167" s="7">
        <f>VLOOKUP(J167,'Win Methods'!$C$4:$F$379,4,FALSE)</f>
        <v>0</v>
      </c>
      <c r="L167" s="8"/>
      <c r="M167" s="7">
        <f>VLOOKUP(L167,'Win Methods'!$C$4:$F$379,4,FALSE)</f>
        <v>0</v>
      </c>
      <c r="N167" s="8"/>
      <c r="O167" s="7">
        <f>VLOOKUP(N167,'Win Methods'!$C$4:$F$379,4,FALSE)</f>
        <v>0</v>
      </c>
      <c r="P167" s="8"/>
      <c r="Q167" s="7">
        <f>VLOOKUP(P167,'Win Methods'!$C$4:$F$379,4,FALSE)</f>
        <v>0</v>
      </c>
      <c r="R167" s="8"/>
      <c r="S167" s="7">
        <f>VLOOKUP(R167,'Win Methods'!$C$4:$F$379,4,FALSE)</f>
        <v>0</v>
      </c>
      <c r="T167" s="8"/>
      <c r="U167" s="7">
        <f>VLOOKUP(T167,'Win Methods'!$C$4:$F$379,4,FALSE)</f>
        <v>0</v>
      </c>
      <c r="V167" s="8"/>
      <c r="W167" s="7">
        <f>VLOOKUP(V167,'Win Methods'!$C$4:$F$379,4,FALSE)</f>
        <v>0</v>
      </c>
      <c r="X167" s="117" t="str">
        <f t="shared" si="5"/>
        <v>main-4|wild-13||||||||</v>
      </c>
    </row>
    <row r="168" spans="2:24">
      <c r="B168" s="116">
        <v>165</v>
      </c>
      <c r="C168" s="7">
        <f t="shared" si="4"/>
        <v>10</v>
      </c>
      <c r="D168" s="8" t="s">
        <v>12</v>
      </c>
      <c r="E168" s="7">
        <f>VLOOKUP(D168,'Win Methods'!$C$4:$F$379,4,FALSE)</f>
        <v>5</v>
      </c>
      <c r="F168" s="197" t="s">
        <v>50</v>
      </c>
      <c r="G168" s="7">
        <f>VLOOKUP(F168,'Win Methods'!$C$4:$F$379,4,FALSE)</f>
        <v>5</v>
      </c>
      <c r="H168" s="8"/>
      <c r="I168" s="7">
        <f>VLOOKUP(H168,'Win Methods'!$C$4:$F$379,4,FALSE)</f>
        <v>0</v>
      </c>
      <c r="J168" s="8"/>
      <c r="K168" s="7">
        <f>VLOOKUP(J168,'Win Methods'!$C$4:$F$379,4,FALSE)</f>
        <v>0</v>
      </c>
      <c r="L168" s="8"/>
      <c r="M168" s="7">
        <f>VLOOKUP(L168,'Win Methods'!$C$4:$F$379,4,FALSE)</f>
        <v>0</v>
      </c>
      <c r="N168" s="8"/>
      <c r="O168" s="7">
        <f>VLOOKUP(N168,'Win Methods'!$C$4:$F$379,4,FALSE)</f>
        <v>0</v>
      </c>
      <c r="P168" s="8"/>
      <c r="Q168" s="7">
        <f>VLOOKUP(P168,'Win Methods'!$C$4:$F$379,4,FALSE)</f>
        <v>0</v>
      </c>
      <c r="R168" s="8"/>
      <c r="S168" s="7">
        <f>VLOOKUP(R168,'Win Methods'!$C$4:$F$379,4,FALSE)</f>
        <v>0</v>
      </c>
      <c r="T168" s="8"/>
      <c r="U168" s="7">
        <f>VLOOKUP(T168,'Win Methods'!$C$4:$F$379,4,FALSE)</f>
        <v>0</v>
      </c>
      <c r="V168" s="8"/>
      <c r="W168" s="7">
        <f>VLOOKUP(V168,'Win Methods'!$C$4:$F$379,4,FALSE)</f>
        <v>0</v>
      </c>
      <c r="X168" s="117" t="str">
        <f t="shared" si="5"/>
        <v>main-5|wild-5||||||||</v>
      </c>
    </row>
    <row r="169" spans="2:24">
      <c r="B169" s="116">
        <v>166</v>
      </c>
      <c r="C169" s="7">
        <f t="shared" si="4"/>
        <v>12</v>
      </c>
      <c r="D169" s="8" t="s">
        <v>31</v>
      </c>
      <c r="E169" s="7">
        <f>VLOOKUP(D169,'Win Methods'!$C$4:$F$379,4,FALSE)</f>
        <v>2</v>
      </c>
      <c r="F169" s="197" t="s">
        <v>51</v>
      </c>
      <c r="G169" s="7">
        <f>VLOOKUP(F169,'Win Methods'!$C$4:$F$379,4,FALSE)</f>
        <v>10</v>
      </c>
      <c r="H169" s="8"/>
      <c r="I169" s="7">
        <f>VLOOKUP(H169,'Win Methods'!$C$4:$F$379,4,FALSE)</f>
        <v>0</v>
      </c>
      <c r="J169" s="8"/>
      <c r="K169" s="7">
        <f>VLOOKUP(J169,'Win Methods'!$C$4:$F$379,4,FALSE)</f>
        <v>0</v>
      </c>
      <c r="L169" s="8"/>
      <c r="M169" s="7">
        <f>VLOOKUP(L169,'Win Methods'!$C$4:$F$379,4,FALSE)</f>
        <v>0</v>
      </c>
      <c r="N169" s="8"/>
      <c r="O169" s="7">
        <f>VLOOKUP(N169,'Win Methods'!$C$4:$F$379,4,FALSE)</f>
        <v>0</v>
      </c>
      <c r="P169" s="8"/>
      <c r="Q169" s="7">
        <f>VLOOKUP(P169,'Win Methods'!$C$4:$F$379,4,FALSE)</f>
        <v>0</v>
      </c>
      <c r="R169" s="8"/>
      <c r="S169" s="7">
        <f>VLOOKUP(R169,'Win Methods'!$C$4:$F$379,4,FALSE)</f>
        <v>0</v>
      </c>
      <c r="T169" s="8"/>
      <c r="U169" s="7">
        <f>VLOOKUP(T169,'Win Methods'!$C$4:$F$379,4,FALSE)</f>
        <v>0</v>
      </c>
      <c r="V169" s="8"/>
      <c r="W169" s="7">
        <f>VLOOKUP(V169,'Win Methods'!$C$4:$F$379,4,FALSE)</f>
        <v>0</v>
      </c>
      <c r="X169" s="117" t="str">
        <f t="shared" si="5"/>
        <v>main-17|wild-6||||||||</v>
      </c>
    </row>
    <row r="170" spans="2:24">
      <c r="B170" s="116">
        <v>167</v>
      </c>
      <c r="C170" s="7">
        <f t="shared" si="4"/>
        <v>23</v>
      </c>
      <c r="D170" s="8" t="s">
        <v>32</v>
      </c>
      <c r="E170" s="7">
        <f>VLOOKUP(D170,'Win Methods'!$C$4:$F$379,4,FALSE)</f>
        <v>3</v>
      </c>
      <c r="F170" s="197" t="s">
        <v>52</v>
      </c>
      <c r="G170" s="7">
        <f>VLOOKUP(F170,'Win Methods'!$C$4:$F$379,4,FALSE)</f>
        <v>20</v>
      </c>
      <c r="H170" s="8"/>
      <c r="I170" s="7">
        <f>VLOOKUP(H170,'Win Methods'!$C$4:$F$379,4,FALSE)</f>
        <v>0</v>
      </c>
      <c r="J170" s="8"/>
      <c r="K170" s="7">
        <f>VLOOKUP(J170,'Win Methods'!$C$4:$F$379,4,FALSE)</f>
        <v>0</v>
      </c>
      <c r="L170" s="8"/>
      <c r="M170" s="7">
        <f>VLOOKUP(L170,'Win Methods'!$C$4:$F$379,4,FALSE)</f>
        <v>0</v>
      </c>
      <c r="N170" s="8"/>
      <c r="O170" s="7">
        <f>VLOOKUP(N170,'Win Methods'!$C$4:$F$379,4,FALSE)</f>
        <v>0</v>
      </c>
      <c r="P170" s="8"/>
      <c r="Q170" s="7">
        <f>VLOOKUP(P170,'Win Methods'!$C$4:$F$379,4,FALSE)</f>
        <v>0</v>
      </c>
      <c r="R170" s="8"/>
      <c r="S170" s="7">
        <f>VLOOKUP(R170,'Win Methods'!$C$4:$F$379,4,FALSE)</f>
        <v>0</v>
      </c>
      <c r="T170" s="8"/>
      <c r="U170" s="7">
        <f>VLOOKUP(T170,'Win Methods'!$C$4:$F$379,4,FALSE)</f>
        <v>0</v>
      </c>
      <c r="V170" s="8"/>
      <c r="W170" s="7">
        <f>VLOOKUP(V170,'Win Methods'!$C$4:$F$379,4,FALSE)</f>
        <v>0</v>
      </c>
      <c r="X170" s="117" t="str">
        <f t="shared" si="5"/>
        <v>main-18|wild-7||||||||</v>
      </c>
    </row>
    <row r="171" spans="2:24">
      <c r="B171" s="116">
        <v>168</v>
      </c>
      <c r="C171" s="7">
        <f t="shared" si="4"/>
        <v>31</v>
      </c>
      <c r="D171" s="8" t="s">
        <v>10</v>
      </c>
      <c r="E171" s="7">
        <f>VLOOKUP(D171,'Win Methods'!$C$4:$F$379,4,FALSE)</f>
        <v>1</v>
      </c>
      <c r="F171" s="197" t="s">
        <v>53</v>
      </c>
      <c r="G171" s="7">
        <f>VLOOKUP(F171,'Win Methods'!$C$4:$F$379,4,FALSE)</f>
        <v>30</v>
      </c>
      <c r="H171" s="8"/>
      <c r="I171" s="7">
        <f>VLOOKUP(H171,'Win Methods'!$C$4:$F$379,4,FALSE)</f>
        <v>0</v>
      </c>
      <c r="J171" s="8"/>
      <c r="K171" s="7">
        <f>VLOOKUP(J171,'Win Methods'!$C$4:$F$379,4,FALSE)</f>
        <v>0</v>
      </c>
      <c r="L171" s="8"/>
      <c r="M171" s="7">
        <f>VLOOKUP(L171,'Win Methods'!$C$4:$F$379,4,FALSE)</f>
        <v>0</v>
      </c>
      <c r="N171" s="8"/>
      <c r="O171" s="7">
        <f>VLOOKUP(N171,'Win Methods'!$C$4:$F$379,4,FALSE)</f>
        <v>0</v>
      </c>
      <c r="P171" s="8"/>
      <c r="Q171" s="7">
        <f>VLOOKUP(P171,'Win Methods'!$C$4:$F$379,4,FALSE)</f>
        <v>0</v>
      </c>
      <c r="R171" s="8"/>
      <c r="S171" s="7">
        <f>VLOOKUP(R171,'Win Methods'!$C$4:$F$379,4,FALSE)</f>
        <v>0</v>
      </c>
      <c r="T171" s="8"/>
      <c r="U171" s="7">
        <f>VLOOKUP(T171,'Win Methods'!$C$4:$F$379,4,FALSE)</f>
        <v>0</v>
      </c>
      <c r="V171" s="8"/>
      <c r="W171" s="7">
        <f>VLOOKUP(V171,'Win Methods'!$C$4:$F$379,4,FALSE)</f>
        <v>0</v>
      </c>
      <c r="X171" s="117" t="str">
        <f t="shared" si="5"/>
        <v>main-3|wild-8||||||||</v>
      </c>
    </row>
    <row r="172" spans="2:24">
      <c r="B172" s="116">
        <v>169</v>
      </c>
      <c r="C172" s="7">
        <f t="shared" si="4"/>
        <v>42</v>
      </c>
      <c r="D172" s="8" t="s">
        <v>11</v>
      </c>
      <c r="E172" s="7">
        <f>VLOOKUP(D172,'Win Methods'!$C$4:$F$379,4,FALSE)</f>
        <v>2</v>
      </c>
      <c r="F172" s="197" t="s">
        <v>54</v>
      </c>
      <c r="G172" s="7">
        <f>VLOOKUP(F172,'Win Methods'!$C$4:$F$379,4,FALSE)</f>
        <v>40</v>
      </c>
      <c r="H172" s="8"/>
      <c r="I172" s="7">
        <f>VLOOKUP(H172,'Win Methods'!$C$4:$F$379,4,FALSE)</f>
        <v>0</v>
      </c>
      <c r="J172" s="8"/>
      <c r="K172" s="7">
        <f>VLOOKUP(J172,'Win Methods'!$C$4:$F$379,4,FALSE)</f>
        <v>0</v>
      </c>
      <c r="L172" s="8"/>
      <c r="M172" s="7">
        <f>VLOOKUP(L172,'Win Methods'!$C$4:$F$379,4,FALSE)</f>
        <v>0</v>
      </c>
      <c r="N172" s="8"/>
      <c r="O172" s="7">
        <f>VLOOKUP(N172,'Win Methods'!$C$4:$F$379,4,FALSE)</f>
        <v>0</v>
      </c>
      <c r="P172" s="8"/>
      <c r="Q172" s="7">
        <f>VLOOKUP(P172,'Win Methods'!$C$4:$F$379,4,FALSE)</f>
        <v>0</v>
      </c>
      <c r="R172" s="8"/>
      <c r="S172" s="7">
        <f>VLOOKUP(R172,'Win Methods'!$C$4:$F$379,4,FALSE)</f>
        <v>0</v>
      </c>
      <c r="T172" s="8"/>
      <c r="U172" s="7">
        <f>VLOOKUP(T172,'Win Methods'!$C$4:$F$379,4,FALSE)</f>
        <v>0</v>
      </c>
      <c r="V172" s="8"/>
      <c r="W172" s="7">
        <f>VLOOKUP(V172,'Win Methods'!$C$4:$F$379,4,FALSE)</f>
        <v>0</v>
      </c>
      <c r="X172" s="117" t="str">
        <f t="shared" si="5"/>
        <v>main-4|wild-9||||||||</v>
      </c>
    </row>
    <row r="173" spans="2:24">
      <c r="B173" s="116">
        <v>170</v>
      </c>
      <c r="C173" s="7">
        <f t="shared" si="4"/>
        <v>5.5</v>
      </c>
      <c r="D173" s="8" t="s">
        <v>12</v>
      </c>
      <c r="E173" s="7">
        <f>VLOOKUP(D173,'Win Methods'!$C$4:$F$379,4,FALSE)</f>
        <v>5</v>
      </c>
      <c r="F173" s="197" t="s">
        <v>47</v>
      </c>
      <c r="G173" s="7">
        <f>VLOOKUP(F173,'Win Methods'!$C$4:$F$379,4,FALSE)</f>
        <v>0.5</v>
      </c>
      <c r="H173" s="8"/>
      <c r="I173" s="7">
        <f>VLOOKUP(H173,'Win Methods'!$C$4:$F$379,4,FALSE)</f>
        <v>0</v>
      </c>
      <c r="J173" s="8"/>
      <c r="K173" s="7">
        <f>VLOOKUP(J173,'Win Methods'!$C$4:$F$379,4,FALSE)</f>
        <v>0</v>
      </c>
      <c r="L173" s="8"/>
      <c r="M173" s="7">
        <f>VLOOKUP(L173,'Win Methods'!$C$4:$F$379,4,FALSE)</f>
        <v>0</v>
      </c>
      <c r="N173" s="8"/>
      <c r="O173" s="7">
        <f>VLOOKUP(N173,'Win Methods'!$C$4:$F$379,4,FALSE)</f>
        <v>0</v>
      </c>
      <c r="P173" s="8"/>
      <c r="Q173" s="7">
        <f>VLOOKUP(P173,'Win Methods'!$C$4:$F$379,4,FALSE)</f>
        <v>0</v>
      </c>
      <c r="R173" s="8"/>
      <c r="S173" s="7">
        <f>VLOOKUP(R173,'Win Methods'!$C$4:$F$379,4,FALSE)</f>
        <v>0</v>
      </c>
      <c r="T173" s="8"/>
      <c r="U173" s="7">
        <f>VLOOKUP(T173,'Win Methods'!$C$4:$F$379,4,FALSE)</f>
        <v>0</v>
      </c>
      <c r="V173" s="8"/>
      <c r="W173" s="7">
        <f>VLOOKUP(V173,'Win Methods'!$C$4:$F$379,4,FALSE)</f>
        <v>0</v>
      </c>
      <c r="X173" s="117" t="str">
        <f t="shared" si="5"/>
        <v>main-5|wild-2||||||||</v>
      </c>
    </row>
    <row r="174" spans="2:24">
      <c r="B174" s="116">
        <v>171</v>
      </c>
      <c r="C174" s="7">
        <f t="shared" si="4"/>
        <v>2.1</v>
      </c>
      <c r="D174" s="8" t="s">
        <v>5</v>
      </c>
      <c r="E174" s="7">
        <f>VLOOKUP(D174,'Win Methods'!$C$4:$F$379,4,FALSE)</f>
        <v>0.1</v>
      </c>
      <c r="F174" s="197" t="s">
        <v>56</v>
      </c>
      <c r="G174" s="7">
        <f>VLOOKUP(F174,'Win Methods'!$C$4:$F$379,4,FALSE)</f>
        <v>2</v>
      </c>
      <c r="H174" s="8"/>
      <c r="I174" s="7">
        <f>VLOOKUP(H174,'Win Methods'!$C$4:$F$379,4,FALSE)</f>
        <v>0</v>
      </c>
      <c r="J174" s="8"/>
      <c r="K174" s="7">
        <f>VLOOKUP(J174,'Win Methods'!$C$4:$F$379,4,FALSE)</f>
        <v>0</v>
      </c>
      <c r="L174" s="8"/>
      <c r="M174" s="7">
        <f>VLOOKUP(L174,'Win Methods'!$C$4:$F$379,4,FALSE)</f>
        <v>0</v>
      </c>
      <c r="N174" s="8"/>
      <c r="O174" s="7">
        <f>VLOOKUP(N174,'Win Methods'!$C$4:$F$379,4,FALSE)</f>
        <v>0</v>
      </c>
      <c r="P174" s="8"/>
      <c r="Q174" s="7">
        <f>VLOOKUP(P174,'Win Methods'!$C$4:$F$379,4,FALSE)</f>
        <v>0</v>
      </c>
      <c r="R174" s="8"/>
      <c r="S174" s="7">
        <f>VLOOKUP(R174,'Win Methods'!$C$4:$F$379,4,FALSE)</f>
        <v>0</v>
      </c>
      <c r="T174" s="8"/>
      <c r="U174" s="7">
        <f>VLOOKUP(T174,'Win Methods'!$C$4:$F$379,4,FALSE)</f>
        <v>0</v>
      </c>
      <c r="V174" s="8"/>
      <c r="W174" s="7">
        <f>VLOOKUP(V174,'Win Methods'!$C$4:$F$379,4,FALSE)</f>
        <v>0</v>
      </c>
      <c r="X174" s="117" t="str">
        <f t="shared" si="5"/>
        <v>main-0|wild-11||||||||</v>
      </c>
    </row>
    <row r="175" spans="2:24">
      <c r="B175" s="116">
        <v>172</v>
      </c>
      <c r="C175" s="7">
        <f t="shared" si="4"/>
        <v>3.2</v>
      </c>
      <c r="D175" s="8" t="s">
        <v>8</v>
      </c>
      <c r="E175" s="7">
        <f>VLOOKUP(D175,'Win Methods'!$C$4:$F$379,4,FALSE)</f>
        <v>0.2</v>
      </c>
      <c r="F175" s="197" t="s">
        <v>57</v>
      </c>
      <c r="G175" s="7">
        <f>VLOOKUP(F175,'Win Methods'!$C$4:$F$379,4,FALSE)</f>
        <v>3</v>
      </c>
      <c r="H175" s="8"/>
      <c r="I175" s="7">
        <f>VLOOKUP(H175,'Win Methods'!$C$4:$F$379,4,FALSE)</f>
        <v>0</v>
      </c>
      <c r="J175" s="8"/>
      <c r="K175" s="7">
        <f>VLOOKUP(J175,'Win Methods'!$C$4:$F$379,4,FALSE)</f>
        <v>0</v>
      </c>
      <c r="L175" s="8"/>
      <c r="M175" s="7">
        <f>VLOOKUP(L175,'Win Methods'!$C$4:$F$379,4,FALSE)</f>
        <v>0</v>
      </c>
      <c r="N175" s="8"/>
      <c r="O175" s="7">
        <f>VLOOKUP(N175,'Win Methods'!$C$4:$F$379,4,FALSE)</f>
        <v>0</v>
      </c>
      <c r="P175" s="8"/>
      <c r="Q175" s="7">
        <f>VLOOKUP(P175,'Win Methods'!$C$4:$F$379,4,FALSE)</f>
        <v>0</v>
      </c>
      <c r="R175" s="8"/>
      <c r="S175" s="7">
        <f>VLOOKUP(R175,'Win Methods'!$C$4:$F$379,4,FALSE)</f>
        <v>0</v>
      </c>
      <c r="T175" s="8"/>
      <c r="U175" s="7">
        <f>VLOOKUP(T175,'Win Methods'!$C$4:$F$379,4,FALSE)</f>
        <v>0</v>
      </c>
      <c r="V175" s="8"/>
      <c r="W175" s="7">
        <f>VLOOKUP(V175,'Win Methods'!$C$4:$F$379,4,FALSE)</f>
        <v>0</v>
      </c>
      <c r="X175" s="117" t="str">
        <f t="shared" si="5"/>
        <v>main-1|wild-12||||||||</v>
      </c>
    </row>
    <row r="176" spans="2:24">
      <c r="B176" s="116">
        <v>173</v>
      </c>
      <c r="C176" s="7">
        <f t="shared" si="4"/>
        <v>5.5</v>
      </c>
      <c r="D176" s="8" t="s">
        <v>9</v>
      </c>
      <c r="E176" s="7">
        <f>VLOOKUP(D176,'Win Methods'!$C$4:$F$379,4,FALSE)</f>
        <v>0.5</v>
      </c>
      <c r="F176" s="197" t="s">
        <v>58</v>
      </c>
      <c r="G176" s="7">
        <f>VLOOKUP(F176,'Win Methods'!$C$4:$F$379,4,FALSE)</f>
        <v>5</v>
      </c>
      <c r="H176" s="8"/>
      <c r="I176" s="7">
        <f>VLOOKUP(H176,'Win Methods'!$C$4:$F$379,4,FALSE)</f>
        <v>0</v>
      </c>
      <c r="J176" s="8"/>
      <c r="K176" s="7">
        <f>VLOOKUP(J176,'Win Methods'!$C$4:$F$379,4,FALSE)</f>
        <v>0</v>
      </c>
      <c r="L176" s="8"/>
      <c r="M176" s="7">
        <f>VLOOKUP(L176,'Win Methods'!$C$4:$F$379,4,FALSE)</f>
        <v>0</v>
      </c>
      <c r="N176" s="8"/>
      <c r="O176" s="7">
        <f>VLOOKUP(N176,'Win Methods'!$C$4:$F$379,4,FALSE)</f>
        <v>0</v>
      </c>
      <c r="P176" s="8"/>
      <c r="Q176" s="7">
        <f>VLOOKUP(P176,'Win Methods'!$C$4:$F$379,4,FALSE)</f>
        <v>0</v>
      </c>
      <c r="R176" s="8"/>
      <c r="S176" s="7">
        <f>VLOOKUP(R176,'Win Methods'!$C$4:$F$379,4,FALSE)</f>
        <v>0</v>
      </c>
      <c r="T176" s="8"/>
      <c r="U176" s="7">
        <f>VLOOKUP(T176,'Win Methods'!$C$4:$F$379,4,FALSE)</f>
        <v>0</v>
      </c>
      <c r="V176" s="8"/>
      <c r="W176" s="7">
        <f>VLOOKUP(V176,'Win Methods'!$C$4:$F$379,4,FALSE)</f>
        <v>0</v>
      </c>
      <c r="X176" s="117" t="str">
        <f t="shared" si="5"/>
        <v>main-2|wild-13||||||||</v>
      </c>
    </row>
    <row r="177" spans="2:24">
      <c r="B177" s="116">
        <v>174</v>
      </c>
      <c r="C177" s="7">
        <f t="shared" si="4"/>
        <v>3</v>
      </c>
      <c r="D177" s="8" t="s">
        <v>10</v>
      </c>
      <c r="E177" s="7">
        <f>VLOOKUP(D177,'Win Methods'!$C$4:$F$379,4,FALSE)</f>
        <v>1</v>
      </c>
      <c r="F177" s="197" t="s">
        <v>59</v>
      </c>
      <c r="G177" s="7">
        <f>VLOOKUP(F177,'Win Methods'!$C$4:$F$379,4,FALSE)</f>
        <v>2</v>
      </c>
      <c r="H177" s="8"/>
      <c r="I177" s="7">
        <f>VLOOKUP(H177,'Win Methods'!$C$4:$F$379,4,FALSE)</f>
        <v>0</v>
      </c>
      <c r="J177" s="8"/>
      <c r="K177" s="7">
        <f>VLOOKUP(J177,'Win Methods'!$C$4:$F$379,4,FALSE)</f>
        <v>0</v>
      </c>
      <c r="L177" s="8"/>
      <c r="M177" s="7">
        <f>VLOOKUP(L177,'Win Methods'!$C$4:$F$379,4,FALSE)</f>
        <v>0</v>
      </c>
      <c r="N177" s="8"/>
      <c r="O177" s="7">
        <f>VLOOKUP(N177,'Win Methods'!$C$4:$F$379,4,FALSE)</f>
        <v>0</v>
      </c>
      <c r="P177" s="8"/>
      <c r="Q177" s="7">
        <f>VLOOKUP(P177,'Win Methods'!$C$4:$F$379,4,FALSE)</f>
        <v>0</v>
      </c>
      <c r="R177" s="8"/>
      <c r="S177" s="7">
        <f>VLOOKUP(R177,'Win Methods'!$C$4:$F$379,4,FALSE)</f>
        <v>0</v>
      </c>
      <c r="T177" s="8"/>
      <c r="U177" s="7">
        <f>VLOOKUP(T177,'Win Methods'!$C$4:$F$379,4,FALSE)</f>
        <v>0</v>
      </c>
      <c r="V177" s="8"/>
      <c r="W177" s="7">
        <f>VLOOKUP(V177,'Win Methods'!$C$4:$F$379,4,FALSE)</f>
        <v>0</v>
      </c>
      <c r="X177" s="117" t="str">
        <f t="shared" si="5"/>
        <v>main-3|wild-14||||||||</v>
      </c>
    </row>
    <row r="178" spans="2:24" ht="13.95" customHeight="1">
      <c r="B178" s="116">
        <v>175</v>
      </c>
      <c r="C178" s="7">
        <f t="shared" si="4"/>
        <v>5</v>
      </c>
      <c r="D178" s="8" t="s">
        <v>11</v>
      </c>
      <c r="E178" s="7">
        <f>VLOOKUP(D178,'Win Methods'!$C$4:$F$379,4,FALSE)</f>
        <v>2</v>
      </c>
      <c r="F178" s="197" t="s">
        <v>60</v>
      </c>
      <c r="G178" s="7">
        <f>VLOOKUP(F178,'Win Methods'!$C$4:$F$379,4,FALSE)</f>
        <v>3</v>
      </c>
      <c r="H178" s="8"/>
      <c r="I178" s="7">
        <f>VLOOKUP(H178,'Win Methods'!$C$4:$F$379,4,FALSE)</f>
        <v>0</v>
      </c>
      <c r="J178" s="8"/>
      <c r="K178" s="7">
        <f>VLOOKUP(J178,'Win Methods'!$C$4:$F$379,4,FALSE)</f>
        <v>0</v>
      </c>
      <c r="L178" s="8"/>
      <c r="M178" s="7">
        <f>VLOOKUP(L178,'Win Methods'!$C$4:$F$379,4,FALSE)</f>
        <v>0</v>
      </c>
      <c r="N178" s="8"/>
      <c r="O178" s="7">
        <f>VLOOKUP(N178,'Win Methods'!$C$4:$F$379,4,FALSE)</f>
        <v>0</v>
      </c>
      <c r="P178" s="8"/>
      <c r="Q178" s="7">
        <f>VLOOKUP(P178,'Win Methods'!$C$4:$F$379,4,FALSE)</f>
        <v>0</v>
      </c>
      <c r="R178" s="8"/>
      <c r="S178" s="7">
        <f>VLOOKUP(R178,'Win Methods'!$C$4:$F$379,4,FALSE)</f>
        <v>0</v>
      </c>
      <c r="T178" s="8"/>
      <c r="U178" s="7">
        <f>VLOOKUP(T178,'Win Methods'!$C$4:$F$379,4,FALSE)</f>
        <v>0</v>
      </c>
      <c r="V178" s="8"/>
      <c r="W178" s="7">
        <f>VLOOKUP(V178,'Win Methods'!$C$4:$F$379,4,FALSE)</f>
        <v>0</v>
      </c>
      <c r="X178" s="117" t="str">
        <f t="shared" si="5"/>
        <v>main-4|wild-15||||||||</v>
      </c>
    </row>
    <row r="179" spans="2:24">
      <c r="B179" s="116">
        <v>176</v>
      </c>
      <c r="C179" s="7">
        <f t="shared" si="4"/>
        <v>8</v>
      </c>
      <c r="D179" s="8" t="s">
        <v>12</v>
      </c>
      <c r="E179" s="7">
        <f>VLOOKUP(D179,'Win Methods'!$C$4:$F$379,4,FALSE)</f>
        <v>5</v>
      </c>
      <c r="F179" s="197" t="s">
        <v>63</v>
      </c>
      <c r="G179" s="7">
        <f>VLOOKUP(F179,'Win Methods'!$C$4:$F$379,4,FALSE)</f>
        <v>3</v>
      </c>
      <c r="H179" s="8"/>
      <c r="I179" s="7">
        <f>VLOOKUP(H179,'Win Methods'!$C$4:$F$379,4,FALSE)</f>
        <v>0</v>
      </c>
      <c r="J179" s="8"/>
      <c r="K179" s="7">
        <f>VLOOKUP(J179,'Win Methods'!$C$4:$F$379,4,FALSE)</f>
        <v>0</v>
      </c>
      <c r="L179" s="8"/>
      <c r="M179" s="7">
        <f>VLOOKUP(L179,'Win Methods'!$C$4:$F$379,4,FALSE)</f>
        <v>0</v>
      </c>
      <c r="N179" s="8"/>
      <c r="O179" s="7">
        <f>VLOOKUP(N179,'Win Methods'!$C$4:$F$379,4,FALSE)</f>
        <v>0</v>
      </c>
      <c r="P179" s="8"/>
      <c r="Q179" s="7">
        <f>VLOOKUP(P179,'Win Methods'!$C$4:$F$379,4,FALSE)</f>
        <v>0</v>
      </c>
      <c r="R179" s="8"/>
      <c r="S179" s="7">
        <f>VLOOKUP(R179,'Win Methods'!$C$4:$F$379,4,FALSE)</f>
        <v>0</v>
      </c>
      <c r="T179" s="8"/>
      <c r="U179" s="7">
        <f>VLOOKUP(T179,'Win Methods'!$C$4:$F$379,4,FALSE)</f>
        <v>0</v>
      </c>
      <c r="V179" s="8"/>
      <c r="W179" s="7">
        <f>VLOOKUP(V179,'Win Methods'!$C$4:$F$379,4,FALSE)</f>
        <v>0</v>
      </c>
      <c r="X179" s="117" t="str">
        <f t="shared" si="5"/>
        <v>main-5|wild-18||||||||</v>
      </c>
    </row>
    <row r="180" spans="2:24" ht="13.95" customHeight="1">
      <c r="B180" s="116">
        <v>177</v>
      </c>
      <c r="C180" s="7">
        <f t="shared" si="4"/>
        <v>15</v>
      </c>
      <c r="D180" s="8" t="s">
        <v>12</v>
      </c>
      <c r="E180" s="7">
        <f>VLOOKUP(D180,'Win Methods'!$C$4:$F$379,4,FALSE)</f>
        <v>5</v>
      </c>
      <c r="F180" s="197" t="s">
        <v>62</v>
      </c>
      <c r="G180" s="7">
        <f>VLOOKUP(F180,'Win Methods'!$C$4:$F$379,4,FALSE)</f>
        <v>10</v>
      </c>
      <c r="H180" s="8"/>
      <c r="I180" s="7">
        <f>VLOOKUP(H180,'Win Methods'!$C$4:$F$379,4,FALSE)</f>
        <v>0</v>
      </c>
      <c r="J180" s="8"/>
      <c r="K180" s="7">
        <f>VLOOKUP(J180,'Win Methods'!$C$4:$F$379,4,FALSE)</f>
        <v>0</v>
      </c>
      <c r="L180" s="8"/>
      <c r="M180" s="7">
        <f>VLOOKUP(L180,'Win Methods'!$C$4:$F$379,4,FALSE)</f>
        <v>0</v>
      </c>
      <c r="N180" s="8"/>
      <c r="O180" s="7">
        <f>VLOOKUP(N180,'Win Methods'!$C$4:$F$379,4,FALSE)</f>
        <v>0</v>
      </c>
      <c r="P180" s="8"/>
      <c r="Q180" s="7">
        <f>VLOOKUP(P180,'Win Methods'!$C$4:$F$379,4,FALSE)</f>
        <v>0</v>
      </c>
      <c r="R180" s="8"/>
      <c r="S180" s="7">
        <f>VLOOKUP(R180,'Win Methods'!$C$4:$F$379,4,FALSE)</f>
        <v>0</v>
      </c>
      <c r="T180" s="8"/>
      <c r="U180" s="7">
        <f>VLOOKUP(T180,'Win Methods'!$C$4:$F$379,4,FALSE)</f>
        <v>0</v>
      </c>
      <c r="V180" s="8"/>
      <c r="W180" s="7">
        <f>VLOOKUP(V180,'Win Methods'!$C$4:$F$379,4,FALSE)</f>
        <v>0</v>
      </c>
      <c r="X180" s="117" t="str">
        <f t="shared" si="5"/>
        <v>main-5|wild-17||||||||</v>
      </c>
    </row>
    <row r="181" spans="2:24">
      <c r="B181" s="116">
        <v>178</v>
      </c>
      <c r="C181" s="7">
        <f t="shared" si="4"/>
        <v>3.1</v>
      </c>
      <c r="D181" s="8" t="s">
        <v>5</v>
      </c>
      <c r="E181" s="7">
        <f>VLOOKUP(D181,'Win Methods'!$C$4:$F$379,4,FALSE)</f>
        <v>0.1</v>
      </c>
      <c r="F181" s="197" t="s">
        <v>63</v>
      </c>
      <c r="G181" s="7">
        <f>VLOOKUP(F181,'Win Methods'!$C$4:$F$379,4,FALSE)</f>
        <v>3</v>
      </c>
      <c r="H181" s="8"/>
      <c r="I181" s="7">
        <f>VLOOKUP(H181,'Win Methods'!$C$4:$F$379,4,FALSE)</f>
        <v>0</v>
      </c>
      <c r="J181" s="8"/>
      <c r="K181" s="7">
        <f>VLOOKUP(J181,'Win Methods'!$C$4:$F$379,4,FALSE)</f>
        <v>0</v>
      </c>
      <c r="L181" s="8"/>
      <c r="M181" s="7">
        <f>VLOOKUP(L181,'Win Methods'!$C$4:$F$379,4,FALSE)</f>
        <v>0</v>
      </c>
      <c r="N181" s="8"/>
      <c r="O181" s="7">
        <f>VLOOKUP(N181,'Win Methods'!$C$4:$F$379,4,FALSE)</f>
        <v>0</v>
      </c>
      <c r="P181" s="8"/>
      <c r="Q181" s="7">
        <f>VLOOKUP(P181,'Win Methods'!$C$4:$F$379,4,FALSE)</f>
        <v>0</v>
      </c>
      <c r="R181" s="8"/>
      <c r="S181" s="7">
        <f>VLOOKUP(R181,'Win Methods'!$C$4:$F$379,4,FALSE)</f>
        <v>0</v>
      </c>
      <c r="T181" s="8"/>
      <c r="U181" s="7">
        <f>VLOOKUP(T181,'Win Methods'!$C$4:$F$379,4,FALSE)</f>
        <v>0</v>
      </c>
      <c r="V181" s="8"/>
      <c r="W181" s="7">
        <f>VLOOKUP(V181,'Win Methods'!$C$4:$F$379,4,FALSE)</f>
        <v>0</v>
      </c>
      <c r="X181" s="117" t="str">
        <f t="shared" si="5"/>
        <v>main-0|wild-18||||||||</v>
      </c>
    </row>
    <row r="182" spans="2:24" ht="13.95" customHeight="1">
      <c r="B182" s="116">
        <v>179</v>
      </c>
      <c r="C182" s="7">
        <f t="shared" si="4"/>
        <v>7</v>
      </c>
      <c r="D182" s="8" t="s">
        <v>11</v>
      </c>
      <c r="E182" s="7">
        <f>VLOOKUP(D182,'Win Methods'!$C$4:$F$379,4,FALSE)</f>
        <v>2</v>
      </c>
      <c r="F182" s="197" t="s">
        <v>64</v>
      </c>
      <c r="G182" s="7">
        <f>VLOOKUP(F182,'Win Methods'!$C$4:$F$379,4,FALSE)</f>
        <v>5</v>
      </c>
      <c r="H182" s="8"/>
      <c r="I182" s="7">
        <f>VLOOKUP(H182,'Win Methods'!$C$4:$F$379,4,FALSE)</f>
        <v>0</v>
      </c>
      <c r="J182" s="8"/>
      <c r="K182" s="7">
        <f>VLOOKUP(J182,'Win Methods'!$C$4:$F$379,4,FALSE)</f>
        <v>0</v>
      </c>
      <c r="L182" s="8"/>
      <c r="M182" s="7">
        <f>VLOOKUP(L182,'Win Methods'!$C$4:$F$379,4,FALSE)</f>
        <v>0</v>
      </c>
      <c r="N182" s="8"/>
      <c r="O182" s="7">
        <f>VLOOKUP(N182,'Win Methods'!$C$4:$F$379,4,FALSE)</f>
        <v>0</v>
      </c>
      <c r="P182" s="8"/>
      <c r="Q182" s="7">
        <f>VLOOKUP(P182,'Win Methods'!$C$4:$F$379,4,FALSE)</f>
        <v>0</v>
      </c>
      <c r="R182" s="8"/>
      <c r="S182" s="7">
        <f>VLOOKUP(R182,'Win Methods'!$C$4:$F$379,4,FALSE)</f>
        <v>0</v>
      </c>
      <c r="T182" s="8"/>
      <c r="U182" s="7">
        <f>VLOOKUP(T182,'Win Methods'!$C$4:$F$379,4,FALSE)</f>
        <v>0</v>
      </c>
      <c r="V182" s="8"/>
      <c r="W182" s="7">
        <f>VLOOKUP(V182,'Win Methods'!$C$4:$F$379,4,FALSE)</f>
        <v>0</v>
      </c>
      <c r="X182" s="117" t="str">
        <f t="shared" si="5"/>
        <v>main-4|wild-19||||||||</v>
      </c>
    </row>
    <row r="183" spans="2:24">
      <c r="B183" s="116">
        <v>180</v>
      </c>
      <c r="C183" s="7">
        <f t="shared" si="4"/>
        <v>11</v>
      </c>
      <c r="D183" s="8" t="s">
        <v>10</v>
      </c>
      <c r="E183" s="7">
        <f>VLOOKUP(D183,'Win Methods'!$C$4:$F$379,4,FALSE)</f>
        <v>1</v>
      </c>
      <c r="F183" s="197" t="s">
        <v>65</v>
      </c>
      <c r="G183" s="7">
        <f>VLOOKUP(F183,'Win Methods'!$C$4:$F$379,4,FALSE)</f>
        <v>10</v>
      </c>
      <c r="H183" s="8"/>
      <c r="I183" s="7">
        <f>VLOOKUP(H183,'Win Methods'!$C$4:$F$379,4,FALSE)</f>
        <v>0</v>
      </c>
      <c r="J183" s="8"/>
      <c r="K183" s="7">
        <f>VLOOKUP(J183,'Win Methods'!$C$4:$F$379,4,FALSE)</f>
        <v>0</v>
      </c>
      <c r="L183" s="8"/>
      <c r="M183" s="7">
        <f>VLOOKUP(L183,'Win Methods'!$C$4:$F$379,4,FALSE)</f>
        <v>0</v>
      </c>
      <c r="N183" s="8"/>
      <c r="O183" s="7">
        <f>VLOOKUP(N183,'Win Methods'!$C$4:$F$379,4,FALSE)</f>
        <v>0</v>
      </c>
      <c r="P183" s="8"/>
      <c r="Q183" s="7">
        <f>VLOOKUP(P183,'Win Methods'!$C$4:$F$379,4,FALSE)</f>
        <v>0</v>
      </c>
      <c r="R183" s="8"/>
      <c r="S183" s="7">
        <f>VLOOKUP(R183,'Win Methods'!$C$4:$F$379,4,FALSE)</f>
        <v>0</v>
      </c>
      <c r="T183" s="8"/>
      <c r="U183" s="7">
        <f>VLOOKUP(T183,'Win Methods'!$C$4:$F$379,4,FALSE)</f>
        <v>0</v>
      </c>
      <c r="V183" s="8"/>
      <c r="W183" s="7">
        <f>VLOOKUP(V183,'Win Methods'!$C$4:$F$379,4,FALSE)</f>
        <v>0</v>
      </c>
      <c r="X183" s="117" t="str">
        <f t="shared" si="5"/>
        <v>main-3|wild-20||||||||</v>
      </c>
    </row>
    <row r="184" spans="2:24" ht="13.95" customHeight="1">
      <c r="B184" s="116">
        <v>181</v>
      </c>
      <c r="C184" s="7">
        <f t="shared" si="4"/>
        <v>22</v>
      </c>
      <c r="D184" s="8" t="s">
        <v>11</v>
      </c>
      <c r="E184" s="7">
        <f>VLOOKUP(D184,'Win Methods'!$C$4:$F$379,4,FALSE)</f>
        <v>2</v>
      </c>
      <c r="F184" s="197" t="s">
        <v>66</v>
      </c>
      <c r="G184" s="7">
        <f>VLOOKUP(F184,'Win Methods'!$C$4:$F$379,4,FALSE)</f>
        <v>20</v>
      </c>
      <c r="H184" s="8"/>
      <c r="I184" s="7">
        <f>VLOOKUP(H184,'Win Methods'!$C$4:$F$379,4,FALSE)</f>
        <v>0</v>
      </c>
      <c r="J184" s="8"/>
      <c r="K184" s="7">
        <f>VLOOKUP(J184,'Win Methods'!$C$4:$F$379,4,FALSE)</f>
        <v>0</v>
      </c>
      <c r="L184" s="8"/>
      <c r="M184" s="7">
        <f>VLOOKUP(L184,'Win Methods'!$C$4:$F$379,4,FALSE)</f>
        <v>0</v>
      </c>
      <c r="N184" s="8"/>
      <c r="O184" s="7">
        <f>VLOOKUP(N184,'Win Methods'!$C$4:$F$379,4,FALSE)</f>
        <v>0</v>
      </c>
      <c r="P184" s="8"/>
      <c r="Q184" s="7">
        <f>VLOOKUP(P184,'Win Methods'!$C$4:$F$379,4,FALSE)</f>
        <v>0</v>
      </c>
      <c r="R184" s="8"/>
      <c r="S184" s="7">
        <f>VLOOKUP(R184,'Win Methods'!$C$4:$F$379,4,FALSE)</f>
        <v>0</v>
      </c>
      <c r="T184" s="8"/>
      <c r="U184" s="7">
        <f>VLOOKUP(T184,'Win Methods'!$C$4:$F$379,4,FALSE)</f>
        <v>0</v>
      </c>
      <c r="V184" s="8"/>
      <c r="W184" s="7">
        <f>VLOOKUP(V184,'Win Methods'!$C$4:$F$379,4,FALSE)</f>
        <v>0</v>
      </c>
      <c r="X184" s="117" t="str">
        <f t="shared" si="5"/>
        <v>main-4|wild-21||||||||</v>
      </c>
    </row>
    <row r="185" spans="2:24">
      <c r="B185" s="116">
        <v>182</v>
      </c>
      <c r="C185" s="7">
        <f t="shared" si="4"/>
        <v>0.7</v>
      </c>
      <c r="D185" s="8" t="s">
        <v>5</v>
      </c>
      <c r="E185" s="7">
        <f>VLOOKUP(D185,'Win Methods'!$C$4:$F$379,4,FALSE)</f>
        <v>0.1</v>
      </c>
      <c r="F185" s="8" t="s">
        <v>5</v>
      </c>
      <c r="G185" s="7">
        <f>VLOOKUP(F185,'Win Methods'!$C$4:$F$379,4,FALSE)</f>
        <v>0.1</v>
      </c>
      <c r="H185" s="197" t="s">
        <v>47</v>
      </c>
      <c r="I185" s="7">
        <f>VLOOKUP(H185,'Win Methods'!$C$4:$F$379,4,FALSE)</f>
        <v>0.5</v>
      </c>
      <c r="J185" s="8"/>
      <c r="K185" s="7">
        <f>VLOOKUP(J185,'Win Methods'!$C$4:$F$379,4,FALSE)</f>
        <v>0</v>
      </c>
      <c r="L185" s="8"/>
      <c r="M185" s="7">
        <f>VLOOKUP(L185,'Win Methods'!$C$4:$F$379,4,FALSE)</f>
        <v>0</v>
      </c>
      <c r="N185" s="8"/>
      <c r="O185" s="7">
        <f>VLOOKUP(N185,'Win Methods'!$C$4:$F$379,4,FALSE)</f>
        <v>0</v>
      </c>
      <c r="P185" s="8"/>
      <c r="Q185" s="7">
        <f>VLOOKUP(P185,'Win Methods'!$C$4:$F$379,4,FALSE)</f>
        <v>0</v>
      </c>
      <c r="R185" s="8"/>
      <c r="S185" s="7">
        <f>VLOOKUP(R185,'Win Methods'!$C$4:$F$379,4,FALSE)</f>
        <v>0</v>
      </c>
      <c r="T185" s="8"/>
      <c r="U185" s="7">
        <f>VLOOKUP(T185,'Win Methods'!$C$4:$F$379,4,FALSE)</f>
        <v>0</v>
      </c>
      <c r="V185" s="8"/>
      <c r="W185" s="7">
        <f>VLOOKUP(V185,'Win Methods'!$C$4:$F$379,4,FALSE)</f>
        <v>0</v>
      </c>
      <c r="X185" s="117" t="str">
        <f t="shared" si="5"/>
        <v>main-0|main-0|wild-2|||||||</v>
      </c>
    </row>
    <row r="186" spans="2:24" ht="13.95" customHeight="1">
      <c r="B186" s="116">
        <v>183</v>
      </c>
      <c r="C186" s="7">
        <f t="shared" si="4"/>
        <v>1.3</v>
      </c>
      <c r="D186" s="8" t="s">
        <v>5</v>
      </c>
      <c r="E186" s="7">
        <f>VLOOKUP(D186,'Win Methods'!$C$4:$F$379,4,FALSE)</f>
        <v>0.1</v>
      </c>
      <c r="F186" s="8" t="s">
        <v>8</v>
      </c>
      <c r="G186" s="7">
        <f>VLOOKUP(F186,'Win Methods'!$C$4:$F$379,4,FALSE)</f>
        <v>0.2</v>
      </c>
      <c r="H186" s="197" t="s">
        <v>48</v>
      </c>
      <c r="I186" s="7">
        <f>VLOOKUP(H186,'Win Methods'!$C$4:$F$379,4,FALSE)</f>
        <v>1</v>
      </c>
      <c r="J186" s="8"/>
      <c r="K186" s="7">
        <f>VLOOKUP(J186,'Win Methods'!$C$4:$F$379,4,FALSE)</f>
        <v>0</v>
      </c>
      <c r="L186" s="8"/>
      <c r="M186" s="7">
        <f>VLOOKUP(L186,'Win Methods'!$C$4:$F$379,4,FALSE)</f>
        <v>0</v>
      </c>
      <c r="N186" s="8"/>
      <c r="O186" s="7">
        <f>VLOOKUP(N186,'Win Methods'!$C$4:$F$379,4,FALSE)</f>
        <v>0</v>
      </c>
      <c r="P186" s="8"/>
      <c r="Q186" s="7">
        <f>VLOOKUP(P186,'Win Methods'!$C$4:$F$379,4,FALSE)</f>
        <v>0</v>
      </c>
      <c r="R186" s="8"/>
      <c r="S186" s="7">
        <f>VLOOKUP(R186,'Win Methods'!$C$4:$F$379,4,FALSE)</f>
        <v>0</v>
      </c>
      <c r="T186" s="8"/>
      <c r="U186" s="7">
        <f>VLOOKUP(T186,'Win Methods'!$C$4:$F$379,4,FALSE)</f>
        <v>0</v>
      </c>
      <c r="V186" s="8"/>
      <c r="W186" s="7">
        <f>VLOOKUP(V186,'Win Methods'!$C$4:$F$379,4,FALSE)</f>
        <v>0</v>
      </c>
      <c r="X186" s="117" t="str">
        <f t="shared" si="5"/>
        <v>main-0|main-1|wild-3|||||||</v>
      </c>
    </row>
    <row r="187" spans="2:24">
      <c r="B187" s="116">
        <v>184</v>
      </c>
      <c r="C187" s="7">
        <f t="shared" si="4"/>
        <v>2.4</v>
      </c>
      <c r="D187" s="8" t="s">
        <v>8</v>
      </c>
      <c r="E187" s="7">
        <f>VLOOKUP(D187,'Win Methods'!$C$4:$F$379,4,FALSE)</f>
        <v>0.2</v>
      </c>
      <c r="F187" s="8" t="s">
        <v>8</v>
      </c>
      <c r="G187" s="7">
        <f>VLOOKUP(F187,'Win Methods'!$C$4:$F$379,4,FALSE)</f>
        <v>0.2</v>
      </c>
      <c r="H187" s="197" t="s">
        <v>49</v>
      </c>
      <c r="I187" s="7">
        <f>VLOOKUP(H187,'Win Methods'!$C$4:$F$379,4,FALSE)</f>
        <v>2</v>
      </c>
      <c r="J187" s="8"/>
      <c r="K187" s="7">
        <f>VLOOKUP(J187,'Win Methods'!$C$4:$F$379,4,FALSE)</f>
        <v>0</v>
      </c>
      <c r="L187" s="8"/>
      <c r="M187" s="7">
        <f>VLOOKUP(L187,'Win Methods'!$C$4:$F$379,4,FALSE)</f>
        <v>0</v>
      </c>
      <c r="N187" s="8"/>
      <c r="O187" s="7">
        <f>VLOOKUP(N187,'Win Methods'!$C$4:$F$379,4,FALSE)</f>
        <v>0</v>
      </c>
      <c r="P187" s="8"/>
      <c r="Q187" s="7">
        <f>VLOOKUP(P187,'Win Methods'!$C$4:$F$379,4,FALSE)</f>
        <v>0</v>
      </c>
      <c r="R187" s="8"/>
      <c r="S187" s="7">
        <f>VLOOKUP(R187,'Win Methods'!$C$4:$F$379,4,FALSE)</f>
        <v>0</v>
      </c>
      <c r="T187" s="8"/>
      <c r="U187" s="7">
        <f>VLOOKUP(T187,'Win Methods'!$C$4:$F$379,4,FALSE)</f>
        <v>0</v>
      </c>
      <c r="V187" s="8"/>
      <c r="W187" s="7">
        <f>VLOOKUP(V187,'Win Methods'!$C$4:$F$379,4,FALSE)</f>
        <v>0</v>
      </c>
      <c r="X187" s="117" t="str">
        <f t="shared" si="5"/>
        <v>main-1|main-1|wild-4|||||||</v>
      </c>
    </row>
    <row r="188" spans="2:24" ht="13.95" customHeight="1">
      <c r="B188" s="116">
        <v>185</v>
      </c>
      <c r="C188" s="7">
        <f t="shared" si="4"/>
        <v>2.6</v>
      </c>
      <c r="D188" s="8" t="s">
        <v>5</v>
      </c>
      <c r="E188" s="7">
        <f>VLOOKUP(D188,'Win Methods'!$C$4:$F$379,4,FALSE)</f>
        <v>0.1</v>
      </c>
      <c r="F188" s="8" t="s">
        <v>9</v>
      </c>
      <c r="G188" s="7">
        <f>VLOOKUP(F188,'Win Methods'!$C$4:$F$379,4,FALSE)</f>
        <v>0.5</v>
      </c>
      <c r="H188" s="197" t="s">
        <v>56</v>
      </c>
      <c r="I188" s="7">
        <f>VLOOKUP(H188,'Win Methods'!$C$4:$F$379,4,FALSE)</f>
        <v>2</v>
      </c>
      <c r="J188" s="8"/>
      <c r="K188" s="7">
        <f>VLOOKUP(J188,'Win Methods'!$C$4:$F$379,4,FALSE)</f>
        <v>0</v>
      </c>
      <c r="L188" s="8"/>
      <c r="M188" s="7">
        <f>VLOOKUP(L188,'Win Methods'!$C$4:$F$379,4,FALSE)</f>
        <v>0</v>
      </c>
      <c r="N188" s="8"/>
      <c r="O188" s="7">
        <f>VLOOKUP(N188,'Win Methods'!$C$4:$F$379,4,FALSE)</f>
        <v>0</v>
      </c>
      <c r="P188" s="8"/>
      <c r="Q188" s="7">
        <f>VLOOKUP(P188,'Win Methods'!$C$4:$F$379,4,FALSE)</f>
        <v>0</v>
      </c>
      <c r="R188" s="8"/>
      <c r="S188" s="7">
        <f>VLOOKUP(R188,'Win Methods'!$C$4:$F$379,4,FALSE)</f>
        <v>0</v>
      </c>
      <c r="T188" s="8"/>
      <c r="U188" s="7">
        <f>VLOOKUP(T188,'Win Methods'!$C$4:$F$379,4,FALSE)</f>
        <v>0</v>
      </c>
      <c r="V188" s="8"/>
      <c r="W188" s="7">
        <f>VLOOKUP(V188,'Win Methods'!$C$4:$F$379,4,FALSE)</f>
        <v>0</v>
      </c>
      <c r="X188" s="117" t="str">
        <f t="shared" si="5"/>
        <v>main-0|main-2|wild-11|||||||</v>
      </c>
    </row>
    <row r="189" spans="2:24">
      <c r="B189" s="116">
        <v>186</v>
      </c>
      <c r="C189" s="7">
        <f t="shared" si="4"/>
        <v>3.7</v>
      </c>
      <c r="D189" s="8" t="s">
        <v>8</v>
      </c>
      <c r="E189" s="7">
        <f>VLOOKUP(D189,'Win Methods'!$C$4:$F$379,4,FALSE)</f>
        <v>0.2</v>
      </c>
      <c r="F189" s="8" t="s">
        <v>9</v>
      </c>
      <c r="G189" s="7">
        <f>VLOOKUP(F189,'Win Methods'!$C$4:$F$379,4,FALSE)</f>
        <v>0.5</v>
      </c>
      <c r="H189" s="197" t="s">
        <v>57</v>
      </c>
      <c r="I189" s="7">
        <f>VLOOKUP(H189,'Win Methods'!$C$4:$F$379,4,FALSE)</f>
        <v>3</v>
      </c>
      <c r="J189" s="8"/>
      <c r="K189" s="7">
        <f>VLOOKUP(J189,'Win Methods'!$C$4:$F$379,4,FALSE)</f>
        <v>0</v>
      </c>
      <c r="L189" s="8"/>
      <c r="M189" s="7">
        <f>VLOOKUP(L189,'Win Methods'!$C$4:$F$379,4,FALSE)</f>
        <v>0</v>
      </c>
      <c r="N189" s="8"/>
      <c r="O189" s="7">
        <f>VLOOKUP(N189,'Win Methods'!$C$4:$F$379,4,FALSE)</f>
        <v>0</v>
      </c>
      <c r="P189" s="8"/>
      <c r="Q189" s="7">
        <f>VLOOKUP(P189,'Win Methods'!$C$4:$F$379,4,FALSE)</f>
        <v>0</v>
      </c>
      <c r="R189" s="8"/>
      <c r="S189" s="7">
        <f>VLOOKUP(R189,'Win Methods'!$C$4:$F$379,4,FALSE)</f>
        <v>0</v>
      </c>
      <c r="T189" s="8"/>
      <c r="U189" s="7">
        <f>VLOOKUP(T189,'Win Methods'!$C$4:$F$379,4,FALSE)</f>
        <v>0</v>
      </c>
      <c r="V189" s="8"/>
      <c r="W189" s="7">
        <f>VLOOKUP(V189,'Win Methods'!$C$4:$F$379,4,FALSE)</f>
        <v>0</v>
      </c>
      <c r="X189" s="117" t="str">
        <f t="shared" si="5"/>
        <v>main-1|main-2|wild-12|||||||</v>
      </c>
    </row>
    <row r="190" spans="2:24" ht="13.95" customHeight="1">
      <c r="B190" s="116">
        <v>187</v>
      </c>
      <c r="C190" s="7">
        <f t="shared" si="4"/>
        <v>6.1</v>
      </c>
      <c r="D190" s="8" t="s">
        <v>10</v>
      </c>
      <c r="E190" s="7">
        <f>VLOOKUP(D190,'Win Methods'!$C$4:$F$379,4,FALSE)</f>
        <v>1</v>
      </c>
      <c r="F190" s="8" t="s">
        <v>5</v>
      </c>
      <c r="G190" s="7">
        <f>VLOOKUP(F190,'Win Methods'!$C$4:$F$379,4,FALSE)</f>
        <v>0.1</v>
      </c>
      <c r="H190" s="197" t="s">
        <v>58</v>
      </c>
      <c r="I190" s="7">
        <f>VLOOKUP(H190,'Win Methods'!$C$4:$F$379,4,FALSE)</f>
        <v>5</v>
      </c>
      <c r="J190" s="8"/>
      <c r="K190" s="7">
        <f>VLOOKUP(J190,'Win Methods'!$C$4:$F$379,4,FALSE)</f>
        <v>0</v>
      </c>
      <c r="L190" s="8"/>
      <c r="M190" s="7">
        <f>VLOOKUP(L190,'Win Methods'!$C$4:$F$379,4,FALSE)</f>
        <v>0</v>
      </c>
      <c r="N190" s="8"/>
      <c r="O190" s="7">
        <f>VLOOKUP(N190,'Win Methods'!$C$4:$F$379,4,FALSE)</f>
        <v>0</v>
      </c>
      <c r="P190" s="8"/>
      <c r="Q190" s="7">
        <f>VLOOKUP(P190,'Win Methods'!$C$4:$F$379,4,FALSE)</f>
        <v>0</v>
      </c>
      <c r="R190" s="8"/>
      <c r="S190" s="7">
        <f>VLOOKUP(R190,'Win Methods'!$C$4:$F$379,4,FALSE)</f>
        <v>0</v>
      </c>
      <c r="T190" s="8"/>
      <c r="U190" s="7">
        <f>VLOOKUP(T190,'Win Methods'!$C$4:$F$379,4,FALSE)</f>
        <v>0</v>
      </c>
      <c r="V190" s="8"/>
      <c r="W190" s="7">
        <f>VLOOKUP(V190,'Win Methods'!$C$4:$F$379,4,FALSE)</f>
        <v>0</v>
      </c>
      <c r="X190" s="117" t="str">
        <f t="shared" si="5"/>
        <v>main-3|main-0|wild-13|||||||</v>
      </c>
    </row>
    <row r="191" spans="2:24">
      <c r="B191" s="116">
        <v>188</v>
      </c>
      <c r="C191" s="7">
        <f t="shared" si="4"/>
        <v>4.2</v>
      </c>
      <c r="D191" s="8" t="s">
        <v>10</v>
      </c>
      <c r="E191" s="7">
        <f>VLOOKUP(D191,'Win Methods'!$C$4:$F$379,4,FALSE)</f>
        <v>1</v>
      </c>
      <c r="F191" s="8" t="s">
        <v>8</v>
      </c>
      <c r="G191" s="7">
        <f>VLOOKUP(F191,'Win Methods'!$C$4:$F$379,4,FALSE)</f>
        <v>0.2</v>
      </c>
      <c r="H191" s="197" t="s">
        <v>60</v>
      </c>
      <c r="I191" s="7">
        <f>VLOOKUP(H191,'Win Methods'!$C$4:$F$379,4,FALSE)</f>
        <v>3</v>
      </c>
      <c r="J191" s="8"/>
      <c r="K191" s="7">
        <f>VLOOKUP(J191,'Win Methods'!$C$4:$F$379,4,FALSE)</f>
        <v>0</v>
      </c>
      <c r="L191" s="8"/>
      <c r="M191" s="7">
        <f>VLOOKUP(L191,'Win Methods'!$C$4:$F$379,4,FALSE)</f>
        <v>0</v>
      </c>
      <c r="N191" s="8"/>
      <c r="O191" s="7">
        <f>VLOOKUP(N191,'Win Methods'!$C$4:$F$379,4,FALSE)</f>
        <v>0</v>
      </c>
      <c r="P191" s="8"/>
      <c r="Q191" s="7">
        <f>VLOOKUP(P191,'Win Methods'!$C$4:$F$379,4,FALSE)</f>
        <v>0</v>
      </c>
      <c r="R191" s="8"/>
      <c r="S191" s="7">
        <f>VLOOKUP(R191,'Win Methods'!$C$4:$F$379,4,FALSE)</f>
        <v>0</v>
      </c>
      <c r="T191" s="8"/>
      <c r="U191" s="7">
        <f>VLOOKUP(T191,'Win Methods'!$C$4:$F$379,4,FALSE)</f>
        <v>0</v>
      </c>
      <c r="V191" s="8"/>
      <c r="W191" s="7">
        <f>VLOOKUP(V191,'Win Methods'!$C$4:$F$379,4,FALSE)</f>
        <v>0</v>
      </c>
      <c r="X191" s="117" t="str">
        <f t="shared" si="5"/>
        <v>main-3|main-1|wild-15|||||||</v>
      </c>
    </row>
    <row r="192" spans="2:24" ht="13.95" customHeight="1">
      <c r="B192" s="116">
        <v>189</v>
      </c>
      <c r="C192" s="7">
        <f t="shared" si="4"/>
        <v>10.199999999999999</v>
      </c>
      <c r="D192" s="8" t="s">
        <v>8</v>
      </c>
      <c r="E192" s="7">
        <f>VLOOKUP(D192,'Win Methods'!$C$4:$F$379,4,FALSE)</f>
        <v>0.2</v>
      </c>
      <c r="F192" s="8" t="s">
        <v>12</v>
      </c>
      <c r="G192" s="7">
        <f>VLOOKUP(F192,'Win Methods'!$C$4:$F$379,4,FALSE)</f>
        <v>5</v>
      </c>
      <c r="H192" s="197" t="s">
        <v>61</v>
      </c>
      <c r="I192" s="7">
        <f>VLOOKUP(H192,'Win Methods'!$C$4:$F$379,4,FALSE)</f>
        <v>5</v>
      </c>
      <c r="J192" s="8"/>
      <c r="K192" s="7">
        <f>VLOOKUP(J192,'Win Methods'!$C$4:$F$379,4,FALSE)</f>
        <v>0</v>
      </c>
      <c r="L192" s="8"/>
      <c r="M192" s="7">
        <f>VLOOKUP(L192,'Win Methods'!$C$4:$F$379,4,FALSE)</f>
        <v>0</v>
      </c>
      <c r="N192" s="8"/>
      <c r="O192" s="7">
        <f>VLOOKUP(N192,'Win Methods'!$C$4:$F$379,4,FALSE)</f>
        <v>0</v>
      </c>
      <c r="P192" s="8"/>
      <c r="Q192" s="7">
        <f>VLOOKUP(P192,'Win Methods'!$C$4:$F$379,4,FALSE)</f>
        <v>0</v>
      </c>
      <c r="R192" s="8"/>
      <c r="S192" s="7">
        <f>VLOOKUP(R192,'Win Methods'!$C$4:$F$379,4,FALSE)</f>
        <v>0</v>
      </c>
      <c r="T192" s="8"/>
      <c r="U192" s="7">
        <f>VLOOKUP(T192,'Win Methods'!$C$4:$F$379,4,FALSE)</f>
        <v>0</v>
      </c>
      <c r="V192" s="8"/>
      <c r="W192" s="7">
        <f>VLOOKUP(V192,'Win Methods'!$C$4:$F$379,4,FALSE)</f>
        <v>0</v>
      </c>
      <c r="X192" s="117" t="str">
        <f t="shared" si="5"/>
        <v>main-1|main-5|wild-16|||||||</v>
      </c>
    </row>
    <row r="193" spans="2:24">
      <c r="B193" s="116">
        <v>190</v>
      </c>
      <c r="C193" s="7">
        <f t="shared" si="4"/>
        <v>17</v>
      </c>
      <c r="D193" s="8" t="s">
        <v>11</v>
      </c>
      <c r="E193" s="7">
        <f>VLOOKUP(D193,'Win Methods'!$C$4:$F$379,4,FALSE)</f>
        <v>2</v>
      </c>
      <c r="F193" s="8" t="s">
        <v>33</v>
      </c>
      <c r="G193" s="7">
        <f>VLOOKUP(F193,'Win Methods'!$C$4:$F$379,4,FALSE)</f>
        <v>5</v>
      </c>
      <c r="H193" s="197" t="s">
        <v>62</v>
      </c>
      <c r="I193" s="7">
        <f>VLOOKUP(H193,'Win Methods'!$C$4:$F$379,4,FALSE)</f>
        <v>10</v>
      </c>
      <c r="J193" s="8"/>
      <c r="K193" s="7">
        <f>VLOOKUP(J193,'Win Methods'!$C$4:$F$379,4,FALSE)</f>
        <v>0</v>
      </c>
      <c r="L193" s="8"/>
      <c r="M193" s="7">
        <f>VLOOKUP(L193,'Win Methods'!$C$4:$F$379,4,FALSE)</f>
        <v>0</v>
      </c>
      <c r="N193" s="8"/>
      <c r="O193" s="7">
        <f>VLOOKUP(N193,'Win Methods'!$C$4:$F$379,4,FALSE)</f>
        <v>0</v>
      </c>
      <c r="P193" s="8"/>
      <c r="Q193" s="7">
        <f>VLOOKUP(P193,'Win Methods'!$C$4:$F$379,4,FALSE)</f>
        <v>0</v>
      </c>
      <c r="R193" s="8"/>
      <c r="S193" s="7">
        <f>VLOOKUP(R193,'Win Methods'!$C$4:$F$379,4,FALSE)</f>
        <v>0</v>
      </c>
      <c r="T193" s="8"/>
      <c r="U193" s="7">
        <f>VLOOKUP(T193,'Win Methods'!$C$4:$F$379,4,FALSE)</f>
        <v>0</v>
      </c>
      <c r="V193" s="8"/>
      <c r="W193" s="7">
        <f>VLOOKUP(V193,'Win Methods'!$C$4:$F$379,4,FALSE)</f>
        <v>0</v>
      </c>
      <c r="X193" s="117" t="str">
        <f t="shared" si="5"/>
        <v>main-4|main-19|wild-17|||||||</v>
      </c>
    </row>
    <row r="194" spans="2:24" ht="13.95" customHeight="1">
      <c r="B194" s="116">
        <v>191</v>
      </c>
      <c r="C194" s="7">
        <f t="shared" si="4"/>
        <v>13</v>
      </c>
      <c r="D194" s="8" t="s">
        <v>10</v>
      </c>
      <c r="E194" s="7">
        <f>VLOOKUP(D194,'Win Methods'!$C$4:$F$379,4,FALSE)</f>
        <v>1</v>
      </c>
      <c r="F194" s="8" t="s">
        <v>34</v>
      </c>
      <c r="G194" s="7">
        <f>VLOOKUP(F194,'Win Methods'!$C$4:$F$379,4,FALSE)</f>
        <v>10</v>
      </c>
      <c r="H194" s="197" t="s">
        <v>56</v>
      </c>
      <c r="I194" s="7">
        <f>VLOOKUP(H194,'Win Methods'!$C$4:$F$379,4,FALSE)</f>
        <v>2</v>
      </c>
      <c r="J194" s="8"/>
      <c r="K194" s="7">
        <f>VLOOKUP(J194,'Win Methods'!$C$4:$F$379,4,FALSE)</f>
        <v>0</v>
      </c>
      <c r="L194" s="8"/>
      <c r="M194" s="7">
        <f>VLOOKUP(L194,'Win Methods'!$C$4:$F$379,4,FALSE)</f>
        <v>0</v>
      </c>
      <c r="N194" s="8"/>
      <c r="O194" s="7">
        <f>VLOOKUP(N194,'Win Methods'!$C$4:$F$379,4,FALSE)</f>
        <v>0</v>
      </c>
      <c r="P194" s="8"/>
      <c r="Q194" s="7">
        <f>VLOOKUP(P194,'Win Methods'!$C$4:$F$379,4,FALSE)</f>
        <v>0</v>
      </c>
      <c r="R194" s="8"/>
      <c r="S194" s="7">
        <f>VLOOKUP(R194,'Win Methods'!$C$4:$F$379,4,FALSE)</f>
        <v>0</v>
      </c>
      <c r="T194" s="8"/>
      <c r="U194" s="7">
        <f>VLOOKUP(T194,'Win Methods'!$C$4:$F$379,4,FALSE)</f>
        <v>0</v>
      </c>
      <c r="V194" s="8"/>
      <c r="W194" s="7">
        <f>VLOOKUP(V194,'Win Methods'!$C$4:$F$379,4,FALSE)</f>
        <v>0</v>
      </c>
      <c r="X194" s="117" t="str">
        <f t="shared" si="5"/>
        <v>main-3|main-20|wild-11|||||||</v>
      </c>
    </row>
    <row r="195" spans="2:24">
      <c r="B195" s="116">
        <v>192</v>
      </c>
      <c r="C195" s="7">
        <f t="shared" ref="C195:C258" si="6">(E195+G195+I195+K195+M195+O195+Q195+S195+U195+W195)</f>
        <v>10</v>
      </c>
      <c r="D195" s="8" t="s">
        <v>11</v>
      </c>
      <c r="E195" s="7">
        <f>VLOOKUP(D195,'Win Methods'!$C$4:$F$379,4,FALSE)</f>
        <v>2</v>
      </c>
      <c r="F195" s="8" t="s">
        <v>12</v>
      </c>
      <c r="G195" s="7">
        <f>VLOOKUP(F195,'Win Methods'!$C$4:$F$379,4,FALSE)</f>
        <v>5</v>
      </c>
      <c r="H195" s="197" t="s">
        <v>57</v>
      </c>
      <c r="I195" s="7">
        <f>VLOOKUP(H195,'Win Methods'!$C$4:$F$379,4,FALSE)</f>
        <v>3</v>
      </c>
      <c r="J195" s="8"/>
      <c r="K195" s="7">
        <f>VLOOKUP(J195,'Win Methods'!$C$4:$F$379,4,FALSE)</f>
        <v>0</v>
      </c>
      <c r="L195" s="8"/>
      <c r="M195" s="7">
        <f>VLOOKUP(L195,'Win Methods'!$C$4:$F$379,4,FALSE)</f>
        <v>0</v>
      </c>
      <c r="N195" s="8"/>
      <c r="O195" s="7">
        <f>VLOOKUP(N195,'Win Methods'!$C$4:$F$379,4,FALSE)</f>
        <v>0</v>
      </c>
      <c r="P195" s="8"/>
      <c r="Q195" s="7">
        <f>VLOOKUP(P195,'Win Methods'!$C$4:$F$379,4,FALSE)</f>
        <v>0</v>
      </c>
      <c r="R195" s="8"/>
      <c r="S195" s="7">
        <f>VLOOKUP(R195,'Win Methods'!$C$4:$F$379,4,FALSE)</f>
        <v>0</v>
      </c>
      <c r="T195" s="8"/>
      <c r="U195" s="7">
        <f>VLOOKUP(T195,'Win Methods'!$C$4:$F$379,4,FALSE)</f>
        <v>0</v>
      </c>
      <c r="V195" s="8"/>
      <c r="W195" s="7">
        <f>VLOOKUP(V195,'Win Methods'!$C$4:$F$379,4,FALSE)</f>
        <v>0</v>
      </c>
      <c r="X195" s="117" t="str">
        <f t="shared" ref="X195:X258" si="7">D195&amp;"|"&amp;F195&amp;"|"&amp;H195&amp;"|"&amp;J195&amp;"|"&amp;L195&amp;"|"&amp;N195&amp;"|"&amp;P195&amp;"|"&amp;R195&amp;"|"&amp;T195&amp;"|"&amp;V195</f>
        <v>main-4|main-5|wild-12|||||||</v>
      </c>
    </row>
    <row r="196" spans="2:24" ht="13.95" customHeight="1">
      <c r="B196" s="116">
        <v>193</v>
      </c>
      <c r="C196" s="7">
        <f t="shared" si="6"/>
        <v>15</v>
      </c>
      <c r="D196" s="8" t="s">
        <v>12</v>
      </c>
      <c r="E196" s="7">
        <f>VLOOKUP(D196,'Win Methods'!$C$4:$F$379,4,FALSE)</f>
        <v>5</v>
      </c>
      <c r="F196" s="8" t="s">
        <v>39</v>
      </c>
      <c r="G196" s="7">
        <f>VLOOKUP(F196,'Win Methods'!$C$4:$F$379,4,FALSE)</f>
        <v>5</v>
      </c>
      <c r="H196" s="197" t="s">
        <v>58</v>
      </c>
      <c r="I196" s="7">
        <f>VLOOKUP(H196,'Win Methods'!$C$4:$F$379,4,FALSE)</f>
        <v>5</v>
      </c>
      <c r="J196" s="8"/>
      <c r="K196" s="7">
        <f>VLOOKUP(J196,'Win Methods'!$C$4:$F$379,4,FALSE)</f>
        <v>0</v>
      </c>
      <c r="L196" s="8"/>
      <c r="M196" s="7">
        <f>VLOOKUP(L196,'Win Methods'!$C$4:$F$379,4,FALSE)</f>
        <v>0</v>
      </c>
      <c r="N196" s="8"/>
      <c r="O196" s="7">
        <f>VLOOKUP(N196,'Win Methods'!$C$4:$F$379,4,FALSE)</f>
        <v>0</v>
      </c>
      <c r="P196" s="8"/>
      <c r="Q196" s="7">
        <f>VLOOKUP(P196,'Win Methods'!$C$4:$F$379,4,FALSE)</f>
        <v>0</v>
      </c>
      <c r="R196" s="8"/>
      <c r="S196" s="7">
        <f>VLOOKUP(R196,'Win Methods'!$C$4:$F$379,4,FALSE)</f>
        <v>0</v>
      </c>
      <c r="T196" s="8"/>
      <c r="U196" s="7">
        <f>VLOOKUP(T196,'Win Methods'!$C$4:$F$379,4,FALSE)</f>
        <v>0</v>
      </c>
      <c r="V196" s="8"/>
      <c r="W196" s="7">
        <f>VLOOKUP(V196,'Win Methods'!$C$4:$F$379,4,FALSE)</f>
        <v>0</v>
      </c>
      <c r="X196" s="117" t="str">
        <f t="shared" si="7"/>
        <v>main-5|main-25|wild-13|||||||</v>
      </c>
    </row>
    <row r="197" spans="2:24">
      <c r="B197" s="116">
        <v>194</v>
      </c>
      <c r="C197" s="7">
        <f t="shared" si="6"/>
        <v>17</v>
      </c>
      <c r="D197" s="8" t="s">
        <v>12</v>
      </c>
      <c r="E197" s="7">
        <f>VLOOKUP(D197,'Win Methods'!$C$4:$F$379,4,FALSE)</f>
        <v>5</v>
      </c>
      <c r="F197" s="8" t="s">
        <v>40</v>
      </c>
      <c r="G197" s="7">
        <f>VLOOKUP(F197,'Win Methods'!$C$4:$F$379,4,FALSE)</f>
        <v>10</v>
      </c>
      <c r="H197" s="197" t="s">
        <v>59</v>
      </c>
      <c r="I197" s="7">
        <f>VLOOKUP(H197,'Win Methods'!$C$4:$F$379,4,FALSE)</f>
        <v>2</v>
      </c>
      <c r="J197" s="8"/>
      <c r="K197" s="7">
        <f>VLOOKUP(J197,'Win Methods'!$C$4:$F$379,4,FALSE)</f>
        <v>0</v>
      </c>
      <c r="L197" s="8"/>
      <c r="M197" s="7">
        <f>VLOOKUP(L197,'Win Methods'!$C$4:$F$379,4,FALSE)</f>
        <v>0</v>
      </c>
      <c r="N197" s="8"/>
      <c r="O197" s="7">
        <f>VLOOKUP(N197,'Win Methods'!$C$4:$F$379,4,FALSE)</f>
        <v>0</v>
      </c>
      <c r="P197" s="8"/>
      <c r="Q197" s="7">
        <f>VLOOKUP(P197,'Win Methods'!$C$4:$F$379,4,FALSE)</f>
        <v>0</v>
      </c>
      <c r="R197" s="8"/>
      <c r="S197" s="7">
        <f>VLOOKUP(R197,'Win Methods'!$C$4:$F$379,4,FALSE)</f>
        <v>0</v>
      </c>
      <c r="T197" s="8"/>
      <c r="U197" s="7">
        <f>VLOOKUP(T197,'Win Methods'!$C$4:$F$379,4,FALSE)</f>
        <v>0</v>
      </c>
      <c r="V197" s="8"/>
      <c r="W197" s="7">
        <f>VLOOKUP(V197,'Win Methods'!$C$4:$F$379,4,FALSE)</f>
        <v>0</v>
      </c>
      <c r="X197" s="117" t="str">
        <f t="shared" si="7"/>
        <v>main-5|main-26|wild-14|||||||</v>
      </c>
    </row>
    <row r="198" spans="2:24" ht="13.95" customHeight="1">
      <c r="B198" s="116">
        <v>195</v>
      </c>
      <c r="C198" s="7">
        <f t="shared" si="6"/>
        <v>23.1</v>
      </c>
      <c r="D198" s="8" t="s">
        <v>5</v>
      </c>
      <c r="E198" s="7">
        <f>VLOOKUP(D198,'Win Methods'!$C$4:$F$379,4,FALSE)</f>
        <v>0.1</v>
      </c>
      <c r="F198" s="8" t="s">
        <v>41</v>
      </c>
      <c r="G198" s="7">
        <f>VLOOKUP(F198,'Win Methods'!$C$4:$F$379,4,FALSE)</f>
        <v>20</v>
      </c>
      <c r="H198" s="197" t="s">
        <v>60</v>
      </c>
      <c r="I198" s="7">
        <f>VLOOKUP(H198,'Win Methods'!$C$4:$F$379,4,FALSE)</f>
        <v>3</v>
      </c>
      <c r="J198" s="8"/>
      <c r="K198" s="7">
        <f>VLOOKUP(J198,'Win Methods'!$C$4:$F$379,4,FALSE)</f>
        <v>0</v>
      </c>
      <c r="L198" s="8"/>
      <c r="M198" s="7">
        <f>VLOOKUP(L198,'Win Methods'!$C$4:$F$379,4,FALSE)</f>
        <v>0</v>
      </c>
      <c r="N198" s="8"/>
      <c r="O198" s="7">
        <f>VLOOKUP(N198,'Win Methods'!$C$4:$F$379,4,FALSE)</f>
        <v>0</v>
      </c>
      <c r="P198" s="8"/>
      <c r="Q198" s="7">
        <f>VLOOKUP(P198,'Win Methods'!$C$4:$F$379,4,FALSE)</f>
        <v>0</v>
      </c>
      <c r="R198" s="8"/>
      <c r="S198" s="7">
        <f>VLOOKUP(R198,'Win Methods'!$C$4:$F$379,4,FALSE)</f>
        <v>0</v>
      </c>
      <c r="T198" s="8"/>
      <c r="U198" s="7">
        <f>VLOOKUP(T198,'Win Methods'!$C$4:$F$379,4,FALSE)</f>
        <v>0</v>
      </c>
      <c r="V198" s="8"/>
      <c r="W198" s="7">
        <f>VLOOKUP(V198,'Win Methods'!$C$4:$F$379,4,FALSE)</f>
        <v>0</v>
      </c>
      <c r="X198" s="117" t="str">
        <f t="shared" si="7"/>
        <v>main-0|main-27|wild-15|||||||</v>
      </c>
    </row>
    <row r="199" spans="2:24">
      <c r="B199" s="116">
        <v>196</v>
      </c>
      <c r="C199" s="7">
        <f t="shared" si="6"/>
        <v>27</v>
      </c>
      <c r="D199" s="8" t="s">
        <v>11</v>
      </c>
      <c r="E199" s="7">
        <f>VLOOKUP(D199,'Win Methods'!$C$4:$F$379,4,FALSE)</f>
        <v>2</v>
      </c>
      <c r="F199" s="8" t="s">
        <v>35</v>
      </c>
      <c r="G199" s="7">
        <f>VLOOKUP(F199,'Win Methods'!$C$4:$F$379,4,FALSE)</f>
        <v>20</v>
      </c>
      <c r="H199" s="197" t="s">
        <v>61</v>
      </c>
      <c r="I199" s="7">
        <f>VLOOKUP(H199,'Win Methods'!$C$4:$F$379,4,FALSE)</f>
        <v>5</v>
      </c>
      <c r="J199" s="8"/>
      <c r="K199" s="7">
        <f>VLOOKUP(J199,'Win Methods'!$C$4:$F$379,4,FALSE)</f>
        <v>0</v>
      </c>
      <c r="L199" s="8"/>
      <c r="M199" s="7">
        <f>VLOOKUP(L199,'Win Methods'!$C$4:$F$379,4,FALSE)</f>
        <v>0</v>
      </c>
      <c r="N199" s="8"/>
      <c r="O199" s="7">
        <f>VLOOKUP(N199,'Win Methods'!$C$4:$F$379,4,FALSE)</f>
        <v>0</v>
      </c>
      <c r="P199" s="8"/>
      <c r="Q199" s="7">
        <f>VLOOKUP(P199,'Win Methods'!$C$4:$F$379,4,FALSE)</f>
        <v>0</v>
      </c>
      <c r="R199" s="8"/>
      <c r="S199" s="7">
        <f>VLOOKUP(R199,'Win Methods'!$C$4:$F$379,4,FALSE)</f>
        <v>0</v>
      </c>
      <c r="T199" s="8"/>
      <c r="U199" s="7">
        <f>VLOOKUP(T199,'Win Methods'!$C$4:$F$379,4,FALSE)</f>
        <v>0</v>
      </c>
      <c r="V199" s="8"/>
      <c r="W199" s="7">
        <f>VLOOKUP(V199,'Win Methods'!$C$4:$F$379,4,FALSE)</f>
        <v>0</v>
      </c>
      <c r="X199" s="117" t="str">
        <f t="shared" si="7"/>
        <v>main-4|main-21|wild-16|||||||</v>
      </c>
    </row>
    <row r="200" spans="2:24" ht="13.95" customHeight="1">
      <c r="B200" s="116">
        <v>197</v>
      </c>
      <c r="C200" s="7">
        <f t="shared" si="6"/>
        <v>25.1</v>
      </c>
      <c r="D200" s="8" t="s">
        <v>5</v>
      </c>
      <c r="E200" s="7">
        <f>VLOOKUP(D200,'Win Methods'!$C$4:$F$379,4,FALSE)</f>
        <v>0.1</v>
      </c>
      <c r="F200" s="8" t="s">
        <v>32</v>
      </c>
      <c r="G200" s="7">
        <f>VLOOKUP(F200,'Win Methods'!$C$4:$F$379,4,FALSE)</f>
        <v>3</v>
      </c>
      <c r="H200" s="8" t="s">
        <v>11</v>
      </c>
      <c r="I200" s="7">
        <f>VLOOKUP(H200,'Win Methods'!$C$4:$F$379,4,FALSE)</f>
        <v>2</v>
      </c>
      <c r="J200" s="197" t="s">
        <v>66</v>
      </c>
      <c r="K200" s="7">
        <f>VLOOKUP(J200,'Win Methods'!$C$4:$F$379,4,FALSE)</f>
        <v>20</v>
      </c>
      <c r="L200" s="8"/>
      <c r="M200" s="7">
        <f>VLOOKUP(L200,'Win Methods'!$C$4:$F$379,4,FALSE)</f>
        <v>0</v>
      </c>
      <c r="N200" s="8"/>
      <c r="O200" s="7">
        <f>VLOOKUP(N200,'Win Methods'!$C$4:$F$379,4,FALSE)</f>
        <v>0</v>
      </c>
      <c r="P200" s="8"/>
      <c r="Q200" s="7">
        <f>VLOOKUP(P200,'Win Methods'!$C$4:$F$379,4,FALSE)</f>
        <v>0</v>
      </c>
      <c r="R200" s="8"/>
      <c r="S200" s="7">
        <f>VLOOKUP(R200,'Win Methods'!$C$4:$F$379,4,FALSE)</f>
        <v>0</v>
      </c>
      <c r="T200" s="8"/>
      <c r="U200" s="7">
        <f>VLOOKUP(T200,'Win Methods'!$C$4:$F$379,4,FALSE)</f>
        <v>0</v>
      </c>
      <c r="V200" s="8"/>
      <c r="W200" s="7">
        <f>VLOOKUP(V200,'Win Methods'!$C$4:$F$379,4,FALSE)</f>
        <v>0</v>
      </c>
      <c r="X200" s="117" t="str">
        <f t="shared" si="7"/>
        <v>main-0|main-18|main-4|wild-21||||||</v>
      </c>
    </row>
    <row r="201" spans="2:24">
      <c r="B201" s="116">
        <v>198</v>
      </c>
      <c r="C201" s="7">
        <f t="shared" si="6"/>
        <v>8.6999999999999993</v>
      </c>
      <c r="D201" s="8" t="s">
        <v>8</v>
      </c>
      <c r="E201" s="7">
        <f>VLOOKUP(D201,'Win Methods'!$C$4:$F$379,4,FALSE)</f>
        <v>0.2</v>
      </c>
      <c r="F201" s="8" t="s">
        <v>39</v>
      </c>
      <c r="G201" s="7">
        <f>VLOOKUP(F201,'Win Methods'!$C$4:$F$379,4,FALSE)</f>
        <v>5</v>
      </c>
      <c r="H201" s="8" t="s">
        <v>32</v>
      </c>
      <c r="I201" s="7">
        <f>VLOOKUP(H201,'Win Methods'!$C$4:$F$379,4,FALSE)</f>
        <v>3</v>
      </c>
      <c r="J201" s="197" t="s">
        <v>47</v>
      </c>
      <c r="K201" s="7">
        <f>VLOOKUP(J201,'Win Methods'!$C$4:$F$379,4,FALSE)</f>
        <v>0.5</v>
      </c>
      <c r="L201" s="8"/>
      <c r="M201" s="7">
        <f>VLOOKUP(L201,'Win Methods'!$C$4:$F$379,4,FALSE)</f>
        <v>0</v>
      </c>
      <c r="N201" s="8"/>
      <c r="O201" s="7">
        <f>VLOOKUP(N201,'Win Methods'!$C$4:$F$379,4,FALSE)</f>
        <v>0</v>
      </c>
      <c r="P201" s="8"/>
      <c r="Q201" s="7">
        <f>VLOOKUP(P201,'Win Methods'!$C$4:$F$379,4,FALSE)</f>
        <v>0</v>
      </c>
      <c r="R201" s="8"/>
      <c r="S201" s="7">
        <f>VLOOKUP(R201,'Win Methods'!$C$4:$F$379,4,FALSE)</f>
        <v>0</v>
      </c>
      <c r="T201" s="8"/>
      <c r="U201" s="7">
        <f>VLOOKUP(T201,'Win Methods'!$C$4:$F$379,4,FALSE)</f>
        <v>0</v>
      </c>
      <c r="V201" s="8"/>
      <c r="W201" s="7">
        <f>VLOOKUP(V201,'Win Methods'!$C$4:$F$379,4,FALSE)</f>
        <v>0</v>
      </c>
      <c r="X201" s="117" t="str">
        <f t="shared" si="7"/>
        <v>main-1|main-25|main-18|wild-2||||||</v>
      </c>
    </row>
    <row r="202" spans="2:24" ht="13.95" customHeight="1">
      <c r="B202" s="116">
        <v>199</v>
      </c>
      <c r="C202" s="7">
        <f t="shared" si="6"/>
        <v>7.5</v>
      </c>
      <c r="D202" s="8" t="s">
        <v>9</v>
      </c>
      <c r="E202" s="7">
        <f>VLOOKUP(D202,'Win Methods'!$C$4:$F$379,4,FALSE)</f>
        <v>0.5</v>
      </c>
      <c r="F202" s="8" t="s">
        <v>33</v>
      </c>
      <c r="G202" s="7">
        <f>VLOOKUP(F202,'Win Methods'!$C$4:$F$379,4,FALSE)</f>
        <v>5</v>
      </c>
      <c r="H202" s="8" t="s">
        <v>10</v>
      </c>
      <c r="I202" s="7">
        <f>VLOOKUP(H202,'Win Methods'!$C$4:$F$379,4,FALSE)</f>
        <v>1</v>
      </c>
      <c r="J202" s="197" t="s">
        <v>48</v>
      </c>
      <c r="K202" s="7">
        <f>VLOOKUP(J202,'Win Methods'!$C$4:$F$379,4,FALSE)</f>
        <v>1</v>
      </c>
      <c r="L202" s="8"/>
      <c r="M202" s="7">
        <f>VLOOKUP(L202,'Win Methods'!$C$4:$F$379,4,FALSE)</f>
        <v>0</v>
      </c>
      <c r="N202" s="8"/>
      <c r="O202" s="7">
        <f>VLOOKUP(N202,'Win Methods'!$C$4:$F$379,4,FALSE)</f>
        <v>0</v>
      </c>
      <c r="P202" s="8"/>
      <c r="Q202" s="7">
        <f>VLOOKUP(P202,'Win Methods'!$C$4:$F$379,4,FALSE)</f>
        <v>0</v>
      </c>
      <c r="R202" s="8"/>
      <c r="S202" s="7">
        <f>VLOOKUP(R202,'Win Methods'!$C$4:$F$379,4,FALSE)</f>
        <v>0</v>
      </c>
      <c r="T202" s="8"/>
      <c r="U202" s="7">
        <f>VLOOKUP(T202,'Win Methods'!$C$4:$F$379,4,FALSE)</f>
        <v>0</v>
      </c>
      <c r="V202" s="8"/>
      <c r="W202" s="7">
        <f>VLOOKUP(V202,'Win Methods'!$C$4:$F$379,4,FALSE)</f>
        <v>0</v>
      </c>
      <c r="X202" s="117" t="str">
        <f t="shared" si="7"/>
        <v>main-2|main-19|main-3|wild-3||||||</v>
      </c>
    </row>
    <row r="203" spans="2:24">
      <c r="B203" s="116">
        <v>200</v>
      </c>
      <c r="C203" s="7">
        <f t="shared" si="6"/>
        <v>9.1</v>
      </c>
      <c r="D203" s="8" t="s">
        <v>11</v>
      </c>
      <c r="E203" s="7">
        <f>VLOOKUP(D203,'Win Methods'!$C$4:$F$379,4,FALSE)</f>
        <v>2</v>
      </c>
      <c r="F203" s="8" t="s">
        <v>27</v>
      </c>
      <c r="G203" s="7">
        <f>VLOOKUP(F203,'Win Methods'!$C$4:$F$379,4,FALSE)</f>
        <v>5</v>
      </c>
      <c r="H203" s="8" t="s">
        <v>5</v>
      </c>
      <c r="I203" s="7">
        <f>VLOOKUP(H203,'Win Methods'!$C$4:$F$379,4,FALSE)</f>
        <v>0.1</v>
      </c>
      <c r="J203" s="197" t="s">
        <v>49</v>
      </c>
      <c r="K203" s="7">
        <f>VLOOKUP(J203,'Win Methods'!$C$4:$F$379,4,FALSE)</f>
        <v>2</v>
      </c>
      <c r="L203" s="8"/>
      <c r="M203" s="7">
        <f>VLOOKUP(L203,'Win Methods'!$C$4:$F$379,4,FALSE)</f>
        <v>0</v>
      </c>
      <c r="N203" s="8"/>
      <c r="O203" s="7">
        <f>VLOOKUP(N203,'Win Methods'!$C$4:$F$379,4,FALSE)</f>
        <v>0</v>
      </c>
      <c r="P203" s="8"/>
      <c r="Q203" s="7">
        <f>VLOOKUP(P203,'Win Methods'!$C$4:$F$379,4,FALSE)</f>
        <v>0</v>
      </c>
      <c r="R203" s="8"/>
      <c r="S203" s="7">
        <f>VLOOKUP(R203,'Win Methods'!$C$4:$F$379,4,FALSE)</f>
        <v>0</v>
      </c>
      <c r="T203" s="8"/>
      <c r="U203" s="7">
        <f>VLOOKUP(T203,'Win Methods'!$C$4:$F$379,4,FALSE)</f>
        <v>0</v>
      </c>
      <c r="V203" s="8"/>
      <c r="W203" s="7">
        <f>VLOOKUP(V203,'Win Methods'!$C$4:$F$379,4,FALSE)</f>
        <v>0</v>
      </c>
      <c r="X203" s="117" t="str">
        <f t="shared" si="7"/>
        <v>main-4|main-13|main-0|wild-4||||||</v>
      </c>
    </row>
    <row r="204" spans="2:24" ht="13.95" customHeight="1">
      <c r="B204" s="116">
        <v>201</v>
      </c>
      <c r="C204" s="7">
        <f t="shared" si="6"/>
        <v>18.2</v>
      </c>
      <c r="D204" s="8" t="s">
        <v>8</v>
      </c>
      <c r="E204" s="7">
        <f>VLOOKUP(D204,'Win Methods'!$C$4:$F$379,4,FALSE)</f>
        <v>0.2</v>
      </c>
      <c r="F204" s="8" t="s">
        <v>32</v>
      </c>
      <c r="G204" s="7">
        <f>VLOOKUP(F204,'Win Methods'!$C$4:$F$379,4,FALSE)</f>
        <v>3</v>
      </c>
      <c r="H204" s="8" t="s">
        <v>40</v>
      </c>
      <c r="I204" s="7">
        <f>VLOOKUP(H204,'Win Methods'!$C$4:$F$379,4,FALSE)</f>
        <v>10</v>
      </c>
      <c r="J204" s="197" t="s">
        <v>61</v>
      </c>
      <c r="K204" s="7">
        <f>VLOOKUP(J204,'Win Methods'!$C$4:$F$379,4,FALSE)</f>
        <v>5</v>
      </c>
      <c r="L204" s="8"/>
      <c r="M204" s="7">
        <f>VLOOKUP(L204,'Win Methods'!$C$4:$F$379,4,FALSE)</f>
        <v>0</v>
      </c>
      <c r="N204" s="8"/>
      <c r="O204" s="7">
        <f>VLOOKUP(N204,'Win Methods'!$C$4:$F$379,4,FALSE)</f>
        <v>0</v>
      </c>
      <c r="P204" s="8"/>
      <c r="Q204" s="7">
        <f>VLOOKUP(P204,'Win Methods'!$C$4:$F$379,4,FALSE)</f>
        <v>0</v>
      </c>
      <c r="R204" s="8"/>
      <c r="S204" s="7">
        <f>VLOOKUP(R204,'Win Methods'!$C$4:$F$379,4,FALSE)</f>
        <v>0</v>
      </c>
      <c r="T204" s="8"/>
      <c r="U204" s="7">
        <f>VLOOKUP(T204,'Win Methods'!$C$4:$F$379,4,FALSE)</f>
        <v>0</v>
      </c>
      <c r="V204" s="8"/>
      <c r="W204" s="7">
        <f>VLOOKUP(V204,'Win Methods'!$C$4:$F$379,4,FALSE)</f>
        <v>0</v>
      </c>
      <c r="X204" s="117" t="str">
        <f t="shared" si="7"/>
        <v>main-1|main-18|main-26|wild-16||||||</v>
      </c>
    </row>
    <row r="205" spans="2:24">
      <c r="B205" s="116">
        <v>202</v>
      </c>
      <c r="C205" s="7">
        <f t="shared" si="6"/>
        <v>20.100000000000001</v>
      </c>
      <c r="D205" s="8" t="s">
        <v>12</v>
      </c>
      <c r="E205" s="7">
        <f>VLOOKUP(D205,'Win Methods'!$C$4:$F$379,4,FALSE)</f>
        <v>5</v>
      </c>
      <c r="F205" s="8" t="s">
        <v>39</v>
      </c>
      <c r="G205" s="7">
        <f>VLOOKUP(F205,'Win Methods'!$C$4:$F$379,4,FALSE)</f>
        <v>5</v>
      </c>
      <c r="H205" s="8" t="s">
        <v>5</v>
      </c>
      <c r="I205" s="7">
        <f>VLOOKUP(H205,'Win Methods'!$C$4:$F$379,4,FALSE)</f>
        <v>0.1</v>
      </c>
      <c r="J205" s="197" t="s">
        <v>62</v>
      </c>
      <c r="K205" s="7">
        <f>VLOOKUP(J205,'Win Methods'!$C$4:$F$379,4,FALSE)</f>
        <v>10</v>
      </c>
      <c r="L205" s="8"/>
      <c r="M205" s="7">
        <f>VLOOKUP(L205,'Win Methods'!$C$4:$F$379,4,FALSE)</f>
        <v>0</v>
      </c>
      <c r="N205" s="8"/>
      <c r="O205" s="7">
        <f>VLOOKUP(N205,'Win Methods'!$C$4:$F$379,4,FALSE)</f>
        <v>0</v>
      </c>
      <c r="P205" s="8"/>
      <c r="Q205" s="7">
        <f>VLOOKUP(P205,'Win Methods'!$C$4:$F$379,4,FALSE)</f>
        <v>0</v>
      </c>
      <c r="R205" s="8"/>
      <c r="S205" s="7">
        <f>VLOOKUP(R205,'Win Methods'!$C$4:$F$379,4,FALSE)</f>
        <v>0</v>
      </c>
      <c r="T205" s="8"/>
      <c r="U205" s="7">
        <f>VLOOKUP(T205,'Win Methods'!$C$4:$F$379,4,FALSE)</f>
        <v>0</v>
      </c>
      <c r="V205" s="8"/>
      <c r="W205" s="7">
        <f>VLOOKUP(V205,'Win Methods'!$C$4:$F$379,4,FALSE)</f>
        <v>0</v>
      </c>
      <c r="X205" s="117" t="str">
        <f t="shared" si="7"/>
        <v>main-5|main-25|main-0|wild-17||||||</v>
      </c>
    </row>
    <row r="206" spans="2:24" ht="13.95" customHeight="1">
      <c r="B206" s="116">
        <v>203</v>
      </c>
      <c r="C206" s="7">
        <f t="shared" si="6"/>
        <v>15.1</v>
      </c>
      <c r="D206" s="8" t="s">
        <v>11</v>
      </c>
      <c r="E206" s="7">
        <f>VLOOKUP(D206,'Win Methods'!$C$4:$F$379,4,FALSE)</f>
        <v>2</v>
      </c>
      <c r="F206" s="8" t="s">
        <v>5</v>
      </c>
      <c r="G206" s="7">
        <f>VLOOKUP(F206,'Win Methods'!$C$4:$F$379,4,FALSE)</f>
        <v>0.1</v>
      </c>
      <c r="H206" s="8" t="s">
        <v>34</v>
      </c>
      <c r="I206" s="7">
        <f>VLOOKUP(H206,'Win Methods'!$C$4:$F$379,4,FALSE)</f>
        <v>10</v>
      </c>
      <c r="J206" s="197" t="s">
        <v>63</v>
      </c>
      <c r="K206" s="7">
        <f>VLOOKUP(J206,'Win Methods'!$C$4:$F$379,4,FALSE)</f>
        <v>3</v>
      </c>
      <c r="L206" s="8"/>
      <c r="M206" s="7">
        <f>VLOOKUP(L206,'Win Methods'!$C$4:$F$379,4,FALSE)</f>
        <v>0</v>
      </c>
      <c r="N206" s="8"/>
      <c r="O206" s="7">
        <f>VLOOKUP(N206,'Win Methods'!$C$4:$F$379,4,FALSE)</f>
        <v>0</v>
      </c>
      <c r="P206" s="8"/>
      <c r="Q206" s="7">
        <f>VLOOKUP(P206,'Win Methods'!$C$4:$F$379,4,FALSE)</f>
        <v>0</v>
      </c>
      <c r="R206" s="8"/>
      <c r="S206" s="7">
        <f>VLOOKUP(R206,'Win Methods'!$C$4:$F$379,4,FALSE)</f>
        <v>0</v>
      </c>
      <c r="T206" s="8"/>
      <c r="U206" s="7">
        <f>VLOOKUP(T206,'Win Methods'!$C$4:$F$379,4,FALSE)</f>
        <v>0</v>
      </c>
      <c r="V206" s="8"/>
      <c r="W206" s="7">
        <f>VLOOKUP(V206,'Win Methods'!$C$4:$F$379,4,FALSE)</f>
        <v>0</v>
      </c>
      <c r="X206" s="117" t="str">
        <f t="shared" si="7"/>
        <v>main-4|main-0|main-20|wild-18||||||</v>
      </c>
    </row>
    <row r="207" spans="2:24">
      <c r="B207" s="116">
        <v>204</v>
      </c>
      <c r="C207" s="7">
        <f t="shared" si="6"/>
        <v>15</v>
      </c>
      <c r="D207" s="8" t="s">
        <v>25</v>
      </c>
      <c r="E207" s="7">
        <f>VLOOKUP(D207,'Win Methods'!$C$4:$F$379,4,FALSE)</f>
        <v>2</v>
      </c>
      <c r="F207" s="8" t="s">
        <v>39</v>
      </c>
      <c r="G207" s="7">
        <f>VLOOKUP(F207,'Win Methods'!$C$4:$F$379,4,FALSE)</f>
        <v>5</v>
      </c>
      <c r="H207" s="8" t="s">
        <v>12</v>
      </c>
      <c r="I207" s="7">
        <f>VLOOKUP(H207,'Win Methods'!$C$4:$F$379,4,FALSE)</f>
        <v>5</v>
      </c>
      <c r="J207" s="197" t="s">
        <v>57</v>
      </c>
      <c r="K207" s="7">
        <f>VLOOKUP(J207,'Win Methods'!$C$4:$F$379,4,FALSE)</f>
        <v>3</v>
      </c>
      <c r="L207" s="8"/>
      <c r="M207" s="7">
        <f>VLOOKUP(L207,'Win Methods'!$C$4:$F$379,4,FALSE)</f>
        <v>0</v>
      </c>
      <c r="N207" s="8"/>
      <c r="O207" s="7">
        <f>VLOOKUP(N207,'Win Methods'!$C$4:$F$379,4,FALSE)</f>
        <v>0</v>
      </c>
      <c r="P207" s="8"/>
      <c r="Q207" s="7">
        <f>VLOOKUP(P207,'Win Methods'!$C$4:$F$379,4,FALSE)</f>
        <v>0</v>
      </c>
      <c r="R207" s="8"/>
      <c r="S207" s="7">
        <f>VLOOKUP(R207,'Win Methods'!$C$4:$F$379,4,FALSE)</f>
        <v>0</v>
      </c>
      <c r="T207" s="8"/>
      <c r="U207" s="7">
        <f>VLOOKUP(T207,'Win Methods'!$C$4:$F$379,4,FALSE)</f>
        <v>0</v>
      </c>
      <c r="V207" s="8"/>
      <c r="W207" s="7">
        <f>VLOOKUP(V207,'Win Methods'!$C$4:$F$379,4,FALSE)</f>
        <v>0</v>
      </c>
      <c r="X207" s="117" t="str">
        <f t="shared" si="7"/>
        <v>main-11|main-25|main-5|wild-12||||||</v>
      </c>
    </row>
    <row r="208" spans="2:24">
      <c r="B208" s="116">
        <v>205</v>
      </c>
      <c r="C208" s="7">
        <f t="shared" si="6"/>
        <v>18</v>
      </c>
      <c r="D208" s="8" t="s">
        <v>32</v>
      </c>
      <c r="E208" s="7">
        <f>VLOOKUP(D208,'Win Methods'!$C$4:$F$379,4,FALSE)</f>
        <v>3</v>
      </c>
      <c r="F208" s="8" t="s">
        <v>33</v>
      </c>
      <c r="G208" s="7">
        <f>VLOOKUP(F208,'Win Methods'!$C$4:$F$379,4,FALSE)</f>
        <v>5</v>
      </c>
      <c r="H208" s="8" t="s">
        <v>12</v>
      </c>
      <c r="I208" s="7">
        <f>VLOOKUP(H208,'Win Methods'!$C$4:$F$379,4,FALSE)</f>
        <v>5</v>
      </c>
      <c r="J208" s="197" t="s">
        <v>58</v>
      </c>
      <c r="K208" s="7">
        <f>VLOOKUP(J208,'Win Methods'!$C$4:$F$379,4,FALSE)</f>
        <v>5</v>
      </c>
      <c r="L208" s="8"/>
      <c r="M208" s="7">
        <f>VLOOKUP(L208,'Win Methods'!$C$4:$F$379,4,FALSE)</f>
        <v>0</v>
      </c>
      <c r="N208" s="8"/>
      <c r="O208" s="7">
        <f>VLOOKUP(N208,'Win Methods'!$C$4:$F$379,4,FALSE)</f>
        <v>0</v>
      </c>
      <c r="P208" s="8"/>
      <c r="Q208" s="7">
        <f>VLOOKUP(P208,'Win Methods'!$C$4:$F$379,4,FALSE)</f>
        <v>0</v>
      </c>
      <c r="R208" s="8"/>
      <c r="S208" s="7">
        <f>VLOOKUP(R208,'Win Methods'!$C$4:$F$379,4,FALSE)</f>
        <v>0</v>
      </c>
      <c r="T208" s="8"/>
      <c r="U208" s="7">
        <f>VLOOKUP(T208,'Win Methods'!$C$4:$F$379,4,FALSE)</f>
        <v>0</v>
      </c>
      <c r="V208" s="8"/>
      <c r="W208" s="7">
        <f>VLOOKUP(V208,'Win Methods'!$C$4:$F$379,4,FALSE)</f>
        <v>0</v>
      </c>
      <c r="X208" s="117" t="str">
        <f t="shared" si="7"/>
        <v>main-18|main-19|main-5|wild-13||||||</v>
      </c>
    </row>
    <row r="209" spans="2:24">
      <c r="B209" s="116">
        <v>206</v>
      </c>
      <c r="C209" s="7">
        <f t="shared" si="6"/>
        <v>16</v>
      </c>
      <c r="D209" s="8" t="s">
        <v>10</v>
      </c>
      <c r="E209" s="7">
        <f>VLOOKUP(D209,'Win Methods'!$C$4:$F$379,4,FALSE)</f>
        <v>1</v>
      </c>
      <c r="F209" s="8" t="s">
        <v>34</v>
      </c>
      <c r="G209" s="7">
        <f>VLOOKUP(F209,'Win Methods'!$C$4:$F$379,4,FALSE)</f>
        <v>10</v>
      </c>
      <c r="H209" s="8" t="s">
        <v>11</v>
      </c>
      <c r="I209" s="7">
        <f>VLOOKUP(H209,'Win Methods'!$C$4:$F$379,4,FALSE)</f>
        <v>2</v>
      </c>
      <c r="J209" s="197" t="s">
        <v>60</v>
      </c>
      <c r="K209" s="7">
        <f>VLOOKUP(J209,'Win Methods'!$C$4:$F$379,4,FALSE)</f>
        <v>3</v>
      </c>
      <c r="L209" s="8"/>
      <c r="M209" s="7">
        <f>VLOOKUP(L209,'Win Methods'!$C$4:$F$379,4,FALSE)</f>
        <v>0</v>
      </c>
      <c r="N209" s="8"/>
      <c r="O209" s="7">
        <f>VLOOKUP(N209,'Win Methods'!$C$4:$F$379,4,FALSE)</f>
        <v>0</v>
      </c>
      <c r="P209" s="8"/>
      <c r="Q209" s="7">
        <f>VLOOKUP(P209,'Win Methods'!$C$4:$F$379,4,FALSE)</f>
        <v>0</v>
      </c>
      <c r="R209" s="8"/>
      <c r="S209" s="7">
        <f>VLOOKUP(R209,'Win Methods'!$C$4:$F$379,4,FALSE)</f>
        <v>0</v>
      </c>
      <c r="T209" s="8"/>
      <c r="U209" s="7">
        <f>VLOOKUP(T209,'Win Methods'!$C$4:$F$379,4,FALSE)</f>
        <v>0</v>
      </c>
      <c r="V209" s="8"/>
      <c r="W209" s="7">
        <f>VLOOKUP(V209,'Win Methods'!$C$4:$F$379,4,FALSE)</f>
        <v>0</v>
      </c>
      <c r="X209" s="117" t="str">
        <f t="shared" si="7"/>
        <v>main-3|main-20|main-4|wild-15||||||</v>
      </c>
    </row>
    <row r="210" spans="2:24">
      <c r="B210" s="116">
        <v>207</v>
      </c>
      <c r="C210" s="7">
        <f t="shared" si="6"/>
        <v>16</v>
      </c>
      <c r="D210" s="8" t="s">
        <v>10</v>
      </c>
      <c r="E210" s="7">
        <f>VLOOKUP(D210,'Win Methods'!$C$4:$F$379,4,FALSE)</f>
        <v>1</v>
      </c>
      <c r="F210" s="8" t="s">
        <v>12</v>
      </c>
      <c r="G210" s="7">
        <f>VLOOKUP(F210,'Win Methods'!$C$4:$F$379,4,FALSE)</f>
        <v>5</v>
      </c>
      <c r="H210" s="8" t="s">
        <v>33</v>
      </c>
      <c r="I210" s="7">
        <f>VLOOKUP(H210,'Win Methods'!$C$4:$F$379,4,FALSE)</f>
        <v>5</v>
      </c>
      <c r="J210" s="197" t="s">
        <v>61</v>
      </c>
      <c r="K210" s="7">
        <f>VLOOKUP(J210,'Win Methods'!$C$4:$F$379,4,FALSE)</f>
        <v>5</v>
      </c>
      <c r="L210" s="8"/>
      <c r="M210" s="7">
        <f>VLOOKUP(L210,'Win Methods'!$C$4:$F$379,4,FALSE)</f>
        <v>0</v>
      </c>
      <c r="N210" s="8"/>
      <c r="O210" s="7">
        <f>VLOOKUP(N210,'Win Methods'!$C$4:$F$379,4,FALSE)</f>
        <v>0</v>
      </c>
      <c r="P210" s="8"/>
      <c r="Q210" s="7">
        <f>VLOOKUP(P210,'Win Methods'!$C$4:$F$379,4,FALSE)</f>
        <v>0</v>
      </c>
      <c r="R210" s="8"/>
      <c r="S210" s="7">
        <f>VLOOKUP(R210,'Win Methods'!$C$4:$F$379,4,FALSE)</f>
        <v>0</v>
      </c>
      <c r="T210" s="8"/>
      <c r="U210" s="7">
        <f>VLOOKUP(T210,'Win Methods'!$C$4:$F$379,4,FALSE)</f>
        <v>0</v>
      </c>
      <c r="V210" s="8"/>
      <c r="W210" s="7">
        <f>VLOOKUP(V210,'Win Methods'!$C$4:$F$379,4,FALSE)</f>
        <v>0</v>
      </c>
      <c r="X210" s="117" t="str">
        <f t="shared" si="7"/>
        <v>main-3|main-5|main-19|wild-16||||||</v>
      </c>
    </row>
    <row r="211" spans="2:24">
      <c r="B211" s="116">
        <v>208</v>
      </c>
      <c r="C211" s="7">
        <f t="shared" si="6"/>
        <v>25.2</v>
      </c>
      <c r="D211" s="8" t="s">
        <v>12</v>
      </c>
      <c r="E211" s="7">
        <f>VLOOKUP(D211,'Win Methods'!$C$4:$F$379,4,FALSE)</f>
        <v>5</v>
      </c>
      <c r="F211" s="8" t="s">
        <v>40</v>
      </c>
      <c r="G211" s="7">
        <f>VLOOKUP(F211,'Win Methods'!$C$4:$F$379,4,FALSE)</f>
        <v>10</v>
      </c>
      <c r="H211" s="8" t="s">
        <v>8</v>
      </c>
      <c r="I211" s="7">
        <f>VLOOKUP(H211,'Win Methods'!$C$4:$F$379,4,FALSE)</f>
        <v>0.2</v>
      </c>
      <c r="J211" s="197" t="s">
        <v>62</v>
      </c>
      <c r="K211" s="7">
        <f>VLOOKUP(J211,'Win Methods'!$C$4:$F$379,4,FALSE)</f>
        <v>10</v>
      </c>
      <c r="L211" s="8"/>
      <c r="M211" s="7">
        <f>VLOOKUP(L211,'Win Methods'!$C$4:$F$379,4,FALSE)</f>
        <v>0</v>
      </c>
      <c r="N211" s="8"/>
      <c r="O211" s="7">
        <f>VLOOKUP(N211,'Win Methods'!$C$4:$F$379,4,FALSE)</f>
        <v>0</v>
      </c>
      <c r="P211" s="8"/>
      <c r="Q211" s="7">
        <f>VLOOKUP(P211,'Win Methods'!$C$4:$F$379,4,FALSE)</f>
        <v>0</v>
      </c>
      <c r="R211" s="8"/>
      <c r="S211" s="7">
        <f>VLOOKUP(R211,'Win Methods'!$C$4:$F$379,4,FALSE)</f>
        <v>0</v>
      </c>
      <c r="T211" s="8"/>
      <c r="U211" s="7">
        <f>VLOOKUP(T211,'Win Methods'!$C$4:$F$379,4,FALSE)</f>
        <v>0</v>
      </c>
      <c r="V211" s="8"/>
      <c r="W211" s="7">
        <f>VLOOKUP(V211,'Win Methods'!$C$4:$F$379,4,FALSE)</f>
        <v>0</v>
      </c>
      <c r="X211" s="117" t="str">
        <f t="shared" si="7"/>
        <v>main-5|main-26|main-1|wild-17||||||</v>
      </c>
    </row>
    <row r="212" spans="2:24">
      <c r="B212" s="116">
        <v>209</v>
      </c>
      <c r="C212" s="7">
        <f t="shared" si="6"/>
        <v>17</v>
      </c>
      <c r="D212" s="8" t="s">
        <v>12</v>
      </c>
      <c r="E212" s="7">
        <f>VLOOKUP(D212,'Win Methods'!$C$4:$F$379,4,FALSE)</f>
        <v>5</v>
      </c>
      <c r="F212" s="8" t="s">
        <v>39</v>
      </c>
      <c r="G212" s="7">
        <f>VLOOKUP(F212,'Win Methods'!$C$4:$F$379,4,FALSE)</f>
        <v>5</v>
      </c>
      <c r="H212" s="8" t="s">
        <v>33</v>
      </c>
      <c r="I212" s="7">
        <f>VLOOKUP(H212,'Win Methods'!$C$4:$F$379,4,FALSE)</f>
        <v>5</v>
      </c>
      <c r="J212" s="197" t="s">
        <v>56</v>
      </c>
      <c r="K212" s="7">
        <f>VLOOKUP(J212,'Win Methods'!$C$4:$F$379,4,FALSE)</f>
        <v>2</v>
      </c>
      <c r="L212" s="8"/>
      <c r="M212" s="7">
        <f>VLOOKUP(L212,'Win Methods'!$C$4:$F$379,4,FALSE)</f>
        <v>0</v>
      </c>
      <c r="N212" s="8"/>
      <c r="O212" s="7">
        <f>VLOOKUP(N212,'Win Methods'!$C$4:$F$379,4,FALSE)</f>
        <v>0</v>
      </c>
      <c r="P212" s="8"/>
      <c r="Q212" s="7">
        <f>VLOOKUP(P212,'Win Methods'!$C$4:$F$379,4,FALSE)</f>
        <v>0</v>
      </c>
      <c r="R212" s="8"/>
      <c r="S212" s="7">
        <f>VLOOKUP(R212,'Win Methods'!$C$4:$F$379,4,FALSE)</f>
        <v>0</v>
      </c>
      <c r="T212" s="8"/>
      <c r="U212" s="7">
        <f>VLOOKUP(T212,'Win Methods'!$C$4:$F$379,4,FALSE)</f>
        <v>0</v>
      </c>
      <c r="V212" s="8"/>
      <c r="W212" s="7">
        <f>VLOOKUP(V212,'Win Methods'!$C$4:$F$379,4,FALSE)</f>
        <v>0</v>
      </c>
      <c r="X212" s="117" t="str">
        <f t="shared" si="7"/>
        <v>main-5|main-25|main-19|wild-11||||||</v>
      </c>
    </row>
    <row r="213" spans="2:24">
      <c r="B213" s="116">
        <v>210</v>
      </c>
      <c r="C213" s="7">
        <f t="shared" si="6"/>
        <v>12.5</v>
      </c>
      <c r="D213" s="8" t="s">
        <v>11</v>
      </c>
      <c r="E213" s="7">
        <f>VLOOKUP(D213,'Win Methods'!$C$4:$F$379,4,FALSE)</f>
        <v>2</v>
      </c>
      <c r="F213" s="8" t="s">
        <v>33</v>
      </c>
      <c r="G213" s="7">
        <f>VLOOKUP(F213,'Win Methods'!$C$4:$F$379,4,FALSE)</f>
        <v>5</v>
      </c>
      <c r="H213" s="8" t="s">
        <v>12</v>
      </c>
      <c r="I213" s="7">
        <f>VLOOKUP(H213,'Win Methods'!$C$4:$F$379,4,FALSE)</f>
        <v>5</v>
      </c>
      <c r="J213" s="197" t="s">
        <v>47</v>
      </c>
      <c r="K213" s="7">
        <f>VLOOKUP(J213,'Win Methods'!$C$4:$F$379,4,FALSE)</f>
        <v>0.5</v>
      </c>
      <c r="L213" s="8"/>
      <c r="M213" s="7">
        <f>VLOOKUP(L213,'Win Methods'!$C$4:$F$379,4,FALSE)</f>
        <v>0</v>
      </c>
      <c r="N213" s="8"/>
      <c r="O213" s="7">
        <f>VLOOKUP(N213,'Win Methods'!$C$4:$F$379,4,FALSE)</f>
        <v>0</v>
      </c>
      <c r="P213" s="8"/>
      <c r="Q213" s="7">
        <f>VLOOKUP(P213,'Win Methods'!$C$4:$F$379,4,FALSE)</f>
        <v>0</v>
      </c>
      <c r="R213" s="8"/>
      <c r="S213" s="7">
        <f>VLOOKUP(R213,'Win Methods'!$C$4:$F$379,4,FALSE)</f>
        <v>0</v>
      </c>
      <c r="T213" s="8"/>
      <c r="U213" s="7">
        <f>VLOOKUP(T213,'Win Methods'!$C$4:$F$379,4,FALSE)</f>
        <v>0</v>
      </c>
      <c r="V213" s="8"/>
      <c r="W213" s="7">
        <f>VLOOKUP(V213,'Win Methods'!$C$4:$F$379,4,FALSE)</f>
        <v>0</v>
      </c>
      <c r="X213" s="117" t="str">
        <f t="shared" si="7"/>
        <v>main-4|main-19|main-5|wild-2||||||</v>
      </c>
    </row>
    <row r="214" spans="2:24">
      <c r="B214" s="116">
        <v>211</v>
      </c>
      <c r="C214" s="7">
        <f t="shared" si="6"/>
        <v>21.6</v>
      </c>
      <c r="D214" s="8" t="s">
        <v>5</v>
      </c>
      <c r="E214" s="7">
        <f>VLOOKUP(D214,'Win Methods'!$C$4:$F$379,4,FALSE)</f>
        <v>0.1</v>
      </c>
      <c r="F214" s="8" t="s">
        <v>41</v>
      </c>
      <c r="G214" s="7">
        <f>VLOOKUP(F214,'Win Methods'!$C$4:$F$379,4,FALSE)</f>
        <v>20</v>
      </c>
      <c r="H214" s="8" t="s">
        <v>9</v>
      </c>
      <c r="I214" s="7">
        <f>VLOOKUP(H214,'Win Methods'!$C$4:$F$379,4,FALSE)</f>
        <v>0.5</v>
      </c>
      <c r="J214" s="197" t="s">
        <v>48</v>
      </c>
      <c r="K214" s="7">
        <f>VLOOKUP(J214,'Win Methods'!$C$4:$F$379,4,FALSE)</f>
        <v>1</v>
      </c>
      <c r="L214" s="8"/>
      <c r="M214" s="7">
        <f>VLOOKUP(L214,'Win Methods'!$C$4:$F$379,4,FALSE)</f>
        <v>0</v>
      </c>
      <c r="N214" s="8"/>
      <c r="O214" s="7">
        <f>VLOOKUP(N214,'Win Methods'!$C$4:$F$379,4,FALSE)</f>
        <v>0</v>
      </c>
      <c r="P214" s="8"/>
      <c r="Q214" s="7">
        <f>VLOOKUP(P214,'Win Methods'!$C$4:$F$379,4,FALSE)</f>
        <v>0</v>
      </c>
      <c r="R214" s="8"/>
      <c r="S214" s="7">
        <f>VLOOKUP(R214,'Win Methods'!$C$4:$F$379,4,FALSE)</f>
        <v>0</v>
      </c>
      <c r="T214" s="8"/>
      <c r="U214" s="7">
        <f>VLOOKUP(T214,'Win Methods'!$C$4:$F$379,4,FALSE)</f>
        <v>0</v>
      </c>
      <c r="V214" s="8"/>
      <c r="W214" s="7">
        <f>VLOOKUP(V214,'Win Methods'!$C$4:$F$379,4,FALSE)</f>
        <v>0</v>
      </c>
      <c r="X214" s="117" t="str">
        <f t="shared" si="7"/>
        <v>main-0|main-27|main-2|wild-3||||||</v>
      </c>
    </row>
    <row r="215" spans="2:24">
      <c r="B215" s="116">
        <v>212</v>
      </c>
      <c r="C215" s="7">
        <f t="shared" si="6"/>
        <v>34</v>
      </c>
      <c r="D215" s="8" t="s">
        <v>11</v>
      </c>
      <c r="E215" s="7">
        <f>VLOOKUP(D215,'Win Methods'!$C$4:$F$379,4,FALSE)</f>
        <v>2</v>
      </c>
      <c r="F215" s="8" t="s">
        <v>28</v>
      </c>
      <c r="G215" s="7">
        <f>VLOOKUP(F215,'Win Methods'!$C$4:$F$379,4,FALSE)</f>
        <v>10</v>
      </c>
      <c r="H215" s="8" t="s">
        <v>29</v>
      </c>
      <c r="I215" s="7">
        <f>VLOOKUP(H215,'Win Methods'!$C$4:$F$379,4,FALSE)</f>
        <v>20</v>
      </c>
      <c r="J215" s="197" t="s">
        <v>49</v>
      </c>
      <c r="K215" s="7">
        <f>VLOOKUP(J215,'Win Methods'!$C$4:$F$379,4,FALSE)</f>
        <v>2</v>
      </c>
      <c r="L215" s="8"/>
      <c r="M215" s="7">
        <f>VLOOKUP(L215,'Win Methods'!$C$4:$F$379,4,FALSE)</f>
        <v>0</v>
      </c>
      <c r="N215" s="8"/>
      <c r="O215" s="7">
        <f>VLOOKUP(N215,'Win Methods'!$C$4:$F$379,4,FALSE)</f>
        <v>0</v>
      </c>
      <c r="P215" s="8"/>
      <c r="Q215" s="7">
        <f>VLOOKUP(P215,'Win Methods'!$C$4:$F$379,4,FALSE)</f>
        <v>0</v>
      </c>
      <c r="R215" s="8"/>
      <c r="S215" s="7">
        <f>VLOOKUP(R215,'Win Methods'!$C$4:$F$379,4,FALSE)</f>
        <v>0</v>
      </c>
      <c r="T215" s="8"/>
      <c r="U215" s="7">
        <f>VLOOKUP(T215,'Win Methods'!$C$4:$F$379,4,FALSE)</f>
        <v>0</v>
      </c>
      <c r="V215" s="8"/>
      <c r="W215" s="7">
        <f>VLOOKUP(V215,'Win Methods'!$C$4:$F$379,4,FALSE)</f>
        <v>0</v>
      </c>
      <c r="X215" s="117" t="str">
        <f t="shared" si="7"/>
        <v>main-4|main-14|main-15|wild-4||||||</v>
      </c>
    </row>
    <row r="216" spans="2:24">
      <c r="B216" s="116">
        <v>213</v>
      </c>
      <c r="C216" s="7">
        <f t="shared" si="6"/>
        <v>108</v>
      </c>
      <c r="D216" s="8" t="s">
        <v>11</v>
      </c>
      <c r="E216" s="7">
        <f>VLOOKUP(D216,'Win Methods'!$C$4:$F$379,4,FALSE)</f>
        <v>2</v>
      </c>
      <c r="F216" s="8" t="s">
        <v>42</v>
      </c>
      <c r="G216" s="7">
        <f>VLOOKUP(F216,'Win Methods'!$C$4:$F$379,4,FALSE)</f>
        <v>100</v>
      </c>
      <c r="H216" s="8" t="s">
        <v>10</v>
      </c>
      <c r="I216" s="7">
        <f>VLOOKUP(H216,'Win Methods'!$C$4:$F$379,4,FALSE)</f>
        <v>1</v>
      </c>
      <c r="J216" s="197" t="s">
        <v>50</v>
      </c>
      <c r="K216" s="7">
        <f>VLOOKUP(J216,'Win Methods'!$C$4:$F$379,4,FALSE)</f>
        <v>5</v>
      </c>
      <c r="L216" s="8"/>
      <c r="M216" s="7">
        <f>VLOOKUP(L216,'Win Methods'!$C$4:$F$379,4,FALSE)</f>
        <v>0</v>
      </c>
      <c r="N216" s="8"/>
      <c r="O216" s="7">
        <f>VLOOKUP(N216,'Win Methods'!$C$4:$F$379,4,FALSE)</f>
        <v>0</v>
      </c>
      <c r="P216" s="8"/>
      <c r="Q216" s="7">
        <f>VLOOKUP(P216,'Win Methods'!$C$4:$F$379,4,FALSE)</f>
        <v>0</v>
      </c>
      <c r="R216" s="8"/>
      <c r="S216" s="7">
        <f>VLOOKUP(R216,'Win Methods'!$C$4:$F$379,4,FALSE)</f>
        <v>0</v>
      </c>
      <c r="T216" s="8"/>
      <c r="U216" s="7">
        <f>VLOOKUP(T216,'Win Methods'!$C$4:$F$379,4,FALSE)</f>
        <v>0</v>
      </c>
      <c r="V216" s="8"/>
      <c r="W216" s="7">
        <f>VLOOKUP(V216,'Win Methods'!$C$4:$F$379,4,FALSE)</f>
        <v>0</v>
      </c>
      <c r="X216" s="117" t="str">
        <f t="shared" si="7"/>
        <v>main-4|main-28|main-3|wild-5||||||</v>
      </c>
    </row>
    <row r="217" spans="2:24">
      <c r="B217" s="116">
        <v>214</v>
      </c>
      <c r="C217" s="7">
        <f t="shared" si="6"/>
        <v>15.3</v>
      </c>
      <c r="D217" s="8" t="s">
        <v>11</v>
      </c>
      <c r="E217" s="7">
        <f>VLOOKUP(D217,'Win Methods'!$C$4:$F$379,4,FALSE)</f>
        <v>2</v>
      </c>
      <c r="F217" s="8" t="s">
        <v>5</v>
      </c>
      <c r="G217" s="7">
        <f>VLOOKUP(F217,'Win Methods'!$C$4:$F$379,4,FALSE)</f>
        <v>0.1</v>
      </c>
      <c r="H217" s="8" t="s">
        <v>8</v>
      </c>
      <c r="I217" s="7">
        <f>VLOOKUP(H217,'Win Methods'!$C$4:$F$379,4,FALSE)</f>
        <v>0.2</v>
      </c>
      <c r="J217" s="8" t="s">
        <v>32</v>
      </c>
      <c r="K217" s="7">
        <f>VLOOKUP(J217,'Win Methods'!$C$4:$F$379,4,FALSE)</f>
        <v>3</v>
      </c>
      <c r="L217" s="197" t="s">
        <v>51</v>
      </c>
      <c r="M217" s="7">
        <f>VLOOKUP(L217,'Win Methods'!$C$4:$F$379,4,FALSE)</f>
        <v>10</v>
      </c>
      <c r="N217" s="8"/>
      <c r="O217" s="7">
        <f>VLOOKUP(N217,'Win Methods'!$C$4:$F$379,4,FALSE)</f>
        <v>0</v>
      </c>
      <c r="P217" s="8"/>
      <c r="Q217" s="7">
        <f>VLOOKUP(P217,'Win Methods'!$C$4:$F$379,4,FALSE)</f>
        <v>0</v>
      </c>
      <c r="R217" s="8"/>
      <c r="S217" s="7">
        <f>VLOOKUP(R217,'Win Methods'!$C$4:$F$379,4,FALSE)</f>
        <v>0</v>
      </c>
      <c r="T217" s="8"/>
      <c r="U217" s="7">
        <f>VLOOKUP(T217,'Win Methods'!$C$4:$F$379,4,FALSE)</f>
        <v>0</v>
      </c>
      <c r="V217" s="8"/>
      <c r="W217" s="7">
        <f>VLOOKUP(V217,'Win Methods'!$C$4:$F$379,4,FALSE)</f>
        <v>0</v>
      </c>
      <c r="X217" s="117" t="str">
        <f t="shared" si="7"/>
        <v>main-4|main-0|main-1|main-18|wild-6|||||</v>
      </c>
    </row>
    <row r="218" spans="2:24">
      <c r="B218" s="116">
        <v>215</v>
      </c>
      <c r="C218" s="7">
        <f t="shared" si="6"/>
        <v>27.2</v>
      </c>
      <c r="D218" s="8" t="s">
        <v>5</v>
      </c>
      <c r="E218" s="7">
        <f>VLOOKUP(D218,'Win Methods'!$C$4:$F$379,4,FALSE)</f>
        <v>0.1</v>
      </c>
      <c r="F218" s="8" t="s">
        <v>11</v>
      </c>
      <c r="G218" s="7">
        <f>VLOOKUP(F218,'Win Methods'!$C$4:$F$379,4,FALSE)</f>
        <v>2</v>
      </c>
      <c r="H218" s="8" t="s">
        <v>5</v>
      </c>
      <c r="I218" s="7">
        <f>VLOOKUP(H218,'Win Methods'!$C$4:$F$379,4,FALSE)</f>
        <v>0.1</v>
      </c>
      <c r="J218" s="8" t="s">
        <v>33</v>
      </c>
      <c r="K218" s="7">
        <f>VLOOKUP(J218,'Win Methods'!$C$4:$F$379,4,FALSE)</f>
        <v>5</v>
      </c>
      <c r="L218" s="197" t="s">
        <v>52</v>
      </c>
      <c r="M218" s="7">
        <f>VLOOKUP(L218,'Win Methods'!$C$4:$F$379,4,FALSE)</f>
        <v>20</v>
      </c>
      <c r="N218" s="8"/>
      <c r="O218" s="7">
        <f>VLOOKUP(N218,'Win Methods'!$C$4:$F$379,4,FALSE)</f>
        <v>0</v>
      </c>
      <c r="P218" s="8"/>
      <c r="Q218" s="7">
        <f>VLOOKUP(P218,'Win Methods'!$C$4:$F$379,4,FALSE)</f>
        <v>0</v>
      </c>
      <c r="R218" s="8"/>
      <c r="S218" s="7">
        <f>VLOOKUP(R218,'Win Methods'!$C$4:$F$379,4,FALSE)</f>
        <v>0</v>
      </c>
      <c r="T218" s="8"/>
      <c r="U218" s="7">
        <f>VLOOKUP(T218,'Win Methods'!$C$4:$F$379,4,FALSE)</f>
        <v>0</v>
      </c>
      <c r="V218" s="8"/>
      <c r="W218" s="7">
        <f>VLOOKUP(V218,'Win Methods'!$C$4:$F$379,4,FALSE)</f>
        <v>0</v>
      </c>
      <c r="X218" s="117" t="str">
        <f t="shared" si="7"/>
        <v>main-0|main-4|main-0|main-19|wild-7|||||</v>
      </c>
    </row>
    <row r="219" spans="2:24">
      <c r="B219" s="116">
        <v>216</v>
      </c>
      <c r="C219" s="7">
        <f t="shared" si="6"/>
        <v>48.1</v>
      </c>
      <c r="D219" s="8" t="s">
        <v>5</v>
      </c>
      <c r="E219" s="7">
        <f>VLOOKUP(D219,'Win Methods'!$C$4:$F$379,4,FALSE)</f>
        <v>0.1</v>
      </c>
      <c r="F219" s="8" t="s">
        <v>27</v>
      </c>
      <c r="G219" s="7">
        <f>VLOOKUP(F219,'Win Methods'!$C$4:$F$379,4,FALSE)</f>
        <v>5</v>
      </c>
      <c r="H219" s="8" t="s">
        <v>40</v>
      </c>
      <c r="I219" s="7">
        <f>VLOOKUP(H219,'Win Methods'!$C$4:$F$379,4,FALSE)</f>
        <v>10</v>
      </c>
      <c r="J219" s="8" t="s">
        <v>32</v>
      </c>
      <c r="K219" s="7">
        <f>VLOOKUP(J219,'Win Methods'!$C$4:$F$379,4,FALSE)</f>
        <v>3</v>
      </c>
      <c r="L219" s="197" t="s">
        <v>53</v>
      </c>
      <c r="M219" s="7">
        <f>VLOOKUP(L219,'Win Methods'!$C$4:$F$379,4,FALSE)</f>
        <v>30</v>
      </c>
      <c r="N219" s="8"/>
      <c r="O219" s="7">
        <f>VLOOKUP(N219,'Win Methods'!$C$4:$F$379,4,FALSE)</f>
        <v>0</v>
      </c>
      <c r="P219" s="8"/>
      <c r="Q219" s="7">
        <f>VLOOKUP(P219,'Win Methods'!$C$4:$F$379,4,FALSE)</f>
        <v>0</v>
      </c>
      <c r="R219" s="8"/>
      <c r="S219" s="7">
        <f>VLOOKUP(R219,'Win Methods'!$C$4:$F$379,4,FALSE)</f>
        <v>0</v>
      </c>
      <c r="T219" s="8"/>
      <c r="U219" s="7">
        <f>VLOOKUP(T219,'Win Methods'!$C$4:$F$379,4,FALSE)</f>
        <v>0</v>
      </c>
      <c r="V219" s="8"/>
      <c r="W219" s="7">
        <f>VLOOKUP(V219,'Win Methods'!$C$4:$F$379,4,FALSE)</f>
        <v>0</v>
      </c>
      <c r="X219" s="117" t="str">
        <f t="shared" si="7"/>
        <v>main-0|main-13|main-26|main-18|wild-8|||||</v>
      </c>
    </row>
    <row r="220" spans="2:24">
      <c r="B220" s="116">
        <v>217</v>
      </c>
      <c r="C220" s="7">
        <f t="shared" si="6"/>
        <v>18.100000000000001</v>
      </c>
      <c r="D220" s="8" t="s">
        <v>12</v>
      </c>
      <c r="E220" s="7">
        <f>VLOOKUP(D220,'Win Methods'!$C$4:$F$379,4,FALSE)</f>
        <v>5</v>
      </c>
      <c r="F220" s="8" t="s">
        <v>27</v>
      </c>
      <c r="G220" s="7">
        <f>VLOOKUP(F220,'Win Methods'!$C$4:$F$379,4,FALSE)</f>
        <v>5</v>
      </c>
      <c r="H220" s="8" t="s">
        <v>39</v>
      </c>
      <c r="I220" s="7">
        <f>VLOOKUP(H220,'Win Methods'!$C$4:$F$379,4,FALSE)</f>
        <v>5</v>
      </c>
      <c r="J220" s="8" t="s">
        <v>5</v>
      </c>
      <c r="K220" s="7">
        <f>VLOOKUP(J220,'Win Methods'!$C$4:$F$379,4,FALSE)</f>
        <v>0.1</v>
      </c>
      <c r="L220" s="197" t="s">
        <v>63</v>
      </c>
      <c r="M220" s="7">
        <f>VLOOKUP(L220,'Win Methods'!$C$4:$F$379,4,FALSE)</f>
        <v>3</v>
      </c>
      <c r="N220" s="8"/>
      <c r="O220" s="7">
        <f>VLOOKUP(N220,'Win Methods'!$C$4:$F$379,4,FALSE)</f>
        <v>0</v>
      </c>
      <c r="P220" s="8"/>
      <c r="Q220" s="7">
        <f>VLOOKUP(P220,'Win Methods'!$C$4:$F$379,4,FALSE)</f>
        <v>0</v>
      </c>
      <c r="R220" s="8"/>
      <c r="S220" s="7">
        <f>VLOOKUP(R220,'Win Methods'!$C$4:$F$379,4,FALSE)</f>
        <v>0</v>
      </c>
      <c r="T220" s="8"/>
      <c r="U220" s="7">
        <f>VLOOKUP(T220,'Win Methods'!$C$4:$F$379,4,FALSE)</f>
        <v>0</v>
      </c>
      <c r="V220" s="8"/>
      <c r="W220" s="7">
        <f>VLOOKUP(V220,'Win Methods'!$C$4:$F$379,4,FALSE)</f>
        <v>0</v>
      </c>
      <c r="X220" s="117" t="str">
        <f t="shared" si="7"/>
        <v>main-5|main-13|main-25|main-0|wild-18|||||</v>
      </c>
    </row>
    <row r="221" spans="2:24" ht="13.95" customHeight="1">
      <c r="B221" s="116">
        <v>218</v>
      </c>
      <c r="C221" s="7">
        <f t="shared" si="6"/>
        <v>16</v>
      </c>
      <c r="D221" s="8" t="s">
        <v>32</v>
      </c>
      <c r="E221" s="7">
        <f>VLOOKUP(D221,'Win Methods'!$C$4:$F$379,4,FALSE)</f>
        <v>3</v>
      </c>
      <c r="F221" s="8" t="s">
        <v>12</v>
      </c>
      <c r="G221" s="7">
        <f>VLOOKUP(F221,'Win Methods'!$C$4:$F$379,4,FALSE)</f>
        <v>5</v>
      </c>
      <c r="H221" s="8" t="s">
        <v>27</v>
      </c>
      <c r="I221" s="7">
        <f>VLOOKUP(H221,'Win Methods'!$C$4:$F$379,4,FALSE)</f>
        <v>5</v>
      </c>
      <c r="J221" s="8" t="s">
        <v>10</v>
      </c>
      <c r="K221" s="7">
        <f>VLOOKUP(J221,'Win Methods'!$C$4:$F$379,4,FALSE)</f>
        <v>1</v>
      </c>
      <c r="L221" s="197" t="s">
        <v>56</v>
      </c>
      <c r="M221" s="7">
        <f>VLOOKUP(L221,'Win Methods'!$C$4:$F$379,4,FALSE)</f>
        <v>2</v>
      </c>
      <c r="N221" s="8"/>
      <c r="O221" s="7">
        <f>VLOOKUP(N221,'Win Methods'!$C$4:$F$379,4,FALSE)</f>
        <v>0</v>
      </c>
      <c r="P221" s="8"/>
      <c r="Q221" s="7">
        <f>VLOOKUP(P221,'Win Methods'!$C$4:$F$379,4,FALSE)</f>
        <v>0</v>
      </c>
      <c r="R221" s="8"/>
      <c r="S221" s="7">
        <f>VLOOKUP(R221,'Win Methods'!$C$4:$F$379,4,FALSE)</f>
        <v>0</v>
      </c>
      <c r="T221" s="8"/>
      <c r="U221" s="7">
        <f>VLOOKUP(T221,'Win Methods'!$C$4:$F$379,4,FALSE)</f>
        <v>0</v>
      </c>
      <c r="V221" s="8"/>
      <c r="W221" s="7">
        <f>VLOOKUP(V221,'Win Methods'!$C$4:$F$379,4,FALSE)</f>
        <v>0</v>
      </c>
      <c r="X221" s="117" t="str">
        <f t="shared" si="7"/>
        <v>main-18|main-5|main-13|main-3|wild-11|||||</v>
      </c>
    </row>
    <row r="222" spans="2:24" ht="13.95" customHeight="1">
      <c r="B222" s="116">
        <v>219</v>
      </c>
      <c r="C222" s="7">
        <f t="shared" si="6"/>
        <v>24</v>
      </c>
      <c r="D222" s="8" t="s">
        <v>10</v>
      </c>
      <c r="E222" s="7">
        <f>VLOOKUP(D222,'Win Methods'!$C$4:$F$379,4,FALSE)</f>
        <v>1</v>
      </c>
      <c r="F222" s="8" t="s">
        <v>33</v>
      </c>
      <c r="G222" s="7">
        <f>VLOOKUP(F222,'Win Methods'!$C$4:$F$379,4,FALSE)</f>
        <v>5</v>
      </c>
      <c r="H222" s="8" t="s">
        <v>27</v>
      </c>
      <c r="I222" s="7">
        <f>VLOOKUP(H222,'Win Methods'!$C$4:$F$379,4,FALSE)</f>
        <v>5</v>
      </c>
      <c r="J222" s="8" t="s">
        <v>40</v>
      </c>
      <c r="K222" s="7">
        <f>VLOOKUP(J222,'Win Methods'!$C$4:$F$379,4,FALSE)</f>
        <v>10</v>
      </c>
      <c r="L222" s="197" t="s">
        <v>57</v>
      </c>
      <c r="M222" s="7">
        <f>VLOOKUP(L222,'Win Methods'!$C$4:$F$379,4,FALSE)</f>
        <v>3</v>
      </c>
      <c r="N222" s="8"/>
      <c r="O222" s="7">
        <f>VLOOKUP(N222,'Win Methods'!$C$4:$F$379,4,FALSE)</f>
        <v>0</v>
      </c>
      <c r="P222" s="8"/>
      <c r="Q222" s="7">
        <f>VLOOKUP(P222,'Win Methods'!$C$4:$F$379,4,FALSE)</f>
        <v>0</v>
      </c>
      <c r="R222" s="8"/>
      <c r="S222" s="7">
        <f>VLOOKUP(R222,'Win Methods'!$C$4:$F$379,4,FALSE)</f>
        <v>0</v>
      </c>
      <c r="T222" s="8"/>
      <c r="U222" s="7">
        <f>VLOOKUP(T222,'Win Methods'!$C$4:$F$379,4,FALSE)</f>
        <v>0</v>
      </c>
      <c r="V222" s="8"/>
      <c r="W222" s="7">
        <f>VLOOKUP(V222,'Win Methods'!$C$4:$F$379,4,FALSE)</f>
        <v>0</v>
      </c>
      <c r="X222" s="117" t="str">
        <f t="shared" si="7"/>
        <v>main-3|main-19|main-13|main-26|wild-12|||||</v>
      </c>
    </row>
    <row r="223" spans="2:24" ht="13.95" customHeight="1">
      <c r="B223" s="116">
        <v>220</v>
      </c>
      <c r="C223" s="7">
        <f t="shared" si="6"/>
        <v>32.200000000000003</v>
      </c>
      <c r="D223" s="8" t="s">
        <v>33</v>
      </c>
      <c r="E223" s="7">
        <f>VLOOKUP(D223,'Win Methods'!$C$4:$F$379,4,FALSE)</f>
        <v>5</v>
      </c>
      <c r="F223" s="8" t="s">
        <v>11</v>
      </c>
      <c r="G223" s="7">
        <f>VLOOKUP(F223,'Win Methods'!$C$4:$F$379,4,FALSE)</f>
        <v>2</v>
      </c>
      <c r="H223" s="8" t="s">
        <v>8</v>
      </c>
      <c r="I223" s="7">
        <f>VLOOKUP(H223,'Win Methods'!$C$4:$F$379,4,FALSE)</f>
        <v>0.2</v>
      </c>
      <c r="J223" s="8" t="s">
        <v>29</v>
      </c>
      <c r="K223" s="7">
        <f>VLOOKUP(J223,'Win Methods'!$C$4:$F$379,4,FALSE)</f>
        <v>20</v>
      </c>
      <c r="L223" s="197" t="s">
        <v>58</v>
      </c>
      <c r="M223" s="7">
        <f>VLOOKUP(L223,'Win Methods'!$C$4:$F$379,4,FALSE)</f>
        <v>5</v>
      </c>
      <c r="N223" s="8"/>
      <c r="O223" s="7">
        <f>VLOOKUP(N223,'Win Methods'!$C$4:$F$379,4,FALSE)</f>
        <v>0</v>
      </c>
      <c r="P223" s="8"/>
      <c r="Q223" s="7">
        <f>VLOOKUP(P223,'Win Methods'!$C$4:$F$379,4,FALSE)</f>
        <v>0</v>
      </c>
      <c r="R223" s="8"/>
      <c r="S223" s="7">
        <f>VLOOKUP(R223,'Win Methods'!$C$4:$F$379,4,FALSE)</f>
        <v>0</v>
      </c>
      <c r="T223" s="8"/>
      <c r="U223" s="7">
        <f>VLOOKUP(T223,'Win Methods'!$C$4:$F$379,4,FALSE)</f>
        <v>0</v>
      </c>
      <c r="V223" s="8"/>
      <c r="W223" s="7">
        <f>VLOOKUP(V223,'Win Methods'!$C$4:$F$379,4,FALSE)</f>
        <v>0</v>
      </c>
      <c r="X223" s="117" t="str">
        <f t="shared" si="7"/>
        <v>main-19|main-4|main-1|main-15|wild-13|||||</v>
      </c>
    </row>
    <row r="224" spans="2:24" ht="13.95" customHeight="1">
      <c r="B224" s="116">
        <v>221</v>
      </c>
      <c r="C224" s="7">
        <f t="shared" si="6"/>
        <v>33</v>
      </c>
      <c r="D224" s="8" t="s">
        <v>12</v>
      </c>
      <c r="E224" s="7">
        <f>VLOOKUP(D224,'Win Methods'!$C$4:$F$379,4,FALSE)</f>
        <v>5</v>
      </c>
      <c r="F224" s="8" t="s">
        <v>10</v>
      </c>
      <c r="G224" s="7">
        <f>VLOOKUP(F224,'Win Methods'!$C$4:$F$379,4,FALSE)</f>
        <v>1</v>
      </c>
      <c r="H224" s="8" t="s">
        <v>12</v>
      </c>
      <c r="I224" s="7">
        <f>VLOOKUP(H224,'Win Methods'!$C$4:$F$379,4,FALSE)</f>
        <v>5</v>
      </c>
      <c r="J224" s="8" t="s">
        <v>29</v>
      </c>
      <c r="K224" s="7">
        <f>VLOOKUP(J224,'Win Methods'!$C$4:$F$379,4,FALSE)</f>
        <v>20</v>
      </c>
      <c r="L224" s="197" t="s">
        <v>59</v>
      </c>
      <c r="M224" s="7">
        <f>VLOOKUP(L224,'Win Methods'!$C$4:$F$379,4,FALSE)</f>
        <v>2</v>
      </c>
      <c r="N224" s="8"/>
      <c r="O224" s="7">
        <f>VLOOKUP(N224,'Win Methods'!$C$4:$F$379,4,FALSE)</f>
        <v>0</v>
      </c>
      <c r="P224" s="8"/>
      <c r="Q224" s="7">
        <f>VLOOKUP(P224,'Win Methods'!$C$4:$F$379,4,FALSE)</f>
        <v>0</v>
      </c>
      <c r="R224" s="8"/>
      <c r="S224" s="7">
        <f>VLOOKUP(R224,'Win Methods'!$C$4:$F$379,4,FALSE)</f>
        <v>0</v>
      </c>
      <c r="T224" s="8"/>
      <c r="U224" s="7">
        <f>VLOOKUP(T224,'Win Methods'!$C$4:$F$379,4,FALSE)</f>
        <v>0</v>
      </c>
      <c r="V224" s="8"/>
      <c r="W224" s="7">
        <f>VLOOKUP(V224,'Win Methods'!$C$4:$F$379,4,FALSE)</f>
        <v>0</v>
      </c>
      <c r="X224" s="117" t="str">
        <f t="shared" si="7"/>
        <v>main-5|main-3|main-5|main-15|wild-14|||||</v>
      </c>
    </row>
    <row r="225" spans="2:24" ht="13.95" customHeight="1">
      <c r="B225" s="116">
        <v>222</v>
      </c>
      <c r="C225" s="7">
        <f t="shared" si="6"/>
        <v>108.1</v>
      </c>
      <c r="D225" s="8" t="s">
        <v>11</v>
      </c>
      <c r="E225" s="7">
        <f>VLOOKUP(D225,'Win Methods'!$C$4:$F$379,4,FALSE)</f>
        <v>2</v>
      </c>
      <c r="F225" s="8" t="s">
        <v>32</v>
      </c>
      <c r="G225" s="7">
        <f>VLOOKUP(F225,'Win Methods'!$C$4:$F$379,4,FALSE)</f>
        <v>3</v>
      </c>
      <c r="H225" s="8" t="s">
        <v>42</v>
      </c>
      <c r="I225" s="7">
        <f>VLOOKUP(H225,'Win Methods'!$C$4:$F$379,4,FALSE)</f>
        <v>100</v>
      </c>
      <c r="J225" s="8" t="s">
        <v>5</v>
      </c>
      <c r="K225" s="7">
        <f>VLOOKUP(J225,'Win Methods'!$C$4:$F$379,4,FALSE)</f>
        <v>0.1</v>
      </c>
      <c r="L225" s="197" t="s">
        <v>60</v>
      </c>
      <c r="M225" s="7">
        <f>VLOOKUP(L225,'Win Methods'!$C$4:$F$379,4,FALSE)</f>
        <v>3</v>
      </c>
      <c r="N225" s="8"/>
      <c r="O225" s="7">
        <f>VLOOKUP(N225,'Win Methods'!$C$4:$F$379,4,FALSE)</f>
        <v>0</v>
      </c>
      <c r="P225" s="8"/>
      <c r="Q225" s="7">
        <f>VLOOKUP(P225,'Win Methods'!$C$4:$F$379,4,FALSE)</f>
        <v>0</v>
      </c>
      <c r="R225" s="8"/>
      <c r="S225" s="7">
        <f>VLOOKUP(R225,'Win Methods'!$C$4:$F$379,4,FALSE)</f>
        <v>0</v>
      </c>
      <c r="T225" s="8"/>
      <c r="U225" s="7">
        <f>VLOOKUP(T225,'Win Methods'!$C$4:$F$379,4,FALSE)</f>
        <v>0</v>
      </c>
      <c r="V225" s="8"/>
      <c r="W225" s="7">
        <f>VLOOKUP(V225,'Win Methods'!$C$4:$F$379,4,FALSE)</f>
        <v>0</v>
      </c>
      <c r="X225" s="117" t="str">
        <f t="shared" si="7"/>
        <v>main-4|main-18|main-28|main-0|wild-15|||||</v>
      </c>
    </row>
    <row r="226" spans="2:24" ht="13.95" customHeight="1">
      <c r="B226" s="116">
        <v>223</v>
      </c>
      <c r="C226" s="7">
        <f t="shared" si="6"/>
        <v>14.2</v>
      </c>
      <c r="D226" s="8" t="s">
        <v>33</v>
      </c>
      <c r="E226" s="7">
        <f>VLOOKUP(D226,'Win Methods'!$C$4:$F$379,4,FALSE)</f>
        <v>5</v>
      </c>
      <c r="F226" s="8" t="s">
        <v>10</v>
      </c>
      <c r="G226" s="7">
        <f>VLOOKUP(F226,'Win Methods'!$C$4:$F$379,4,FALSE)</f>
        <v>1</v>
      </c>
      <c r="H226" s="8" t="s">
        <v>8</v>
      </c>
      <c r="I226" s="7">
        <f>VLOOKUP(H226,'Win Methods'!$C$4:$F$379,4,FALSE)</f>
        <v>0.2</v>
      </c>
      <c r="J226" s="8" t="s">
        <v>32</v>
      </c>
      <c r="K226" s="7">
        <f>VLOOKUP(J226,'Win Methods'!$C$4:$F$379,4,FALSE)</f>
        <v>3</v>
      </c>
      <c r="L226" s="8" t="s">
        <v>11</v>
      </c>
      <c r="M226" s="7">
        <f>VLOOKUP(L226,'Win Methods'!$C$4:$F$379,4,FALSE)</f>
        <v>2</v>
      </c>
      <c r="N226" s="197" t="s">
        <v>60</v>
      </c>
      <c r="O226" s="7">
        <f>VLOOKUP(N226,'Win Methods'!$C$4:$F$379,4,FALSE)</f>
        <v>3</v>
      </c>
      <c r="P226" s="8"/>
      <c r="Q226" s="7">
        <f>VLOOKUP(P226,'Win Methods'!$C$4:$F$379,4,FALSE)</f>
        <v>0</v>
      </c>
      <c r="R226" s="8"/>
      <c r="S226" s="7">
        <f>VLOOKUP(R226,'Win Methods'!$C$4:$F$379,4,FALSE)</f>
        <v>0</v>
      </c>
      <c r="T226" s="8"/>
      <c r="U226" s="7">
        <f>VLOOKUP(T226,'Win Methods'!$C$4:$F$379,4,FALSE)</f>
        <v>0</v>
      </c>
      <c r="V226" s="8"/>
      <c r="W226" s="7">
        <f>VLOOKUP(V226,'Win Methods'!$C$4:$F$379,4,FALSE)</f>
        <v>0</v>
      </c>
      <c r="X226" s="117" t="str">
        <f t="shared" si="7"/>
        <v>main-19|main-3|main-1|main-18|main-4|wild-15||||</v>
      </c>
    </row>
    <row r="227" spans="2:24" ht="13.95" customHeight="1">
      <c r="B227" s="116">
        <v>224</v>
      </c>
      <c r="C227" s="7">
        <f t="shared" si="6"/>
        <v>22.1</v>
      </c>
      <c r="D227" s="8" t="s">
        <v>40</v>
      </c>
      <c r="E227" s="7">
        <f>VLOOKUP(D227,'Win Methods'!$C$4:$F$379,4,FALSE)</f>
        <v>10</v>
      </c>
      <c r="F227" s="8" t="s">
        <v>5</v>
      </c>
      <c r="G227" s="7">
        <f>VLOOKUP(F227,'Win Methods'!$C$4:$F$379,4,FALSE)</f>
        <v>0.1</v>
      </c>
      <c r="H227" s="8" t="s">
        <v>10</v>
      </c>
      <c r="I227" s="7">
        <f>VLOOKUP(H227,'Win Methods'!$C$4:$F$379,4,FALSE)</f>
        <v>1</v>
      </c>
      <c r="J227" s="8" t="s">
        <v>32</v>
      </c>
      <c r="K227" s="7">
        <f>VLOOKUP(J227,'Win Methods'!$C$4:$F$379,4,FALSE)</f>
        <v>3</v>
      </c>
      <c r="L227" s="8" t="s">
        <v>32</v>
      </c>
      <c r="M227" s="7">
        <f>VLOOKUP(L227,'Win Methods'!$C$4:$F$379,4,FALSE)</f>
        <v>3</v>
      </c>
      <c r="N227" s="197" t="s">
        <v>61</v>
      </c>
      <c r="O227" s="7">
        <f>VLOOKUP(N227,'Win Methods'!$C$4:$F$379,4,FALSE)</f>
        <v>5</v>
      </c>
      <c r="P227" s="8"/>
      <c r="Q227" s="7">
        <f>VLOOKUP(P227,'Win Methods'!$C$4:$F$379,4,FALSE)</f>
        <v>0</v>
      </c>
      <c r="R227" s="8"/>
      <c r="S227" s="7">
        <f>VLOOKUP(R227,'Win Methods'!$C$4:$F$379,4,FALSE)</f>
        <v>0</v>
      </c>
      <c r="T227" s="8"/>
      <c r="U227" s="7">
        <f>VLOOKUP(T227,'Win Methods'!$C$4:$F$379,4,FALSE)</f>
        <v>0</v>
      </c>
      <c r="V227" s="8"/>
      <c r="W227" s="7">
        <f>VLOOKUP(V227,'Win Methods'!$C$4:$F$379,4,FALSE)</f>
        <v>0</v>
      </c>
      <c r="X227" s="117" t="str">
        <f t="shared" si="7"/>
        <v>main-26|main-0|main-3|main-18|main-18|wild-16||||</v>
      </c>
    </row>
    <row r="228" spans="2:24" ht="13.95" customHeight="1">
      <c r="B228" s="116">
        <v>225</v>
      </c>
      <c r="C228" s="7">
        <f t="shared" si="6"/>
        <v>19.5</v>
      </c>
      <c r="D228" s="8" t="s">
        <v>11</v>
      </c>
      <c r="E228" s="7">
        <f>VLOOKUP(D228,'Win Methods'!$C$4:$F$379,4,FALSE)</f>
        <v>2</v>
      </c>
      <c r="F228" s="8" t="s">
        <v>9</v>
      </c>
      <c r="G228" s="7">
        <f>VLOOKUP(F228,'Win Methods'!$C$4:$F$379,4,FALSE)</f>
        <v>0.5</v>
      </c>
      <c r="H228" s="8" t="s">
        <v>12</v>
      </c>
      <c r="I228" s="7">
        <f>VLOOKUP(H228,'Win Methods'!$C$4:$F$379,4,FALSE)</f>
        <v>5</v>
      </c>
      <c r="J228" s="8" t="s">
        <v>10</v>
      </c>
      <c r="K228" s="7">
        <f>VLOOKUP(J228,'Win Methods'!$C$4:$F$379,4,FALSE)</f>
        <v>1</v>
      </c>
      <c r="L228" s="8" t="s">
        <v>10</v>
      </c>
      <c r="M228" s="7">
        <f>VLOOKUP(L228,'Win Methods'!$C$4:$F$379,4,FALSE)</f>
        <v>1</v>
      </c>
      <c r="N228" s="197" t="s">
        <v>62</v>
      </c>
      <c r="O228" s="7">
        <f>VLOOKUP(N228,'Win Methods'!$C$4:$F$379,4,FALSE)</f>
        <v>10</v>
      </c>
      <c r="P228" s="8"/>
      <c r="Q228" s="7">
        <f>VLOOKUP(P228,'Win Methods'!$C$4:$F$379,4,FALSE)</f>
        <v>0</v>
      </c>
      <c r="R228" s="8"/>
      <c r="S228" s="7">
        <f>VLOOKUP(R228,'Win Methods'!$C$4:$F$379,4,FALSE)</f>
        <v>0</v>
      </c>
      <c r="T228" s="8"/>
      <c r="U228" s="7">
        <f>VLOOKUP(T228,'Win Methods'!$C$4:$F$379,4,FALSE)</f>
        <v>0</v>
      </c>
      <c r="V228" s="8"/>
      <c r="W228" s="7">
        <f>VLOOKUP(V228,'Win Methods'!$C$4:$F$379,4,FALSE)</f>
        <v>0</v>
      </c>
      <c r="X228" s="117" t="str">
        <f t="shared" si="7"/>
        <v>main-4|main-2|main-5|main-3|main-3|wild-17||||</v>
      </c>
    </row>
    <row r="229" spans="2:24" ht="13.95" customHeight="1">
      <c r="B229" s="116">
        <v>226</v>
      </c>
      <c r="C229" s="7">
        <f t="shared" si="6"/>
        <v>17.100000000000001</v>
      </c>
      <c r="D229" s="8" t="s">
        <v>12</v>
      </c>
      <c r="E229" s="7">
        <f>VLOOKUP(D229,'Win Methods'!$C$4:$F$379,4,FALSE)</f>
        <v>5</v>
      </c>
      <c r="F229" s="8" t="s">
        <v>5</v>
      </c>
      <c r="G229" s="7">
        <f>VLOOKUP(F229,'Win Methods'!$C$4:$F$379,4,FALSE)</f>
        <v>0.1</v>
      </c>
      <c r="H229" s="8" t="s">
        <v>11</v>
      </c>
      <c r="I229" s="7">
        <f>VLOOKUP(H229,'Win Methods'!$C$4:$F$379,4,FALSE)</f>
        <v>2</v>
      </c>
      <c r="J229" s="8" t="s">
        <v>11</v>
      </c>
      <c r="K229" s="7">
        <f>VLOOKUP(J229,'Win Methods'!$C$4:$F$379,4,FALSE)</f>
        <v>2</v>
      </c>
      <c r="L229" s="8" t="s">
        <v>32</v>
      </c>
      <c r="M229" s="7">
        <f>VLOOKUP(L229,'Win Methods'!$C$4:$F$379,4,FALSE)</f>
        <v>3</v>
      </c>
      <c r="N229" s="197" t="s">
        <v>64</v>
      </c>
      <c r="O229" s="7">
        <f>VLOOKUP(N229,'Win Methods'!$C$4:$F$379,4,FALSE)</f>
        <v>5</v>
      </c>
      <c r="P229" s="8"/>
      <c r="Q229" s="7">
        <f>VLOOKUP(P229,'Win Methods'!$C$4:$F$379,4,FALSE)</f>
        <v>0</v>
      </c>
      <c r="R229" s="8"/>
      <c r="S229" s="7">
        <f>VLOOKUP(R229,'Win Methods'!$C$4:$F$379,4,FALSE)</f>
        <v>0</v>
      </c>
      <c r="T229" s="8"/>
      <c r="U229" s="7">
        <f>VLOOKUP(T229,'Win Methods'!$C$4:$F$379,4,FALSE)</f>
        <v>0</v>
      </c>
      <c r="V229" s="8"/>
      <c r="W229" s="7">
        <f>VLOOKUP(V229,'Win Methods'!$C$4:$F$379,4,FALSE)</f>
        <v>0</v>
      </c>
      <c r="X229" s="117" t="str">
        <f t="shared" si="7"/>
        <v>main-5|main-0|main-4|main-4|main-18|wild-19||||</v>
      </c>
    </row>
    <row r="230" spans="2:24" ht="13.95" customHeight="1">
      <c r="B230" s="116">
        <v>227</v>
      </c>
      <c r="C230" s="7">
        <f t="shared" si="6"/>
        <v>29.1</v>
      </c>
      <c r="D230" s="8" t="s">
        <v>12</v>
      </c>
      <c r="E230" s="7">
        <f>VLOOKUP(D230,'Win Methods'!$C$4:$F$379,4,FALSE)</f>
        <v>5</v>
      </c>
      <c r="F230" s="8" t="s">
        <v>10</v>
      </c>
      <c r="G230" s="7">
        <f>VLOOKUP(F230,'Win Methods'!$C$4:$F$379,4,FALSE)</f>
        <v>1</v>
      </c>
      <c r="H230" s="8" t="s">
        <v>32</v>
      </c>
      <c r="I230" s="7">
        <f>VLOOKUP(H230,'Win Methods'!$C$4:$F$379,4,FALSE)</f>
        <v>3</v>
      </c>
      <c r="J230" s="8" t="s">
        <v>5</v>
      </c>
      <c r="K230" s="7">
        <f>VLOOKUP(J230,'Win Methods'!$C$4:$F$379,4,FALSE)</f>
        <v>0.1</v>
      </c>
      <c r="L230" s="8" t="s">
        <v>40</v>
      </c>
      <c r="M230" s="7">
        <f>VLOOKUP(L230,'Win Methods'!$C$4:$F$379,4,FALSE)</f>
        <v>10</v>
      </c>
      <c r="N230" s="197" t="s">
        <v>65</v>
      </c>
      <c r="O230" s="7">
        <f>VLOOKUP(N230,'Win Methods'!$C$4:$F$379,4,FALSE)</f>
        <v>10</v>
      </c>
      <c r="P230" s="8"/>
      <c r="Q230" s="7">
        <f>VLOOKUP(P230,'Win Methods'!$C$4:$F$379,4,FALSE)</f>
        <v>0</v>
      </c>
      <c r="R230" s="8"/>
      <c r="S230" s="7">
        <f>VLOOKUP(R230,'Win Methods'!$C$4:$F$379,4,FALSE)</f>
        <v>0</v>
      </c>
      <c r="T230" s="8"/>
      <c r="U230" s="7">
        <f>VLOOKUP(T230,'Win Methods'!$C$4:$F$379,4,FALSE)</f>
        <v>0</v>
      </c>
      <c r="V230" s="8"/>
      <c r="W230" s="7">
        <f>VLOOKUP(V230,'Win Methods'!$C$4:$F$379,4,FALSE)</f>
        <v>0</v>
      </c>
      <c r="X230" s="117" t="str">
        <f t="shared" si="7"/>
        <v>main-5|main-3|main-18|main-0|main-26|wild-20||||</v>
      </c>
    </row>
    <row r="231" spans="2:24" ht="13.95" customHeight="1">
      <c r="B231" s="116">
        <v>228</v>
      </c>
      <c r="C231" s="7">
        <f t="shared" si="6"/>
        <v>43.2</v>
      </c>
      <c r="D231" s="8" t="s">
        <v>10</v>
      </c>
      <c r="E231" s="7">
        <f>VLOOKUP(D231,'Win Methods'!$C$4:$F$379,4,FALSE)</f>
        <v>1</v>
      </c>
      <c r="F231" s="8" t="s">
        <v>8</v>
      </c>
      <c r="G231" s="7">
        <f>VLOOKUP(F231,'Win Methods'!$C$4:$F$379,4,FALSE)</f>
        <v>0.2</v>
      </c>
      <c r="H231" s="8" t="s">
        <v>11</v>
      </c>
      <c r="I231" s="7">
        <f>VLOOKUP(H231,'Win Methods'!$C$4:$F$379,4,FALSE)</f>
        <v>2</v>
      </c>
      <c r="J231" s="8" t="s">
        <v>40</v>
      </c>
      <c r="K231" s="7">
        <f>VLOOKUP(J231,'Win Methods'!$C$4:$F$379,4,FALSE)</f>
        <v>10</v>
      </c>
      <c r="L231" s="8" t="s">
        <v>40</v>
      </c>
      <c r="M231" s="7">
        <f>VLOOKUP(L231,'Win Methods'!$C$4:$F$379,4,FALSE)</f>
        <v>10</v>
      </c>
      <c r="N231" s="197" t="s">
        <v>66</v>
      </c>
      <c r="O231" s="7">
        <f>VLOOKUP(N231,'Win Methods'!$C$4:$F$379,4,FALSE)</f>
        <v>20</v>
      </c>
      <c r="P231" s="8"/>
      <c r="Q231" s="7">
        <f>VLOOKUP(P231,'Win Methods'!$C$4:$F$379,4,FALSE)</f>
        <v>0</v>
      </c>
      <c r="R231" s="8"/>
      <c r="S231" s="7">
        <f>VLOOKUP(R231,'Win Methods'!$C$4:$F$379,4,FALSE)</f>
        <v>0</v>
      </c>
      <c r="T231" s="8"/>
      <c r="U231" s="7">
        <f>VLOOKUP(T231,'Win Methods'!$C$4:$F$379,4,FALSE)</f>
        <v>0</v>
      </c>
      <c r="V231" s="8"/>
      <c r="W231" s="7">
        <f>VLOOKUP(V231,'Win Methods'!$C$4:$F$379,4,FALSE)</f>
        <v>0</v>
      </c>
      <c r="X231" s="117" t="str">
        <f t="shared" si="7"/>
        <v>main-3|main-1|main-4|main-26|main-26|wild-21||||</v>
      </c>
    </row>
    <row r="232" spans="2:24" ht="13.95" customHeight="1">
      <c r="B232" s="116">
        <v>229</v>
      </c>
      <c r="C232" s="7">
        <f t="shared" si="6"/>
        <v>44.1</v>
      </c>
      <c r="D232" s="8" t="s">
        <v>40</v>
      </c>
      <c r="E232" s="7">
        <f>VLOOKUP(D232,'Win Methods'!$C$4:$F$379,4,FALSE)</f>
        <v>10</v>
      </c>
      <c r="F232" s="8" t="s">
        <v>11</v>
      </c>
      <c r="G232" s="7">
        <f>VLOOKUP(F232,'Win Methods'!$C$4:$F$379,4,FALSE)</f>
        <v>2</v>
      </c>
      <c r="H232" s="8" t="s">
        <v>11</v>
      </c>
      <c r="I232" s="7">
        <f>VLOOKUP(H232,'Win Methods'!$C$4:$F$379,4,FALSE)</f>
        <v>2</v>
      </c>
      <c r="J232" s="8" t="s">
        <v>5</v>
      </c>
      <c r="K232" s="7">
        <f>VLOOKUP(J232,'Win Methods'!$C$4:$F$379,4,FALSE)</f>
        <v>0.1</v>
      </c>
      <c r="L232" s="8" t="s">
        <v>40</v>
      </c>
      <c r="M232" s="7">
        <f>VLOOKUP(L232,'Win Methods'!$C$4:$F$379,4,FALSE)</f>
        <v>10</v>
      </c>
      <c r="N232" s="197" t="s">
        <v>66</v>
      </c>
      <c r="O232" s="7">
        <f>VLOOKUP(N232,'Win Methods'!$C$4:$F$379,4,FALSE)</f>
        <v>20</v>
      </c>
      <c r="P232" s="8"/>
      <c r="Q232" s="7">
        <f>VLOOKUP(P232,'Win Methods'!$C$4:$F$379,4,FALSE)</f>
        <v>0</v>
      </c>
      <c r="R232" s="8"/>
      <c r="S232" s="7">
        <f>VLOOKUP(R232,'Win Methods'!$C$4:$F$379,4,FALSE)</f>
        <v>0</v>
      </c>
      <c r="T232" s="8"/>
      <c r="U232" s="7">
        <f>VLOOKUP(T232,'Win Methods'!$C$4:$F$379,4,FALSE)</f>
        <v>0</v>
      </c>
      <c r="V232" s="8"/>
      <c r="W232" s="7">
        <f>VLOOKUP(V232,'Win Methods'!$C$4:$F$379,4,FALSE)</f>
        <v>0</v>
      </c>
      <c r="X232" s="117" t="str">
        <f t="shared" si="7"/>
        <v>main-26|main-4|main-4|main-0|main-26|wild-21||||</v>
      </c>
    </row>
    <row r="233" spans="2:24" ht="13.95" customHeight="1">
      <c r="B233" s="116">
        <v>230</v>
      </c>
      <c r="C233" s="7">
        <f t="shared" si="6"/>
        <v>27.3</v>
      </c>
      <c r="D233" s="8" t="s">
        <v>34</v>
      </c>
      <c r="E233" s="7">
        <f>VLOOKUP(D233,'Win Methods'!$C$4:$F$379,4,FALSE)</f>
        <v>10</v>
      </c>
      <c r="F233" s="8" t="s">
        <v>11</v>
      </c>
      <c r="G233" s="7">
        <f>VLOOKUP(F233,'Win Methods'!$C$4:$F$379,4,FALSE)</f>
        <v>2</v>
      </c>
      <c r="H233" s="8" t="s">
        <v>8</v>
      </c>
      <c r="I233" s="7">
        <f>VLOOKUP(H233,'Win Methods'!$C$4:$F$379,4,FALSE)</f>
        <v>0.2</v>
      </c>
      <c r="J233" s="8" t="s">
        <v>40</v>
      </c>
      <c r="K233" s="7">
        <f>VLOOKUP(J233,'Win Methods'!$C$4:$F$379,4,FALSE)</f>
        <v>10</v>
      </c>
      <c r="L233" s="8" t="s">
        <v>12</v>
      </c>
      <c r="M233" s="7">
        <f>VLOOKUP(L233,'Win Methods'!$C$4:$F$379,4,FALSE)</f>
        <v>5</v>
      </c>
      <c r="N233" s="197" t="s">
        <v>45</v>
      </c>
      <c r="O233" s="7">
        <f>VLOOKUP(N233,'Win Methods'!$C$4:$F$379,4,FALSE)</f>
        <v>0.1</v>
      </c>
      <c r="P233" s="8"/>
      <c r="Q233" s="7">
        <f>VLOOKUP(P233,'Win Methods'!$C$4:$F$379,4,FALSE)</f>
        <v>0</v>
      </c>
      <c r="R233" s="8"/>
      <c r="S233" s="7">
        <f>VLOOKUP(R233,'Win Methods'!$C$4:$F$379,4,FALSE)</f>
        <v>0</v>
      </c>
      <c r="T233" s="8"/>
      <c r="U233" s="7">
        <f>VLOOKUP(T233,'Win Methods'!$C$4:$F$379,4,FALSE)</f>
        <v>0</v>
      </c>
      <c r="V233" s="8"/>
      <c r="W233" s="7">
        <f>VLOOKUP(V233,'Win Methods'!$C$4:$F$379,4,FALSE)</f>
        <v>0</v>
      </c>
      <c r="X233" s="117" t="str">
        <f t="shared" si="7"/>
        <v>main-20|main-4|main-1|main-26|main-5|wild-0||||</v>
      </c>
    </row>
    <row r="234" spans="2:24" ht="13.95" customHeight="1">
      <c r="B234" s="116">
        <v>231</v>
      </c>
      <c r="C234" s="7">
        <f t="shared" si="6"/>
        <v>35.6</v>
      </c>
      <c r="D234" s="8" t="s">
        <v>35</v>
      </c>
      <c r="E234" s="7">
        <f>VLOOKUP(D234,'Win Methods'!$C$4:$F$379,4,FALSE)</f>
        <v>20</v>
      </c>
      <c r="F234" s="8" t="s">
        <v>12</v>
      </c>
      <c r="G234" s="7">
        <f>VLOOKUP(F234,'Win Methods'!$C$4:$F$379,4,FALSE)</f>
        <v>5</v>
      </c>
      <c r="H234" s="8" t="s">
        <v>9</v>
      </c>
      <c r="I234" s="7">
        <f>VLOOKUP(H234,'Win Methods'!$C$4:$F$379,4,FALSE)</f>
        <v>0.5</v>
      </c>
      <c r="J234" s="8" t="s">
        <v>33</v>
      </c>
      <c r="K234" s="7">
        <f>VLOOKUP(J234,'Win Methods'!$C$4:$F$379,4,FALSE)</f>
        <v>5</v>
      </c>
      <c r="L234" s="8" t="s">
        <v>33</v>
      </c>
      <c r="M234" s="7">
        <f>VLOOKUP(L234,'Win Methods'!$C$4:$F$379,4,FALSE)</f>
        <v>5</v>
      </c>
      <c r="N234" s="197" t="s">
        <v>45</v>
      </c>
      <c r="O234" s="7">
        <f>VLOOKUP(N234,'Win Methods'!$C$4:$F$379,4,FALSE)</f>
        <v>0.1</v>
      </c>
      <c r="P234" s="8"/>
      <c r="Q234" s="7">
        <f>VLOOKUP(P234,'Win Methods'!$C$4:$F$379,4,FALSE)</f>
        <v>0</v>
      </c>
      <c r="R234" s="8"/>
      <c r="S234" s="7">
        <f>VLOOKUP(R234,'Win Methods'!$C$4:$F$379,4,FALSE)</f>
        <v>0</v>
      </c>
      <c r="T234" s="8"/>
      <c r="U234" s="7">
        <f>VLOOKUP(T234,'Win Methods'!$C$4:$F$379,4,FALSE)</f>
        <v>0</v>
      </c>
      <c r="V234" s="8"/>
      <c r="W234" s="7">
        <f>VLOOKUP(V234,'Win Methods'!$C$4:$F$379,4,FALSE)</f>
        <v>0</v>
      </c>
      <c r="X234" s="117" t="str">
        <f t="shared" si="7"/>
        <v>main-21|main-5|main-2|main-19|main-19|wild-0||||</v>
      </c>
    </row>
    <row r="235" spans="2:24" ht="13.95" customHeight="1">
      <c r="B235" s="116">
        <v>232</v>
      </c>
      <c r="C235" s="7">
        <f t="shared" si="6"/>
        <v>39</v>
      </c>
      <c r="D235" s="8" t="s">
        <v>41</v>
      </c>
      <c r="E235" s="7">
        <f>VLOOKUP(D235,'Win Methods'!$C$4:$F$379,4,FALSE)</f>
        <v>20</v>
      </c>
      <c r="F235" s="8" t="s">
        <v>12</v>
      </c>
      <c r="G235" s="7">
        <f>VLOOKUP(F235,'Win Methods'!$C$4:$F$379,4,FALSE)</f>
        <v>5</v>
      </c>
      <c r="H235" s="8" t="s">
        <v>12</v>
      </c>
      <c r="I235" s="7">
        <f>VLOOKUP(H235,'Win Methods'!$C$4:$F$379,4,FALSE)</f>
        <v>5</v>
      </c>
      <c r="J235" s="8" t="s">
        <v>33</v>
      </c>
      <c r="K235" s="7">
        <f>VLOOKUP(J235,'Win Methods'!$C$4:$F$379,4,FALSE)</f>
        <v>5</v>
      </c>
      <c r="L235" s="8" t="s">
        <v>10</v>
      </c>
      <c r="M235" s="7">
        <f>VLOOKUP(L235,'Win Methods'!$C$4:$F$379,4,FALSE)</f>
        <v>1</v>
      </c>
      <c r="N235" s="197" t="s">
        <v>63</v>
      </c>
      <c r="O235" s="7">
        <f>VLOOKUP(N235,'Win Methods'!$C$4:$F$379,4,FALSE)</f>
        <v>3</v>
      </c>
      <c r="P235" s="8"/>
      <c r="Q235" s="7">
        <f>VLOOKUP(P235,'Win Methods'!$C$4:$F$379,4,FALSE)</f>
        <v>0</v>
      </c>
      <c r="R235" s="8"/>
      <c r="S235" s="7">
        <f>VLOOKUP(R235,'Win Methods'!$C$4:$F$379,4,FALSE)</f>
        <v>0</v>
      </c>
      <c r="T235" s="8"/>
      <c r="U235" s="7">
        <f>VLOOKUP(T235,'Win Methods'!$C$4:$F$379,4,FALSE)</f>
        <v>0</v>
      </c>
      <c r="V235" s="8"/>
      <c r="W235" s="7">
        <f>VLOOKUP(V235,'Win Methods'!$C$4:$F$379,4,FALSE)</f>
        <v>0</v>
      </c>
      <c r="X235" s="117" t="str">
        <f t="shared" si="7"/>
        <v>main-27|main-5|main-5|main-19|main-3|wild-18||||</v>
      </c>
    </row>
    <row r="236" spans="2:24" ht="13.95" customHeight="1">
      <c r="B236" s="116">
        <v>233</v>
      </c>
      <c r="C236" s="7">
        <f t="shared" si="6"/>
        <v>3.1</v>
      </c>
      <c r="D236" s="8" t="s">
        <v>5</v>
      </c>
      <c r="E236" s="7">
        <f>VLOOKUP(D236,'Win Methods'!$C$4:$F$379,4,FALSE)</f>
        <v>0.1</v>
      </c>
      <c r="F236" s="107" t="s">
        <v>79</v>
      </c>
      <c r="G236" s="7">
        <f>VLOOKUP(F236,'Win Methods'!$C$4:$F$379,4,FALSE)</f>
        <v>3</v>
      </c>
      <c r="H236" s="8"/>
      <c r="I236" s="7">
        <f>VLOOKUP(H236,'Win Methods'!$C$4:$F$379,4,FALSE)</f>
        <v>0</v>
      </c>
      <c r="J236" s="8"/>
      <c r="K236" s="7">
        <f>VLOOKUP(J236,'Win Methods'!$C$4:$F$379,4,FALSE)</f>
        <v>0</v>
      </c>
      <c r="L236" s="8"/>
      <c r="M236" s="7">
        <f>VLOOKUP(L236,'Win Methods'!$C$4:$F$379,4,FALSE)</f>
        <v>0</v>
      </c>
      <c r="N236" s="8"/>
      <c r="O236" s="7">
        <f>VLOOKUP(N236,'Win Methods'!$C$4:$F$379,4,FALSE)</f>
        <v>0</v>
      </c>
      <c r="P236" s="8"/>
      <c r="Q236" s="7">
        <f>VLOOKUP(P236,'Win Methods'!$C$4:$F$379,4,FALSE)</f>
        <v>0</v>
      </c>
      <c r="R236" s="8"/>
      <c r="S236" s="7">
        <f>VLOOKUP(R236,'Win Methods'!$C$4:$F$379,4,FALSE)</f>
        <v>0</v>
      </c>
      <c r="T236" s="8"/>
      <c r="U236" s="7">
        <f>VLOOKUP(T236,'Win Methods'!$C$4:$F$379,4,FALSE)</f>
        <v>0</v>
      </c>
      <c r="V236" s="8"/>
      <c r="W236" s="7">
        <f>VLOOKUP(V236,'Win Methods'!$C$4:$F$379,4,FALSE)</f>
        <v>0</v>
      </c>
      <c r="X236" s="117" t="str">
        <f t="shared" si="7"/>
        <v>main-0|freeplayA-11||||||||</v>
      </c>
    </row>
    <row r="237" spans="2:24" ht="13.95" customHeight="1">
      <c r="B237" s="116">
        <v>234</v>
      </c>
      <c r="C237" s="7">
        <f t="shared" si="6"/>
        <v>2.2000000000000002</v>
      </c>
      <c r="D237" s="8" t="s">
        <v>11</v>
      </c>
      <c r="E237" s="7">
        <f>VLOOKUP(D237,'Win Methods'!$C$4:$F$379,4,FALSE)</f>
        <v>2</v>
      </c>
      <c r="F237" s="107" t="s">
        <v>80</v>
      </c>
      <c r="G237" s="7">
        <f>VLOOKUP(F237,'Win Methods'!$C$4:$F$379,4,FALSE)</f>
        <v>0.2</v>
      </c>
      <c r="H237" s="8"/>
      <c r="I237" s="7">
        <f>VLOOKUP(H237,'Win Methods'!$C$4:$F$379,4,FALSE)</f>
        <v>0</v>
      </c>
      <c r="J237" s="8"/>
      <c r="K237" s="7">
        <f>VLOOKUP(J237,'Win Methods'!$C$4:$F$379,4,FALSE)</f>
        <v>0</v>
      </c>
      <c r="L237" s="8"/>
      <c r="M237" s="7">
        <f>VLOOKUP(L237,'Win Methods'!$C$4:$F$379,4,FALSE)</f>
        <v>0</v>
      </c>
      <c r="N237" s="8"/>
      <c r="O237" s="7">
        <f>VLOOKUP(N237,'Win Methods'!$C$4:$F$379,4,FALSE)</f>
        <v>0</v>
      </c>
      <c r="P237" s="8"/>
      <c r="Q237" s="7">
        <f>VLOOKUP(P237,'Win Methods'!$C$4:$F$379,4,FALSE)</f>
        <v>0</v>
      </c>
      <c r="R237" s="8"/>
      <c r="S237" s="7">
        <f>VLOOKUP(R237,'Win Methods'!$C$4:$F$379,4,FALSE)</f>
        <v>0</v>
      </c>
      <c r="T237" s="8"/>
      <c r="U237" s="7">
        <f>VLOOKUP(T237,'Win Methods'!$C$4:$F$379,4,FALSE)</f>
        <v>0</v>
      </c>
      <c r="V237" s="8"/>
      <c r="W237" s="7">
        <f>VLOOKUP(V237,'Win Methods'!$C$4:$F$379,4,FALSE)</f>
        <v>0</v>
      </c>
      <c r="X237" s="117" t="str">
        <f t="shared" si="7"/>
        <v>main-4|freeplayA-12||||||||</v>
      </c>
    </row>
    <row r="238" spans="2:24" ht="13.95" customHeight="1">
      <c r="B238" s="116">
        <v>235</v>
      </c>
      <c r="C238" s="7">
        <f t="shared" si="6"/>
        <v>8</v>
      </c>
      <c r="D238" s="8" t="s">
        <v>12</v>
      </c>
      <c r="E238" s="7">
        <f>VLOOKUP(D238,'Win Methods'!$C$4:$F$379,4,FALSE)</f>
        <v>5</v>
      </c>
      <c r="F238" s="107" t="s">
        <v>81</v>
      </c>
      <c r="G238" s="7">
        <f>VLOOKUP(F238,'Win Methods'!$C$4:$F$379,4,FALSE)</f>
        <v>3</v>
      </c>
      <c r="H238" s="8"/>
      <c r="I238" s="7">
        <f>VLOOKUP(H238,'Win Methods'!$C$4:$F$379,4,FALSE)</f>
        <v>0</v>
      </c>
      <c r="J238" s="8"/>
      <c r="K238" s="7">
        <f>VLOOKUP(J238,'Win Methods'!$C$4:$F$379,4,FALSE)</f>
        <v>0</v>
      </c>
      <c r="L238" s="8"/>
      <c r="M238" s="7">
        <f>VLOOKUP(L238,'Win Methods'!$C$4:$F$379,4,FALSE)</f>
        <v>0</v>
      </c>
      <c r="N238" s="8"/>
      <c r="O238" s="7">
        <f>VLOOKUP(N238,'Win Methods'!$C$4:$F$379,4,FALSE)</f>
        <v>0</v>
      </c>
      <c r="P238" s="8"/>
      <c r="Q238" s="7">
        <f>VLOOKUP(P238,'Win Methods'!$C$4:$F$379,4,FALSE)</f>
        <v>0</v>
      </c>
      <c r="R238" s="8"/>
      <c r="S238" s="7">
        <f>VLOOKUP(R238,'Win Methods'!$C$4:$F$379,4,FALSE)</f>
        <v>0</v>
      </c>
      <c r="T238" s="8"/>
      <c r="U238" s="7">
        <f>VLOOKUP(T238,'Win Methods'!$C$4:$F$379,4,FALSE)</f>
        <v>0</v>
      </c>
      <c r="V238" s="8"/>
      <c r="W238" s="7">
        <f>VLOOKUP(V238,'Win Methods'!$C$4:$F$379,4,FALSE)</f>
        <v>0</v>
      </c>
      <c r="X238" s="117" t="str">
        <f t="shared" si="7"/>
        <v>main-5|freeplayA-13||||||||</v>
      </c>
    </row>
    <row r="239" spans="2:24" ht="13.95" customHeight="1">
      <c r="B239" s="116">
        <v>236</v>
      </c>
      <c r="C239" s="7">
        <f t="shared" si="6"/>
        <v>13</v>
      </c>
      <c r="D239" s="8" t="s">
        <v>28</v>
      </c>
      <c r="E239" s="7">
        <f>VLOOKUP(D239,'Win Methods'!$C$4:$F$379,4,FALSE)</f>
        <v>10</v>
      </c>
      <c r="F239" s="107" t="s">
        <v>82</v>
      </c>
      <c r="G239" s="7">
        <f>VLOOKUP(F239,'Win Methods'!$C$4:$F$379,4,FALSE)</f>
        <v>3</v>
      </c>
      <c r="H239" s="8"/>
      <c r="I239" s="7">
        <f>VLOOKUP(H239,'Win Methods'!$C$4:$F$379,4,FALSE)</f>
        <v>0</v>
      </c>
      <c r="J239" s="8"/>
      <c r="K239" s="7">
        <f>VLOOKUP(J239,'Win Methods'!$C$4:$F$379,4,FALSE)</f>
        <v>0</v>
      </c>
      <c r="L239" s="8"/>
      <c r="M239" s="7">
        <f>VLOOKUP(L239,'Win Methods'!$C$4:$F$379,4,FALSE)</f>
        <v>0</v>
      </c>
      <c r="N239" s="8"/>
      <c r="O239" s="7">
        <f>VLOOKUP(N239,'Win Methods'!$C$4:$F$379,4,FALSE)</f>
        <v>0</v>
      </c>
      <c r="P239" s="8"/>
      <c r="Q239" s="7">
        <f>VLOOKUP(P239,'Win Methods'!$C$4:$F$379,4,FALSE)</f>
        <v>0</v>
      </c>
      <c r="R239" s="8"/>
      <c r="S239" s="7">
        <f>VLOOKUP(R239,'Win Methods'!$C$4:$F$379,4,FALSE)</f>
        <v>0</v>
      </c>
      <c r="T239" s="8"/>
      <c r="U239" s="7">
        <f>VLOOKUP(T239,'Win Methods'!$C$4:$F$379,4,FALSE)</f>
        <v>0</v>
      </c>
      <c r="V239" s="8"/>
      <c r="W239" s="7">
        <f>VLOOKUP(V239,'Win Methods'!$C$4:$F$379,4,FALSE)</f>
        <v>0</v>
      </c>
      <c r="X239" s="117" t="str">
        <f t="shared" si="7"/>
        <v>main-14|freeplayA-14||||||||</v>
      </c>
    </row>
    <row r="240" spans="2:24" ht="13.95" customHeight="1">
      <c r="B240" s="116">
        <v>237</v>
      </c>
      <c r="C240" s="7">
        <f t="shared" si="6"/>
        <v>4</v>
      </c>
      <c r="D240" s="8" t="s">
        <v>32</v>
      </c>
      <c r="E240" s="7">
        <f>VLOOKUP(D240,'Win Methods'!$C$4:$F$379,4,FALSE)</f>
        <v>3</v>
      </c>
      <c r="F240" s="107" t="s">
        <v>83</v>
      </c>
      <c r="G240" s="7">
        <f>VLOOKUP(F240,'Win Methods'!$C$4:$F$379,4,FALSE)</f>
        <v>1</v>
      </c>
      <c r="H240" s="8"/>
      <c r="I240" s="7">
        <f>VLOOKUP(H240,'Win Methods'!$C$4:$F$379,4,FALSE)</f>
        <v>0</v>
      </c>
      <c r="J240" s="8"/>
      <c r="K240" s="7">
        <f>VLOOKUP(J240,'Win Methods'!$C$4:$F$379,4,FALSE)</f>
        <v>0</v>
      </c>
      <c r="L240" s="8"/>
      <c r="M240" s="7">
        <f>VLOOKUP(L240,'Win Methods'!$C$4:$F$379,4,FALSE)</f>
        <v>0</v>
      </c>
      <c r="N240" s="8"/>
      <c r="O240" s="7">
        <f>VLOOKUP(N240,'Win Methods'!$C$4:$F$379,4,FALSE)</f>
        <v>0</v>
      </c>
      <c r="P240" s="8"/>
      <c r="Q240" s="7">
        <f>VLOOKUP(P240,'Win Methods'!$C$4:$F$379,4,FALSE)</f>
        <v>0</v>
      </c>
      <c r="R240" s="8"/>
      <c r="S240" s="7">
        <f>VLOOKUP(R240,'Win Methods'!$C$4:$F$379,4,FALSE)</f>
        <v>0</v>
      </c>
      <c r="T240" s="8"/>
      <c r="U240" s="7">
        <f>VLOOKUP(T240,'Win Methods'!$C$4:$F$379,4,FALSE)</f>
        <v>0</v>
      </c>
      <c r="V240" s="8"/>
      <c r="W240" s="7">
        <f>VLOOKUP(V240,'Win Methods'!$C$4:$F$379,4,FALSE)</f>
        <v>0</v>
      </c>
      <c r="X240" s="117" t="str">
        <f t="shared" si="7"/>
        <v>main-18|freeplayA-15||||||||</v>
      </c>
    </row>
    <row r="241" spans="2:24" ht="13.95" customHeight="1">
      <c r="B241" s="116">
        <v>238</v>
      </c>
      <c r="C241" s="7">
        <f t="shared" si="6"/>
        <v>5.0999999999999996</v>
      </c>
      <c r="D241" s="8" t="s">
        <v>5</v>
      </c>
      <c r="E241" s="7">
        <f>VLOOKUP(D241,'Win Methods'!$C$4:$F$379,4,FALSE)</f>
        <v>0.1</v>
      </c>
      <c r="F241" s="197" t="s">
        <v>56</v>
      </c>
      <c r="G241" s="7">
        <f>VLOOKUP(F241,'Win Methods'!$C$4:$F$379,4,FALSE)</f>
        <v>2</v>
      </c>
      <c r="H241" s="107" t="s">
        <v>82</v>
      </c>
      <c r="I241" s="7">
        <f>VLOOKUP(H241,'Win Methods'!$C$4:$F$379,4,FALSE)</f>
        <v>3</v>
      </c>
      <c r="J241" s="8"/>
      <c r="K241" s="7">
        <f>VLOOKUP(J241,'Win Methods'!$C$4:$F$379,4,FALSE)</f>
        <v>0</v>
      </c>
      <c r="L241" s="8"/>
      <c r="M241" s="7">
        <f>VLOOKUP(L241,'Win Methods'!$C$4:$F$379,4,FALSE)</f>
        <v>0</v>
      </c>
      <c r="N241" s="8"/>
      <c r="O241" s="7">
        <f>VLOOKUP(N241,'Win Methods'!$C$4:$F$379,4,FALSE)</f>
        <v>0</v>
      </c>
      <c r="P241" s="8"/>
      <c r="Q241" s="7">
        <f>VLOOKUP(P241,'Win Methods'!$C$4:$F$379,4,FALSE)</f>
        <v>0</v>
      </c>
      <c r="R241" s="8"/>
      <c r="S241" s="7">
        <f>VLOOKUP(R241,'Win Methods'!$C$4:$F$379,4,FALSE)</f>
        <v>0</v>
      </c>
      <c r="T241" s="8"/>
      <c r="U241" s="7">
        <f>VLOOKUP(T241,'Win Methods'!$C$4:$F$379,4,FALSE)</f>
        <v>0</v>
      </c>
      <c r="V241" s="8"/>
      <c r="W241" s="7">
        <f>VLOOKUP(V241,'Win Methods'!$C$4:$F$379,4,FALSE)</f>
        <v>0</v>
      </c>
      <c r="X241" s="117" t="str">
        <f t="shared" si="7"/>
        <v>main-0|wild-11|freeplayA-14|||||||</v>
      </c>
    </row>
    <row r="242" spans="2:24" ht="13.95" customHeight="1">
      <c r="B242" s="116">
        <v>239</v>
      </c>
      <c r="C242" s="7">
        <f t="shared" si="6"/>
        <v>6.2</v>
      </c>
      <c r="D242" s="8" t="s">
        <v>8</v>
      </c>
      <c r="E242" s="7">
        <f>VLOOKUP(D242,'Win Methods'!$C$4:$F$379,4,FALSE)</f>
        <v>0.2</v>
      </c>
      <c r="F242" s="197" t="s">
        <v>57</v>
      </c>
      <c r="G242" s="7">
        <f>VLOOKUP(F242,'Win Methods'!$C$4:$F$379,4,FALSE)</f>
        <v>3</v>
      </c>
      <c r="H242" s="107" t="s">
        <v>85</v>
      </c>
      <c r="I242" s="7">
        <f>VLOOKUP(H242,'Win Methods'!$C$4:$F$379,4,FALSE)</f>
        <v>3</v>
      </c>
      <c r="J242" s="8"/>
      <c r="K242" s="7">
        <f>VLOOKUP(J242,'Win Methods'!$C$4:$F$379,4,FALSE)</f>
        <v>0</v>
      </c>
      <c r="L242" s="8"/>
      <c r="M242" s="7">
        <f>VLOOKUP(L242,'Win Methods'!$C$4:$F$379,4,FALSE)</f>
        <v>0</v>
      </c>
      <c r="N242" s="8"/>
      <c r="O242" s="7">
        <f>VLOOKUP(N242,'Win Methods'!$C$4:$F$379,4,FALSE)</f>
        <v>0</v>
      </c>
      <c r="P242" s="8"/>
      <c r="Q242" s="7">
        <f>VLOOKUP(P242,'Win Methods'!$C$4:$F$379,4,FALSE)</f>
        <v>0</v>
      </c>
      <c r="R242" s="8"/>
      <c r="S242" s="7">
        <f>VLOOKUP(R242,'Win Methods'!$C$4:$F$379,4,FALSE)</f>
        <v>0</v>
      </c>
      <c r="T242" s="8"/>
      <c r="U242" s="7">
        <f>VLOOKUP(T242,'Win Methods'!$C$4:$F$379,4,FALSE)</f>
        <v>0</v>
      </c>
      <c r="V242" s="8"/>
      <c r="W242" s="7">
        <f>VLOOKUP(V242,'Win Methods'!$C$4:$F$379,4,FALSE)</f>
        <v>0</v>
      </c>
      <c r="X242" s="117" t="str">
        <f t="shared" si="7"/>
        <v>main-1|wild-12|freeplayA-17|||||||</v>
      </c>
    </row>
    <row r="243" spans="2:24" ht="13.95" customHeight="1">
      <c r="B243" s="116">
        <v>240</v>
      </c>
      <c r="C243" s="7">
        <f t="shared" si="6"/>
        <v>11.399999999999999</v>
      </c>
      <c r="D243" s="8" t="s">
        <v>5</v>
      </c>
      <c r="E243" s="7">
        <f>VLOOKUP(D243,'Win Methods'!$C$4:$F$379,4,FALSE)</f>
        <v>0.1</v>
      </c>
      <c r="F243" s="8" t="s">
        <v>5</v>
      </c>
      <c r="G243" s="7">
        <f>VLOOKUP(F243,'Win Methods'!$C$4:$F$379,4,FALSE)</f>
        <v>0.1</v>
      </c>
      <c r="H243" s="107" t="s">
        <v>92</v>
      </c>
      <c r="I243" s="7">
        <f>VLOOKUP(H243,'Win Methods'!$C$4:$F$379,4,FALSE)</f>
        <v>11.2</v>
      </c>
      <c r="J243" s="8"/>
      <c r="K243" s="7">
        <f>VLOOKUP(J243,'Win Methods'!$C$4:$F$379,4,FALSE)</f>
        <v>0</v>
      </c>
      <c r="L243" s="8"/>
      <c r="M243" s="7">
        <f>VLOOKUP(L243,'Win Methods'!$C$4:$F$379,4,FALSE)</f>
        <v>0</v>
      </c>
      <c r="N243" s="8"/>
      <c r="O243" s="7">
        <f>VLOOKUP(N243,'Win Methods'!$C$4:$F$379,4,FALSE)</f>
        <v>0</v>
      </c>
      <c r="P243" s="8"/>
      <c r="Q243" s="7">
        <f>VLOOKUP(P243,'Win Methods'!$C$4:$F$379,4,FALSE)</f>
        <v>0</v>
      </c>
      <c r="R243" s="8"/>
      <c r="S243" s="7">
        <f>VLOOKUP(R243,'Win Methods'!$C$4:$F$379,4,FALSE)</f>
        <v>0</v>
      </c>
      <c r="T243" s="8"/>
      <c r="U243" s="7">
        <f>VLOOKUP(T243,'Win Methods'!$C$4:$F$379,4,FALSE)</f>
        <v>0</v>
      </c>
      <c r="V243" s="8"/>
      <c r="W243" s="7">
        <f>VLOOKUP(V243,'Win Methods'!$C$4:$F$379,4,FALSE)</f>
        <v>0</v>
      </c>
      <c r="X243" s="117" t="str">
        <f t="shared" si="7"/>
        <v>main-0|main-0|freeplayA-24|||||||</v>
      </c>
    </row>
    <row r="244" spans="2:24" ht="13.95" customHeight="1">
      <c r="B244" s="116">
        <v>241</v>
      </c>
      <c r="C244" s="7">
        <f t="shared" si="6"/>
        <v>5.3</v>
      </c>
      <c r="D244" s="8" t="s">
        <v>5</v>
      </c>
      <c r="E244" s="7">
        <f>VLOOKUP(D244,'Win Methods'!$C$4:$F$379,4,FALSE)</f>
        <v>0.1</v>
      </c>
      <c r="F244" s="8" t="s">
        <v>8</v>
      </c>
      <c r="G244" s="7">
        <f>VLOOKUP(F244,'Win Methods'!$C$4:$F$379,4,FALSE)</f>
        <v>0.2</v>
      </c>
      <c r="H244" s="107" t="s">
        <v>93</v>
      </c>
      <c r="I244" s="7">
        <f>VLOOKUP(H244,'Win Methods'!$C$4:$F$379,4,FALSE)</f>
        <v>5</v>
      </c>
      <c r="J244" s="8"/>
      <c r="K244" s="7">
        <f>VLOOKUP(J244,'Win Methods'!$C$4:$F$379,4,FALSE)</f>
        <v>0</v>
      </c>
      <c r="L244" s="8"/>
      <c r="M244" s="7">
        <f>VLOOKUP(L244,'Win Methods'!$C$4:$F$379,4,FALSE)</f>
        <v>0</v>
      </c>
      <c r="N244" s="8"/>
      <c r="O244" s="7">
        <f>VLOOKUP(N244,'Win Methods'!$C$4:$F$379,4,FALSE)</f>
        <v>0</v>
      </c>
      <c r="P244" s="8"/>
      <c r="Q244" s="7">
        <f>VLOOKUP(P244,'Win Methods'!$C$4:$F$379,4,FALSE)</f>
        <v>0</v>
      </c>
      <c r="R244" s="8"/>
      <c r="S244" s="7">
        <f>VLOOKUP(R244,'Win Methods'!$C$4:$F$379,4,FALSE)</f>
        <v>0</v>
      </c>
      <c r="T244" s="8"/>
      <c r="U244" s="7">
        <f>VLOOKUP(T244,'Win Methods'!$C$4:$F$379,4,FALSE)</f>
        <v>0</v>
      </c>
      <c r="V244" s="8"/>
      <c r="W244" s="7">
        <f>VLOOKUP(V244,'Win Methods'!$C$4:$F$379,4,FALSE)</f>
        <v>0</v>
      </c>
      <c r="X244" s="117" t="str">
        <f t="shared" si="7"/>
        <v>main-0|main-1|freeplayA-25|||||||</v>
      </c>
    </row>
    <row r="245" spans="2:24" ht="13.95" customHeight="1">
      <c r="B245" s="116">
        <v>242</v>
      </c>
      <c r="C245" s="7">
        <f t="shared" si="6"/>
        <v>10</v>
      </c>
      <c r="D245" s="8" t="s">
        <v>11</v>
      </c>
      <c r="E245" s="7">
        <f>VLOOKUP(D245,'Win Methods'!$C$4:$F$379,4,FALSE)</f>
        <v>2</v>
      </c>
      <c r="F245" s="197" t="s">
        <v>60</v>
      </c>
      <c r="G245" s="7">
        <f>VLOOKUP(F245,'Win Methods'!$C$4:$F$379,4,FALSE)</f>
        <v>3</v>
      </c>
      <c r="H245" s="107" t="s">
        <v>94</v>
      </c>
      <c r="I245" s="7">
        <f>VLOOKUP(H245,'Win Methods'!$C$4:$F$379,4,FALSE)</f>
        <v>5</v>
      </c>
      <c r="J245" s="8"/>
      <c r="K245" s="7">
        <f>VLOOKUP(J245,'Win Methods'!$C$4:$F$379,4,FALSE)</f>
        <v>0</v>
      </c>
      <c r="L245" s="8"/>
      <c r="M245" s="7">
        <f>VLOOKUP(L245,'Win Methods'!$C$4:$F$379,4,FALSE)</f>
        <v>0</v>
      </c>
      <c r="N245" s="8"/>
      <c r="O245" s="7">
        <f>VLOOKUP(N245,'Win Methods'!$C$4:$F$379,4,FALSE)</f>
        <v>0</v>
      </c>
      <c r="P245" s="8"/>
      <c r="Q245" s="7">
        <f>VLOOKUP(P245,'Win Methods'!$C$4:$F$379,4,FALSE)</f>
        <v>0</v>
      </c>
      <c r="R245" s="8"/>
      <c r="S245" s="7">
        <f>VLOOKUP(R245,'Win Methods'!$C$4:$F$379,4,FALSE)</f>
        <v>0</v>
      </c>
      <c r="T245" s="8"/>
      <c r="U245" s="7">
        <f>VLOOKUP(T245,'Win Methods'!$C$4:$F$379,4,FALSE)</f>
        <v>0</v>
      </c>
      <c r="V245" s="8"/>
      <c r="W245" s="7">
        <f>VLOOKUP(V245,'Win Methods'!$C$4:$F$379,4,FALSE)</f>
        <v>0</v>
      </c>
      <c r="X245" s="117" t="str">
        <f t="shared" si="7"/>
        <v>main-4|wild-15|freeplayA-26|||||||</v>
      </c>
    </row>
    <row r="246" spans="2:24" ht="13.95" customHeight="1">
      <c r="B246" s="116">
        <v>243</v>
      </c>
      <c r="C246" s="7">
        <f t="shared" si="6"/>
        <v>15</v>
      </c>
      <c r="D246" s="8" t="s">
        <v>12</v>
      </c>
      <c r="E246" s="7">
        <f>VLOOKUP(D246,'Win Methods'!$C$4:$F$379,4,FALSE)</f>
        <v>5</v>
      </c>
      <c r="F246" s="197" t="s">
        <v>61</v>
      </c>
      <c r="G246" s="7">
        <f>VLOOKUP(F246,'Win Methods'!$C$4:$F$379,4,FALSE)</f>
        <v>5</v>
      </c>
      <c r="H246" s="107" t="s">
        <v>74</v>
      </c>
      <c r="I246" s="7">
        <f>VLOOKUP(H246,'Win Methods'!$C$4:$F$379,4,FALSE)</f>
        <v>5</v>
      </c>
      <c r="J246" s="8"/>
      <c r="K246" s="7">
        <f>VLOOKUP(J246,'Win Methods'!$C$4:$F$379,4,FALSE)</f>
        <v>0</v>
      </c>
      <c r="L246" s="8"/>
      <c r="M246" s="7">
        <f>VLOOKUP(L246,'Win Methods'!$C$4:$F$379,4,FALSE)</f>
        <v>0</v>
      </c>
      <c r="N246" s="8"/>
      <c r="O246" s="7">
        <f>VLOOKUP(N246,'Win Methods'!$C$4:$F$379,4,FALSE)</f>
        <v>0</v>
      </c>
      <c r="P246" s="8"/>
      <c r="Q246" s="7">
        <f>VLOOKUP(P246,'Win Methods'!$C$4:$F$379,4,FALSE)</f>
        <v>0</v>
      </c>
      <c r="R246" s="8"/>
      <c r="S246" s="7">
        <f>VLOOKUP(R246,'Win Methods'!$C$4:$F$379,4,FALSE)</f>
        <v>0</v>
      </c>
      <c r="T246" s="8"/>
      <c r="U246" s="7">
        <f>VLOOKUP(T246,'Win Methods'!$C$4:$F$379,4,FALSE)</f>
        <v>0</v>
      </c>
      <c r="V246" s="8"/>
      <c r="W246" s="7">
        <f>VLOOKUP(V246,'Win Methods'!$C$4:$F$379,4,FALSE)</f>
        <v>0</v>
      </c>
      <c r="X246" s="117" t="str">
        <f t="shared" si="7"/>
        <v>main-5|wild-16|freeplayA-6|||||||</v>
      </c>
    </row>
    <row r="247" spans="2:24" ht="13.95" customHeight="1">
      <c r="B247" s="116">
        <v>244</v>
      </c>
      <c r="C247" s="7">
        <f t="shared" si="6"/>
        <v>3.3</v>
      </c>
      <c r="D247" s="8" t="s">
        <v>5</v>
      </c>
      <c r="E247" s="7">
        <f>VLOOKUP(D247,'Win Methods'!$C$4:$F$379,4,FALSE)</f>
        <v>0.1</v>
      </c>
      <c r="F247" s="8" t="s">
        <v>9</v>
      </c>
      <c r="G247" s="7">
        <f>VLOOKUP(F247,'Win Methods'!$C$4:$F$379,4,FALSE)</f>
        <v>0.5</v>
      </c>
      <c r="H247" s="197" t="s">
        <v>56</v>
      </c>
      <c r="I247" s="7">
        <f>VLOOKUP(H247,'Win Methods'!$C$4:$F$379,4,FALSE)</f>
        <v>2</v>
      </c>
      <c r="J247" s="107" t="s">
        <v>67</v>
      </c>
      <c r="K247" s="7">
        <f>VLOOKUP(J247,'Win Methods'!$C$4:$F$379,4,FALSE)</f>
        <v>0.7</v>
      </c>
      <c r="L247" s="8"/>
      <c r="M247" s="7">
        <f>VLOOKUP(L247,'Win Methods'!$C$4:$F$379,4,FALSE)</f>
        <v>0</v>
      </c>
      <c r="N247" s="8"/>
      <c r="O247" s="7">
        <f>VLOOKUP(N247,'Win Methods'!$C$4:$F$379,4,FALSE)</f>
        <v>0</v>
      </c>
      <c r="P247" s="8"/>
      <c r="Q247" s="7">
        <f>VLOOKUP(P247,'Win Methods'!$C$4:$F$379,4,FALSE)</f>
        <v>0</v>
      </c>
      <c r="R247" s="8"/>
      <c r="S247" s="7">
        <f>VLOOKUP(R247,'Win Methods'!$C$4:$F$379,4,FALSE)</f>
        <v>0</v>
      </c>
      <c r="T247" s="8"/>
      <c r="U247" s="7">
        <f>VLOOKUP(T247,'Win Methods'!$C$4:$F$379,4,FALSE)</f>
        <v>0</v>
      </c>
      <c r="V247" s="8"/>
      <c r="W247" s="7">
        <f>VLOOKUP(V247,'Win Methods'!$C$4:$F$379,4,FALSE)</f>
        <v>0</v>
      </c>
      <c r="X247" s="117" t="str">
        <f t="shared" si="7"/>
        <v>main-0|main-2|wild-11|freeplayA-0||||||</v>
      </c>
    </row>
    <row r="248" spans="2:24" ht="13.95" customHeight="1">
      <c r="B248" s="116">
        <v>245</v>
      </c>
      <c r="C248" s="7">
        <f t="shared" si="6"/>
        <v>6.7</v>
      </c>
      <c r="D248" s="8" t="s">
        <v>8</v>
      </c>
      <c r="E248" s="7">
        <f>VLOOKUP(D248,'Win Methods'!$C$4:$F$379,4,FALSE)</f>
        <v>0.2</v>
      </c>
      <c r="F248" s="8" t="s">
        <v>9</v>
      </c>
      <c r="G248" s="7">
        <f>VLOOKUP(F248,'Win Methods'!$C$4:$F$379,4,FALSE)</f>
        <v>0.5</v>
      </c>
      <c r="H248" s="197" t="s">
        <v>57</v>
      </c>
      <c r="I248" s="7">
        <f>VLOOKUP(H248,'Win Methods'!$C$4:$F$379,4,FALSE)</f>
        <v>3</v>
      </c>
      <c r="J248" s="107" t="s">
        <v>69</v>
      </c>
      <c r="K248" s="7">
        <f>VLOOKUP(J248,'Win Methods'!$C$4:$F$379,4,FALSE)</f>
        <v>3</v>
      </c>
      <c r="L248" s="8"/>
      <c r="M248" s="7">
        <f>VLOOKUP(L248,'Win Methods'!$C$4:$F$379,4,FALSE)</f>
        <v>0</v>
      </c>
      <c r="N248" s="8"/>
      <c r="O248" s="7">
        <f>VLOOKUP(N248,'Win Methods'!$C$4:$F$379,4,FALSE)</f>
        <v>0</v>
      </c>
      <c r="P248" s="8"/>
      <c r="Q248" s="7">
        <f>VLOOKUP(P248,'Win Methods'!$C$4:$F$379,4,FALSE)</f>
        <v>0</v>
      </c>
      <c r="R248" s="8"/>
      <c r="S248" s="7">
        <f>VLOOKUP(R248,'Win Methods'!$C$4:$F$379,4,FALSE)</f>
        <v>0</v>
      </c>
      <c r="T248" s="8"/>
      <c r="U248" s="7">
        <f>VLOOKUP(T248,'Win Methods'!$C$4:$F$379,4,FALSE)</f>
        <v>0</v>
      </c>
      <c r="V248" s="8"/>
      <c r="W248" s="7">
        <f>VLOOKUP(V248,'Win Methods'!$C$4:$F$379,4,FALSE)</f>
        <v>0</v>
      </c>
      <c r="X248" s="117" t="str">
        <f t="shared" si="7"/>
        <v>main-1|main-2|wild-12|freeplayA-1||||||</v>
      </c>
    </row>
    <row r="249" spans="2:24" ht="13.95" customHeight="1">
      <c r="B249" s="116">
        <v>246</v>
      </c>
      <c r="C249" s="7">
        <f t="shared" si="6"/>
        <v>6.6</v>
      </c>
      <c r="D249" s="8" t="s">
        <v>10</v>
      </c>
      <c r="E249" s="7">
        <f>VLOOKUP(D249,'Win Methods'!$C$4:$F$379,4,FALSE)</f>
        <v>1</v>
      </c>
      <c r="F249" s="8" t="s">
        <v>5</v>
      </c>
      <c r="G249" s="7">
        <f>VLOOKUP(F249,'Win Methods'!$C$4:$F$379,4,FALSE)</f>
        <v>0.1</v>
      </c>
      <c r="H249" s="197" t="s">
        <v>58</v>
      </c>
      <c r="I249" s="7">
        <f>VLOOKUP(H249,'Win Methods'!$C$4:$F$379,4,FALSE)</f>
        <v>5</v>
      </c>
      <c r="J249" s="107" t="s">
        <v>70</v>
      </c>
      <c r="K249" s="7">
        <f>VLOOKUP(J249,'Win Methods'!$C$4:$F$379,4,FALSE)</f>
        <v>0.5</v>
      </c>
      <c r="L249" s="8"/>
      <c r="M249" s="7">
        <f>VLOOKUP(L249,'Win Methods'!$C$4:$F$379,4,FALSE)</f>
        <v>0</v>
      </c>
      <c r="N249" s="8"/>
      <c r="O249" s="7">
        <f>VLOOKUP(N249,'Win Methods'!$C$4:$F$379,4,FALSE)</f>
        <v>0</v>
      </c>
      <c r="P249" s="8"/>
      <c r="Q249" s="7">
        <f>VLOOKUP(P249,'Win Methods'!$C$4:$F$379,4,FALSE)</f>
        <v>0</v>
      </c>
      <c r="R249" s="8"/>
      <c r="S249" s="7">
        <f>VLOOKUP(R249,'Win Methods'!$C$4:$F$379,4,FALSE)</f>
        <v>0</v>
      </c>
      <c r="T249" s="8"/>
      <c r="U249" s="7">
        <f>VLOOKUP(T249,'Win Methods'!$C$4:$F$379,4,FALSE)</f>
        <v>0</v>
      </c>
      <c r="V249" s="8"/>
      <c r="W249" s="7">
        <f>VLOOKUP(V249,'Win Methods'!$C$4:$F$379,4,FALSE)</f>
        <v>0</v>
      </c>
      <c r="X249" s="117" t="str">
        <f t="shared" si="7"/>
        <v>main-3|main-0|wild-13|freeplayA-2||||||</v>
      </c>
    </row>
    <row r="250" spans="2:24" ht="13.95" customHeight="1">
      <c r="B250" s="116">
        <v>247</v>
      </c>
      <c r="C250" s="7">
        <f t="shared" si="6"/>
        <v>13.1</v>
      </c>
      <c r="D250" s="8" t="s">
        <v>32</v>
      </c>
      <c r="E250" s="7">
        <f>VLOOKUP(D250,'Win Methods'!$C$4:$F$379,4,FALSE)</f>
        <v>3</v>
      </c>
      <c r="F250" s="8" t="s">
        <v>33</v>
      </c>
      <c r="G250" s="7">
        <f>VLOOKUP(F250,'Win Methods'!$C$4:$F$379,4,FALSE)</f>
        <v>5</v>
      </c>
      <c r="H250" s="8" t="s">
        <v>12</v>
      </c>
      <c r="I250" s="7">
        <f>VLOOKUP(H250,'Win Methods'!$C$4:$F$379,4,FALSE)</f>
        <v>5</v>
      </c>
      <c r="J250" s="107" t="s">
        <v>71</v>
      </c>
      <c r="K250" s="7">
        <f>VLOOKUP(J250,'Win Methods'!$C$4:$F$379,4,FALSE)</f>
        <v>0.1</v>
      </c>
      <c r="L250" s="8"/>
      <c r="M250" s="7">
        <f>VLOOKUP(L250,'Win Methods'!$C$4:$F$379,4,FALSE)</f>
        <v>0</v>
      </c>
      <c r="N250" s="8"/>
      <c r="O250" s="7">
        <f>VLOOKUP(N250,'Win Methods'!$C$4:$F$379,4,FALSE)</f>
        <v>0</v>
      </c>
      <c r="P250" s="8"/>
      <c r="Q250" s="7">
        <f>VLOOKUP(P250,'Win Methods'!$C$4:$F$379,4,FALSE)</f>
        <v>0</v>
      </c>
      <c r="R250" s="8"/>
      <c r="S250" s="7">
        <f>VLOOKUP(R250,'Win Methods'!$C$4:$F$379,4,FALSE)</f>
        <v>0</v>
      </c>
      <c r="T250" s="8"/>
      <c r="U250" s="7">
        <f>VLOOKUP(T250,'Win Methods'!$C$4:$F$379,4,FALSE)</f>
        <v>0</v>
      </c>
      <c r="V250" s="8"/>
      <c r="W250" s="7">
        <f>VLOOKUP(V250,'Win Methods'!$C$4:$F$379,4,FALSE)</f>
        <v>0</v>
      </c>
      <c r="X250" s="117" t="str">
        <f t="shared" si="7"/>
        <v>main-18|main-19|main-5|freeplayA-3||||||</v>
      </c>
    </row>
    <row r="251" spans="2:24" ht="13.95" customHeight="1">
      <c r="B251" s="116">
        <v>248</v>
      </c>
      <c r="C251" s="7">
        <f t="shared" si="6"/>
        <v>13.7</v>
      </c>
      <c r="D251" s="8" t="s">
        <v>10</v>
      </c>
      <c r="E251" s="7">
        <f>VLOOKUP(D251,'Win Methods'!$C$4:$F$379,4,FALSE)</f>
        <v>1</v>
      </c>
      <c r="F251" s="8" t="s">
        <v>34</v>
      </c>
      <c r="G251" s="7">
        <f>VLOOKUP(F251,'Win Methods'!$C$4:$F$379,4,FALSE)</f>
        <v>10</v>
      </c>
      <c r="H251" s="8" t="s">
        <v>11</v>
      </c>
      <c r="I251" s="7">
        <f>VLOOKUP(H251,'Win Methods'!$C$4:$F$379,4,FALSE)</f>
        <v>2</v>
      </c>
      <c r="J251" s="107" t="s">
        <v>72</v>
      </c>
      <c r="K251" s="7">
        <f>VLOOKUP(J251,'Win Methods'!$C$4:$F$379,4,FALSE)</f>
        <v>0.7</v>
      </c>
      <c r="L251" s="8"/>
      <c r="M251" s="7">
        <f>VLOOKUP(L251,'Win Methods'!$C$4:$F$379,4,FALSE)</f>
        <v>0</v>
      </c>
      <c r="N251" s="8"/>
      <c r="O251" s="7">
        <f>VLOOKUP(N251,'Win Methods'!$C$4:$F$379,4,FALSE)</f>
        <v>0</v>
      </c>
      <c r="P251" s="8"/>
      <c r="Q251" s="7">
        <f>VLOOKUP(P251,'Win Methods'!$C$4:$F$379,4,FALSE)</f>
        <v>0</v>
      </c>
      <c r="R251" s="8"/>
      <c r="S251" s="7">
        <f>VLOOKUP(R251,'Win Methods'!$C$4:$F$379,4,FALSE)</f>
        <v>0</v>
      </c>
      <c r="T251" s="8"/>
      <c r="U251" s="7">
        <f>VLOOKUP(T251,'Win Methods'!$C$4:$F$379,4,FALSE)</f>
        <v>0</v>
      </c>
      <c r="V251" s="8"/>
      <c r="W251" s="7">
        <f>VLOOKUP(V251,'Win Methods'!$C$4:$F$379,4,FALSE)</f>
        <v>0</v>
      </c>
      <c r="X251" s="117" t="str">
        <f t="shared" si="7"/>
        <v>main-3|main-20|main-4|freeplayA-4||||||</v>
      </c>
    </row>
    <row r="252" spans="2:24" ht="13.95" customHeight="1">
      <c r="B252" s="116">
        <v>249</v>
      </c>
      <c r="C252" s="7">
        <f t="shared" si="6"/>
        <v>20</v>
      </c>
      <c r="D252" s="8" t="s">
        <v>12</v>
      </c>
      <c r="E252" s="7">
        <f>VLOOKUP(D252,'Win Methods'!$C$4:$F$379,4,FALSE)</f>
        <v>5</v>
      </c>
      <c r="F252" s="8" t="s">
        <v>39</v>
      </c>
      <c r="G252" s="7">
        <f>VLOOKUP(F252,'Win Methods'!$C$4:$F$379,4,FALSE)</f>
        <v>5</v>
      </c>
      <c r="H252" s="197" t="s">
        <v>58</v>
      </c>
      <c r="I252" s="7">
        <f>VLOOKUP(H252,'Win Methods'!$C$4:$F$379,4,FALSE)</f>
        <v>5</v>
      </c>
      <c r="J252" s="107" t="s">
        <v>73</v>
      </c>
      <c r="K252" s="7">
        <f>VLOOKUP(J252,'Win Methods'!$C$4:$F$379,4,FALSE)</f>
        <v>5</v>
      </c>
      <c r="L252" s="8"/>
      <c r="M252" s="7">
        <f>VLOOKUP(L252,'Win Methods'!$C$4:$F$379,4,FALSE)</f>
        <v>0</v>
      </c>
      <c r="N252" s="8"/>
      <c r="O252" s="7">
        <f>VLOOKUP(N252,'Win Methods'!$C$4:$F$379,4,FALSE)</f>
        <v>0</v>
      </c>
      <c r="P252" s="8"/>
      <c r="Q252" s="7">
        <f>VLOOKUP(P252,'Win Methods'!$C$4:$F$379,4,FALSE)</f>
        <v>0</v>
      </c>
      <c r="R252" s="8"/>
      <c r="S252" s="7">
        <f>VLOOKUP(R252,'Win Methods'!$C$4:$F$379,4,FALSE)</f>
        <v>0</v>
      </c>
      <c r="T252" s="8"/>
      <c r="U252" s="7">
        <f>VLOOKUP(T252,'Win Methods'!$C$4:$F$379,4,FALSE)</f>
        <v>0</v>
      </c>
      <c r="V252" s="8"/>
      <c r="W252" s="7">
        <f>VLOOKUP(V252,'Win Methods'!$C$4:$F$379,4,FALSE)</f>
        <v>0</v>
      </c>
      <c r="X252" s="117" t="str">
        <f t="shared" si="7"/>
        <v>main-5|main-25|wild-13|freeplayA-5||||||</v>
      </c>
    </row>
    <row r="253" spans="2:24" ht="13.95" customHeight="1">
      <c r="B253" s="116">
        <v>250</v>
      </c>
      <c r="C253" s="7">
        <f t="shared" si="6"/>
        <v>28.2</v>
      </c>
      <c r="D253" s="8" t="s">
        <v>12</v>
      </c>
      <c r="E253" s="7">
        <f>VLOOKUP(D253,'Win Methods'!$C$4:$F$379,4,FALSE)</f>
        <v>5</v>
      </c>
      <c r="F253" s="8" t="s">
        <v>40</v>
      </c>
      <c r="G253" s="7">
        <f>VLOOKUP(F253,'Win Methods'!$C$4:$F$379,4,FALSE)</f>
        <v>10</v>
      </c>
      <c r="H253" s="197" t="s">
        <v>59</v>
      </c>
      <c r="I253" s="7">
        <f>VLOOKUP(H253,'Win Methods'!$C$4:$F$379,4,FALSE)</f>
        <v>2</v>
      </c>
      <c r="J253" s="107" t="s">
        <v>92</v>
      </c>
      <c r="K253" s="7">
        <f>VLOOKUP(J253,'Win Methods'!$C$4:$F$379,4,FALSE)</f>
        <v>11.2</v>
      </c>
      <c r="L253" s="8"/>
      <c r="M253" s="7">
        <f>VLOOKUP(L253,'Win Methods'!$C$4:$F$379,4,FALSE)</f>
        <v>0</v>
      </c>
      <c r="N253" s="8"/>
      <c r="O253" s="7">
        <f>VLOOKUP(N253,'Win Methods'!$C$4:$F$379,4,FALSE)</f>
        <v>0</v>
      </c>
      <c r="P253" s="8"/>
      <c r="Q253" s="7">
        <f>VLOOKUP(P253,'Win Methods'!$C$4:$F$379,4,FALSE)</f>
        <v>0</v>
      </c>
      <c r="R253" s="8"/>
      <c r="S253" s="7">
        <f>VLOOKUP(R253,'Win Methods'!$C$4:$F$379,4,FALSE)</f>
        <v>0</v>
      </c>
      <c r="T253" s="8"/>
      <c r="U253" s="7">
        <f>VLOOKUP(T253,'Win Methods'!$C$4:$F$379,4,FALSE)</f>
        <v>0</v>
      </c>
      <c r="V253" s="8"/>
      <c r="W253" s="7">
        <f>VLOOKUP(V253,'Win Methods'!$C$4:$F$379,4,FALSE)</f>
        <v>0</v>
      </c>
      <c r="X253" s="117" t="str">
        <f t="shared" si="7"/>
        <v>main-5|main-26|wild-14|freeplayA-24||||||</v>
      </c>
    </row>
    <row r="254" spans="2:24" ht="13.95" customHeight="1">
      <c r="B254" s="116">
        <v>251</v>
      </c>
      <c r="C254" s="7">
        <f t="shared" si="6"/>
        <v>11.2</v>
      </c>
      <c r="D254" s="8" t="s">
        <v>10</v>
      </c>
      <c r="E254" s="7">
        <f>VLOOKUP(D254,'Win Methods'!$C$4:$F$379,4,FALSE)</f>
        <v>1</v>
      </c>
      <c r="F254" s="8" t="s">
        <v>12</v>
      </c>
      <c r="G254" s="7">
        <f>VLOOKUP(F254,'Win Methods'!$C$4:$F$379,4,FALSE)</f>
        <v>5</v>
      </c>
      <c r="H254" s="8" t="s">
        <v>33</v>
      </c>
      <c r="I254" s="7">
        <f>VLOOKUP(H254,'Win Methods'!$C$4:$F$379,4,FALSE)</f>
        <v>5</v>
      </c>
      <c r="J254" s="107" t="s">
        <v>76</v>
      </c>
      <c r="K254" s="7">
        <f>VLOOKUP(J254,'Win Methods'!$C$4:$F$379,4,FALSE)</f>
        <v>0.2</v>
      </c>
      <c r="L254" s="8"/>
      <c r="M254" s="7">
        <f>VLOOKUP(L254,'Win Methods'!$C$4:$F$379,4,FALSE)</f>
        <v>0</v>
      </c>
      <c r="N254" s="8"/>
      <c r="O254" s="7">
        <f>VLOOKUP(N254,'Win Methods'!$C$4:$F$379,4,FALSE)</f>
        <v>0</v>
      </c>
      <c r="P254" s="8"/>
      <c r="Q254" s="7">
        <f>VLOOKUP(P254,'Win Methods'!$C$4:$F$379,4,FALSE)</f>
        <v>0</v>
      </c>
      <c r="R254" s="8"/>
      <c r="S254" s="7">
        <f>VLOOKUP(R254,'Win Methods'!$C$4:$F$379,4,FALSE)</f>
        <v>0</v>
      </c>
      <c r="T254" s="8"/>
      <c r="U254" s="7">
        <f>VLOOKUP(T254,'Win Methods'!$C$4:$F$379,4,FALSE)</f>
        <v>0</v>
      </c>
      <c r="V254" s="8"/>
      <c r="W254" s="7">
        <f>VLOOKUP(V254,'Win Methods'!$C$4:$F$379,4,FALSE)</f>
        <v>0</v>
      </c>
      <c r="X254" s="117" t="str">
        <f t="shared" si="7"/>
        <v>main-3|main-5|main-19|freeplayA-8||||||</v>
      </c>
    </row>
    <row r="255" spans="2:24" ht="13.95" customHeight="1">
      <c r="B255" s="116">
        <v>252</v>
      </c>
      <c r="C255" s="7">
        <f t="shared" si="6"/>
        <v>18.2</v>
      </c>
      <c r="D255" s="8" t="s">
        <v>12</v>
      </c>
      <c r="E255" s="7">
        <f>VLOOKUP(D255,'Win Methods'!$C$4:$F$379,4,FALSE)</f>
        <v>5</v>
      </c>
      <c r="F255" s="8" t="s">
        <v>40</v>
      </c>
      <c r="G255" s="7">
        <f>VLOOKUP(F255,'Win Methods'!$C$4:$F$379,4,FALSE)</f>
        <v>10</v>
      </c>
      <c r="H255" s="8" t="s">
        <v>8</v>
      </c>
      <c r="I255" s="7">
        <f>VLOOKUP(H255,'Win Methods'!$C$4:$F$379,4,FALSE)</f>
        <v>0.2</v>
      </c>
      <c r="J255" s="107" t="s">
        <v>77</v>
      </c>
      <c r="K255" s="7">
        <f>VLOOKUP(J255,'Win Methods'!$C$4:$F$379,4,FALSE)</f>
        <v>3</v>
      </c>
      <c r="L255" s="8"/>
      <c r="M255" s="7">
        <f>VLOOKUP(L255,'Win Methods'!$C$4:$F$379,4,FALSE)</f>
        <v>0</v>
      </c>
      <c r="N255" s="8"/>
      <c r="O255" s="7">
        <f>VLOOKUP(N255,'Win Methods'!$C$4:$F$379,4,FALSE)</f>
        <v>0</v>
      </c>
      <c r="P255" s="8"/>
      <c r="Q255" s="7">
        <f>VLOOKUP(P255,'Win Methods'!$C$4:$F$379,4,FALSE)</f>
        <v>0</v>
      </c>
      <c r="R255" s="8"/>
      <c r="S255" s="7">
        <f>VLOOKUP(R255,'Win Methods'!$C$4:$F$379,4,FALSE)</f>
        <v>0</v>
      </c>
      <c r="T255" s="8"/>
      <c r="U255" s="7">
        <f>VLOOKUP(T255,'Win Methods'!$C$4:$F$379,4,FALSE)</f>
        <v>0</v>
      </c>
      <c r="V255" s="8"/>
      <c r="W255" s="7">
        <f>VLOOKUP(V255,'Win Methods'!$C$4:$F$379,4,FALSE)</f>
        <v>0</v>
      </c>
      <c r="X255" s="117" t="str">
        <f t="shared" si="7"/>
        <v>main-5|main-26|main-1|freeplayA-9||||||</v>
      </c>
    </row>
    <row r="256" spans="2:24" ht="13.95" customHeight="1">
      <c r="B256" s="116">
        <v>253</v>
      </c>
      <c r="C256" s="7">
        <f t="shared" si="6"/>
        <v>20</v>
      </c>
      <c r="D256" s="8" t="s">
        <v>12</v>
      </c>
      <c r="E256" s="7">
        <f>VLOOKUP(D256,'Win Methods'!$C$4:$F$379,4,FALSE)</f>
        <v>5</v>
      </c>
      <c r="F256" s="8" t="s">
        <v>39</v>
      </c>
      <c r="G256" s="7">
        <f>VLOOKUP(F256,'Win Methods'!$C$4:$F$379,4,FALSE)</f>
        <v>5</v>
      </c>
      <c r="H256" s="8" t="s">
        <v>33</v>
      </c>
      <c r="I256" s="7">
        <f>VLOOKUP(H256,'Win Methods'!$C$4:$F$379,4,FALSE)</f>
        <v>5</v>
      </c>
      <c r="J256" s="107" t="s">
        <v>78</v>
      </c>
      <c r="K256" s="7">
        <f>VLOOKUP(J256,'Win Methods'!$C$4:$F$379,4,FALSE)</f>
        <v>5</v>
      </c>
      <c r="L256" s="8"/>
      <c r="M256" s="7">
        <f>VLOOKUP(L256,'Win Methods'!$C$4:$F$379,4,FALSE)</f>
        <v>0</v>
      </c>
      <c r="N256" s="8"/>
      <c r="O256" s="7">
        <f>VLOOKUP(N256,'Win Methods'!$C$4:$F$379,4,FALSE)</f>
        <v>0</v>
      </c>
      <c r="P256" s="8"/>
      <c r="Q256" s="7">
        <f>VLOOKUP(P256,'Win Methods'!$C$4:$F$379,4,FALSE)</f>
        <v>0</v>
      </c>
      <c r="R256" s="8"/>
      <c r="S256" s="7">
        <f>VLOOKUP(R256,'Win Methods'!$C$4:$F$379,4,FALSE)</f>
        <v>0</v>
      </c>
      <c r="T256" s="8"/>
      <c r="U256" s="7">
        <f>VLOOKUP(T256,'Win Methods'!$C$4:$F$379,4,FALSE)</f>
        <v>0</v>
      </c>
      <c r="V256" s="8"/>
      <c r="W256" s="7">
        <f>VLOOKUP(V256,'Win Methods'!$C$4:$F$379,4,FALSE)</f>
        <v>0</v>
      </c>
      <c r="X256" s="117" t="str">
        <f t="shared" si="7"/>
        <v>main-5|main-25|main-19|freeplayA-10||||||</v>
      </c>
    </row>
    <row r="257" spans="2:24" ht="13.95" customHeight="1">
      <c r="B257" s="116">
        <v>254</v>
      </c>
      <c r="C257" s="7">
        <f t="shared" si="6"/>
        <v>15</v>
      </c>
      <c r="D257" s="8" t="s">
        <v>11</v>
      </c>
      <c r="E257" s="7">
        <f>VLOOKUP(D257,'Win Methods'!$C$4:$F$379,4,FALSE)</f>
        <v>2</v>
      </c>
      <c r="F257" s="8" t="s">
        <v>33</v>
      </c>
      <c r="G257" s="7">
        <f>VLOOKUP(F257,'Win Methods'!$C$4:$F$379,4,FALSE)</f>
        <v>5</v>
      </c>
      <c r="H257" s="8" t="s">
        <v>12</v>
      </c>
      <c r="I257" s="7">
        <f>VLOOKUP(H257,'Win Methods'!$C$4:$F$379,4,FALSE)</f>
        <v>5</v>
      </c>
      <c r="J257" s="107" t="s">
        <v>79</v>
      </c>
      <c r="K257" s="7">
        <f>VLOOKUP(J257,'Win Methods'!$C$4:$F$379,4,FALSE)</f>
        <v>3</v>
      </c>
      <c r="L257" s="8"/>
      <c r="M257" s="7">
        <f>VLOOKUP(L257,'Win Methods'!$C$4:$F$379,4,FALSE)</f>
        <v>0</v>
      </c>
      <c r="N257" s="8"/>
      <c r="O257" s="7">
        <f>VLOOKUP(N257,'Win Methods'!$C$4:$F$379,4,FALSE)</f>
        <v>0</v>
      </c>
      <c r="P257" s="8"/>
      <c r="Q257" s="7">
        <f>VLOOKUP(P257,'Win Methods'!$C$4:$F$379,4,FALSE)</f>
        <v>0</v>
      </c>
      <c r="R257" s="8"/>
      <c r="S257" s="7">
        <f>VLOOKUP(R257,'Win Methods'!$C$4:$F$379,4,FALSE)</f>
        <v>0</v>
      </c>
      <c r="T257" s="8"/>
      <c r="U257" s="7">
        <f>VLOOKUP(T257,'Win Methods'!$C$4:$F$379,4,FALSE)</f>
        <v>0</v>
      </c>
      <c r="V257" s="8"/>
      <c r="W257" s="7">
        <f>VLOOKUP(V257,'Win Methods'!$C$4:$F$379,4,FALSE)</f>
        <v>0</v>
      </c>
      <c r="X257" s="117" t="str">
        <f t="shared" si="7"/>
        <v>main-4|main-19|main-5|freeplayA-11||||||</v>
      </c>
    </row>
    <row r="258" spans="2:24" ht="13.95" customHeight="1">
      <c r="B258" s="116">
        <v>255</v>
      </c>
      <c r="C258" s="7">
        <f t="shared" si="6"/>
        <v>20.8</v>
      </c>
      <c r="D258" s="8" t="s">
        <v>5</v>
      </c>
      <c r="E258" s="7">
        <f>VLOOKUP(D258,'Win Methods'!$C$4:$F$379,4,FALSE)</f>
        <v>0.1</v>
      </c>
      <c r="F258" s="8" t="s">
        <v>41</v>
      </c>
      <c r="G258" s="7">
        <f>VLOOKUP(F258,'Win Methods'!$C$4:$F$379,4,FALSE)</f>
        <v>20</v>
      </c>
      <c r="H258" s="8" t="s">
        <v>9</v>
      </c>
      <c r="I258" s="7">
        <f>VLOOKUP(H258,'Win Methods'!$C$4:$F$379,4,FALSE)</f>
        <v>0.5</v>
      </c>
      <c r="J258" s="107" t="s">
        <v>80</v>
      </c>
      <c r="K258" s="7">
        <f>VLOOKUP(J258,'Win Methods'!$C$4:$F$379,4,FALSE)</f>
        <v>0.2</v>
      </c>
      <c r="L258" s="8"/>
      <c r="M258" s="7">
        <f>VLOOKUP(L258,'Win Methods'!$C$4:$F$379,4,FALSE)</f>
        <v>0</v>
      </c>
      <c r="N258" s="8"/>
      <c r="O258" s="7">
        <f>VLOOKUP(N258,'Win Methods'!$C$4:$F$379,4,FALSE)</f>
        <v>0</v>
      </c>
      <c r="P258" s="8"/>
      <c r="Q258" s="7">
        <f>VLOOKUP(P258,'Win Methods'!$C$4:$F$379,4,FALSE)</f>
        <v>0</v>
      </c>
      <c r="R258" s="8"/>
      <c r="S258" s="7">
        <f>VLOOKUP(R258,'Win Methods'!$C$4:$F$379,4,FALSE)</f>
        <v>0</v>
      </c>
      <c r="T258" s="8"/>
      <c r="U258" s="7">
        <f>VLOOKUP(T258,'Win Methods'!$C$4:$F$379,4,FALSE)</f>
        <v>0</v>
      </c>
      <c r="V258" s="8"/>
      <c r="W258" s="7">
        <f>VLOOKUP(V258,'Win Methods'!$C$4:$F$379,4,FALSE)</f>
        <v>0</v>
      </c>
      <c r="X258" s="117" t="str">
        <f t="shared" si="7"/>
        <v>main-0|main-27|main-2|freeplayA-12||||||</v>
      </c>
    </row>
    <row r="259" spans="2:24" ht="13.95" customHeight="1">
      <c r="B259" s="116">
        <v>256</v>
      </c>
      <c r="C259" s="7">
        <f t="shared" ref="C259:C322" si="8">(E259+G259+I259+K259+M259+O259+Q259+S259+U259+W259)</f>
        <v>35</v>
      </c>
      <c r="D259" s="8" t="s">
        <v>11</v>
      </c>
      <c r="E259" s="7">
        <f>VLOOKUP(D259,'Win Methods'!$C$4:$F$379,4,FALSE)</f>
        <v>2</v>
      </c>
      <c r="F259" s="8" t="s">
        <v>28</v>
      </c>
      <c r="G259" s="7">
        <f>VLOOKUP(F259,'Win Methods'!$C$4:$F$379,4,FALSE)</f>
        <v>10</v>
      </c>
      <c r="H259" s="8" t="s">
        <v>29</v>
      </c>
      <c r="I259" s="7">
        <f>VLOOKUP(H259,'Win Methods'!$C$4:$F$379,4,FALSE)</f>
        <v>20</v>
      </c>
      <c r="J259" s="107" t="s">
        <v>81</v>
      </c>
      <c r="K259" s="7">
        <f>VLOOKUP(J259,'Win Methods'!$C$4:$F$379,4,FALSE)</f>
        <v>3</v>
      </c>
      <c r="L259" s="8"/>
      <c r="M259" s="7">
        <f>VLOOKUP(L259,'Win Methods'!$C$4:$F$379,4,FALSE)</f>
        <v>0</v>
      </c>
      <c r="N259" s="8"/>
      <c r="O259" s="7">
        <f>VLOOKUP(N259,'Win Methods'!$C$4:$F$379,4,FALSE)</f>
        <v>0</v>
      </c>
      <c r="P259" s="8"/>
      <c r="Q259" s="7">
        <f>VLOOKUP(P259,'Win Methods'!$C$4:$F$379,4,FALSE)</f>
        <v>0</v>
      </c>
      <c r="R259" s="8"/>
      <c r="S259" s="7">
        <f>VLOOKUP(R259,'Win Methods'!$C$4:$F$379,4,FALSE)</f>
        <v>0</v>
      </c>
      <c r="T259" s="8"/>
      <c r="U259" s="7">
        <f>VLOOKUP(T259,'Win Methods'!$C$4:$F$379,4,FALSE)</f>
        <v>0</v>
      </c>
      <c r="V259" s="8"/>
      <c r="W259" s="7">
        <f>VLOOKUP(V259,'Win Methods'!$C$4:$F$379,4,FALSE)</f>
        <v>0</v>
      </c>
      <c r="X259" s="117" t="str">
        <f t="shared" ref="X259:X322" si="9">D259&amp;"|"&amp;F259&amp;"|"&amp;H259&amp;"|"&amp;J259&amp;"|"&amp;L259&amp;"|"&amp;N259&amp;"|"&amp;P259&amp;"|"&amp;R259&amp;"|"&amp;T259&amp;"|"&amp;V259</f>
        <v>main-4|main-14|main-15|freeplayA-13||||||</v>
      </c>
    </row>
    <row r="260" spans="2:24" ht="13.95" customHeight="1">
      <c r="B260" s="116">
        <v>257</v>
      </c>
      <c r="C260" s="7">
        <f t="shared" si="8"/>
        <v>106</v>
      </c>
      <c r="D260" s="8" t="s">
        <v>11</v>
      </c>
      <c r="E260" s="7">
        <f>VLOOKUP(D260,'Win Methods'!$C$4:$F$379,4,FALSE)</f>
        <v>2</v>
      </c>
      <c r="F260" s="8" t="s">
        <v>42</v>
      </c>
      <c r="G260" s="7">
        <f>VLOOKUP(F260,'Win Methods'!$C$4:$F$379,4,FALSE)</f>
        <v>100</v>
      </c>
      <c r="H260" s="8" t="s">
        <v>10</v>
      </c>
      <c r="I260" s="7">
        <f>VLOOKUP(H260,'Win Methods'!$C$4:$F$379,4,FALSE)</f>
        <v>1</v>
      </c>
      <c r="J260" s="107" t="s">
        <v>82</v>
      </c>
      <c r="K260" s="7">
        <f>VLOOKUP(J260,'Win Methods'!$C$4:$F$379,4,FALSE)</f>
        <v>3</v>
      </c>
      <c r="L260" s="8"/>
      <c r="M260" s="7">
        <f>VLOOKUP(L260,'Win Methods'!$C$4:$F$379,4,FALSE)</f>
        <v>0</v>
      </c>
      <c r="N260" s="8"/>
      <c r="O260" s="7">
        <f>VLOOKUP(N260,'Win Methods'!$C$4:$F$379,4,FALSE)</f>
        <v>0</v>
      </c>
      <c r="P260" s="8"/>
      <c r="Q260" s="7">
        <f>VLOOKUP(P260,'Win Methods'!$C$4:$F$379,4,FALSE)</f>
        <v>0</v>
      </c>
      <c r="R260" s="8"/>
      <c r="S260" s="7">
        <f>VLOOKUP(R260,'Win Methods'!$C$4:$F$379,4,FALSE)</f>
        <v>0</v>
      </c>
      <c r="T260" s="8"/>
      <c r="U260" s="7">
        <f>VLOOKUP(T260,'Win Methods'!$C$4:$F$379,4,FALSE)</f>
        <v>0</v>
      </c>
      <c r="V260" s="8"/>
      <c r="W260" s="7">
        <f>VLOOKUP(V260,'Win Methods'!$C$4:$F$379,4,FALSE)</f>
        <v>0</v>
      </c>
      <c r="X260" s="117" t="str">
        <f t="shared" si="9"/>
        <v>main-4|main-28|main-3|freeplayA-14||||||</v>
      </c>
    </row>
    <row r="261" spans="2:24" ht="13.95" customHeight="1">
      <c r="B261" s="116">
        <v>258</v>
      </c>
      <c r="C261" s="7">
        <f t="shared" si="8"/>
        <v>13.7</v>
      </c>
      <c r="D261" s="8" t="s">
        <v>8</v>
      </c>
      <c r="E261" s="7">
        <f>VLOOKUP(D261,'Win Methods'!$C$4:$F$379,4,FALSE)</f>
        <v>0.2</v>
      </c>
      <c r="F261" s="8" t="s">
        <v>39</v>
      </c>
      <c r="G261" s="7">
        <f>VLOOKUP(F261,'Win Methods'!$C$4:$F$379,4,FALSE)</f>
        <v>5</v>
      </c>
      <c r="H261" s="8" t="s">
        <v>32</v>
      </c>
      <c r="I261" s="7">
        <f>VLOOKUP(H261,'Win Methods'!$C$4:$F$379,4,FALSE)</f>
        <v>3</v>
      </c>
      <c r="J261" s="197" t="s">
        <v>47</v>
      </c>
      <c r="K261" s="7">
        <f>VLOOKUP(J261,'Win Methods'!$C$4:$F$379,4,FALSE)</f>
        <v>0.5</v>
      </c>
      <c r="L261" s="107" t="s">
        <v>73</v>
      </c>
      <c r="M261" s="7">
        <f>VLOOKUP(L261,'Win Methods'!$C$4:$F$379,4,FALSE)</f>
        <v>5</v>
      </c>
      <c r="N261" s="8"/>
      <c r="O261" s="7">
        <f>VLOOKUP(N261,'Win Methods'!$C$4:$F$379,4,FALSE)</f>
        <v>0</v>
      </c>
      <c r="P261" s="8"/>
      <c r="Q261" s="7">
        <f>VLOOKUP(P261,'Win Methods'!$C$4:$F$379,4,FALSE)</f>
        <v>0</v>
      </c>
      <c r="R261" s="8"/>
      <c r="S261" s="7">
        <f>VLOOKUP(R261,'Win Methods'!$C$4:$F$379,4,FALSE)</f>
        <v>0</v>
      </c>
      <c r="T261" s="8"/>
      <c r="U261" s="7">
        <f>VLOOKUP(T261,'Win Methods'!$C$4:$F$379,4,FALSE)</f>
        <v>0</v>
      </c>
      <c r="V261" s="8"/>
      <c r="W261" s="7">
        <f>VLOOKUP(V261,'Win Methods'!$C$4:$F$379,4,FALSE)</f>
        <v>0</v>
      </c>
      <c r="X261" s="117" t="str">
        <f t="shared" si="9"/>
        <v>main-1|main-25|main-18|wild-2|freeplayA-5|||||</v>
      </c>
    </row>
    <row r="262" spans="2:24" ht="13.95" customHeight="1">
      <c r="B262" s="116">
        <v>259</v>
      </c>
      <c r="C262" s="7">
        <f t="shared" si="8"/>
        <v>18.7</v>
      </c>
      <c r="D262" s="8" t="s">
        <v>9</v>
      </c>
      <c r="E262" s="7">
        <f>VLOOKUP(D262,'Win Methods'!$C$4:$F$379,4,FALSE)</f>
        <v>0.5</v>
      </c>
      <c r="F262" s="8" t="s">
        <v>33</v>
      </c>
      <c r="G262" s="7">
        <f>VLOOKUP(F262,'Win Methods'!$C$4:$F$379,4,FALSE)</f>
        <v>5</v>
      </c>
      <c r="H262" s="8" t="s">
        <v>10</v>
      </c>
      <c r="I262" s="7">
        <f>VLOOKUP(H262,'Win Methods'!$C$4:$F$379,4,FALSE)</f>
        <v>1</v>
      </c>
      <c r="J262" s="197" t="s">
        <v>48</v>
      </c>
      <c r="K262" s="7">
        <f>VLOOKUP(J262,'Win Methods'!$C$4:$F$379,4,FALSE)</f>
        <v>1</v>
      </c>
      <c r="L262" s="107" t="s">
        <v>92</v>
      </c>
      <c r="M262" s="7">
        <f>VLOOKUP(L262,'Win Methods'!$C$4:$F$379,4,FALSE)</f>
        <v>11.2</v>
      </c>
      <c r="N262" s="8"/>
      <c r="O262" s="7">
        <f>VLOOKUP(N262,'Win Methods'!$C$4:$F$379,4,FALSE)</f>
        <v>0</v>
      </c>
      <c r="P262" s="8"/>
      <c r="Q262" s="7">
        <f>VLOOKUP(P262,'Win Methods'!$C$4:$F$379,4,FALSE)</f>
        <v>0</v>
      </c>
      <c r="R262" s="8"/>
      <c r="S262" s="7">
        <f>VLOOKUP(R262,'Win Methods'!$C$4:$F$379,4,FALSE)</f>
        <v>0</v>
      </c>
      <c r="T262" s="8"/>
      <c r="U262" s="7">
        <f>VLOOKUP(T262,'Win Methods'!$C$4:$F$379,4,FALSE)</f>
        <v>0</v>
      </c>
      <c r="V262" s="8"/>
      <c r="W262" s="7">
        <f>VLOOKUP(V262,'Win Methods'!$C$4:$F$379,4,FALSE)</f>
        <v>0</v>
      </c>
      <c r="X262" s="117" t="str">
        <f t="shared" si="9"/>
        <v>main-2|main-19|main-3|wild-3|freeplayA-24|||||</v>
      </c>
    </row>
    <row r="263" spans="2:24" ht="13.95" customHeight="1">
      <c r="B263" s="116">
        <v>260</v>
      </c>
      <c r="C263" s="7">
        <f t="shared" si="8"/>
        <v>5.5000000000000009</v>
      </c>
      <c r="D263" s="8" t="s">
        <v>11</v>
      </c>
      <c r="E263" s="7">
        <f>VLOOKUP(D263,'Win Methods'!$C$4:$F$379,4,FALSE)</f>
        <v>2</v>
      </c>
      <c r="F263" s="8" t="s">
        <v>5</v>
      </c>
      <c r="G263" s="7">
        <f>VLOOKUP(F263,'Win Methods'!$C$4:$F$379,4,FALSE)</f>
        <v>0.1</v>
      </c>
      <c r="H263" s="8" t="s">
        <v>8</v>
      </c>
      <c r="I263" s="7">
        <f>VLOOKUP(H263,'Win Methods'!$C$4:$F$379,4,FALSE)</f>
        <v>0.2</v>
      </c>
      <c r="J263" s="8" t="s">
        <v>32</v>
      </c>
      <c r="K263" s="7">
        <f>VLOOKUP(J263,'Win Methods'!$C$4:$F$379,4,FALSE)</f>
        <v>3</v>
      </c>
      <c r="L263" s="107" t="s">
        <v>76</v>
      </c>
      <c r="M263" s="7">
        <f>VLOOKUP(L263,'Win Methods'!$C$4:$F$379,4,FALSE)</f>
        <v>0.2</v>
      </c>
      <c r="N263" s="8"/>
      <c r="O263" s="7">
        <f>VLOOKUP(N263,'Win Methods'!$C$4:$F$379,4,FALSE)</f>
        <v>0</v>
      </c>
      <c r="P263" s="8"/>
      <c r="Q263" s="7">
        <f>VLOOKUP(P263,'Win Methods'!$C$4:$F$379,4,FALSE)</f>
        <v>0</v>
      </c>
      <c r="R263" s="8"/>
      <c r="S263" s="7">
        <f>VLOOKUP(R263,'Win Methods'!$C$4:$F$379,4,FALSE)</f>
        <v>0</v>
      </c>
      <c r="T263" s="8"/>
      <c r="U263" s="7">
        <f>VLOOKUP(T263,'Win Methods'!$C$4:$F$379,4,FALSE)</f>
        <v>0</v>
      </c>
      <c r="V263" s="8"/>
      <c r="W263" s="7">
        <f>VLOOKUP(V263,'Win Methods'!$C$4:$F$379,4,FALSE)</f>
        <v>0</v>
      </c>
      <c r="X263" s="117" t="str">
        <f t="shared" si="9"/>
        <v>main-4|main-0|main-1|main-18|freeplayA-8|||||</v>
      </c>
    </row>
    <row r="264" spans="2:24" ht="13.95" customHeight="1">
      <c r="B264" s="116">
        <v>261</v>
      </c>
      <c r="C264" s="7">
        <f t="shared" si="8"/>
        <v>10.199999999999999</v>
      </c>
      <c r="D264" s="8" t="s">
        <v>5</v>
      </c>
      <c r="E264" s="7">
        <f>VLOOKUP(D264,'Win Methods'!$C$4:$F$379,4,FALSE)</f>
        <v>0.1</v>
      </c>
      <c r="F264" s="8" t="s">
        <v>11</v>
      </c>
      <c r="G264" s="7">
        <f>VLOOKUP(F264,'Win Methods'!$C$4:$F$379,4,FALSE)</f>
        <v>2</v>
      </c>
      <c r="H264" s="8" t="s">
        <v>5</v>
      </c>
      <c r="I264" s="7">
        <f>VLOOKUP(H264,'Win Methods'!$C$4:$F$379,4,FALSE)</f>
        <v>0.1</v>
      </c>
      <c r="J264" s="8" t="s">
        <v>33</v>
      </c>
      <c r="K264" s="7">
        <f>VLOOKUP(J264,'Win Methods'!$C$4:$F$379,4,FALSE)</f>
        <v>5</v>
      </c>
      <c r="L264" s="107" t="s">
        <v>77</v>
      </c>
      <c r="M264" s="7">
        <f>VLOOKUP(L264,'Win Methods'!$C$4:$F$379,4,FALSE)</f>
        <v>3</v>
      </c>
      <c r="N264" s="8"/>
      <c r="O264" s="7">
        <f>VLOOKUP(N264,'Win Methods'!$C$4:$F$379,4,FALSE)</f>
        <v>0</v>
      </c>
      <c r="P264" s="8"/>
      <c r="Q264" s="7">
        <f>VLOOKUP(P264,'Win Methods'!$C$4:$F$379,4,FALSE)</f>
        <v>0</v>
      </c>
      <c r="R264" s="8"/>
      <c r="S264" s="7">
        <f>VLOOKUP(R264,'Win Methods'!$C$4:$F$379,4,FALSE)</f>
        <v>0</v>
      </c>
      <c r="T264" s="8"/>
      <c r="U264" s="7">
        <f>VLOOKUP(T264,'Win Methods'!$C$4:$F$379,4,FALSE)</f>
        <v>0</v>
      </c>
      <c r="V264" s="8"/>
      <c r="W264" s="7">
        <f>VLOOKUP(V264,'Win Methods'!$C$4:$F$379,4,FALSE)</f>
        <v>0</v>
      </c>
      <c r="X264" s="117" t="str">
        <f t="shared" si="9"/>
        <v>main-0|main-4|main-0|main-19|freeplayA-9|||||</v>
      </c>
    </row>
    <row r="265" spans="2:24" ht="13.95" customHeight="1">
      <c r="B265" s="116">
        <v>262</v>
      </c>
      <c r="C265" s="7">
        <f t="shared" si="8"/>
        <v>23.1</v>
      </c>
      <c r="D265" s="8" t="s">
        <v>5</v>
      </c>
      <c r="E265" s="7">
        <f>VLOOKUP(D265,'Win Methods'!$C$4:$F$379,4,FALSE)</f>
        <v>0.1</v>
      </c>
      <c r="F265" s="8" t="s">
        <v>27</v>
      </c>
      <c r="G265" s="7">
        <f>VLOOKUP(F265,'Win Methods'!$C$4:$F$379,4,FALSE)</f>
        <v>5</v>
      </c>
      <c r="H265" s="8" t="s">
        <v>40</v>
      </c>
      <c r="I265" s="7">
        <f>VLOOKUP(H265,'Win Methods'!$C$4:$F$379,4,FALSE)</f>
        <v>10</v>
      </c>
      <c r="J265" s="8" t="s">
        <v>32</v>
      </c>
      <c r="K265" s="7">
        <f>VLOOKUP(J265,'Win Methods'!$C$4:$F$379,4,FALSE)</f>
        <v>3</v>
      </c>
      <c r="L265" s="107" t="s">
        <v>78</v>
      </c>
      <c r="M265" s="7">
        <f>VLOOKUP(L265,'Win Methods'!$C$4:$F$379,4,FALSE)</f>
        <v>5</v>
      </c>
      <c r="N265" s="8"/>
      <c r="O265" s="7">
        <f>VLOOKUP(N265,'Win Methods'!$C$4:$F$379,4,FALSE)</f>
        <v>0</v>
      </c>
      <c r="P265" s="8"/>
      <c r="Q265" s="7">
        <f>VLOOKUP(P265,'Win Methods'!$C$4:$F$379,4,FALSE)</f>
        <v>0</v>
      </c>
      <c r="R265" s="8"/>
      <c r="S265" s="7">
        <f>VLOOKUP(R265,'Win Methods'!$C$4:$F$379,4,FALSE)</f>
        <v>0</v>
      </c>
      <c r="T265" s="8"/>
      <c r="U265" s="7">
        <f>VLOOKUP(T265,'Win Methods'!$C$4:$F$379,4,FALSE)</f>
        <v>0</v>
      </c>
      <c r="V265" s="8"/>
      <c r="W265" s="7">
        <f>VLOOKUP(V265,'Win Methods'!$C$4:$F$379,4,FALSE)</f>
        <v>0</v>
      </c>
      <c r="X265" s="117" t="str">
        <f t="shared" si="9"/>
        <v>main-0|main-13|main-26|main-18|freeplayA-10|||||</v>
      </c>
    </row>
    <row r="266" spans="2:24" ht="13.95" customHeight="1">
      <c r="B266" s="116">
        <v>263</v>
      </c>
      <c r="C266" s="7">
        <f t="shared" si="8"/>
        <v>18.100000000000001</v>
      </c>
      <c r="D266" s="8" t="s">
        <v>12</v>
      </c>
      <c r="E266" s="7">
        <f>VLOOKUP(D266,'Win Methods'!$C$4:$F$379,4,FALSE)</f>
        <v>5</v>
      </c>
      <c r="F266" s="8" t="s">
        <v>27</v>
      </c>
      <c r="G266" s="7">
        <f>VLOOKUP(F266,'Win Methods'!$C$4:$F$379,4,FALSE)</f>
        <v>5</v>
      </c>
      <c r="H266" s="8" t="s">
        <v>39</v>
      </c>
      <c r="I266" s="7">
        <f>VLOOKUP(H266,'Win Methods'!$C$4:$F$379,4,FALSE)</f>
        <v>5</v>
      </c>
      <c r="J266" s="8" t="s">
        <v>5</v>
      </c>
      <c r="K266" s="7">
        <f>VLOOKUP(J266,'Win Methods'!$C$4:$F$379,4,FALSE)</f>
        <v>0.1</v>
      </c>
      <c r="L266" s="107" t="s">
        <v>79</v>
      </c>
      <c r="M266" s="7">
        <f>VLOOKUP(L266,'Win Methods'!$C$4:$F$379,4,FALSE)</f>
        <v>3</v>
      </c>
      <c r="N266" s="8"/>
      <c r="O266" s="7">
        <f>VLOOKUP(N266,'Win Methods'!$C$4:$F$379,4,FALSE)</f>
        <v>0</v>
      </c>
      <c r="P266" s="8"/>
      <c r="Q266" s="7">
        <f>VLOOKUP(P266,'Win Methods'!$C$4:$F$379,4,FALSE)</f>
        <v>0</v>
      </c>
      <c r="R266" s="8"/>
      <c r="S266" s="7">
        <f>VLOOKUP(R266,'Win Methods'!$C$4:$F$379,4,FALSE)</f>
        <v>0</v>
      </c>
      <c r="T266" s="8"/>
      <c r="U266" s="7">
        <f>VLOOKUP(T266,'Win Methods'!$C$4:$F$379,4,FALSE)</f>
        <v>0</v>
      </c>
      <c r="V266" s="8"/>
      <c r="W266" s="7">
        <f>VLOOKUP(V266,'Win Methods'!$C$4:$F$379,4,FALSE)</f>
        <v>0</v>
      </c>
      <c r="X266" s="117" t="str">
        <f t="shared" si="9"/>
        <v>main-5|main-13|main-25|main-0|freeplayA-11|||||</v>
      </c>
    </row>
    <row r="267" spans="2:24" ht="13.95" customHeight="1">
      <c r="B267" s="116">
        <v>264</v>
      </c>
      <c r="C267" s="7">
        <f t="shared" si="8"/>
        <v>26.6</v>
      </c>
      <c r="D267" s="8" t="s">
        <v>5</v>
      </c>
      <c r="E267" s="7">
        <f>VLOOKUP(D267,'Win Methods'!$C$4:$F$379,4,FALSE)</f>
        <v>0.1</v>
      </c>
      <c r="F267" s="8" t="s">
        <v>41</v>
      </c>
      <c r="G267" s="7">
        <f>VLOOKUP(F267,'Win Methods'!$C$4:$F$379,4,FALSE)</f>
        <v>20</v>
      </c>
      <c r="H267" s="8" t="s">
        <v>9</v>
      </c>
      <c r="I267" s="7">
        <f>VLOOKUP(H267,'Win Methods'!$C$4:$F$379,4,FALSE)</f>
        <v>0.5</v>
      </c>
      <c r="J267" s="197" t="s">
        <v>48</v>
      </c>
      <c r="K267" s="7">
        <f>VLOOKUP(J267,'Win Methods'!$C$4:$F$379,4,FALSE)</f>
        <v>1</v>
      </c>
      <c r="L267" s="107" t="s">
        <v>93</v>
      </c>
      <c r="M267" s="7">
        <f>VLOOKUP(L267,'Win Methods'!$C$4:$F$379,4,FALSE)</f>
        <v>5</v>
      </c>
      <c r="N267" s="8"/>
      <c r="O267" s="7">
        <f>VLOOKUP(N267,'Win Methods'!$C$4:$F$379,4,FALSE)</f>
        <v>0</v>
      </c>
      <c r="P267" s="8"/>
      <c r="Q267" s="7">
        <f>VLOOKUP(P267,'Win Methods'!$C$4:$F$379,4,FALSE)</f>
        <v>0</v>
      </c>
      <c r="R267" s="8"/>
      <c r="S267" s="7">
        <f>VLOOKUP(R267,'Win Methods'!$C$4:$F$379,4,FALSE)</f>
        <v>0</v>
      </c>
      <c r="T267" s="8"/>
      <c r="U267" s="7">
        <f>VLOOKUP(T267,'Win Methods'!$C$4:$F$379,4,FALSE)</f>
        <v>0</v>
      </c>
      <c r="V267" s="8"/>
      <c r="W267" s="7">
        <f>VLOOKUP(V267,'Win Methods'!$C$4:$F$379,4,FALSE)</f>
        <v>0</v>
      </c>
      <c r="X267" s="117" t="str">
        <f t="shared" si="9"/>
        <v>main-0|main-27|main-2|wild-3|freeplayA-25|||||</v>
      </c>
    </row>
    <row r="268" spans="2:24" ht="13.95" customHeight="1">
      <c r="B268" s="116">
        <v>265</v>
      </c>
      <c r="C268" s="7">
        <f t="shared" si="8"/>
        <v>39</v>
      </c>
      <c r="D268" s="8" t="s">
        <v>11</v>
      </c>
      <c r="E268" s="7">
        <f>VLOOKUP(D268,'Win Methods'!$C$4:$F$379,4,FALSE)</f>
        <v>2</v>
      </c>
      <c r="F268" s="8" t="s">
        <v>28</v>
      </c>
      <c r="G268" s="7">
        <f>VLOOKUP(F268,'Win Methods'!$C$4:$F$379,4,FALSE)</f>
        <v>10</v>
      </c>
      <c r="H268" s="8" t="s">
        <v>29</v>
      </c>
      <c r="I268" s="7">
        <f>VLOOKUP(H268,'Win Methods'!$C$4:$F$379,4,FALSE)</f>
        <v>20</v>
      </c>
      <c r="J268" s="197" t="s">
        <v>49</v>
      </c>
      <c r="K268" s="7">
        <f>VLOOKUP(J268,'Win Methods'!$C$4:$F$379,4,FALSE)</f>
        <v>2</v>
      </c>
      <c r="L268" s="107" t="s">
        <v>94</v>
      </c>
      <c r="M268" s="7">
        <f>VLOOKUP(L268,'Win Methods'!$C$4:$F$379,4,FALSE)</f>
        <v>5</v>
      </c>
      <c r="N268" s="8"/>
      <c r="O268" s="7">
        <f>VLOOKUP(N268,'Win Methods'!$C$4:$F$379,4,FALSE)</f>
        <v>0</v>
      </c>
      <c r="P268" s="8"/>
      <c r="Q268" s="7">
        <f>VLOOKUP(P268,'Win Methods'!$C$4:$F$379,4,FALSE)</f>
        <v>0</v>
      </c>
      <c r="R268" s="8"/>
      <c r="S268" s="7">
        <f>VLOOKUP(R268,'Win Methods'!$C$4:$F$379,4,FALSE)</f>
        <v>0</v>
      </c>
      <c r="T268" s="8"/>
      <c r="U268" s="7">
        <f>VLOOKUP(T268,'Win Methods'!$C$4:$F$379,4,FALSE)</f>
        <v>0</v>
      </c>
      <c r="V268" s="8"/>
      <c r="W268" s="7">
        <f>VLOOKUP(V268,'Win Methods'!$C$4:$F$379,4,FALSE)</f>
        <v>0</v>
      </c>
      <c r="X268" s="117" t="str">
        <f t="shared" si="9"/>
        <v>main-4|main-14|main-15|wild-4|freeplayA-26|||||</v>
      </c>
    </row>
    <row r="269" spans="2:24" ht="13.95" customHeight="1">
      <c r="B269" s="116">
        <v>266</v>
      </c>
      <c r="C269" s="7">
        <f t="shared" si="8"/>
        <v>20</v>
      </c>
      <c r="D269" s="8" t="s">
        <v>40</v>
      </c>
      <c r="E269" s="7">
        <f>VLOOKUP(D269,'Win Methods'!$C$4:$F$379,4,FALSE)</f>
        <v>10</v>
      </c>
      <c r="F269" s="108" t="s">
        <v>126</v>
      </c>
      <c r="G269" s="7">
        <f>VLOOKUP(F269,'Win Methods'!$C$4:$F$379,4,FALSE)</f>
        <v>10</v>
      </c>
      <c r="H269" s="8"/>
      <c r="I269" s="7">
        <f>VLOOKUP(H269,'Win Methods'!$C$4:$F$379,4,FALSE)</f>
        <v>0</v>
      </c>
      <c r="J269" s="8"/>
      <c r="K269" s="7">
        <f>VLOOKUP(J269,'Win Methods'!$C$4:$F$379,4,FALSE)</f>
        <v>0</v>
      </c>
      <c r="L269" s="8"/>
      <c r="M269" s="7">
        <f>VLOOKUP(L269,'Win Methods'!$C$4:$F$379,4,FALSE)</f>
        <v>0</v>
      </c>
      <c r="N269" s="8"/>
      <c r="O269" s="7">
        <f>VLOOKUP(N269,'Win Methods'!$C$4:$F$379,4,FALSE)</f>
        <v>0</v>
      </c>
      <c r="P269" s="8"/>
      <c r="Q269" s="7">
        <f>VLOOKUP(P269,'Win Methods'!$C$4:$F$379,4,FALSE)</f>
        <v>0</v>
      </c>
      <c r="R269" s="8"/>
      <c r="S269" s="7">
        <f>VLOOKUP(R269,'Win Methods'!$C$4:$F$379,4,FALSE)</f>
        <v>0</v>
      </c>
      <c r="T269" s="8"/>
      <c r="U269" s="7">
        <f>VLOOKUP(T269,'Win Methods'!$C$4:$F$379,4,FALSE)</f>
        <v>0</v>
      </c>
      <c r="V269" s="8"/>
      <c r="W269" s="7">
        <f>VLOOKUP(V269,'Win Methods'!$C$4:$F$379,4,FALSE)</f>
        <v>0</v>
      </c>
      <c r="X269" s="117" t="str">
        <f t="shared" si="9"/>
        <v>main-26|bonusA-3||||||||</v>
      </c>
    </row>
    <row r="270" spans="2:24" ht="13.95" customHeight="1">
      <c r="B270" s="116">
        <v>267</v>
      </c>
      <c r="C270" s="7">
        <f t="shared" si="8"/>
        <v>17</v>
      </c>
      <c r="D270" s="8" t="s">
        <v>39</v>
      </c>
      <c r="E270" s="7">
        <f>VLOOKUP(D270,'Win Methods'!$C$4:$F$379,4,FALSE)</f>
        <v>5</v>
      </c>
      <c r="F270" s="108" t="s">
        <v>127</v>
      </c>
      <c r="G270" s="7">
        <f>VLOOKUP(F270,'Win Methods'!$C$4:$F$379,4,FALSE)</f>
        <v>12</v>
      </c>
      <c r="H270" s="8"/>
      <c r="I270" s="7">
        <f>VLOOKUP(H270,'Win Methods'!$C$4:$F$379,4,FALSE)</f>
        <v>0</v>
      </c>
      <c r="J270" s="8"/>
      <c r="K270" s="7">
        <f>VLOOKUP(J270,'Win Methods'!$C$4:$F$379,4,FALSE)</f>
        <v>0</v>
      </c>
      <c r="L270" s="8"/>
      <c r="M270" s="7">
        <f>VLOOKUP(L270,'Win Methods'!$C$4:$F$379,4,FALSE)</f>
        <v>0</v>
      </c>
      <c r="N270" s="8"/>
      <c r="O270" s="7">
        <f>VLOOKUP(N270,'Win Methods'!$C$4:$F$379,4,FALSE)</f>
        <v>0</v>
      </c>
      <c r="P270" s="8"/>
      <c r="Q270" s="7">
        <f>VLOOKUP(P270,'Win Methods'!$C$4:$F$379,4,FALSE)</f>
        <v>0</v>
      </c>
      <c r="R270" s="8"/>
      <c r="S270" s="7">
        <f>VLOOKUP(R270,'Win Methods'!$C$4:$F$379,4,FALSE)</f>
        <v>0</v>
      </c>
      <c r="T270" s="8"/>
      <c r="U270" s="7">
        <f>VLOOKUP(T270,'Win Methods'!$C$4:$F$379,4,FALSE)</f>
        <v>0</v>
      </c>
      <c r="V270" s="8"/>
      <c r="W270" s="7">
        <f>VLOOKUP(V270,'Win Methods'!$C$4:$F$379,4,FALSE)</f>
        <v>0</v>
      </c>
      <c r="X270" s="117" t="str">
        <f t="shared" si="9"/>
        <v>main-25|bonusA-4||||||||</v>
      </c>
    </row>
    <row r="271" spans="2:24" ht="13.95" customHeight="1">
      <c r="B271" s="116">
        <v>268</v>
      </c>
      <c r="C271" s="7">
        <f t="shared" si="8"/>
        <v>20</v>
      </c>
      <c r="D271" s="8" t="s">
        <v>33</v>
      </c>
      <c r="E271" s="7">
        <f>VLOOKUP(D271,'Win Methods'!$C$4:$F$379,4,FALSE)</f>
        <v>5</v>
      </c>
      <c r="F271" s="108" t="s">
        <v>128</v>
      </c>
      <c r="G271" s="7">
        <f>VLOOKUP(F271,'Win Methods'!$C$4:$F$379,4,FALSE)</f>
        <v>15</v>
      </c>
      <c r="H271" s="8"/>
      <c r="I271" s="7">
        <f>VLOOKUP(H271,'Win Methods'!$C$4:$F$379,4,FALSE)</f>
        <v>0</v>
      </c>
      <c r="J271" s="8"/>
      <c r="K271" s="7">
        <f>VLOOKUP(J271,'Win Methods'!$C$4:$F$379,4,FALSE)</f>
        <v>0</v>
      </c>
      <c r="L271" s="8"/>
      <c r="M271" s="7">
        <f>VLOOKUP(L271,'Win Methods'!$C$4:$F$379,4,FALSE)</f>
        <v>0</v>
      </c>
      <c r="N271" s="8"/>
      <c r="O271" s="7">
        <f>VLOOKUP(N271,'Win Methods'!$C$4:$F$379,4,FALSE)</f>
        <v>0</v>
      </c>
      <c r="P271" s="8"/>
      <c r="Q271" s="7">
        <f>VLOOKUP(P271,'Win Methods'!$C$4:$F$379,4,FALSE)</f>
        <v>0</v>
      </c>
      <c r="R271" s="8"/>
      <c r="S271" s="7">
        <f>VLOOKUP(R271,'Win Methods'!$C$4:$F$379,4,FALSE)</f>
        <v>0</v>
      </c>
      <c r="T271" s="8"/>
      <c r="U271" s="7">
        <f>VLOOKUP(T271,'Win Methods'!$C$4:$F$379,4,FALSE)</f>
        <v>0</v>
      </c>
      <c r="V271" s="8"/>
      <c r="W271" s="7">
        <f>VLOOKUP(V271,'Win Methods'!$C$4:$F$379,4,FALSE)</f>
        <v>0</v>
      </c>
      <c r="X271" s="117" t="str">
        <f t="shared" si="9"/>
        <v>main-19|bonusA-5||||||||</v>
      </c>
    </row>
    <row r="272" spans="2:24" ht="13.95" customHeight="1">
      <c r="B272" s="116">
        <v>269</v>
      </c>
      <c r="C272" s="7">
        <f t="shared" si="8"/>
        <v>32</v>
      </c>
      <c r="D272" s="8" t="s">
        <v>41</v>
      </c>
      <c r="E272" s="7">
        <f>VLOOKUP(D272,'Win Methods'!$C$4:$F$379,4,FALSE)</f>
        <v>20</v>
      </c>
      <c r="F272" s="108" t="s">
        <v>127</v>
      </c>
      <c r="G272" s="7">
        <f>VLOOKUP(F272,'Win Methods'!$C$4:$F$379,4,FALSE)</f>
        <v>12</v>
      </c>
      <c r="H272" s="8"/>
      <c r="I272" s="7">
        <f>VLOOKUP(H272,'Win Methods'!$C$4:$F$379,4,FALSE)</f>
        <v>0</v>
      </c>
      <c r="J272" s="8"/>
      <c r="K272" s="7">
        <f>VLOOKUP(J272,'Win Methods'!$C$4:$F$379,4,FALSE)</f>
        <v>0</v>
      </c>
      <c r="L272" s="8"/>
      <c r="M272" s="7">
        <f>VLOOKUP(L272,'Win Methods'!$C$4:$F$379,4,FALSE)</f>
        <v>0</v>
      </c>
      <c r="N272" s="8"/>
      <c r="O272" s="7">
        <f>VLOOKUP(N272,'Win Methods'!$C$4:$F$379,4,FALSE)</f>
        <v>0</v>
      </c>
      <c r="P272" s="8"/>
      <c r="Q272" s="7">
        <f>VLOOKUP(P272,'Win Methods'!$C$4:$F$379,4,FALSE)</f>
        <v>0</v>
      </c>
      <c r="R272" s="8"/>
      <c r="S272" s="7">
        <f>VLOOKUP(R272,'Win Methods'!$C$4:$F$379,4,FALSE)</f>
        <v>0</v>
      </c>
      <c r="T272" s="8"/>
      <c r="U272" s="7">
        <f>VLOOKUP(T272,'Win Methods'!$C$4:$F$379,4,FALSE)</f>
        <v>0</v>
      </c>
      <c r="V272" s="8"/>
      <c r="W272" s="7">
        <f>VLOOKUP(V272,'Win Methods'!$C$4:$F$379,4,FALSE)</f>
        <v>0</v>
      </c>
      <c r="X272" s="117" t="str">
        <f t="shared" si="9"/>
        <v>main-27|bonusA-4||||||||</v>
      </c>
    </row>
    <row r="273" spans="2:24" ht="13.95" customHeight="1">
      <c r="B273" s="116">
        <v>270</v>
      </c>
      <c r="C273" s="7">
        <f t="shared" si="8"/>
        <v>22</v>
      </c>
      <c r="D273" s="8" t="s">
        <v>28</v>
      </c>
      <c r="E273" s="7">
        <f>VLOOKUP(D273,'Win Methods'!$C$4:$F$379,4,FALSE)</f>
        <v>10</v>
      </c>
      <c r="F273" s="108" t="s">
        <v>127</v>
      </c>
      <c r="G273" s="7">
        <f>VLOOKUP(F273,'Win Methods'!$C$4:$F$379,4,FALSE)</f>
        <v>12</v>
      </c>
      <c r="H273" s="8"/>
      <c r="I273" s="7">
        <f>VLOOKUP(H273,'Win Methods'!$C$4:$F$379,4,FALSE)</f>
        <v>0</v>
      </c>
      <c r="J273" s="8"/>
      <c r="K273" s="7">
        <f>VLOOKUP(J273,'Win Methods'!$C$4:$F$379,4,FALSE)</f>
        <v>0</v>
      </c>
      <c r="L273" s="8"/>
      <c r="M273" s="7">
        <f>VLOOKUP(L273,'Win Methods'!$C$4:$F$379,4,FALSE)</f>
        <v>0</v>
      </c>
      <c r="N273" s="8"/>
      <c r="O273" s="7">
        <f>VLOOKUP(N273,'Win Methods'!$C$4:$F$379,4,FALSE)</f>
        <v>0</v>
      </c>
      <c r="P273" s="8"/>
      <c r="Q273" s="7">
        <f>VLOOKUP(P273,'Win Methods'!$C$4:$F$379,4,FALSE)</f>
        <v>0</v>
      </c>
      <c r="R273" s="8"/>
      <c r="S273" s="7">
        <f>VLOOKUP(R273,'Win Methods'!$C$4:$F$379,4,FALSE)</f>
        <v>0</v>
      </c>
      <c r="T273" s="8"/>
      <c r="U273" s="7">
        <f>VLOOKUP(T273,'Win Methods'!$C$4:$F$379,4,FALSE)</f>
        <v>0</v>
      </c>
      <c r="V273" s="8"/>
      <c r="W273" s="7">
        <f>VLOOKUP(V273,'Win Methods'!$C$4:$F$379,4,FALSE)</f>
        <v>0</v>
      </c>
      <c r="X273" s="117" t="str">
        <f t="shared" si="9"/>
        <v>main-14|bonusA-4||||||||</v>
      </c>
    </row>
    <row r="274" spans="2:24" ht="13.95" customHeight="1">
      <c r="B274" s="116">
        <v>271</v>
      </c>
      <c r="C274" s="7">
        <f t="shared" si="8"/>
        <v>115</v>
      </c>
      <c r="D274" s="8" t="s">
        <v>42</v>
      </c>
      <c r="E274" s="7">
        <f>VLOOKUP(D274,'Win Methods'!$C$4:$F$379,4,FALSE)</f>
        <v>100</v>
      </c>
      <c r="F274" s="108" t="s">
        <v>128</v>
      </c>
      <c r="G274" s="7">
        <f>VLOOKUP(F274,'Win Methods'!$C$4:$F$379,4,FALSE)</f>
        <v>15</v>
      </c>
      <c r="H274" s="8"/>
      <c r="I274" s="7">
        <f>VLOOKUP(H274,'Win Methods'!$C$4:$F$379,4,FALSE)</f>
        <v>0</v>
      </c>
      <c r="J274" s="8"/>
      <c r="K274" s="7">
        <f>VLOOKUP(J274,'Win Methods'!$C$4:$F$379,4,FALSE)</f>
        <v>0</v>
      </c>
      <c r="L274" s="8"/>
      <c r="M274" s="7">
        <f>VLOOKUP(L274,'Win Methods'!$C$4:$F$379,4,FALSE)</f>
        <v>0</v>
      </c>
      <c r="N274" s="8"/>
      <c r="O274" s="7">
        <f>VLOOKUP(N274,'Win Methods'!$C$4:$F$379,4,FALSE)</f>
        <v>0</v>
      </c>
      <c r="P274" s="8"/>
      <c r="Q274" s="7">
        <f>VLOOKUP(P274,'Win Methods'!$C$4:$F$379,4,FALSE)</f>
        <v>0</v>
      </c>
      <c r="R274" s="8"/>
      <c r="S274" s="7">
        <f>VLOOKUP(R274,'Win Methods'!$C$4:$F$379,4,FALSE)</f>
        <v>0</v>
      </c>
      <c r="T274" s="8"/>
      <c r="U274" s="7">
        <f>VLOOKUP(T274,'Win Methods'!$C$4:$F$379,4,FALSE)</f>
        <v>0</v>
      </c>
      <c r="V274" s="8"/>
      <c r="W274" s="7">
        <f>VLOOKUP(V274,'Win Methods'!$C$4:$F$379,4,FALSE)</f>
        <v>0</v>
      </c>
      <c r="X274" s="117" t="str">
        <f t="shared" si="9"/>
        <v>main-28|bonusA-5||||||||</v>
      </c>
    </row>
    <row r="275" spans="2:24" ht="13.95" customHeight="1">
      <c r="B275" s="116">
        <v>272</v>
      </c>
      <c r="C275" s="7">
        <f t="shared" si="8"/>
        <v>25</v>
      </c>
      <c r="D275" s="8" t="s">
        <v>39</v>
      </c>
      <c r="E275" s="7">
        <f>VLOOKUP(D275,'Win Methods'!$C$4:$F$379,4,FALSE)</f>
        <v>5</v>
      </c>
      <c r="F275" s="108" t="s">
        <v>129</v>
      </c>
      <c r="G275" s="7">
        <f>VLOOKUP(F275,'Win Methods'!$C$4:$F$379,4,FALSE)</f>
        <v>20</v>
      </c>
      <c r="H275" s="8"/>
      <c r="I275" s="7">
        <f>VLOOKUP(H275,'Win Methods'!$C$4:$F$379,4,FALSE)</f>
        <v>0</v>
      </c>
      <c r="J275" s="8"/>
      <c r="K275" s="7">
        <f>VLOOKUP(J275,'Win Methods'!$C$4:$F$379,4,FALSE)</f>
        <v>0</v>
      </c>
      <c r="L275" s="8"/>
      <c r="M275" s="7">
        <f>VLOOKUP(L275,'Win Methods'!$C$4:$F$379,4,FALSE)</f>
        <v>0</v>
      </c>
      <c r="N275" s="8"/>
      <c r="O275" s="7">
        <f>VLOOKUP(N275,'Win Methods'!$C$4:$F$379,4,FALSE)</f>
        <v>0</v>
      </c>
      <c r="P275" s="8"/>
      <c r="Q275" s="7">
        <f>VLOOKUP(P275,'Win Methods'!$C$4:$F$379,4,FALSE)</f>
        <v>0</v>
      </c>
      <c r="R275" s="8"/>
      <c r="S275" s="7">
        <f>VLOOKUP(R275,'Win Methods'!$C$4:$F$379,4,FALSE)</f>
        <v>0</v>
      </c>
      <c r="T275" s="8"/>
      <c r="U275" s="7">
        <f>VLOOKUP(T275,'Win Methods'!$C$4:$F$379,4,FALSE)</f>
        <v>0</v>
      </c>
      <c r="V275" s="8"/>
      <c r="W275" s="7">
        <f>VLOOKUP(V275,'Win Methods'!$C$4:$F$379,4,FALSE)</f>
        <v>0</v>
      </c>
      <c r="X275" s="117" t="str">
        <f t="shared" si="9"/>
        <v>main-25|bonusA-6||||||||</v>
      </c>
    </row>
    <row r="276" spans="2:24" ht="13.95" customHeight="1">
      <c r="B276" s="116">
        <v>273</v>
      </c>
      <c r="C276" s="7">
        <f t="shared" si="8"/>
        <v>15</v>
      </c>
      <c r="D276" s="8" t="s">
        <v>27</v>
      </c>
      <c r="E276" s="7">
        <f>VLOOKUP(D276,'Win Methods'!$C$4:$F$379,4,FALSE)</f>
        <v>5</v>
      </c>
      <c r="F276" s="108" t="s">
        <v>126</v>
      </c>
      <c r="G276" s="7">
        <f>VLOOKUP(F276,'Win Methods'!$C$4:$F$379,4,FALSE)</f>
        <v>10</v>
      </c>
      <c r="H276" s="8"/>
      <c r="I276" s="7">
        <f>VLOOKUP(H276,'Win Methods'!$C$4:$F$379,4,FALSE)</f>
        <v>0</v>
      </c>
      <c r="J276" s="8"/>
      <c r="K276" s="7">
        <f>VLOOKUP(J276,'Win Methods'!$C$4:$F$379,4,FALSE)</f>
        <v>0</v>
      </c>
      <c r="L276" s="8"/>
      <c r="M276" s="7">
        <f>VLOOKUP(L276,'Win Methods'!$C$4:$F$379,4,FALSE)</f>
        <v>0</v>
      </c>
      <c r="N276" s="8"/>
      <c r="O276" s="7">
        <f>VLOOKUP(N276,'Win Methods'!$C$4:$F$379,4,FALSE)</f>
        <v>0</v>
      </c>
      <c r="P276" s="8"/>
      <c r="Q276" s="7">
        <f>VLOOKUP(P276,'Win Methods'!$C$4:$F$379,4,FALSE)</f>
        <v>0</v>
      </c>
      <c r="R276" s="8"/>
      <c r="S276" s="7">
        <f>VLOOKUP(R276,'Win Methods'!$C$4:$F$379,4,FALSE)</f>
        <v>0</v>
      </c>
      <c r="T276" s="8"/>
      <c r="U276" s="7">
        <f>VLOOKUP(T276,'Win Methods'!$C$4:$F$379,4,FALSE)</f>
        <v>0</v>
      </c>
      <c r="V276" s="8"/>
      <c r="W276" s="7">
        <f>VLOOKUP(V276,'Win Methods'!$C$4:$F$379,4,FALSE)</f>
        <v>0</v>
      </c>
      <c r="X276" s="117" t="str">
        <f t="shared" si="9"/>
        <v>main-13|bonusA-3||||||||</v>
      </c>
    </row>
    <row r="277" spans="2:24" ht="13.95" customHeight="1">
      <c r="B277" s="116">
        <v>274</v>
      </c>
      <c r="C277" s="7">
        <f t="shared" si="8"/>
        <v>18.100000000000001</v>
      </c>
      <c r="D277" s="8" t="s">
        <v>5</v>
      </c>
      <c r="E277" s="7">
        <f>VLOOKUP(D277,'Win Methods'!$C$4:$F$379,4,FALSE)</f>
        <v>0.1</v>
      </c>
      <c r="F277" s="197" t="s">
        <v>57</v>
      </c>
      <c r="G277" s="7">
        <f>VLOOKUP(F277,'Win Methods'!$C$4:$F$379,4,FALSE)</f>
        <v>3</v>
      </c>
      <c r="H277" s="108" t="s">
        <v>128</v>
      </c>
      <c r="I277" s="7">
        <f>VLOOKUP(H277,'Win Methods'!$C$4:$F$379,4,FALSE)</f>
        <v>15</v>
      </c>
      <c r="J277" s="8"/>
      <c r="K277" s="7">
        <f>VLOOKUP(J277,'Win Methods'!$C$4:$F$379,4,FALSE)</f>
        <v>0</v>
      </c>
      <c r="L277" s="8"/>
      <c r="M277" s="7">
        <f>VLOOKUP(L277,'Win Methods'!$C$4:$F$379,4,FALSE)</f>
        <v>0</v>
      </c>
      <c r="N277" s="8"/>
      <c r="O277" s="7">
        <f>VLOOKUP(N277,'Win Methods'!$C$4:$F$379,4,FALSE)</f>
        <v>0</v>
      </c>
      <c r="P277" s="8"/>
      <c r="Q277" s="7">
        <f>VLOOKUP(P277,'Win Methods'!$C$4:$F$379,4,FALSE)</f>
        <v>0</v>
      </c>
      <c r="R277" s="8"/>
      <c r="S277" s="7">
        <f>VLOOKUP(R277,'Win Methods'!$C$4:$F$379,4,FALSE)</f>
        <v>0</v>
      </c>
      <c r="T277" s="8"/>
      <c r="U277" s="7">
        <f>VLOOKUP(T277,'Win Methods'!$C$4:$F$379,4,FALSE)</f>
        <v>0</v>
      </c>
      <c r="V277" s="8"/>
      <c r="W277" s="7">
        <f>VLOOKUP(V277,'Win Methods'!$C$4:$F$379,4,FALSE)</f>
        <v>0</v>
      </c>
      <c r="X277" s="117" t="str">
        <f t="shared" si="9"/>
        <v>main-0|wild-12|bonusA-5|||||||</v>
      </c>
    </row>
    <row r="278" spans="2:24" ht="13.95" customHeight="1">
      <c r="B278" s="116">
        <v>275</v>
      </c>
      <c r="C278" s="7">
        <f t="shared" si="8"/>
        <v>27</v>
      </c>
      <c r="D278" s="8" t="s">
        <v>11</v>
      </c>
      <c r="E278" s="7">
        <f>VLOOKUP(D278,'Win Methods'!$C$4:$F$379,4,FALSE)</f>
        <v>2</v>
      </c>
      <c r="F278" s="197" t="s">
        <v>58</v>
      </c>
      <c r="G278" s="7">
        <f>VLOOKUP(F278,'Win Methods'!$C$4:$F$379,4,FALSE)</f>
        <v>5</v>
      </c>
      <c r="H278" s="108" t="s">
        <v>129</v>
      </c>
      <c r="I278" s="7">
        <f>VLOOKUP(H278,'Win Methods'!$C$4:$F$379,4,FALSE)</f>
        <v>20</v>
      </c>
      <c r="J278" s="8"/>
      <c r="K278" s="7">
        <f>VLOOKUP(J278,'Win Methods'!$C$4:$F$379,4,FALSE)</f>
        <v>0</v>
      </c>
      <c r="L278" s="8"/>
      <c r="M278" s="7">
        <f>VLOOKUP(L278,'Win Methods'!$C$4:$F$379,4,FALSE)</f>
        <v>0</v>
      </c>
      <c r="N278" s="8"/>
      <c r="O278" s="7">
        <f>VLOOKUP(N278,'Win Methods'!$C$4:$F$379,4,FALSE)</f>
        <v>0</v>
      </c>
      <c r="P278" s="8"/>
      <c r="Q278" s="7">
        <f>VLOOKUP(P278,'Win Methods'!$C$4:$F$379,4,FALSE)</f>
        <v>0</v>
      </c>
      <c r="R278" s="8"/>
      <c r="S278" s="7">
        <f>VLOOKUP(R278,'Win Methods'!$C$4:$F$379,4,FALSE)</f>
        <v>0</v>
      </c>
      <c r="T278" s="8"/>
      <c r="U278" s="7">
        <f>VLOOKUP(T278,'Win Methods'!$C$4:$F$379,4,FALSE)</f>
        <v>0</v>
      </c>
      <c r="V278" s="8"/>
      <c r="W278" s="7">
        <f>VLOOKUP(V278,'Win Methods'!$C$4:$F$379,4,FALSE)</f>
        <v>0</v>
      </c>
      <c r="X278" s="117" t="str">
        <f t="shared" si="9"/>
        <v>main-4|wild-13|bonusA-6|||||||</v>
      </c>
    </row>
    <row r="279" spans="2:24" ht="13.95" customHeight="1">
      <c r="B279" s="116">
        <v>276</v>
      </c>
      <c r="C279" s="7">
        <f t="shared" si="8"/>
        <v>23</v>
      </c>
      <c r="D279" s="8" t="s">
        <v>10</v>
      </c>
      <c r="E279" s="7">
        <f>VLOOKUP(D279,'Win Methods'!$C$4:$F$379,4,FALSE)</f>
        <v>1</v>
      </c>
      <c r="F279" s="8" t="s">
        <v>34</v>
      </c>
      <c r="G279" s="7">
        <f>VLOOKUP(F279,'Win Methods'!$C$4:$F$379,4,FALSE)</f>
        <v>10</v>
      </c>
      <c r="H279" s="108" t="s">
        <v>127</v>
      </c>
      <c r="I279" s="7">
        <f>VLOOKUP(H279,'Win Methods'!$C$4:$F$379,4,FALSE)</f>
        <v>12</v>
      </c>
      <c r="J279" s="8"/>
      <c r="K279" s="7">
        <f>VLOOKUP(J279,'Win Methods'!$C$4:$F$379,4,FALSE)</f>
        <v>0</v>
      </c>
      <c r="L279" s="8"/>
      <c r="M279" s="7">
        <f>VLOOKUP(L279,'Win Methods'!$C$4:$F$379,4,FALSE)</f>
        <v>0</v>
      </c>
      <c r="N279" s="8"/>
      <c r="O279" s="7">
        <f>VLOOKUP(N279,'Win Methods'!$C$4:$F$379,4,FALSE)</f>
        <v>0</v>
      </c>
      <c r="P279" s="8"/>
      <c r="Q279" s="7">
        <f>VLOOKUP(P279,'Win Methods'!$C$4:$F$379,4,FALSE)</f>
        <v>0</v>
      </c>
      <c r="R279" s="8"/>
      <c r="S279" s="7">
        <f>VLOOKUP(R279,'Win Methods'!$C$4:$F$379,4,FALSE)</f>
        <v>0</v>
      </c>
      <c r="T279" s="8"/>
      <c r="U279" s="7">
        <f>VLOOKUP(T279,'Win Methods'!$C$4:$F$379,4,FALSE)</f>
        <v>0</v>
      </c>
      <c r="V279" s="8"/>
      <c r="W279" s="7">
        <f>VLOOKUP(V279,'Win Methods'!$C$4:$F$379,4,FALSE)</f>
        <v>0</v>
      </c>
      <c r="X279" s="117" t="str">
        <f t="shared" si="9"/>
        <v>main-3|main-20|bonusA-4|||||||</v>
      </c>
    </row>
    <row r="280" spans="2:24" ht="13.95" customHeight="1">
      <c r="B280" s="116">
        <v>277</v>
      </c>
      <c r="C280" s="7">
        <f t="shared" si="8"/>
        <v>19</v>
      </c>
      <c r="D280" s="8" t="s">
        <v>11</v>
      </c>
      <c r="E280" s="7">
        <f>VLOOKUP(D280,'Win Methods'!$C$4:$F$379,4,FALSE)</f>
        <v>2</v>
      </c>
      <c r="F280" s="8" t="s">
        <v>12</v>
      </c>
      <c r="G280" s="7">
        <f>VLOOKUP(F280,'Win Methods'!$C$4:$F$379,4,FALSE)</f>
        <v>5</v>
      </c>
      <c r="H280" s="108" t="s">
        <v>127</v>
      </c>
      <c r="I280" s="7">
        <f>VLOOKUP(H280,'Win Methods'!$C$4:$F$379,4,FALSE)</f>
        <v>12</v>
      </c>
      <c r="J280" s="8"/>
      <c r="K280" s="7">
        <f>VLOOKUP(J280,'Win Methods'!$C$4:$F$379,4,FALSE)</f>
        <v>0</v>
      </c>
      <c r="L280" s="8"/>
      <c r="M280" s="7">
        <f>VLOOKUP(L280,'Win Methods'!$C$4:$F$379,4,FALSE)</f>
        <v>0</v>
      </c>
      <c r="N280" s="8"/>
      <c r="O280" s="7">
        <f>VLOOKUP(N280,'Win Methods'!$C$4:$F$379,4,FALSE)</f>
        <v>0</v>
      </c>
      <c r="P280" s="8"/>
      <c r="Q280" s="7">
        <f>VLOOKUP(P280,'Win Methods'!$C$4:$F$379,4,FALSE)</f>
        <v>0</v>
      </c>
      <c r="R280" s="8"/>
      <c r="S280" s="7">
        <f>VLOOKUP(R280,'Win Methods'!$C$4:$F$379,4,FALSE)</f>
        <v>0</v>
      </c>
      <c r="T280" s="8"/>
      <c r="U280" s="7">
        <f>VLOOKUP(T280,'Win Methods'!$C$4:$F$379,4,FALSE)</f>
        <v>0</v>
      </c>
      <c r="V280" s="8"/>
      <c r="W280" s="7">
        <f>VLOOKUP(V280,'Win Methods'!$C$4:$F$379,4,FALSE)</f>
        <v>0</v>
      </c>
      <c r="X280" s="117" t="str">
        <f t="shared" si="9"/>
        <v>main-4|main-5|bonusA-4|||||||</v>
      </c>
    </row>
    <row r="281" spans="2:24" ht="13.95" customHeight="1">
      <c r="B281" s="116">
        <v>278</v>
      </c>
      <c r="C281" s="7">
        <f t="shared" si="8"/>
        <v>57</v>
      </c>
      <c r="D281" s="8" t="s">
        <v>11</v>
      </c>
      <c r="E281" s="7">
        <f>VLOOKUP(D281,'Win Methods'!$C$4:$F$379,4,FALSE)</f>
        <v>2</v>
      </c>
      <c r="F281" s="197" t="s">
        <v>54</v>
      </c>
      <c r="G281" s="7">
        <f>VLOOKUP(F281,'Win Methods'!$C$4:$F$379,4,FALSE)</f>
        <v>40</v>
      </c>
      <c r="H281" s="108" t="s">
        <v>128</v>
      </c>
      <c r="I281" s="7">
        <f>VLOOKUP(H281,'Win Methods'!$C$4:$F$379,4,FALSE)</f>
        <v>15</v>
      </c>
      <c r="J281" s="8"/>
      <c r="K281" s="7">
        <f>VLOOKUP(J281,'Win Methods'!$C$4:$F$379,4,FALSE)</f>
        <v>0</v>
      </c>
      <c r="L281" s="8"/>
      <c r="M281" s="7">
        <f>VLOOKUP(L281,'Win Methods'!$C$4:$F$379,4,FALSE)</f>
        <v>0</v>
      </c>
      <c r="N281" s="8"/>
      <c r="O281" s="7">
        <f>VLOOKUP(N281,'Win Methods'!$C$4:$F$379,4,FALSE)</f>
        <v>0</v>
      </c>
      <c r="P281" s="8"/>
      <c r="Q281" s="7">
        <f>VLOOKUP(P281,'Win Methods'!$C$4:$F$379,4,FALSE)</f>
        <v>0</v>
      </c>
      <c r="R281" s="8"/>
      <c r="S281" s="7">
        <f>VLOOKUP(R281,'Win Methods'!$C$4:$F$379,4,FALSE)</f>
        <v>0</v>
      </c>
      <c r="T281" s="8"/>
      <c r="U281" s="7">
        <f>VLOOKUP(T281,'Win Methods'!$C$4:$F$379,4,FALSE)</f>
        <v>0</v>
      </c>
      <c r="V281" s="8"/>
      <c r="W281" s="7">
        <f>VLOOKUP(V281,'Win Methods'!$C$4:$F$379,4,FALSE)</f>
        <v>0</v>
      </c>
      <c r="X281" s="117" t="str">
        <f t="shared" si="9"/>
        <v>main-4|wild-9|bonusA-5|||||||</v>
      </c>
    </row>
    <row r="282" spans="2:24" ht="13.95" customHeight="1">
      <c r="B282" s="116">
        <v>279</v>
      </c>
      <c r="C282" s="7">
        <f t="shared" si="8"/>
        <v>25.5</v>
      </c>
      <c r="D282" s="8" t="s">
        <v>12</v>
      </c>
      <c r="E282" s="7">
        <f>VLOOKUP(D282,'Win Methods'!$C$4:$F$379,4,FALSE)</f>
        <v>5</v>
      </c>
      <c r="F282" s="197" t="s">
        <v>47</v>
      </c>
      <c r="G282" s="7">
        <f>VLOOKUP(F282,'Win Methods'!$C$4:$F$379,4,FALSE)</f>
        <v>0.5</v>
      </c>
      <c r="H282" s="108" t="s">
        <v>129</v>
      </c>
      <c r="I282" s="7">
        <f>VLOOKUP(H282,'Win Methods'!$C$4:$F$379,4,FALSE)</f>
        <v>20</v>
      </c>
      <c r="J282" s="8"/>
      <c r="K282" s="7">
        <f>VLOOKUP(J282,'Win Methods'!$C$4:$F$379,4,FALSE)</f>
        <v>0</v>
      </c>
      <c r="L282" s="8"/>
      <c r="M282" s="7">
        <f>VLOOKUP(L282,'Win Methods'!$C$4:$F$379,4,FALSE)</f>
        <v>0</v>
      </c>
      <c r="N282" s="8"/>
      <c r="O282" s="7">
        <f>VLOOKUP(N282,'Win Methods'!$C$4:$F$379,4,FALSE)</f>
        <v>0</v>
      </c>
      <c r="P282" s="8"/>
      <c r="Q282" s="7">
        <f>VLOOKUP(P282,'Win Methods'!$C$4:$F$379,4,FALSE)</f>
        <v>0</v>
      </c>
      <c r="R282" s="8"/>
      <c r="S282" s="7">
        <f>VLOOKUP(R282,'Win Methods'!$C$4:$F$379,4,FALSE)</f>
        <v>0</v>
      </c>
      <c r="T282" s="8"/>
      <c r="U282" s="7">
        <f>VLOOKUP(T282,'Win Methods'!$C$4:$F$379,4,FALSE)</f>
        <v>0</v>
      </c>
      <c r="V282" s="8"/>
      <c r="W282" s="7">
        <f>VLOOKUP(V282,'Win Methods'!$C$4:$F$379,4,FALSE)</f>
        <v>0</v>
      </c>
      <c r="X282" s="117" t="str">
        <f t="shared" si="9"/>
        <v>main-5|wild-2|bonusA-6|||||||</v>
      </c>
    </row>
    <row r="283" spans="2:24" ht="13.95" customHeight="1">
      <c r="B283" s="116">
        <v>280</v>
      </c>
      <c r="C283" s="7">
        <f t="shared" si="8"/>
        <v>14.1</v>
      </c>
      <c r="D283" s="8" t="s">
        <v>10</v>
      </c>
      <c r="E283" s="7">
        <f>VLOOKUP(D283,'Win Methods'!$C$4:$F$379,4,FALSE)</f>
        <v>1</v>
      </c>
      <c r="F283" s="8" t="s">
        <v>5</v>
      </c>
      <c r="G283" s="7">
        <f>VLOOKUP(F283,'Win Methods'!$C$4:$F$379,4,FALSE)</f>
        <v>0.1</v>
      </c>
      <c r="H283" s="197" t="s">
        <v>58</v>
      </c>
      <c r="I283" s="7">
        <f>VLOOKUP(H283,'Win Methods'!$C$4:$F$379,4,FALSE)</f>
        <v>5</v>
      </c>
      <c r="J283" s="108" t="s">
        <v>125</v>
      </c>
      <c r="K283" s="7">
        <f>VLOOKUP(J283,'Win Methods'!$C$4:$F$379,4,FALSE)</f>
        <v>8</v>
      </c>
      <c r="L283" s="8"/>
      <c r="M283" s="7">
        <f>VLOOKUP(L283,'Win Methods'!$C$4:$F$379,4,FALSE)</f>
        <v>0</v>
      </c>
      <c r="N283" s="8"/>
      <c r="O283" s="7">
        <f>VLOOKUP(N283,'Win Methods'!$C$4:$F$379,4,FALSE)</f>
        <v>0</v>
      </c>
      <c r="P283" s="8"/>
      <c r="Q283" s="7">
        <f>VLOOKUP(P283,'Win Methods'!$C$4:$F$379,4,FALSE)</f>
        <v>0</v>
      </c>
      <c r="R283" s="8"/>
      <c r="S283" s="7">
        <f>VLOOKUP(R283,'Win Methods'!$C$4:$F$379,4,FALSE)</f>
        <v>0</v>
      </c>
      <c r="T283" s="8"/>
      <c r="U283" s="7">
        <f>VLOOKUP(T283,'Win Methods'!$C$4:$F$379,4,FALSE)</f>
        <v>0</v>
      </c>
      <c r="V283" s="8"/>
      <c r="W283" s="7">
        <f>VLOOKUP(V283,'Win Methods'!$C$4:$F$379,4,FALSE)</f>
        <v>0</v>
      </c>
      <c r="X283" s="117" t="str">
        <f t="shared" si="9"/>
        <v>main-3|main-0|wild-13|bonusA-2||||||</v>
      </c>
    </row>
    <row r="284" spans="2:24" ht="13.95" customHeight="1">
      <c r="B284" s="116">
        <v>281</v>
      </c>
      <c r="C284" s="7">
        <f t="shared" si="8"/>
        <v>19.2</v>
      </c>
      <c r="D284" s="8" t="s">
        <v>10</v>
      </c>
      <c r="E284" s="7">
        <f>VLOOKUP(D284,'Win Methods'!$C$4:$F$379,4,FALSE)</f>
        <v>1</v>
      </c>
      <c r="F284" s="8" t="s">
        <v>8</v>
      </c>
      <c r="G284" s="7">
        <f>VLOOKUP(F284,'Win Methods'!$C$4:$F$379,4,FALSE)</f>
        <v>0.2</v>
      </c>
      <c r="H284" s="197" t="s">
        <v>60</v>
      </c>
      <c r="I284" s="7">
        <f>VLOOKUP(H284,'Win Methods'!$C$4:$F$379,4,FALSE)</f>
        <v>3</v>
      </c>
      <c r="J284" s="108" t="s">
        <v>128</v>
      </c>
      <c r="K284" s="7">
        <f>VLOOKUP(J284,'Win Methods'!$C$4:$F$379,4,FALSE)</f>
        <v>15</v>
      </c>
      <c r="L284" s="8"/>
      <c r="M284" s="7">
        <f>VLOOKUP(L284,'Win Methods'!$C$4:$F$379,4,FALSE)</f>
        <v>0</v>
      </c>
      <c r="N284" s="8"/>
      <c r="O284" s="7">
        <f>VLOOKUP(N284,'Win Methods'!$C$4:$F$379,4,FALSE)</f>
        <v>0</v>
      </c>
      <c r="P284" s="8"/>
      <c r="Q284" s="7">
        <f>VLOOKUP(P284,'Win Methods'!$C$4:$F$379,4,FALSE)</f>
        <v>0</v>
      </c>
      <c r="R284" s="8"/>
      <c r="S284" s="7">
        <f>VLOOKUP(R284,'Win Methods'!$C$4:$F$379,4,FALSE)</f>
        <v>0</v>
      </c>
      <c r="T284" s="8"/>
      <c r="U284" s="7">
        <f>VLOOKUP(T284,'Win Methods'!$C$4:$F$379,4,FALSE)</f>
        <v>0</v>
      </c>
      <c r="V284" s="8"/>
      <c r="W284" s="7">
        <f>VLOOKUP(V284,'Win Methods'!$C$4:$F$379,4,FALSE)</f>
        <v>0</v>
      </c>
      <c r="X284" s="117" t="str">
        <f t="shared" si="9"/>
        <v>main-3|main-1|wild-15|bonusA-5||||||</v>
      </c>
    </row>
    <row r="285" spans="2:24" ht="13.95" customHeight="1">
      <c r="B285" s="116">
        <v>282</v>
      </c>
      <c r="C285" s="7">
        <f t="shared" si="8"/>
        <v>30.2</v>
      </c>
      <c r="D285" s="8" t="s">
        <v>8</v>
      </c>
      <c r="E285" s="7">
        <f>VLOOKUP(D285,'Win Methods'!$C$4:$F$379,4,FALSE)</f>
        <v>0.2</v>
      </c>
      <c r="F285" s="8" t="s">
        <v>12</v>
      </c>
      <c r="G285" s="7">
        <f>VLOOKUP(F285,'Win Methods'!$C$4:$F$379,4,FALSE)</f>
        <v>5</v>
      </c>
      <c r="H285" s="197" t="s">
        <v>61</v>
      </c>
      <c r="I285" s="7">
        <f>VLOOKUP(H285,'Win Methods'!$C$4:$F$379,4,FALSE)</f>
        <v>5</v>
      </c>
      <c r="J285" s="108" t="s">
        <v>129</v>
      </c>
      <c r="K285" s="7">
        <f>VLOOKUP(J285,'Win Methods'!$C$4:$F$379,4,FALSE)</f>
        <v>20</v>
      </c>
      <c r="L285" s="8"/>
      <c r="M285" s="7">
        <f>VLOOKUP(L285,'Win Methods'!$C$4:$F$379,4,FALSE)</f>
        <v>0</v>
      </c>
      <c r="N285" s="8"/>
      <c r="O285" s="7">
        <f>VLOOKUP(N285,'Win Methods'!$C$4:$F$379,4,FALSE)</f>
        <v>0</v>
      </c>
      <c r="P285" s="8"/>
      <c r="Q285" s="7">
        <f>VLOOKUP(P285,'Win Methods'!$C$4:$F$379,4,FALSE)</f>
        <v>0</v>
      </c>
      <c r="R285" s="8"/>
      <c r="S285" s="7">
        <f>VLOOKUP(R285,'Win Methods'!$C$4:$F$379,4,FALSE)</f>
        <v>0</v>
      </c>
      <c r="T285" s="8"/>
      <c r="U285" s="7">
        <f>VLOOKUP(T285,'Win Methods'!$C$4:$F$379,4,FALSE)</f>
        <v>0</v>
      </c>
      <c r="V285" s="8"/>
      <c r="W285" s="7">
        <f>VLOOKUP(V285,'Win Methods'!$C$4:$F$379,4,FALSE)</f>
        <v>0</v>
      </c>
      <c r="X285" s="117" t="str">
        <f t="shared" si="9"/>
        <v>main-1|main-5|wild-16|bonusA-6||||||</v>
      </c>
    </row>
    <row r="286" spans="2:24" ht="13.95" customHeight="1">
      <c r="B286" s="116">
        <v>283</v>
      </c>
      <c r="C286" s="7">
        <f t="shared" si="8"/>
        <v>29</v>
      </c>
      <c r="D286" s="8" t="s">
        <v>11</v>
      </c>
      <c r="E286" s="7">
        <f>VLOOKUP(D286,'Win Methods'!$C$4:$F$379,4,FALSE)</f>
        <v>2</v>
      </c>
      <c r="F286" s="8" t="s">
        <v>33</v>
      </c>
      <c r="G286" s="7">
        <f>VLOOKUP(F286,'Win Methods'!$C$4:$F$379,4,FALSE)</f>
        <v>5</v>
      </c>
      <c r="H286" s="197" t="s">
        <v>62</v>
      </c>
      <c r="I286" s="7">
        <f>VLOOKUP(H286,'Win Methods'!$C$4:$F$379,4,FALSE)</f>
        <v>10</v>
      </c>
      <c r="J286" s="108" t="s">
        <v>127</v>
      </c>
      <c r="K286" s="7">
        <f>VLOOKUP(J286,'Win Methods'!$C$4:$F$379,4,FALSE)</f>
        <v>12</v>
      </c>
      <c r="L286" s="8"/>
      <c r="M286" s="7">
        <f>VLOOKUP(L286,'Win Methods'!$C$4:$F$379,4,FALSE)</f>
        <v>0</v>
      </c>
      <c r="N286" s="8"/>
      <c r="O286" s="7">
        <f>VLOOKUP(N286,'Win Methods'!$C$4:$F$379,4,FALSE)</f>
        <v>0</v>
      </c>
      <c r="P286" s="8"/>
      <c r="Q286" s="7">
        <f>VLOOKUP(P286,'Win Methods'!$C$4:$F$379,4,FALSE)</f>
        <v>0</v>
      </c>
      <c r="R286" s="8"/>
      <c r="S286" s="7">
        <f>VLOOKUP(R286,'Win Methods'!$C$4:$F$379,4,FALSE)</f>
        <v>0</v>
      </c>
      <c r="T286" s="8"/>
      <c r="U286" s="7">
        <f>VLOOKUP(T286,'Win Methods'!$C$4:$F$379,4,FALSE)</f>
        <v>0</v>
      </c>
      <c r="V286" s="8"/>
      <c r="W286" s="7">
        <f>VLOOKUP(V286,'Win Methods'!$C$4:$F$379,4,FALSE)</f>
        <v>0</v>
      </c>
      <c r="X286" s="117" t="str">
        <f t="shared" si="9"/>
        <v>main-4|main-19|wild-17|bonusA-4||||||</v>
      </c>
    </row>
    <row r="287" spans="2:24" ht="13.95" customHeight="1">
      <c r="B287" s="116">
        <v>284</v>
      </c>
      <c r="C287" s="7">
        <f t="shared" si="8"/>
        <v>25</v>
      </c>
      <c r="D287" s="8" t="s">
        <v>10</v>
      </c>
      <c r="E287" s="7">
        <f>VLOOKUP(D287,'Win Methods'!$C$4:$F$379,4,FALSE)</f>
        <v>1</v>
      </c>
      <c r="F287" s="8" t="s">
        <v>34</v>
      </c>
      <c r="G287" s="7">
        <f>VLOOKUP(F287,'Win Methods'!$C$4:$F$379,4,FALSE)</f>
        <v>10</v>
      </c>
      <c r="H287" s="8" t="s">
        <v>11</v>
      </c>
      <c r="I287" s="7">
        <f>VLOOKUP(H287,'Win Methods'!$C$4:$F$379,4,FALSE)</f>
        <v>2</v>
      </c>
      <c r="J287" s="108" t="s">
        <v>127</v>
      </c>
      <c r="K287" s="7">
        <f>VLOOKUP(J287,'Win Methods'!$C$4:$F$379,4,FALSE)</f>
        <v>12</v>
      </c>
      <c r="L287" s="8"/>
      <c r="M287" s="7">
        <f>VLOOKUP(L287,'Win Methods'!$C$4:$F$379,4,FALSE)</f>
        <v>0</v>
      </c>
      <c r="N287" s="8"/>
      <c r="O287" s="7">
        <f>VLOOKUP(N287,'Win Methods'!$C$4:$F$379,4,FALSE)</f>
        <v>0</v>
      </c>
      <c r="P287" s="8"/>
      <c r="Q287" s="7">
        <f>VLOOKUP(P287,'Win Methods'!$C$4:$F$379,4,FALSE)</f>
        <v>0</v>
      </c>
      <c r="R287" s="8"/>
      <c r="S287" s="7">
        <f>VLOOKUP(R287,'Win Methods'!$C$4:$F$379,4,FALSE)</f>
        <v>0</v>
      </c>
      <c r="T287" s="8"/>
      <c r="U287" s="7">
        <f>VLOOKUP(T287,'Win Methods'!$C$4:$F$379,4,FALSE)</f>
        <v>0</v>
      </c>
      <c r="V287" s="8"/>
      <c r="W287" s="7">
        <f>VLOOKUP(V287,'Win Methods'!$C$4:$F$379,4,FALSE)</f>
        <v>0</v>
      </c>
      <c r="X287" s="117" t="str">
        <f t="shared" si="9"/>
        <v>main-3|main-20|main-4|bonusA-4||||||</v>
      </c>
    </row>
    <row r="288" spans="2:24" ht="13.95" customHeight="1">
      <c r="B288" s="116">
        <v>285</v>
      </c>
      <c r="C288" s="7">
        <f t="shared" si="8"/>
        <v>28</v>
      </c>
      <c r="D288" s="8" t="s">
        <v>10</v>
      </c>
      <c r="E288" s="7">
        <f>VLOOKUP(D288,'Win Methods'!$C$4:$F$379,4,FALSE)</f>
        <v>1</v>
      </c>
      <c r="F288" s="8" t="s">
        <v>34</v>
      </c>
      <c r="G288" s="7">
        <f>VLOOKUP(F288,'Win Methods'!$C$4:$F$379,4,FALSE)</f>
        <v>10</v>
      </c>
      <c r="H288" s="197" t="s">
        <v>56</v>
      </c>
      <c r="I288" s="7">
        <f>VLOOKUP(H288,'Win Methods'!$C$4:$F$379,4,FALSE)</f>
        <v>2</v>
      </c>
      <c r="J288" s="108" t="s">
        <v>128</v>
      </c>
      <c r="K288" s="7">
        <f>VLOOKUP(J288,'Win Methods'!$C$4:$F$379,4,FALSE)</f>
        <v>15</v>
      </c>
      <c r="L288" s="8"/>
      <c r="M288" s="7">
        <f>VLOOKUP(L288,'Win Methods'!$C$4:$F$379,4,FALSE)</f>
        <v>0</v>
      </c>
      <c r="N288" s="8"/>
      <c r="O288" s="7">
        <f>VLOOKUP(N288,'Win Methods'!$C$4:$F$379,4,FALSE)</f>
        <v>0</v>
      </c>
      <c r="P288" s="8"/>
      <c r="Q288" s="7">
        <f>VLOOKUP(P288,'Win Methods'!$C$4:$F$379,4,FALSE)</f>
        <v>0</v>
      </c>
      <c r="R288" s="8"/>
      <c r="S288" s="7">
        <f>VLOOKUP(R288,'Win Methods'!$C$4:$F$379,4,FALSE)</f>
        <v>0</v>
      </c>
      <c r="T288" s="8"/>
      <c r="U288" s="7">
        <f>VLOOKUP(T288,'Win Methods'!$C$4:$F$379,4,FALSE)</f>
        <v>0</v>
      </c>
      <c r="V288" s="8"/>
      <c r="W288" s="7">
        <f>VLOOKUP(V288,'Win Methods'!$C$4:$F$379,4,FALSE)</f>
        <v>0</v>
      </c>
      <c r="X288" s="117" t="str">
        <f t="shared" si="9"/>
        <v>main-3|main-20|wild-11|bonusA-5||||||</v>
      </c>
    </row>
    <row r="289" spans="2:24" ht="13.95" customHeight="1">
      <c r="B289" s="116">
        <v>286</v>
      </c>
      <c r="C289" s="7">
        <f t="shared" si="8"/>
        <v>25</v>
      </c>
      <c r="D289" s="8" t="s">
        <v>11</v>
      </c>
      <c r="E289" s="7">
        <f>VLOOKUP(D289,'Win Methods'!$C$4:$F$379,4,FALSE)</f>
        <v>2</v>
      </c>
      <c r="F289" s="8" t="s">
        <v>12</v>
      </c>
      <c r="G289" s="7">
        <f>VLOOKUP(F289,'Win Methods'!$C$4:$F$379,4,FALSE)</f>
        <v>5</v>
      </c>
      <c r="H289" s="197" t="s">
        <v>57</v>
      </c>
      <c r="I289" s="7">
        <f>VLOOKUP(H289,'Win Methods'!$C$4:$F$379,4,FALSE)</f>
        <v>3</v>
      </c>
      <c r="J289" s="108" t="s">
        <v>128</v>
      </c>
      <c r="K289" s="7">
        <f>VLOOKUP(J289,'Win Methods'!$C$4:$F$379,4,FALSE)</f>
        <v>15</v>
      </c>
      <c r="L289" s="8"/>
      <c r="M289" s="7">
        <f>VLOOKUP(L289,'Win Methods'!$C$4:$F$379,4,FALSE)</f>
        <v>0</v>
      </c>
      <c r="N289" s="8"/>
      <c r="O289" s="7">
        <f>VLOOKUP(N289,'Win Methods'!$C$4:$F$379,4,FALSE)</f>
        <v>0</v>
      </c>
      <c r="P289" s="8"/>
      <c r="Q289" s="7">
        <f>VLOOKUP(P289,'Win Methods'!$C$4:$F$379,4,FALSE)</f>
        <v>0</v>
      </c>
      <c r="R289" s="8"/>
      <c r="S289" s="7">
        <f>VLOOKUP(R289,'Win Methods'!$C$4:$F$379,4,FALSE)</f>
        <v>0</v>
      </c>
      <c r="T289" s="8"/>
      <c r="U289" s="7">
        <f>VLOOKUP(T289,'Win Methods'!$C$4:$F$379,4,FALSE)</f>
        <v>0</v>
      </c>
      <c r="V289" s="8"/>
      <c r="W289" s="7">
        <f>VLOOKUP(V289,'Win Methods'!$C$4:$F$379,4,FALSE)</f>
        <v>0</v>
      </c>
      <c r="X289" s="117" t="str">
        <f t="shared" si="9"/>
        <v>main-4|main-5|wild-12|bonusA-5||||||</v>
      </c>
    </row>
    <row r="290" spans="2:24" ht="13.95" customHeight="1">
      <c r="B290" s="116">
        <v>287</v>
      </c>
      <c r="C290" s="7">
        <f t="shared" si="8"/>
        <v>25</v>
      </c>
      <c r="D290" s="8" t="s">
        <v>12</v>
      </c>
      <c r="E290" s="7">
        <f>VLOOKUP(D290,'Win Methods'!$C$4:$F$379,4,FALSE)</f>
        <v>5</v>
      </c>
      <c r="F290" s="8" t="s">
        <v>39</v>
      </c>
      <c r="G290" s="7">
        <f>VLOOKUP(F290,'Win Methods'!$C$4:$F$379,4,FALSE)</f>
        <v>5</v>
      </c>
      <c r="H290" s="197" t="s">
        <v>58</v>
      </c>
      <c r="I290" s="7">
        <f>VLOOKUP(H290,'Win Methods'!$C$4:$F$379,4,FALSE)</f>
        <v>5</v>
      </c>
      <c r="J290" s="108" t="s">
        <v>126</v>
      </c>
      <c r="K290" s="7">
        <f>VLOOKUP(J290,'Win Methods'!$C$4:$F$379,4,FALSE)</f>
        <v>10</v>
      </c>
      <c r="L290" s="8"/>
      <c r="M290" s="7">
        <f>VLOOKUP(L290,'Win Methods'!$C$4:$F$379,4,FALSE)</f>
        <v>0</v>
      </c>
      <c r="N290" s="8"/>
      <c r="O290" s="7">
        <f>VLOOKUP(N290,'Win Methods'!$C$4:$F$379,4,FALSE)</f>
        <v>0</v>
      </c>
      <c r="P290" s="8"/>
      <c r="Q290" s="7">
        <f>VLOOKUP(P290,'Win Methods'!$C$4:$F$379,4,FALSE)</f>
        <v>0</v>
      </c>
      <c r="R290" s="8"/>
      <c r="S290" s="7">
        <f>VLOOKUP(R290,'Win Methods'!$C$4:$F$379,4,FALSE)</f>
        <v>0</v>
      </c>
      <c r="T290" s="8"/>
      <c r="U290" s="7">
        <f>VLOOKUP(T290,'Win Methods'!$C$4:$F$379,4,FALSE)</f>
        <v>0</v>
      </c>
      <c r="V290" s="8"/>
      <c r="W290" s="7">
        <f>VLOOKUP(V290,'Win Methods'!$C$4:$F$379,4,FALSE)</f>
        <v>0</v>
      </c>
      <c r="X290" s="117" t="str">
        <f t="shared" si="9"/>
        <v>main-5|main-25|wild-13|bonusA-3||||||</v>
      </c>
    </row>
    <row r="291" spans="2:24" ht="13.95" customHeight="1">
      <c r="B291" s="116">
        <v>288</v>
      </c>
      <c r="C291" s="7">
        <f t="shared" si="8"/>
        <v>29</v>
      </c>
      <c r="D291" s="8" t="s">
        <v>12</v>
      </c>
      <c r="E291" s="7">
        <f>VLOOKUP(D291,'Win Methods'!$C$4:$F$379,4,FALSE)</f>
        <v>5</v>
      </c>
      <c r="F291" s="8" t="s">
        <v>40</v>
      </c>
      <c r="G291" s="7">
        <f>VLOOKUP(F291,'Win Methods'!$C$4:$F$379,4,FALSE)</f>
        <v>10</v>
      </c>
      <c r="H291" s="197" t="s">
        <v>59</v>
      </c>
      <c r="I291" s="7">
        <f>VLOOKUP(H291,'Win Methods'!$C$4:$F$379,4,FALSE)</f>
        <v>2</v>
      </c>
      <c r="J291" s="108" t="s">
        <v>127</v>
      </c>
      <c r="K291" s="7">
        <f>VLOOKUP(J291,'Win Methods'!$C$4:$F$379,4,FALSE)</f>
        <v>12</v>
      </c>
      <c r="L291" s="8"/>
      <c r="M291" s="7">
        <f>VLOOKUP(L291,'Win Methods'!$C$4:$F$379,4,FALSE)</f>
        <v>0</v>
      </c>
      <c r="N291" s="8"/>
      <c r="O291" s="7">
        <f>VLOOKUP(N291,'Win Methods'!$C$4:$F$379,4,FALSE)</f>
        <v>0</v>
      </c>
      <c r="P291" s="8"/>
      <c r="Q291" s="7">
        <f>VLOOKUP(P291,'Win Methods'!$C$4:$F$379,4,FALSE)</f>
        <v>0</v>
      </c>
      <c r="R291" s="8"/>
      <c r="S291" s="7">
        <f>VLOOKUP(R291,'Win Methods'!$C$4:$F$379,4,FALSE)</f>
        <v>0</v>
      </c>
      <c r="T291" s="8"/>
      <c r="U291" s="7">
        <f>VLOOKUP(T291,'Win Methods'!$C$4:$F$379,4,FALSE)</f>
        <v>0</v>
      </c>
      <c r="V291" s="8"/>
      <c r="W291" s="7">
        <f>VLOOKUP(V291,'Win Methods'!$C$4:$F$379,4,FALSE)</f>
        <v>0</v>
      </c>
      <c r="X291" s="117" t="str">
        <f t="shared" si="9"/>
        <v>main-5|main-26|wild-14|bonusA-4||||||</v>
      </c>
    </row>
    <row r="292" spans="2:24" ht="13.95" customHeight="1">
      <c r="B292" s="116">
        <v>289</v>
      </c>
      <c r="C292" s="7">
        <f t="shared" si="8"/>
        <v>27.1</v>
      </c>
      <c r="D292" s="8" t="s">
        <v>11</v>
      </c>
      <c r="E292" s="7">
        <f>VLOOKUP(D292,'Win Methods'!$C$4:$F$379,4,FALSE)</f>
        <v>2</v>
      </c>
      <c r="F292" s="8" t="s">
        <v>5</v>
      </c>
      <c r="G292" s="7">
        <f>VLOOKUP(F292,'Win Methods'!$C$4:$F$379,4,FALSE)</f>
        <v>0.1</v>
      </c>
      <c r="H292" s="8" t="s">
        <v>34</v>
      </c>
      <c r="I292" s="7">
        <f>VLOOKUP(H292,'Win Methods'!$C$4:$F$379,4,FALSE)</f>
        <v>10</v>
      </c>
      <c r="J292" s="108" t="s">
        <v>128</v>
      </c>
      <c r="K292" s="7">
        <f>VLOOKUP(J292,'Win Methods'!$C$4:$F$379,4,FALSE)</f>
        <v>15</v>
      </c>
      <c r="L292" s="8"/>
      <c r="M292" s="7">
        <f>VLOOKUP(L292,'Win Methods'!$C$4:$F$379,4,FALSE)</f>
        <v>0</v>
      </c>
      <c r="N292" s="8"/>
      <c r="O292" s="7">
        <f>VLOOKUP(N292,'Win Methods'!$C$4:$F$379,4,FALSE)</f>
        <v>0</v>
      </c>
      <c r="P292" s="8"/>
      <c r="Q292" s="7">
        <f>VLOOKUP(P292,'Win Methods'!$C$4:$F$379,4,FALSE)</f>
        <v>0</v>
      </c>
      <c r="R292" s="8"/>
      <c r="S292" s="7">
        <f>VLOOKUP(R292,'Win Methods'!$C$4:$F$379,4,FALSE)</f>
        <v>0</v>
      </c>
      <c r="T292" s="8"/>
      <c r="U292" s="7">
        <f>VLOOKUP(T292,'Win Methods'!$C$4:$F$379,4,FALSE)</f>
        <v>0</v>
      </c>
      <c r="V292" s="8"/>
      <c r="W292" s="7">
        <f>VLOOKUP(V292,'Win Methods'!$C$4:$F$379,4,FALSE)</f>
        <v>0</v>
      </c>
      <c r="X292" s="117" t="str">
        <f t="shared" si="9"/>
        <v>main-4|main-0|main-20|bonusA-5||||||</v>
      </c>
    </row>
    <row r="293" spans="2:24" ht="13.95" customHeight="1">
      <c r="B293" s="116">
        <v>290</v>
      </c>
      <c r="C293" s="7">
        <f t="shared" si="8"/>
        <v>24</v>
      </c>
      <c r="D293" s="8" t="s">
        <v>25</v>
      </c>
      <c r="E293" s="7">
        <f>VLOOKUP(D293,'Win Methods'!$C$4:$F$379,4,FALSE)</f>
        <v>2</v>
      </c>
      <c r="F293" s="8" t="s">
        <v>39</v>
      </c>
      <c r="G293" s="7">
        <f>VLOOKUP(F293,'Win Methods'!$C$4:$F$379,4,FALSE)</f>
        <v>5</v>
      </c>
      <c r="H293" s="8" t="s">
        <v>12</v>
      </c>
      <c r="I293" s="7">
        <f>VLOOKUP(H293,'Win Methods'!$C$4:$F$379,4,FALSE)</f>
        <v>5</v>
      </c>
      <c r="J293" s="108" t="s">
        <v>127</v>
      </c>
      <c r="K293" s="7">
        <f>VLOOKUP(J293,'Win Methods'!$C$4:$F$379,4,FALSE)</f>
        <v>12</v>
      </c>
      <c r="L293" s="8"/>
      <c r="M293" s="7">
        <f>VLOOKUP(L293,'Win Methods'!$C$4:$F$379,4,FALSE)</f>
        <v>0</v>
      </c>
      <c r="N293" s="8"/>
      <c r="O293" s="7">
        <f>VLOOKUP(N293,'Win Methods'!$C$4:$F$379,4,FALSE)</f>
        <v>0</v>
      </c>
      <c r="P293" s="8"/>
      <c r="Q293" s="7">
        <f>VLOOKUP(P293,'Win Methods'!$C$4:$F$379,4,FALSE)</f>
        <v>0</v>
      </c>
      <c r="R293" s="8"/>
      <c r="S293" s="7">
        <f>VLOOKUP(R293,'Win Methods'!$C$4:$F$379,4,FALSE)</f>
        <v>0</v>
      </c>
      <c r="T293" s="8"/>
      <c r="U293" s="7">
        <f>VLOOKUP(T293,'Win Methods'!$C$4:$F$379,4,FALSE)</f>
        <v>0</v>
      </c>
      <c r="V293" s="8"/>
      <c r="W293" s="7">
        <f>VLOOKUP(V293,'Win Methods'!$C$4:$F$379,4,FALSE)</f>
        <v>0</v>
      </c>
      <c r="X293" s="117" t="str">
        <f t="shared" si="9"/>
        <v>main-11|main-25|main-5|bonusA-4||||||</v>
      </c>
    </row>
    <row r="294" spans="2:24" ht="13.95" customHeight="1">
      <c r="B294" s="116">
        <v>291</v>
      </c>
      <c r="C294" s="7">
        <f t="shared" si="8"/>
        <v>23</v>
      </c>
      <c r="D294" s="8" t="s">
        <v>32</v>
      </c>
      <c r="E294" s="7">
        <f>VLOOKUP(D294,'Win Methods'!$C$4:$F$379,4,FALSE)</f>
        <v>3</v>
      </c>
      <c r="F294" s="8" t="s">
        <v>33</v>
      </c>
      <c r="G294" s="7">
        <f>VLOOKUP(F294,'Win Methods'!$C$4:$F$379,4,FALSE)</f>
        <v>5</v>
      </c>
      <c r="H294" s="8" t="s">
        <v>12</v>
      </c>
      <c r="I294" s="7">
        <f>VLOOKUP(H294,'Win Methods'!$C$4:$F$379,4,FALSE)</f>
        <v>5</v>
      </c>
      <c r="J294" s="108" t="s">
        <v>126</v>
      </c>
      <c r="K294" s="7">
        <f>VLOOKUP(J294,'Win Methods'!$C$4:$F$379,4,FALSE)</f>
        <v>10</v>
      </c>
      <c r="L294" s="8"/>
      <c r="M294" s="7">
        <f>VLOOKUP(L294,'Win Methods'!$C$4:$F$379,4,FALSE)</f>
        <v>0</v>
      </c>
      <c r="N294" s="8"/>
      <c r="O294" s="7">
        <f>VLOOKUP(N294,'Win Methods'!$C$4:$F$379,4,FALSE)</f>
        <v>0</v>
      </c>
      <c r="P294" s="8"/>
      <c r="Q294" s="7">
        <f>VLOOKUP(P294,'Win Methods'!$C$4:$F$379,4,FALSE)</f>
        <v>0</v>
      </c>
      <c r="R294" s="8"/>
      <c r="S294" s="7">
        <f>VLOOKUP(R294,'Win Methods'!$C$4:$F$379,4,FALSE)</f>
        <v>0</v>
      </c>
      <c r="T294" s="8"/>
      <c r="U294" s="7">
        <f>VLOOKUP(T294,'Win Methods'!$C$4:$F$379,4,FALSE)</f>
        <v>0</v>
      </c>
      <c r="V294" s="8"/>
      <c r="W294" s="7">
        <f>VLOOKUP(V294,'Win Methods'!$C$4:$F$379,4,FALSE)</f>
        <v>0</v>
      </c>
      <c r="X294" s="117" t="str">
        <f t="shared" si="9"/>
        <v>main-18|main-19|main-5|bonusA-3||||||</v>
      </c>
    </row>
    <row r="295" spans="2:24" ht="13.95" customHeight="1">
      <c r="B295" s="116">
        <v>292</v>
      </c>
      <c r="C295" s="7">
        <f t="shared" si="8"/>
        <v>18.5</v>
      </c>
      <c r="D295" s="8" t="s">
        <v>9</v>
      </c>
      <c r="E295" s="7">
        <f>VLOOKUP(D295,'Win Methods'!$C$4:$F$379,4,FALSE)</f>
        <v>0.5</v>
      </c>
      <c r="F295" s="8" t="s">
        <v>33</v>
      </c>
      <c r="G295" s="7">
        <f>VLOOKUP(F295,'Win Methods'!$C$4:$F$379,4,FALSE)</f>
        <v>5</v>
      </c>
      <c r="H295" s="8" t="s">
        <v>10</v>
      </c>
      <c r="I295" s="7">
        <f>VLOOKUP(H295,'Win Methods'!$C$4:$F$379,4,FALSE)</f>
        <v>1</v>
      </c>
      <c r="J295" s="108" t="s">
        <v>127</v>
      </c>
      <c r="K295" s="7">
        <f>VLOOKUP(J295,'Win Methods'!$C$4:$F$379,4,FALSE)</f>
        <v>12</v>
      </c>
      <c r="L295" s="8"/>
      <c r="M295" s="7">
        <f>VLOOKUP(L295,'Win Methods'!$C$4:$F$379,4,FALSE)</f>
        <v>0</v>
      </c>
      <c r="N295" s="8"/>
      <c r="O295" s="7">
        <f>VLOOKUP(N295,'Win Methods'!$C$4:$F$379,4,FALSE)</f>
        <v>0</v>
      </c>
      <c r="P295" s="8"/>
      <c r="Q295" s="7">
        <f>VLOOKUP(P295,'Win Methods'!$C$4:$F$379,4,FALSE)</f>
        <v>0</v>
      </c>
      <c r="R295" s="8"/>
      <c r="S295" s="7">
        <f>VLOOKUP(R295,'Win Methods'!$C$4:$F$379,4,FALSE)</f>
        <v>0</v>
      </c>
      <c r="T295" s="8"/>
      <c r="U295" s="7">
        <f>VLOOKUP(T295,'Win Methods'!$C$4:$F$379,4,FALSE)</f>
        <v>0</v>
      </c>
      <c r="V295" s="8"/>
      <c r="W295" s="7">
        <f>VLOOKUP(V295,'Win Methods'!$C$4:$F$379,4,FALSE)</f>
        <v>0</v>
      </c>
      <c r="X295" s="117" t="str">
        <f t="shared" si="9"/>
        <v>main-2|main-19|main-3|bonusA-4||||||</v>
      </c>
    </row>
    <row r="296" spans="2:24" ht="13.95" customHeight="1">
      <c r="B296" s="116">
        <v>293</v>
      </c>
      <c r="C296" s="7">
        <f t="shared" si="8"/>
        <v>28</v>
      </c>
      <c r="D296" s="8" t="s">
        <v>32</v>
      </c>
      <c r="E296" s="7">
        <f>VLOOKUP(D296,'Win Methods'!$C$4:$F$379,4,FALSE)</f>
        <v>3</v>
      </c>
      <c r="F296" s="8" t="s">
        <v>33</v>
      </c>
      <c r="G296" s="7">
        <f>VLOOKUP(F296,'Win Methods'!$C$4:$F$379,4,FALSE)</f>
        <v>5</v>
      </c>
      <c r="H296" s="8" t="s">
        <v>12</v>
      </c>
      <c r="I296" s="7">
        <f>VLOOKUP(H296,'Win Methods'!$C$4:$F$379,4,FALSE)</f>
        <v>5</v>
      </c>
      <c r="J296" s="197" t="s">
        <v>58</v>
      </c>
      <c r="K296" s="7">
        <f>VLOOKUP(J296,'Win Methods'!$C$4:$F$379,4,FALSE)</f>
        <v>5</v>
      </c>
      <c r="L296" s="108" t="s">
        <v>126</v>
      </c>
      <c r="M296" s="7">
        <f>VLOOKUP(L296,'Win Methods'!$C$4:$F$379,4,FALSE)</f>
        <v>10</v>
      </c>
      <c r="N296" s="8"/>
      <c r="O296" s="7">
        <f>VLOOKUP(N296,'Win Methods'!$C$4:$F$379,4,FALSE)</f>
        <v>0</v>
      </c>
      <c r="P296" s="8"/>
      <c r="Q296" s="7">
        <f>VLOOKUP(P296,'Win Methods'!$C$4:$F$379,4,FALSE)</f>
        <v>0</v>
      </c>
      <c r="R296" s="8"/>
      <c r="S296" s="7">
        <f>VLOOKUP(R296,'Win Methods'!$C$4:$F$379,4,FALSE)</f>
        <v>0</v>
      </c>
      <c r="T296" s="8"/>
      <c r="U296" s="7">
        <f>VLOOKUP(T296,'Win Methods'!$C$4:$F$379,4,FALSE)</f>
        <v>0</v>
      </c>
      <c r="V296" s="8"/>
      <c r="W296" s="7">
        <f>VLOOKUP(V296,'Win Methods'!$C$4:$F$379,4,FALSE)</f>
        <v>0</v>
      </c>
      <c r="X296" s="117" t="str">
        <f t="shared" si="9"/>
        <v>main-18|main-19|main-5|wild-13|bonusA-3|||||</v>
      </c>
    </row>
    <row r="297" spans="2:24" ht="13.95" customHeight="1">
      <c r="B297" s="116">
        <v>294</v>
      </c>
      <c r="C297" s="7">
        <f t="shared" si="8"/>
        <v>28</v>
      </c>
      <c r="D297" s="8" t="s">
        <v>10</v>
      </c>
      <c r="E297" s="7">
        <f>VLOOKUP(D297,'Win Methods'!$C$4:$F$379,4,FALSE)</f>
        <v>1</v>
      </c>
      <c r="F297" s="8" t="s">
        <v>34</v>
      </c>
      <c r="G297" s="7">
        <f>VLOOKUP(F297,'Win Methods'!$C$4:$F$379,4,FALSE)</f>
        <v>10</v>
      </c>
      <c r="H297" s="8" t="s">
        <v>11</v>
      </c>
      <c r="I297" s="7">
        <f>VLOOKUP(H297,'Win Methods'!$C$4:$F$379,4,FALSE)</f>
        <v>2</v>
      </c>
      <c r="J297" s="197" t="s">
        <v>60</v>
      </c>
      <c r="K297" s="7">
        <f>VLOOKUP(J297,'Win Methods'!$C$4:$F$379,4,FALSE)</f>
        <v>3</v>
      </c>
      <c r="L297" s="108" t="s">
        <v>127</v>
      </c>
      <c r="M297" s="7">
        <f>VLOOKUP(L297,'Win Methods'!$C$4:$F$379,4,FALSE)</f>
        <v>12</v>
      </c>
      <c r="N297" s="8"/>
      <c r="O297" s="7">
        <f>VLOOKUP(N297,'Win Methods'!$C$4:$F$379,4,FALSE)</f>
        <v>0</v>
      </c>
      <c r="P297" s="8"/>
      <c r="Q297" s="7">
        <f>VLOOKUP(P297,'Win Methods'!$C$4:$F$379,4,FALSE)</f>
        <v>0</v>
      </c>
      <c r="R297" s="8"/>
      <c r="S297" s="7">
        <f>VLOOKUP(R297,'Win Methods'!$C$4:$F$379,4,FALSE)</f>
        <v>0</v>
      </c>
      <c r="T297" s="8"/>
      <c r="U297" s="7">
        <f>VLOOKUP(T297,'Win Methods'!$C$4:$F$379,4,FALSE)</f>
        <v>0</v>
      </c>
      <c r="V297" s="8"/>
      <c r="W297" s="7">
        <f>VLOOKUP(V297,'Win Methods'!$C$4:$F$379,4,FALSE)</f>
        <v>0</v>
      </c>
      <c r="X297" s="117" t="str">
        <f t="shared" si="9"/>
        <v>main-3|main-20|main-4|wild-15|bonusA-4|||||</v>
      </c>
    </row>
    <row r="298" spans="2:24" ht="13.95" customHeight="1">
      <c r="B298" s="116">
        <v>295</v>
      </c>
      <c r="C298" s="7">
        <f t="shared" si="8"/>
        <v>20.3</v>
      </c>
      <c r="D298" s="8" t="s">
        <v>11</v>
      </c>
      <c r="E298" s="7">
        <f>VLOOKUP(D298,'Win Methods'!$C$4:$F$379,4,FALSE)</f>
        <v>2</v>
      </c>
      <c r="F298" s="8" t="s">
        <v>5</v>
      </c>
      <c r="G298" s="7">
        <f>VLOOKUP(F298,'Win Methods'!$C$4:$F$379,4,FALSE)</f>
        <v>0.1</v>
      </c>
      <c r="H298" s="8" t="s">
        <v>8</v>
      </c>
      <c r="I298" s="7">
        <f>VLOOKUP(H298,'Win Methods'!$C$4:$F$379,4,FALSE)</f>
        <v>0.2</v>
      </c>
      <c r="J298" s="8" t="s">
        <v>32</v>
      </c>
      <c r="K298" s="7">
        <f>VLOOKUP(J298,'Win Methods'!$C$4:$F$379,4,FALSE)</f>
        <v>3</v>
      </c>
      <c r="L298" s="108" t="s">
        <v>128</v>
      </c>
      <c r="M298" s="7">
        <f>VLOOKUP(L298,'Win Methods'!$C$4:$F$379,4,FALSE)</f>
        <v>15</v>
      </c>
      <c r="N298" s="8"/>
      <c r="O298" s="7">
        <f>VLOOKUP(N298,'Win Methods'!$C$4:$F$379,4,FALSE)</f>
        <v>0</v>
      </c>
      <c r="P298" s="8"/>
      <c r="Q298" s="7">
        <f>VLOOKUP(P298,'Win Methods'!$C$4:$F$379,4,FALSE)</f>
        <v>0</v>
      </c>
      <c r="R298" s="8"/>
      <c r="S298" s="7">
        <f>VLOOKUP(R298,'Win Methods'!$C$4:$F$379,4,FALSE)</f>
        <v>0</v>
      </c>
      <c r="T298" s="8"/>
      <c r="U298" s="7">
        <f>VLOOKUP(T298,'Win Methods'!$C$4:$F$379,4,FALSE)</f>
        <v>0</v>
      </c>
      <c r="V298" s="8"/>
      <c r="W298" s="7">
        <f>VLOOKUP(V298,'Win Methods'!$C$4:$F$379,4,FALSE)</f>
        <v>0</v>
      </c>
      <c r="X298" s="117" t="str">
        <f t="shared" si="9"/>
        <v>main-4|main-0|main-1|main-18|bonusA-5|||||</v>
      </c>
    </row>
    <row r="299" spans="2:24" ht="13.95" customHeight="1">
      <c r="B299" s="116">
        <v>296</v>
      </c>
      <c r="C299" s="7">
        <f t="shared" si="8"/>
        <v>19.2</v>
      </c>
      <c r="D299" s="8" t="s">
        <v>5</v>
      </c>
      <c r="E299" s="7">
        <f>VLOOKUP(D299,'Win Methods'!$C$4:$F$379,4,FALSE)</f>
        <v>0.1</v>
      </c>
      <c r="F299" s="8" t="s">
        <v>11</v>
      </c>
      <c r="G299" s="7">
        <f>VLOOKUP(F299,'Win Methods'!$C$4:$F$379,4,FALSE)</f>
        <v>2</v>
      </c>
      <c r="H299" s="8" t="s">
        <v>5</v>
      </c>
      <c r="I299" s="7">
        <f>VLOOKUP(H299,'Win Methods'!$C$4:$F$379,4,FALSE)</f>
        <v>0.1</v>
      </c>
      <c r="J299" s="8" t="s">
        <v>33</v>
      </c>
      <c r="K299" s="7">
        <f>VLOOKUP(J299,'Win Methods'!$C$4:$F$379,4,FALSE)</f>
        <v>5</v>
      </c>
      <c r="L299" s="108" t="s">
        <v>127</v>
      </c>
      <c r="M299" s="7">
        <f>VLOOKUP(L299,'Win Methods'!$C$4:$F$379,4,FALSE)</f>
        <v>12</v>
      </c>
      <c r="N299" s="8"/>
      <c r="O299" s="7">
        <f>VLOOKUP(N299,'Win Methods'!$C$4:$F$379,4,FALSE)</f>
        <v>0</v>
      </c>
      <c r="P299" s="8"/>
      <c r="Q299" s="7">
        <f>VLOOKUP(P299,'Win Methods'!$C$4:$F$379,4,FALSE)</f>
        <v>0</v>
      </c>
      <c r="R299" s="8"/>
      <c r="S299" s="7">
        <f>VLOOKUP(R299,'Win Methods'!$C$4:$F$379,4,FALSE)</f>
        <v>0</v>
      </c>
      <c r="T299" s="8"/>
      <c r="U299" s="7">
        <f>VLOOKUP(T299,'Win Methods'!$C$4:$F$379,4,FALSE)</f>
        <v>0</v>
      </c>
      <c r="V299" s="8"/>
      <c r="W299" s="7">
        <f>VLOOKUP(V299,'Win Methods'!$C$4:$F$379,4,FALSE)</f>
        <v>0</v>
      </c>
      <c r="X299" s="117" t="str">
        <f t="shared" si="9"/>
        <v>main-0|main-4|main-0|main-19|bonusA-4|||||</v>
      </c>
    </row>
    <row r="300" spans="2:24" ht="13.95" customHeight="1">
      <c r="B300" s="116">
        <v>297</v>
      </c>
      <c r="C300" s="7">
        <f t="shared" si="8"/>
        <v>30.1</v>
      </c>
      <c r="D300" s="8" t="s">
        <v>5</v>
      </c>
      <c r="E300" s="7">
        <f>VLOOKUP(D300,'Win Methods'!$C$4:$F$379,4,FALSE)</f>
        <v>0.1</v>
      </c>
      <c r="F300" s="8" t="s">
        <v>27</v>
      </c>
      <c r="G300" s="7">
        <f>VLOOKUP(F300,'Win Methods'!$C$4:$F$379,4,FALSE)</f>
        <v>5</v>
      </c>
      <c r="H300" s="8" t="s">
        <v>40</v>
      </c>
      <c r="I300" s="7">
        <f>VLOOKUP(H300,'Win Methods'!$C$4:$F$379,4,FALSE)</f>
        <v>10</v>
      </c>
      <c r="J300" s="8" t="s">
        <v>32</v>
      </c>
      <c r="K300" s="7">
        <f>VLOOKUP(J300,'Win Methods'!$C$4:$F$379,4,FALSE)</f>
        <v>3</v>
      </c>
      <c r="L300" s="108" t="s">
        <v>127</v>
      </c>
      <c r="M300" s="7">
        <f>VLOOKUP(L300,'Win Methods'!$C$4:$F$379,4,FALSE)</f>
        <v>12</v>
      </c>
      <c r="N300" s="8"/>
      <c r="O300" s="7">
        <f>VLOOKUP(N300,'Win Methods'!$C$4:$F$379,4,FALSE)</f>
        <v>0</v>
      </c>
      <c r="P300" s="8"/>
      <c r="Q300" s="7">
        <f>VLOOKUP(P300,'Win Methods'!$C$4:$F$379,4,FALSE)</f>
        <v>0</v>
      </c>
      <c r="R300" s="8"/>
      <c r="S300" s="7">
        <f>VLOOKUP(R300,'Win Methods'!$C$4:$F$379,4,FALSE)</f>
        <v>0</v>
      </c>
      <c r="T300" s="8"/>
      <c r="U300" s="7">
        <f>VLOOKUP(T300,'Win Methods'!$C$4:$F$379,4,FALSE)</f>
        <v>0</v>
      </c>
      <c r="V300" s="8"/>
      <c r="W300" s="7">
        <f>VLOOKUP(V300,'Win Methods'!$C$4:$F$379,4,FALSE)</f>
        <v>0</v>
      </c>
      <c r="X300" s="117" t="str">
        <f t="shared" si="9"/>
        <v>main-0|main-13|main-26|main-18|bonusA-4|||||</v>
      </c>
    </row>
    <row r="301" spans="2:24" ht="13.95" customHeight="1">
      <c r="B301" s="116">
        <v>298</v>
      </c>
      <c r="C301" s="7">
        <f t="shared" si="8"/>
        <v>30.1</v>
      </c>
      <c r="D301" s="8" t="s">
        <v>12</v>
      </c>
      <c r="E301" s="7">
        <f>VLOOKUP(D301,'Win Methods'!$C$4:$F$379,4,FALSE)</f>
        <v>5</v>
      </c>
      <c r="F301" s="8" t="s">
        <v>27</v>
      </c>
      <c r="G301" s="7">
        <f>VLOOKUP(F301,'Win Methods'!$C$4:$F$379,4,FALSE)</f>
        <v>5</v>
      </c>
      <c r="H301" s="8" t="s">
        <v>39</v>
      </c>
      <c r="I301" s="7">
        <f>VLOOKUP(H301,'Win Methods'!$C$4:$F$379,4,FALSE)</f>
        <v>5</v>
      </c>
      <c r="J301" s="8" t="s">
        <v>5</v>
      </c>
      <c r="K301" s="7">
        <f>VLOOKUP(J301,'Win Methods'!$C$4:$F$379,4,FALSE)</f>
        <v>0.1</v>
      </c>
      <c r="L301" s="108" t="s">
        <v>128</v>
      </c>
      <c r="M301" s="7">
        <f>VLOOKUP(L301,'Win Methods'!$C$4:$F$379,4,FALSE)</f>
        <v>15</v>
      </c>
      <c r="N301" s="8"/>
      <c r="O301" s="7">
        <f>VLOOKUP(N301,'Win Methods'!$C$4:$F$379,4,FALSE)</f>
        <v>0</v>
      </c>
      <c r="P301" s="8"/>
      <c r="Q301" s="7">
        <f>VLOOKUP(P301,'Win Methods'!$C$4:$F$379,4,FALSE)</f>
        <v>0</v>
      </c>
      <c r="R301" s="8"/>
      <c r="S301" s="7">
        <f>VLOOKUP(R301,'Win Methods'!$C$4:$F$379,4,FALSE)</f>
        <v>0</v>
      </c>
      <c r="T301" s="8"/>
      <c r="U301" s="7">
        <f>VLOOKUP(T301,'Win Methods'!$C$4:$F$379,4,FALSE)</f>
        <v>0</v>
      </c>
      <c r="V301" s="8"/>
      <c r="W301" s="7">
        <f>VLOOKUP(V301,'Win Methods'!$C$4:$F$379,4,FALSE)</f>
        <v>0</v>
      </c>
      <c r="X301" s="117" t="str">
        <f t="shared" si="9"/>
        <v>main-5|main-13|main-25|main-0|bonusA-5|||||</v>
      </c>
    </row>
    <row r="302" spans="2:24" ht="13.95" customHeight="1">
      <c r="B302" s="116">
        <v>299</v>
      </c>
      <c r="C302" s="7">
        <f t="shared" si="8"/>
        <v>37</v>
      </c>
      <c r="D302" s="8" t="s">
        <v>12</v>
      </c>
      <c r="E302" s="7">
        <f>VLOOKUP(D302,'Win Methods'!$C$4:$F$379,4,FALSE)</f>
        <v>5</v>
      </c>
      <c r="F302" s="8" t="s">
        <v>39</v>
      </c>
      <c r="G302" s="7">
        <f>VLOOKUP(F302,'Win Methods'!$C$4:$F$379,4,FALSE)</f>
        <v>5</v>
      </c>
      <c r="H302" s="8" t="s">
        <v>33</v>
      </c>
      <c r="I302" s="7">
        <f>VLOOKUP(H302,'Win Methods'!$C$4:$F$379,4,FALSE)</f>
        <v>5</v>
      </c>
      <c r="J302" s="197" t="s">
        <v>56</v>
      </c>
      <c r="K302" s="7">
        <f>VLOOKUP(J302,'Win Methods'!$C$4:$F$379,4,FALSE)</f>
        <v>2</v>
      </c>
      <c r="L302" s="108" t="s">
        <v>129</v>
      </c>
      <c r="M302" s="7">
        <f>VLOOKUP(L302,'Win Methods'!$C$4:$F$379,4,FALSE)</f>
        <v>20</v>
      </c>
      <c r="N302" s="8"/>
      <c r="O302" s="7">
        <f>VLOOKUP(N302,'Win Methods'!$C$4:$F$379,4,FALSE)</f>
        <v>0</v>
      </c>
      <c r="P302" s="8"/>
      <c r="Q302" s="7">
        <f>VLOOKUP(P302,'Win Methods'!$C$4:$F$379,4,FALSE)</f>
        <v>0</v>
      </c>
      <c r="R302" s="8"/>
      <c r="S302" s="7">
        <f>VLOOKUP(R302,'Win Methods'!$C$4:$F$379,4,FALSE)</f>
        <v>0</v>
      </c>
      <c r="T302" s="8"/>
      <c r="U302" s="7">
        <f>VLOOKUP(T302,'Win Methods'!$C$4:$F$379,4,FALSE)</f>
        <v>0</v>
      </c>
      <c r="V302" s="8"/>
      <c r="W302" s="7">
        <f>VLOOKUP(V302,'Win Methods'!$C$4:$F$379,4,FALSE)</f>
        <v>0</v>
      </c>
      <c r="X302" s="117" t="str">
        <f t="shared" si="9"/>
        <v>main-5|main-25|main-19|wild-11|bonusA-6|||||</v>
      </c>
    </row>
    <row r="303" spans="2:24" ht="13.95" customHeight="1">
      <c r="B303" s="116">
        <v>300</v>
      </c>
      <c r="C303" s="7">
        <f t="shared" si="8"/>
        <v>22.5</v>
      </c>
      <c r="D303" s="8" t="s">
        <v>11</v>
      </c>
      <c r="E303" s="7">
        <f>VLOOKUP(D303,'Win Methods'!$C$4:$F$379,4,FALSE)</f>
        <v>2</v>
      </c>
      <c r="F303" s="8" t="s">
        <v>33</v>
      </c>
      <c r="G303" s="7">
        <f>VLOOKUP(F303,'Win Methods'!$C$4:$F$379,4,FALSE)</f>
        <v>5</v>
      </c>
      <c r="H303" s="8" t="s">
        <v>12</v>
      </c>
      <c r="I303" s="7">
        <f>VLOOKUP(H303,'Win Methods'!$C$4:$F$379,4,FALSE)</f>
        <v>5</v>
      </c>
      <c r="J303" s="197" t="s">
        <v>47</v>
      </c>
      <c r="K303" s="7">
        <f>VLOOKUP(J303,'Win Methods'!$C$4:$F$379,4,FALSE)</f>
        <v>0.5</v>
      </c>
      <c r="L303" s="108" t="s">
        <v>126</v>
      </c>
      <c r="M303" s="7">
        <f>VLOOKUP(L303,'Win Methods'!$C$4:$F$379,4,FALSE)</f>
        <v>10</v>
      </c>
      <c r="N303" s="8"/>
      <c r="O303" s="7">
        <f>VLOOKUP(N303,'Win Methods'!$C$4:$F$379,4,FALSE)</f>
        <v>0</v>
      </c>
      <c r="P303" s="8"/>
      <c r="Q303" s="7">
        <f>VLOOKUP(P303,'Win Methods'!$C$4:$F$379,4,FALSE)</f>
        <v>0</v>
      </c>
      <c r="R303" s="8"/>
      <c r="S303" s="7">
        <f>VLOOKUP(R303,'Win Methods'!$C$4:$F$379,4,FALSE)</f>
        <v>0</v>
      </c>
      <c r="T303" s="8"/>
      <c r="U303" s="7">
        <f>VLOOKUP(T303,'Win Methods'!$C$4:$F$379,4,FALSE)</f>
        <v>0</v>
      </c>
      <c r="V303" s="8"/>
      <c r="W303" s="7">
        <f>VLOOKUP(V303,'Win Methods'!$C$4:$F$379,4,FALSE)</f>
        <v>0</v>
      </c>
      <c r="X303" s="117" t="str">
        <f t="shared" si="9"/>
        <v>main-4|main-19|main-5|wild-2|bonusA-3|||||</v>
      </c>
    </row>
    <row r="304" spans="2:24" ht="13.95" customHeight="1">
      <c r="B304" s="116">
        <v>301</v>
      </c>
      <c r="C304" s="7">
        <f t="shared" si="8"/>
        <v>20</v>
      </c>
      <c r="D304" s="8" t="s">
        <v>40</v>
      </c>
      <c r="E304" s="7">
        <f>VLOOKUP(D304,'Win Methods'!$C$4:$F$379,4,FALSE)</f>
        <v>10</v>
      </c>
      <c r="F304" s="211" t="s">
        <v>139</v>
      </c>
      <c r="G304" s="7">
        <f>VLOOKUP(F304,'Win Methods'!$C$4:$F$379,4,FALSE)</f>
        <v>10</v>
      </c>
      <c r="H304" s="8"/>
      <c r="I304" s="7">
        <f>VLOOKUP(H304,'Win Methods'!$C$4:$F$379,4,FALSE)</f>
        <v>0</v>
      </c>
      <c r="J304" s="8"/>
      <c r="K304" s="7">
        <f>VLOOKUP(J304,'Win Methods'!$C$4:$F$379,4,FALSE)</f>
        <v>0</v>
      </c>
      <c r="L304" s="8"/>
      <c r="M304" s="7">
        <f>VLOOKUP(L304,'Win Methods'!$C$4:$F$379,4,FALSE)</f>
        <v>0</v>
      </c>
      <c r="N304" s="8"/>
      <c r="O304" s="7">
        <f>VLOOKUP(N304,'Win Methods'!$C$4:$F$379,4,FALSE)</f>
        <v>0</v>
      </c>
      <c r="P304" s="8"/>
      <c r="Q304" s="7">
        <f>VLOOKUP(P304,'Win Methods'!$C$4:$F$379,4,FALSE)</f>
        <v>0</v>
      </c>
      <c r="R304" s="8"/>
      <c r="S304" s="7">
        <f>VLOOKUP(R304,'Win Methods'!$C$4:$F$379,4,FALSE)</f>
        <v>0</v>
      </c>
      <c r="T304" s="8"/>
      <c r="U304" s="7">
        <f>VLOOKUP(T304,'Win Methods'!$C$4:$F$379,4,FALSE)</f>
        <v>0</v>
      </c>
      <c r="V304" s="8"/>
      <c r="W304" s="7">
        <f>VLOOKUP(V304,'Win Methods'!$C$4:$F$379,4,FALSE)</f>
        <v>0</v>
      </c>
      <c r="X304" s="117" t="str">
        <f t="shared" si="9"/>
        <v>main-26|bonusB-3||||||||</v>
      </c>
    </row>
    <row r="305" spans="2:24" ht="13.95" customHeight="1">
      <c r="B305" s="116">
        <v>302</v>
      </c>
      <c r="C305" s="7">
        <f t="shared" si="8"/>
        <v>17</v>
      </c>
      <c r="D305" s="8" t="s">
        <v>39</v>
      </c>
      <c r="E305" s="7">
        <f>VLOOKUP(D305,'Win Methods'!$C$4:$F$379,4,FALSE)</f>
        <v>5</v>
      </c>
      <c r="F305" s="211" t="s">
        <v>140</v>
      </c>
      <c r="G305" s="7">
        <f>VLOOKUP(F305,'Win Methods'!$C$4:$F$379,4,FALSE)</f>
        <v>12</v>
      </c>
      <c r="H305" s="8"/>
      <c r="I305" s="7">
        <f>VLOOKUP(H305,'Win Methods'!$C$4:$F$379,4,FALSE)</f>
        <v>0</v>
      </c>
      <c r="J305" s="8"/>
      <c r="K305" s="7">
        <f>VLOOKUP(J305,'Win Methods'!$C$4:$F$379,4,FALSE)</f>
        <v>0</v>
      </c>
      <c r="L305" s="8"/>
      <c r="M305" s="7">
        <f>VLOOKUP(L305,'Win Methods'!$C$4:$F$379,4,FALSE)</f>
        <v>0</v>
      </c>
      <c r="N305" s="8"/>
      <c r="O305" s="7">
        <f>VLOOKUP(N305,'Win Methods'!$C$4:$F$379,4,FALSE)</f>
        <v>0</v>
      </c>
      <c r="P305" s="8"/>
      <c r="Q305" s="7">
        <f>VLOOKUP(P305,'Win Methods'!$C$4:$F$379,4,FALSE)</f>
        <v>0</v>
      </c>
      <c r="R305" s="8"/>
      <c r="S305" s="7">
        <f>VLOOKUP(R305,'Win Methods'!$C$4:$F$379,4,FALSE)</f>
        <v>0</v>
      </c>
      <c r="T305" s="8"/>
      <c r="U305" s="7">
        <f>VLOOKUP(T305,'Win Methods'!$C$4:$F$379,4,FALSE)</f>
        <v>0</v>
      </c>
      <c r="V305" s="8"/>
      <c r="W305" s="7">
        <f>VLOOKUP(V305,'Win Methods'!$C$4:$F$379,4,FALSE)</f>
        <v>0</v>
      </c>
      <c r="X305" s="117" t="str">
        <f t="shared" si="9"/>
        <v>main-25|bonusB-4||||||||</v>
      </c>
    </row>
    <row r="306" spans="2:24" ht="13.95" customHeight="1">
      <c r="B306" s="116">
        <v>303</v>
      </c>
      <c r="C306" s="7">
        <f t="shared" si="8"/>
        <v>20</v>
      </c>
      <c r="D306" s="8" t="s">
        <v>33</v>
      </c>
      <c r="E306" s="7">
        <f>VLOOKUP(D306,'Win Methods'!$C$4:$F$379,4,FALSE)</f>
        <v>5</v>
      </c>
      <c r="F306" s="211" t="s">
        <v>141</v>
      </c>
      <c r="G306" s="7">
        <f>VLOOKUP(F306,'Win Methods'!$C$4:$F$379,4,FALSE)</f>
        <v>15</v>
      </c>
      <c r="H306" s="8"/>
      <c r="I306" s="7">
        <f>VLOOKUP(H306,'Win Methods'!$C$4:$F$379,4,FALSE)</f>
        <v>0</v>
      </c>
      <c r="J306" s="8"/>
      <c r="K306" s="7">
        <f>VLOOKUP(J306,'Win Methods'!$C$4:$F$379,4,FALSE)</f>
        <v>0</v>
      </c>
      <c r="L306" s="8"/>
      <c r="M306" s="7">
        <f>VLOOKUP(L306,'Win Methods'!$C$4:$F$379,4,FALSE)</f>
        <v>0</v>
      </c>
      <c r="N306" s="8"/>
      <c r="O306" s="7">
        <f>VLOOKUP(N306,'Win Methods'!$C$4:$F$379,4,FALSE)</f>
        <v>0</v>
      </c>
      <c r="P306" s="8"/>
      <c r="Q306" s="7">
        <f>VLOOKUP(P306,'Win Methods'!$C$4:$F$379,4,FALSE)</f>
        <v>0</v>
      </c>
      <c r="R306" s="8"/>
      <c r="S306" s="7">
        <f>VLOOKUP(R306,'Win Methods'!$C$4:$F$379,4,FALSE)</f>
        <v>0</v>
      </c>
      <c r="T306" s="8"/>
      <c r="U306" s="7">
        <f>VLOOKUP(T306,'Win Methods'!$C$4:$F$379,4,FALSE)</f>
        <v>0</v>
      </c>
      <c r="V306" s="8"/>
      <c r="W306" s="7">
        <f>VLOOKUP(V306,'Win Methods'!$C$4:$F$379,4,FALSE)</f>
        <v>0</v>
      </c>
      <c r="X306" s="117" t="str">
        <f t="shared" si="9"/>
        <v>main-19|bonusB-5||||||||</v>
      </c>
    </row>
    <row r="307" spans="2:24" ht="13.95" customHeight="1">
      <c r="B307" s="116">
        <v>304</v>
      </c>
      <c r="C307" s="7">
        <f t="shared" si="8"/>
        <v>32</v>
      </c>
      <c r="D307" s="8" t="s">
        <v>41</v>
      </c>
      <c r="E307" s="7">
        <f>VLOOKUP(D307,'Win Methods'!$C$4:$F$379,4,FALSE)</f>
        <v>20</v>
      </c>
      <c r="F307" s="211" t="s">
        <v>140</v>
      </c>
      <c r="G307" s="7">
        <f>VLOOKUP(F307,'Win Methods'!$C$4:$F$379,4,FALSE)</f>
        <v>12</v>
      </c>
      <c r="H307" s="8"/>
      <c r="I307" s="7">
        <f>VLOOKUP(H307,'Win Methods'!$C$4:$F$379,4,FALSE)</f>
        <v>0</v>
      </c>
      <c r="J307" s="8"/>
      <c r="K307" s="7">
        <f>VLOOKUP(J307,'Win Methods'!$C$4:$F$379,4,FALSE)</f>
        <v>0</v>
      </c>
      <c r="L307" s="8"/>
      <c r="M307" s="7">
        <f>VLOOKUP(L307,'Win Methods'!$C$4:$F$379,4,FALSE)</f>
        <v>0</v>
      </c>
      <c r="N307" s="8"/>
      <c r="O307" s="7">
        <f>VLOOKUP(N307,'Win Methods'!$C$4:$F$379,4,FALSE)</f>
        <v>0</v>
      </c>
      <c r="P307" s="8"/>
      <c r="Q307" s="7">
        <f>VLOOKUP(P307,'Win Methods'!$C$4:$F$379,4,FALSE)</f>
        <v>0</v>
      </c>
      <c r="R307" s="8"/>
      <c r="S307" s="7">
        <f>VLOOKUP(R307,'Win Methods'!$C$4:$F$379,4,FALSE)</f>
        <v>0</v>
      </c>
      <c r="T307" s="8"/>
      <c r="U307" s="7">
        <f>VLOOKUP(T307,'Win Methods'!$C$4:$F$379,4,FALSE)</f>
        <v>0</v>
      </c>
      <c r="V307" s="8"/>
      <c r="W307" s="7">
        <f>VLOOKUP(V307,'Win Methods'!$C$4:$F$379,4,FALSE)</f>
        <v>0</v>
      </c>
      <c r="X307" s="117" t="str">
        <f t="shared" si="9"/>
        <v>main-27|bonusB-4||||||||</v>
      </c>
    </row>
    <row r="308" spans="2:24" ht="13.95" customHeight="1">
      <c r="B308" s="116">
        <v>305</v>
      </c>
      <c r="C308" s="7">
        <f t="shared" si="8"/>
        <v>22</v>
      </c>
      <c r="D308" s="8" t="s">
        <v>28</v>
      </c>
      <c r="E308" s="7">
        <f>VLOOKUP(D308,'Win Methods'!$C$4:$F$379,4,FALSE)</f>
        <v>10</v>
      </c>
      <c r="F308" s="211" t="s">
        <v>140</v>
      </c>
      <c r="G308" s="7">
        <f>VLOOKUP(F308,'Win Methods'!$C$4:$F$379,4,FALSE)</f>
        <v>12</v>
      </c>
      <c r="H308" s="8"/>
      <c r="I308" s="7">
        <f>VLOOKUP(H308,'Win Methods'!$C$4:$F$379,4,FALSE)</f>
        <v>0</v>
      </c>
      <c r="J308" s="8"/>
      <c r="K308" s="7">
        <f>VLOOKUP(J308,'Win Methods'!$C$4:$F$379,4,FALSE)</f>
        <v>0</v>
      </c>
      <c r="L308" s="8"/>
      <c r="M308" s="7">
        <f>VLOOKUP(L308,'Win Methods'!$C$4:$F$379,4,FALSE)</f>
        <v>0</v>
      </c>
      <c r="N308" s="8"/>
      <c r="O308" s="7">
        <f>VLOOKUP(N308,'Win Methods'!$C$4:$F$379,4,FALSE)</f>
        <v>0</v>
      </c>
      <c r="P308" s="8"/>
      <c r="Q308" s="7">
        <f>VLOOKUP(P308,'Win Methods'!$C$4:$F$379,4,FALSE)</f>
        <v>0</v>
      </c>
      <c r="R308" s="8"/>
      <c r="S308" s="7">
        <f>VLOOKUP(R308,'Win Methods'!$C$4:$F$379,4,FALSE)</f>
        <v>0</v>
      </c>
      <c r="T308" s="8"/>
      <c r="U308" s="7">
        <f>VLOOKUP(T308,'Win Methods'!$C$4:$F$379,4,FALSE)</f>
        <v>0</v>
      </c>
      <c r="V308" s="8"/>
      <c r="W308" s="7">
        <f>VLOOKUP(V308,'Win Methods'!$C$4:$F$379,4,FALSE)</f>
        <v>0</v>
      </c>
      <c r="X308" s="117" t="str">
        <f t="shared" si="9"/>
        <v>main-14|bonusB-4||||||||</v>
      </c>
    </row>
    <row r="309" spans="2:24" ht="13.95" customHeight="1">
      <c r="B309" s="116">
        <v>306</v>
      </c>
      <c r="C309" s="7">
        <f t="shared" si="8"/>
        <v>115</v>
      </c>
      <c r="D309" s="8" t="s">
        <v>42</v>
      </c>
      <c r="E309" s="7">
        <f>VLOOKUP(D309,'Win Methods'!$C$4:$F$379,4,FALSE)</f>
        <v>100</v>
      </c>
      <c r="F309" s="211" t="s">
        <v>141</v>
      </c>
      <c r="G309" s="7">
        <f>VLOOKUP(F309,'Win Methods'!$C$4:$F$379,4,FALSE)</f>
        <v>15</v>
      </c>
      <c r="H309" s="8"/>
      <c r="I309" s="7">
        <f>VLOOKUP(H309,'Win Methods'!$C$4:$F$379,4,FALSE)</f>
        <v>0</v>
      </c>
      <c r="J309" s="8"/>
      <c r="K309" s="7">
        <f>VLOOKUP(J309,'Win Methods'!$C$4:$F$379,4,FALSE)</f>
        <v>0</v>
      </c>
      <c r="L309" s="8"/>
      <c r="M309" s="7">
        <f>VLOOKUP(L309,'Win Methods'!$C$4:$F$379,4,FALSE)</f>
        <v>0</v>
      </c>
      <c r="N309" s="8"/>
      <c r="O309" s="7">
        <f>VLOOKUP(N309,'Win Methods'!$C$4:$F$379,4,FALSE)</f>
        <v>0</v>
      </c>
      <c r="P309" s="8"/>
      <c r="Q309" s="7">
        <f>VLOOKUP(P309,'Win Methods'!$C$4:$F$379,4,FALSE)</f>
        <v>0</v>
      </c>
      <c r="R309" s="8"/>
      <c r="S309" s="7">
        <f>VLOOKUP(R309,'Win Methods'!$C$4:$F$379,4,FALSE)</f>
        <v>0</v>
      </c>
      <c r="T309" s="8"/>
      <c r="U309" s="7">
        <f>VLOOKUP(T309,'Win Methods'!$C$4:$F$379,4,FALSE)</f>
        <v>0</v>
      </c>
      <c r="V309" s="8"/>
      <c r="W309" s="7">
        <f>VLOOKUP(V309,'Win Methods'!$C$4:$F$379,4,FALSE)</f>
        <v>0</v>
      </c>
      <c r="X309" s="117" t="str">
        <f t="shared" si="9"/>
        <v>main-28|bonusB-5||||||||</v>
      </c>
    </row>
    <row r="310" spans="2:24" ht="13.95" customHeight="1">
      <c r="B310" s="116">
        <v>307</v>
      </c>
      <c r="C310" s="7">
        <f t="shared" si="8"/>
        <v>25</v>
      </c>
      <c r="D310" s="8" t="s">
        <v>39</v>
      </c>
      <c r="E310" s="7">
        <f>VLOOKUP(D310,'Win Methods'!$C$4:$F$379,4,FALSE)</f>
        <v>5</v>
      </c>
      <c r="F310" s="211" t="s">
        <v>142</v>
      </c>
      <c r="G310" s="7">
        <f>VLOOKUP(F310,'Win Methods'!$C$4:$F$379,4,FALSE)</f>
        <v>20</v>
      </c>
      <c r="H310" s="8"/>
      <c r="I310" s="7">
        <f>VLOOKUP(H310,'Win Methods'!$C$4:$F$379,4,FALSE)</f>
        <v>0</v>
      </c>
      <c r="J310" s="8"/>
      <c r="K310" s="7">
        <f>VLOOKUP(J310,'Win Methods'!$C$4:$F$379,4,FALSE)</f>
        <v>0</v>
      </c>
      <c r="L310" s="8"/>
      <c r="M310" s="7">
        <f>VLOOKUP(L310,'Win Methods'!$C$4:$F$379,4,FALSE)</f>
        <v>0</v>
      </c>
      <c r="N310" s="8"/>
      <c r="O310" s="7">
        <f>VLOOKUP(N310,'Win Methods'!$C$4:$F$379,4,FALSE)</f>
        <v>0</v>
      </c>
      <c r="P310" s="8"/>
      <c r="Q310" s="7">
        <f>VLOOKUP(P310,'Win Methods'!$C$4:$F$379,4,FALSE)</f>
        <v>0</v>
      </c>
      <c r="R310" s="8"/>
      <c r="S310" s="7">
        <f>VLOOKUP(R310,'Win Methods'!$C$4:$F$379,4,FALSE)</f>
        <v>0</v>
      </c>
      <c r="T310" s="8"/>
      <c r="U310" s="7">
        <f>VLOOKUP(T310,'Win Methods'!$C$4:$F$379,4,FALSE)</f>
        <v>0</v>
      </c>
      <c r="V310" s="8"/>
      <c r="W310" s="7">
        <f>VLOOKUP(V310,'Win Methods'!$C$4:$F$379,4,FALSE)</f>
        <v>0</v>
      </c>
      <c r="X310" s="117" t="str">
        <f t="shared" si="9"/>
        <v>main-25|bonusB-6||||||||</v>
      </c>
    </row>
    <row r="311" spans="2:24" ht="13.95" customHeight="1">
      <c r="B311" s="116">
        <v>308</v>
      </c>
      <c r="C311" s="7">
        <f t="shared" si="8"/>
        <v>15</v>
      </c>
      <c r="D311" s="8" t="s">
        <v>27</v>
      </c>
      <c r="E311" s="7">
        <f>VLOOKUP(D311,'Win Methods'!$C$4:$F$379,4,FALSE)</f>
        <v>5</v>
      </c>
      <c r="F311" s="211" t="s">
        <v>139</v>
      </c>
      <c r="G311" s="7">
        <f>VLOOKUP(F311,'Win Methods'!$C$4:$F$379,4,FALSE)</f>
        <v>10</v>
      </c>
      <c r="H311" s="8"/>
      <c r="I311" s="7">
        <f>VLOOKUP(H311,'Win Methods'!$C$4:$F$379,4,FALSE)</f>
        <v>0</v>
      </c>
      <c r="J311" s="8"/>
      <c r="K311" s="7">
        <f>VLOOKUP(J311,'Win Methods'!$C$4:$F$379,4,FALSE)</f>
        <v>0</v>
      </c>
      <c r="L311" s="8"/>
      <c r="M311" s="7">
        <f>VLOOKUP(L311,'Win Methods'!$C$4:$F$379,4,FALSE)</f>
        <v>0</v>
      </c>
      <c r="N311" s="8"/>
      <c r="O311" s="7">
        <f>VLOOKUP(N311,'Win Methods'!$C$4:$F$379,4,FALSE)</f>
        <v>0</v>
      </c>
      <c r="P311" s="8"/>
      <c r="Q311" s="7">
        <f>VLOOKUP(P311,'Win Methods'!$C$4:$F$379,4,FALSE)</f>
        <v>0</v>
      </c>
      <c r="R311" s="8"/>
      <c r="S311" s="7">
        <f>VLOOKUP(R311,'Win Methods'!$C$4:$F$379,4,FALSE)</f>
        <v>0</v>
      </c>
      <c r="T311" s="8"/>
      <c r="U311" s="7">
        <f>VLOOKUP(T311,'Win Methods'!$C$4:$F$379,4,FALSE)</f>
        <v>0</v>
      </c>
      <c r="V311" s="8"/>
      <c r="W311" s="7">
        <f>VLOOKUP(V311,'Win Methods'!$C$4:$F$379,4,FALSE)</f>
        <v>0</v>
      </c>
      <c r="X311" s="117" t="str">
        <f t="shared" si="9"/>
        <v>main-13|bonusB-3||||||||</v>
      </c>
    </row>
    <row r="312" spans="2:24" ht="13.95" customHeight="1">
      <c r="B312" s="116">
        <v>309</v>
      </c>
      <c r="C312" s="7">
        <f t="shared" si="8"/>
        <v>18.100000000000001</v>
      </c>
      <c r="D312" s="8" t="s">
        <v>5</v>
      </c>
      <c r="E312" s="7">
        <f>VLOOKUP(D312,'Win Methods'!$C$4:$F$379,4,FALSE)</f>
        <v>0.1</v>
      </c>
      <c r="F312" s="197" t="s">
        <v>57</v>
      </c>
      <c r="G312" s="7">
        <f>VLOOKUP(F312,'Win Methods'!$C$4:$F$379,4,FALSE)</f>
        <v>3</v>
      </c>
      <c r="H312" s="211" t="s">
        <v>141</v>
      </c>
      <c r="I312" s="7">
        <f>VLOOKUP(H312,'Win Methods'!$C$4:$F$379,4,FALSE)</f>
        <v>15</v>
      </c>
      <c r="J312" s="8"/>
      <c r="K312" s="7">
        <f>VLOOKUP(J312,'Win Methods'!$C$4:$F$379,4,FALSE)</f>
        <v>0</v>
      </c>
      <c r="L312" s="8"/>
      <c r="M312" s="7">
        <f>VLOOKUP(L312,'Win Methods'!$C$4:$F$379,4,FALSE)</f>
        <v>0</v>
      </c>
      <c r="N312" s="8"/>
      <c r="O312" s="7">
        <f>VLOOKUP(N312,'Win Methods'!$C$4:$F$379,4,FALSE)</f>
        <v>0</v>
      </c>
      <c r="P312" s="8"/>
      <c r="Q312" s="7">
        <f>VLOOKUP(P312,'Win Methods'!$C$4:$F$379,4,FALSE)</f>
        <v>0</v>
      </c>
      <c r="R312" s="8"/>
      <c r="S312" s="7">
        <f>VLOOKUP(R312,'Win Methods'!$C$4:$F$379,4,FALSE)</f>
        <v>0</v>
      </c>
      <c r="T312" s="8"/>
      <c r="U312" s="7">
        <f>VLOOKUP(T312,'Win Methods'!$C$4:$F$379,4,FALSE)</f>
        <v>0</v>
      </c>
      <c r="V312" s="8"/>
      <c r="W312" s="7">
        <f>VLOOKUP(V312,'Win Methods'!$C$4:$F$379,4,FALSE)</f>
        <v>0</v>
      </c>
      <c r="X312" s="117" t="str">
        <f t="shared" si="9"/>
        <v>main-0|wild-12|bonusB-5|||||||</v>
      </c>
    </row>
    <row r="313" spans="2:24" ht="13.95" customHeight="1">
      <c r="B313" s="116">
        <v>310</v>
      </c>
      <c r="C313" s="7">
        <f t="shared" si="8"/>
        <v>27</v>
      </c>
      <c r="D313" s="8" t="s">
        <v>11</v>
      </c>
      <c r="E313" s="7">
        <f>VLOOKUP(D313,'Win Methods'!$C$4:$F$379,4,FALSE)</f>
        <v>2</v>
      </c>
      <c r="F313" s="197" t="s">
        <v>58</v>
      </c>
      <c r="G313" s="7">
        <f>VLOOKUP(F313,'Win Methods'!$C$4:$F$379,4,FALSE)</f>
        <v>5</v>
      </c>
      <c r="H313" s="211" t="s">
        <v>142</v>
      </c>
      <c r="I313" s="7">
        <f>VLOOKUP(H313,'Win Methods'!$C$4:$F$379,4,FALSE)</f>
        <v>20</v>
      </c>
      <c r="J313" s="8"/>
      <c r="K313" s="7">
        <f>VLOOKUP(J313,'Win Methods'!$C$4:$F$379,4,FALSE)</f>
        <v>0</v>
      </c>
      <c r="L313" s="8"/>
      <c r="M313" s="7">
        <f>VLOOKUP(L313,'Win Methods'!$C$4:$F$379,4,FALSE)</f>
        <v>0</v>
      </c>
      <c r="N313" s="8"/>
      <c r="O313" s="7">
        <f>VLOOKUP(N313,'Win Methods'!$C$4:$F$379,4,FALSE)</f>
        <v>0</v>
      </c>
      <c r="P313" s="8"/>
      <c r="Q313" s="7">
        <f>VLOOKUP(P313,'Win Methods'!$C$4:$F$379,4,FALSE)</f>
        <v>0</v>
      </c>
      <c r="R313" s="8"/>
      <c r="S313" s="7">
        <f>VLOOKUP(R313,'Win Methods'!$C$4:$F$379,4,FALSE)</f>
        <v>0</v>
      </c>
      <c r="T313" s="8"/>
      <c r="U313" s="7">
        <f>VLOOKUP(T313,'Win Methods'!$C$4:$F$379,4,FALSE)</f>
        <v>0</v>
      </c>
      <c r="V313" s="8"/>
      <c r="W313" s="7">
        <f>VLOOKUP(V313,'Win Methods'!$C$4:$F$379,4,FALSE)</f>
        <v>0</v>
      </c>
      <c r="X313" s="117" t="str">
        <f t="shared" si="9"/>
        <v>main-4|wild-13|bonusB-6|||||||</v>
      </c>
    </row>
    <row r="314" spans="2:24" ht="13.95" customHeight="1">
      <c r="B314" s="116">
        <v>311</v>
      </c>
      <c r="C314" s="7">
        <f t="shared" si="8"/>
        <v>23</v>
      </c>
      <c r="D314" s="8" t="s">
        <v>10</v>
      </c>
      <c r="E314" s="7">
        <f>VLOOKUP(D314,'Win Methods'!$C$4:$F$379,4,FALSE)</f>
        <v>1</v>
      </c>
      <c r="F314" s="8" t="s">
        <v>34</v>
      </c>
      <c r="G314" s="7">
        <f>VLOOKUP(F314,'Win Methods'!$C$4:$F$379,4,FALSE)</f>
        <v>10</v>
      </c>
      <c r="H314" s="211" t="s">
        <v>140</v>
      </c>
      <c r="I314" s="7">
        <f>VLOOKUP(H314,'Win Methods'!$C$4:$F$379,4,FALSE)</f>
        <v>12</v>
      </c>
      <c r="J314" s="8"/>
      <c r="K314" s="7">
        <f>VLOOKUP(J314,'Win Methods'!$C$4:$F$379,4,FALSE)</f>
        <v>0</v>
      </c>
      <c r="L314" s="8"/>
      <c r="M314" s="7">
        <f>VLOOKUP(L314,'Win Methods'!$C$4:$F$379,4,FALSE)</f>
        <v>0</v>
      </c>
      <c r="N314" s="8"/>
      <c r="O314" s="7">
        <f>VLOOKUP(N314,'Win Methods'!$C$4:$F$379,4,FALSE)</f>
        <v>0</v>
      </c>
      <c r="P314" s="8"/>
      <c r="Q314" s="7">
        <f>VLOOKUP(P314,'Win Methods'!$C$4:$F$379,4,FALSE)</f>
        <v>0</v>
      </c>
      <c r="R314" s="8"/>
      <c r="S314" s="7">
        <f>VLOOKUP(R314,'Win Methods'!$C$4:$F$379,4,FALSE)</f>
        <v>0</v>
      </c>
      <c r="T314" s="8"/>
      <c r="U314" s="7">
        <f>VLOOKUP(T314,'Win Methods'!$C$4:$F$379,4,FALSE)</f>
        <v>0</v>
      </c>
      <c r="V314" s="8"/>
      <c r="W314" s="7">
        <f>VLOOKUP(V314,'Win Methods'!$C$4:$F$379,4,FALSE)</f>
        <v>0</v>
      </c>
      <c r="X314" s="117" t="str">
        <f t="shared" si="9"/>
        <v>main-3|main-20|bonusB-4|||||||</v>
      </c>
    </row>
    <row r="315" spans="2:24" ht="13.95" customHeight="1">
      <c r="B315" s="116">
        <v>312</v>
      </c>
      <c r="C315" s="7">
        <f t="shared" si="8"/>
        <v>19</v>
      </c>
      <c r="D315" s="8" t="s">
        <v>11</v>
      </c>
      <c r="E315" s="7">
        <f>VLOOKUP(D315,'Win Methods'!$C$4:$F$379,4,FALSE)</f>
        <v>2</v>
      </c>
      <c r="F315" s="8" t="s">
        <v>12</v>
      </c>
      <c r="G315" s="7">
        <f>VLOOKUP(F315,'Win Methods'!$C$4:$F$379,4,FALSE)</f>
        <v>5</v>
      </c>
      <c r="H315" s="211" t="s">
        <v>140</v>
      </c>
      <c r="I315" s="7">
        <f>VLOOKUP(H315,'Win Methods'!$C$4:$F$379,4,FALSE)</f>
        <v>12</v>
      </c>
      <c r="J315" s="8"/>
      <c r="K315" s="7">
        <f>VLOOKUP(J315,'Win Methods'!$C$4:$F$379,4,FALSE)</f>
        <v>0</v>
      </c>
      <c r="L315" s="8"/>
      <c r="M315" s="7">
        <f>VLOOKUP(L315,'Win Methods'!$C$4:$F$379,4,FALSE)</f>
        <v>0</v>
      </c>
      <c r="N315" s="8"/>
      <c r="O315" s="7">
        <f>VLOOKUP(N315,'Win Methods'!$C$4:$F$379,4,FALSE)</f>
        <v>0</v>
      </c>
      <c r="P315" s="8"/>
      <c r="Q315" s="7">
        <f>VLOOKUP(P315,'Win Methods'!$C$4:$F$379,4,FALSE)</f>
        <v>0</v>
      </c>
      <c r="R315" s="8"/>
      <c r="S315" s="7">
        <f>VLOOKUP(R315,'Win Methods'!$C$4:$F$379,4,FALSE)</f>
        <v>0</v>
      </c>
      <c r="T315" s="8"/>
      <c r="U315" s="7">
        <f>VLOOKUP(T315,'Win Methods'!$C$4:$F$379,4,FALSE)</f>
        <v>0</v>
      </c>
      <c r="V315" s="8"/>
      <c r="W315" s="7">
        <f>VLOOKUP(V315,'Win Methods'!$C$4:$F$379,4,FALSE)</f>
        <v>0</v>
      </c>
      <c r="X315" s="117" t="str">
        <f t="shared" si="9"/>
        <v>main-4|main-5|bonusB-4|||||||</v>
      </c>
    </row>
    <row r="316" spans="2:24" ht="13.95" customHeight="1">
      <c r="B316" s="116">
        <v>313</v>
      </c>
      <c r="C316" s="7">
        <f t="shared" si="8"/>
        <v>57</v>
      </c>
      <c r="D316" s="8" t="s">
        <v>11</v>
      </c>
      <c r="E316" s="7">
        <f>VLOOKUP(D316,'Win Methods'!$C$4:$F$379,4,FALSE)</f>
        <v>2</v>
      </c>
      <c r="F316" s="197" t="s">
        <v>54</v>
      </c>
      <c r="G316" s="7">
        <f>VLOOKUP(F316,'Win Methods'!$C$4:$F$379,4,FALSE)</f>
        <v>40</v>
      </c>
      <c r="H316" s="211" t="s">
        <v>141</v>
      </c>
      <c r="I316" s="7">
        <f>VLOOKUP(H316,'Win Methods'!$C$4:$F$379,4,FALSE)</f>
        <v>15</v>
      </c>
      <c r="J316" s="8"/>
      <c r="K316" s="7">
        <f>VLOOKUP(J316,'Win Methods'!$C$4:$F$379,4,FALSE)</f>
        <v>0</v>
      </c>
      <c r="L316" s="8"/>
      <c r="M316" s="7">
        <f>VLOOKUP(L316,'Win Methods'!$C$4:$F$379,4,FALSE)</f>
        <v>0</v>
      </c>
      <c r="N316" s="8"/>
      <c r="O316" s="7">
        <f>VLOOKUP(N316,'Win Methods'!$C$4:$F$379,4,FALSE)</f>
        <v>0</v>
      </c>
      <c r="P316" s="8"/>
      <c r="Q316" s="7">
        <f>VLOOKUP(P316,'Win Methods'!$C$4:$F$379,4,FALSE)</f>
        <v>0</v>
      </c>
      <c r="R316" s="8"/>
      <c r="S316" s="7">
        <f>VLOOKUP(R316,'Win Methods'!$C$4:$F$379,4,FALSE)</f>
        <v>0</v>
      </c>
      <c r="T316" s="8"/>
      <c r="U316" s="7">
        <f>VLOOKUP(T316,'Win Methods'!$C$4:$F$379,4,FALSE)</f>
        <v>0</v>
      </c>
      <c r="V316" s="8"/>
      <c r="W316" s="7">
        <f>VLOOKUP(V316,'Win Methods'!$C$4:$F$379,4,FALSE)</f>
        <v>0</v>
      </c>
      <c r="X316" s="117" t="str">
        <f t="shared" si="9"/>
        <v>main-4|wild-9|bonusB-5|||||||</v>
      </c>
    </row>
    <row r="317" spans="2:24" ht="13.95" customHeight="1">
      <c r="B317" s="116">
        <v>314</v>
      </c>
      <c r="C317" s="7">
        <f t="shared" si="8"/>
        <v>25.5</v>
      </c>
      <c r="D317" s="8" t="s">
        <v>12</v>
      </c>
      <c r="E317" s="7">
        <f>VLOOKUP(D317,'Win Methods'!$C$4:$F$379,4,FALSE)</f>
        <v>5</v>
      </c>
      <c r="F317" s="197" t="s">
        <v>47</v>
      </c>
      <c r="G317" s="7">
        <f>VLOOKUP(F317,'Win Methods'!$C$4:$F$379,4,FALSE)</f>
        <v>0.5</v>
      </c>
      <c r="H317" s="211" t="s">
        <v>142</v>
      </c>
      <c r="I317" s="7">
        <f>VLOOKUP(H317,'Win Methods'!$C$4:$F$379,4,FALSE)</f>
        <v>20</v>
      </c>
      <c r="J317" s="8"/>
      <c r="K317" s="7">
        <f>VLOOKUP(J317,'Win Methods'!$C$4:$F$379,4,FALSE)</f>
        <v>0</v>
      </c>
      <c r="L317" s="8"/>
      <c r="M317" s="7">
        <f>VLOOKUP(L317,'Win Methods'!$C$4:$F$379,4,FALSE)</f>
        <v>0</v>
      </c>
      <c r="N317" s="8"/>
      <c r="O317" s="7">
        <f>VLOOKUP(N317,'Win Methods'!$C$4:$F$379,4,FALSE)</f>
        <v>0</v>
      </c>
      <c r="P317" s="8"/>
      <c r="Q317" s="7">
        <f>VLOOKUP(P317,'Win Methods'!$C$4:$F$379,4,FALSE)</f>
        <v>0</v>
      </c>
      <c r="R317" s="8"/>
      <c r="S317" s="7">
        <f>VLOOKUP(R317,'Win Methods'!$C$4:$F$379,4,FALSE)</f>
        <v>0</v>
      </c>
      <c r="T317" s="8"/>
      <c r="U317" s="7">
        <f>VLOOKUP(T317,'Win Methods'!$C$4:$F$379,4,FALSE)</f>
        <v>0</v>
      </c>
      <c r="V317" s="8"/>
      <c r="W317" s="7">
        <f>VLOOKUP(V317,'Win Methods'!$C$4:$F$379,4,FALSE)</f>
        <v>0</v>
      </c>
      <c r="X317" s="117" t="str">
        <f t="shared" si="9"/>
        <v>main-5|wild-2|bonusB-6|||||||</v>
      </c>
    </row>
    <row r="318" spans="2:24" ht="13.95" customHeight="1">
      <c r="B318" s="116">
        <v>315</v>
      </c>
      <c r="C318" s="7">
        <f t="shared" si="8"/>
        <v>14.1</v>
      </c>
      <c r="D318" s="8" t="s">
        <v>10</v>
      </c>
      <c r="E318" s="7">
        <f>VLOOKUP(D318,'Win Methods'!$C$4:$F$379,4,FALSE)</f>
        <v>1</v>
      </c>
      <c r="F318" s="8" t="s">
        <v>5</v>
      </c>
      <c r="G318" s="7">
        <f>VLOOKUP(F318,'Win Methods'!$C$4:$F$379,4,FALSE)</f>
        <v>0.1</v>
      </c>
      <c r="H318" s="197" t="s">
        <v>58</v>
      </c>
      <c r="I318" s="7">
        <f>VLOOKUP(H318,'Win Methods'!$C$4:$F$379,4,FALSE)</f>
        <v>5</v>
      </c>
      <c r="J318" s="211" t="s">
        <v>138</v>
      </c>
      <c r="K318" s="7">
        <f>VLOOKUP(J318,'Win Methods'!$C$4:$F$379,4,FALSE)</f>
        <v>8</v>
      </c>
      <c r="L318" s="8"/>
      <c r="M318" s="7">
        <f>VLOOKUP(L318,'Win Methods'!$C$4:$F$379,4,FALSE)</f>
        <v>0</v>
      </c>
      <c r="N318" s="8"/>
      <c r="O318" s="7">
        <f>VLOOKUP(N318,'Win Methods'!$C$4:$F$379,4,FALSE)</f>
        <v>0</v>
      </c>
      <c r="P318" s="8"/>
      <c r="Q318" s="7">
        <f>VLOOKUP(P318,'Win Methods'!$C$4:$F$379,4,FALSE)</f>
        <v>0</v>
      </c>
      <c r="R318" s="8"/>
      <c r="S318" s="7">
        <f>VLOOKUP(R318,'Win Methods'!$C$4:$F$379,4,FALSE)</f>
        <v>0</v>
      </c>
      <c r="T318" s="8"/>
      <c r="U318" s="7">
        <f>VLOOKUP(T318,'Win Methods'!$C$4:$F$379,4,FALSE)</f>
        <v>0</v>
      </c>
      <c r="V318" s="8"/>
      <c r="W318" s="7">
        <f>VLOOKUP(V318,'Win Methods'!$C$4:$F$379,4,FALSE)</f>
        <v>0</v>
      </c>
      <c r="X318" s="117" t="str">
        <f t="shared" si="9"/>
        <v>main-3|main-0|wild-13|bonusB-2||||||</v>
      </c>
    </row>
    <row r="319" spans="2:24" ht="13.95" customHeight="1">
      <c r="B319" s="116">
        <v>316</v>
      </c>
      <c r="C319" s="7">
        <f t="shared" si="8"/>
        <v>19.2</v>
      </c>
      <c r="D319" s="8" t="s">
        <v>10</v>
      </c>
      <c r="E319" s="7">
        <f>VLOOKUP(D319,'Win Methods'!$C$4:$F$379,4,FALSE)</f>
        <v>1</v>
      </c>
      <c r="F319" s="8" t="s">
        <v>8</v>
      </c>
      <c r="G319" s="7">
        <f>VLOOKUP(F319,'Win Methods'!$C$4:$F$379,4,FALSE)</f>
        <v>0.2</v>
      </c>
      <c r="H319" s="197" t="s">
        <v>60</v>
      </c>
      <c r="I319" s="7">
        <f>VLOOKUP(H319,'Win Methods'!$C$4:$F$379,4,FALSE)</f>
        <v>3</v>
      </c>
      <c r="J319" s="211" t="s">
        <v>141</v>
      </c>
      <c r="K319" s="7">
        <f>VLOOKUP(J319,'Win Methods'!$C$4:$F$379,4,FALSE)</f>
        <v>15</v>
      </c>
      <c r="L319" s="8"/>
      <c r="M319" s="7">
        <f>VLOOKUP(L319,'Win Methods'!$C$4:$F$379,4,FALSE)</f>
        <v>0</v>
      </c>
      <c r="N319" s="8"/>
      <c r="O319" s="7">
        <f>VLOOKUP(N319,'Win Methods'!$C$4:$F$379,4,FALSE)</f>
        <v>0</v>
      </c>
      <c r="P319" s="8"/>
      <c r="Q319" s="7">
        <f>VLOOKUP(P319,'Win Methods'!$C$4:$F$379,4,FALSE)</f>
        <v>0</v>
      </c>
      <c r="R319" s="8"/>
      <c r="S319" s="7">
        <f>VLOOKUP(R319,'Win Methods'!$C$4:$F$379,4,FALSE)</f>
        <v>0</v>
      </c>
      <c r="T319" s="8"/>
      <c r="U319" s="7">
        <f>VLOOKUP(T319,'Win Methods'!$C$4:$F$379,4,FALSE)</f>
        <v>0</v>
      </c>
      <c r="V319" s="8"/>
      <c r="W319" s="7">
        <f>VLOOKUP(V319,'Win Methods'!$C$4:$F$379,4,FALSE)</f>
        <v>0</v>
      </c>
      <c r="X319" s="117" t="str">
        <f t="shared" si="9"/>
        <v>main-3|main-1|wild-15|bonusB-5||||||</v>
      </c>
    </row>
    <row r="320" spans="2:24" ht="13.95" customHeight="1">
      <c r="B320" s="116">
        <v>317</v>
      </c>
      <c r="C320" s="7">
        <f t="shared" si="8"/>
        <v>30.2</v>
      </c>
      <c r="D320" s="8" t="s">
        <v>8</v>
      </c>
      <c r="E320" s="7">
        <f>VLOOKUP(D320,'Win Methods'!$C$4:$F$379,4,FALSE)</f>
        <v>0.2</v>
      </c>
      <c r="F320" s="8" t="s">
        <v>12</v>
      </c>
      <c r="G320" s="7">
        <f>VLOOKUP(F320,'Win Methods'!$C$4:$F$379,4,FALSE)</f>
        <v>5</v>
      </c>
      <c r="H320" s="197" t="s">
        <v>61</v>
      </c>
      <c r="I320" s="7">
        <f>VLOOKUP(H320,'Win Methods'!$C$4:$F$379,4,FALSE)</f>
        <v>5</v>
      </c>
      <c r="J320" s="211" t="s">
        <v>142</v>
      </c>
      <c r="K320" s="7">
        <f>VLOOKUP(J320,'Win Methods'!$C$4:$F$379,4,FALSE)</f>
        <v>20</v>
      </c>
      <c r="L320" s="8"/>
      <c r="M320" s="7">
        <f>VLOOKUP(L320,'Win Methods'!$C$4:$F$379,4,FALSE)</f>
        <v>0</v>
      </c>
      <c r="N320" s="8"/>
      <c r="O320" s="7">
        <f>VLOOKUP(N320,'Win Methods'!$C$4:$F$379,4,FALSE)</f>
        <v>0</v>
      </c>
      <c r="P320" s="8"/>
      <c r="Q320" s="7">
        <f>VLOOKUP(P320,'Win Methods'!$C$4:$F$379,4,FALSE)</f>
        <v>0</v>
      </c>
      <c r="R320" s="8"/>
      <c r="S320" s="7">
        <f>VLOOKUP(R320,'Win Methods'!$C$4:$F$379,4,FALSE)</f>
        <v>0</v>
      </c>
      <c r="T320" s="8"/>
      <c r="U320" s="7">
        <f>VLOOKUP(T320,'Win Methods'!$C$4:$F$379,4,FALSE)</f>
        <v>0</v>
      </c>
      <c r="V320" s="8"/>
      <c r="W320" s="7">
        <f>VLOOKUP(V320,'Win Methods'!$C$4:$F$379,4,FALSE)</f>
        <v>0</v>
      </c>
      <c r="X320" s="117" t="str">
        <f t="shared" si="9"/>
        <v>main-1|main-5|wild-16|bonusB-6||||||</v>
      </c>
    </row>
    <row r="321" spans="2:24" ht="13.95" customHeight="1">
      <c r="B321" s="116">
        <v>318</v>
      </c>
      <c r="C321" s="7">
        <f t="shared" si="8"/>
        <v>29</v>
      </c>
      <c r="D321" s="8" t="s">
        <v>11</v>
      </c>
      <c r="E321" s="7">
        <f>VLOOKUP(D321,'Win Methods'!$C$4:$F$379,4,FALSE)</f>
        <v>2</v>
      </c>
      <c r="F321" s="8" t="s">
        <v>33</v>
      </c>
      <c r="G321" s="7">
        <f>VLOOKUP(F321,'Win Methods'!$C$4:$F$379,4,FALSE)</f>
        <v>5</v>
      </c>
      <c r="H321" s="197" t="s">
        <v>62</v>
      </c>
      <c r="I321" s="7">
        <f>VLOOKUP(H321,'Win Methods'!$C$4:$F$379,4,FALSE)</f>
        <v>10</v>
      </c>
      <c r="J321" s="211" t="s">
        <v>140</v>
      </c>
      <c r="K321" s="7">
        <f>VLOOKUP(J321,'Win Methods'!$C$4:$F$379,4,FALSE)</f>
        <v>12</v>
      </c>
      <c r="L321" s="8"/>
      <c r="M321" s="7">
        <f>VLOOKUP(L321,'Win Methods'!$C$4:$F$379,4,FALSE)</f>
        <v>0</v>
      </c>
      <c r="N321" s="8"/>
      <c r="O321" s="7">
        <f>VLOOKUP(N321,'Win Methods'!$C$4:$F$379,4,FALSE)</f>
        <v>0</v>
      </c>
      <c r="P321" s="8"/>
      <c r="Q321" s="7">
        <f>VLOOKUP(P321,'Win Methods'!$C$4:$F$379,4,FALSE)</f>
        <v>0</v>
      </c>
      <c r="R321" s="8"/>
      <c r="S321" s="7">
        <f>VLOOKUP(R321,'Win Methods'!$C$4:$F$379,4,FALSE)</f>
        <v>0</v>
      </c>
      <c r="T321" s="8"/>
      <c r="U321" s="7">
        <f>VLOOKUP(T321,'Win Methods'!$C$4:$F$379,4,FALSE)</f>
        <v>0</v>
      </c>
      <c r="V321" s="8"/>
      <c r="W321" s="7">
        <f>VLOOKUP(V321,'Win Methods'!$C$4:$F$379,4,FALSE)</f>
        <v>0</v>
      </c>
      <c r="X321" s="117" t="str">
        <f t="shared" si="9"/>
        <v>main-4|main-19|wild-17|bonusB-4||||||</v>
      </c>
    </row>
    <row r="322" spans="2:24" ht="13.95" customHeight="1">
      <c r="B322" s="116">
        <v>319</v>
      </c>
      <c r="C322" s="7">
        <f t="shared" si="8"/>
        <v>25</v>
      </c>
      <c r="D322" s="8" t="s">
        <v>10</v>
      </c>
      <c r="E322" s="7">
        <f>VLOOKUP(D322,'Win Methods'!$C$4:$F$379,4,FALSE)</f>
        <v>1</v>
      </c>
      <c r="F322" s="8" t="s">
        <v>34</v>
      </c>
      <c r="G322" s="7">
        <f>VLOOKUP(F322,'Win Methods'!$C$4:$F$379,4,FALSE)</f>
        <v>10</v>
      </c>
      <c r="H322" s="8" t="s">
        <v>11</v>
      </c>
      <c r="I322" s="7">
        <f>VLOOKUP(H322,'Win Methods'!$C$4:$F$379,4,FALSE)</f>
        <v>2</v>
      </c>
      <c r="J322" s="211" t="s">
        <v>140</v>
      </c>
      <c r="K322" s="7">
        <f>VLOOKUP(J322,'Win Methods'!$C$4:$F$379,4,FALSE)</f>
        <v>12</v>
      </c>
      <c r="L322" s="8"/>
      <c r="M322" s="7">
        <f>VLOOKUP(L322,'Win Methods'!$C$4:$F$379,4,FALSE)</f>
        <v>0</v>
      </c>
      <c r="N322" s="8"/>
      <c r="O322" s="7">
        <f>VLOOKUP(N322,'Win Methods'!$C$4:$F$379,4,FALSE)</f>
        <v>0</v>
      </c>
      <c r="P322" s="8"/>
      <c r="Q322" s="7">
        <f>VLOOKUP(P322,'Win Methods'!$C$4:$F$379,4,FALSE)</f>
        <v>0</v>
      </c>
      <c r="R322" s="8"/>
      <c r="S322" s="7">
        <f>VLOOKUP(R322,'Win Methods'!$C$4:$F$379,4,FALSE)</f>
        <v>0</v>
      </c>
      <c r="T322" s="8"/>
      <c r="U322" s="7">
        <f>VLOOKUP(T322,'Win Methods'!$C$4:$F$379,4,FALSE)</f>
        <v>0</v>
      </c>
      <c r="V322" s="8"/>
      <c r="W322" s="7">
        <f>VLOOKUP(V322,'Win Methods'!$C$4:$F$379,4,FALSE)</f>
        <v>0</v>
      </c>
      <c r="X322" s="117" t="str">
        <f t="shared" si="9"/>
        <v>main-3|main-20|main-4|bonusB-4||||||</v>
      </c>
    </row>
    <row r="323" spans="2:24" ht="13.95" customHeight="1">
      <c r="B323" s="116">
        <v>320</v>
      </c>
      <c r="C323" s="7">
        <f t="shared" ref="C323:C386" si="10">(E323+G323+I323+K323+M323+O323+Q323+S323+U323+W323)</f>
        <v>28</v>
      </c>
      <c r="D323" s="8" t="s">
        <v>10</v>
      </c>
      <c r="E323" s="7">
        <f>VLOOKUP(D323,'Win Methods'!$C$4:$F$379,4,FALSE)</f>
        <v>1</v>
      </c>
      <c r="F323" s="8" t="s">
        <v>34</v>
      </c>
      <c r="G323" s="7">
        <f>VLOOKUP(F323,'Win Methods'!$C$4:$F$379,4,FALSE)</f>
        <v>10</v>
      </c>
      <c r="H323" s="197" t="s">
        <v>56</v>
      </c>
      <c r="I323" s="7">
        <f>VLOOKUP(H323,'Win Methods'!$C$4:$F$379,4,FALSE)</f>
        <v>2</v>
      </c>
      <c r="J323" s="211" t="s">
        <v>141</v>
      </c>
      <c r="K323" s="7">
        <f>VLOOKUP(J323,'Win Methods'!$C$4:$F$379,4,FALSE)</f>
        <v>15</v>
      </c>
      <c r="L323" s="8"/>
      <c r="M323" s="7">
        <f>VLOOKUP(L323,'Win Methods'!$C$4:$F$379,4,FALSE)</f>
        <v>0</v>
      </c>
      <c r="N323" s="8"/>
      <c r="O323" s="7">
        <f>VLOOKUP(N323,'Win Methods'!$C$4:$F$379,4,FALSE)</f>
        <v>0</v>
      </c>
      <c r="P323" s="8"/>
      <c r="Q323" s="7">
        <f>VLOOKUP(P323,'Win Methods'!$C$4:$F$379,4,FALSE)</f>
        <v>0</v>
      </c>
      <c r="R323" s="8"/>
      <c r="S323" s="7">
        <f>VLOOKUP(R323,'Win Methods'!$C$4:$F$379,4,FALSE)</f>
        <v>0</v>
      </c>
      <c r="T323" s="8"/>
      <c r="U323" s="7">
        <f>VLOOKUP(T323,'Win Methods'!$C$4:$F$379,4,FALSE)</f>
        <v>0</v>
      </c>
      <c r="V323" s="8"/>
      <c r="W323" s="7">
        <f>VLOOKUP(V323,'Win Methods'!$C$4:$F$379,4,FALSE)</f>
        <v>0</v>
      </c>
      <c r="X323" s="117" t="str">
        <f t="shared" ref="X323:X386" si="11">D323&amp;"|"&amp;F323&amp;"|"&amp;H323&amp;"|"&amp;J323&amp;"|"&amp;L323&amp;"|"&amp;N323&amp;"|"&amp;P323&amp;"|"&amp;R323&amp;"|"&amp;T323&amp;"|"&amp;V323</f>
        <v>main-3|main-20|wild-11|bonusB-5||||||</v>
      </c>
    </row>
    <row r="324" spans="2:24" ht="13.95" customHeight="1">
      <c r="B324" s="116">
        <v>321</v>
      </c>
      <c r="C324" s="7">
        <f t="shared" si="10"/>
        <v>25</v>
      </c>
      <c r="D324" s="8" t="s">
        <v>11</v>
      </c>
      <c r="E324" s="7">
        <f>VLOOKUP(D324,'Win Methods'!$C$4:$F$379,4,FALSE)</f>
        <v>2</v>
      </c>
      <c r="F324" s="8" t="s">
        <v>12</v>
      </c>
      <c r="G324" s="7">
        <f>VLOOKUP(F324,'Win Methods'!$C$4:$F$379,4,FALSE)</f>
        <v>5</v>
      </c>
      <c r="H324" s="197" t="s">
        <v>57</v>
      </c>
      <c r="I324" s="7">
        <f>VLOOKUP(H324,'Win Methods'!$C$4:$F$379,4,FALSE)</f>
        <v>3</v>
      </c>
      <c r="J324" s="211" t="s">
        <v>141</v>
      </c>
      <c r="K324" s="7">
        <f>VLOOKUP(J324,'Win Methods'!$C$4:$F$379,4,FALSE)</f>
        <v>15</v>
      </c>
      <c r="L324" s="8"/>
      <c r="M324" s="7">
        <f>VLOOKUP(L324,'Win Methods'!$C$4:$F$379,4,FALSE)</f>
        <v>0</v>
      </c>
      <c r="N324" s="8"/>
      <c r="O324" s="7">
        <f>VLOOKUP(N324,'Win Methods'!$C$4:$F$379,4,FALSE)</f>
        <v>0</v>
      </c>
      <c r="P324" s="8"/>
      <c r="Q324" s="7">
        <f>VLOOKUP(P324,'Win Methods'!$C$4:$F$379,4,FALSE)</f>
        <v>0</v>
      </c>
      <c r="R324" s="8"/>
      <c r="S324" s="7">
        <f>VLOOKUP(R324,'Win Methods'!$C$4:$F$379,4,FALSE)</f>
        <v>0</v>
      </c>
      <c r="T324" s="8"/>
      <c r="U324" s="7">
        <f>VLOOKUP(T324,'Win Methods'!$C$4:$F$379,4,FALSE)</f>
        <v>0</v>
      </c>
      <c r="V324" s="8"/>
      <c r="W324" s="7">
        <f>VLOOKUP(V324,'Win Methods'!$C$4:$F$379,4,FALSE)</f>
        <v>0</v>
      </c>
      <c r="X324" s="117" t="str">
        <f t="shared" si="11"/>
        <v>main-4|main-5|wild-12|bonusB-5||||||</v>
      </c>
    </row>
    <row r="325" spans="2:24" ht="13.95" customHeight="1">
      <c r="B325" s="116">
        <v>322</v>
      </c>
      <c r="C325" s="7">
        <f t="shared" si="10"/>
        <v>25</v>
      </c>
      <c r="D325" s="8" t="s">
        <v>12</v>
      </c>
      <c r="E325" s="7">
        <f>VLOOKUP(D325,'Win Methods'!$C$4:$F$379,4,FALSE)</f>
        <v>5</v>
      </c>
      <c r="F325" s="8" t="s">
        <v>39</v>
      </c>
      <c r="G325" s="7">
        <f>VLOOKUP(F325,'Win Methods'!$C$4:$F$379,4,FALSE)</f>
        <v>5</v>
      </c>
      <c r="H325" s="197" t="s">
        <v>58</v>
      </c>
      <c r="I325" s="7">
        <f>VLOOKUP(H325,'Win Methods'!$C$4:$F$379,4,FALSE)</f>
        <v>5</v>
      </c>
      <c r="J325" s="211" t="s">
        <v>139</v>
      </c>
      <c r="K325" s="7">
        <f>VLOOKUP(J325,'Win Methods'!$C$4:$F$379,4,FALSE)</f>
        <v>10</v>
      </c>
      <c r="L325" s="8"/>
      <c r="M325" s="7">
        <f>VLOOKUP(L325,'Win Methods'!$C$4:$F$379,4,FALSE)</f>
        <v>0</v>
      </c>
      <c r="N325" s="8"/>
      <c r="O325" s="7">
        <f>VLOOKUP(N325,'Win Methods'!$C$4:$F$379,4,FALSE)</f>
        <v>0</v>
      </c>
      <c r="P325" s="8"/>
      <c r="Q325" s="7">
        <f>VLOOKUP(P325,'Win Methods'!$C$4:$F$379,4,FALSE)</f>
        <v>0</v>
      </c>
      <c r="R325" s="8"/>
      <c r="S325" s="7">
        <f>VLOOKUP(R325,'Win Methods'!$C$4:$F$379,4,FALSE)</f>
        <v>0</v>
      </c>
      <c r="T325" s="8"/>
      <c r="U325" s="7">
        <f>VLOOKUP(T325,'Win Methods'!$C$4:$F$379,4,FALSE)</f>
        <v>0</v>
      </c>
      <c r="V325" s="8"/>
      <c r="W325" s="7">
        <f>VLOOKUP(V325,'Win Methods'!$C$4:$F$379,4,FALSE)</f>
        <v>0</v>
      </c>
      <c r="X325" s="117" t="str">
        <f t="shared" si="11"/>
        <v>main-5|main-25|wild-13|bonusB-3||||||</v>
      </c>
    </row>
    <row r="326" spans="2:24" ht="13.95" customHeight="1">
      <c r="B326" s="116">
        <v>323</v>
      </c>
      <c r="C326" s="7">
        <f t="shared" si="10"/>
        <v>29</v>
      </c>
      <c r="D326" s="8" t="s">
        <v>12</v>
      </c>
      <c r="E326" s="7">
        <f>VLOOKUP(D326,'Win Methods'!$C$4:$F$379,4,FALSE)</f>
        <v>5</v>
      </c>
      <c r="F326" s="8" t="s">
        <v>40</v>
      </c>
      <c r="G326" s="7">
        <f>VLOOKUP(F326,'Win Methods'!$C$4:$F$379,4,FALSE)</f>
        <v>10</v>
      </c>
      <c r="H326" s="197" t="s">
        <v>59</v>
      </c>
      <c r="I326" s="7">
        <f>VLOOKUP(H326,'Win Methods'!$C$4:$F$379,4,FALSE)</f>
        <v>2</v>
      </c>
      <c r="J326" s="211" t="s">
        <v>140</v>
      </c>
      <c r="K326" s="7">
        <f>VLOOKUP(J326,'Win Methods'!$C$4:$F$379,4,FALSE)</f>
        <v>12</v>
      </c>
      <c r="L326" s="8"/>
      <c r="M326" s="7">
        <f>VLOOKUP(L326,'Win Methods'!$C$4:$F$379,4,FALSE)</f>
        <v>0</v>
      </c>
      <c r="N326" s="8"/>
      <c r="O326" s="7">
        <f>VLOOKUP(N326,'Win Methods'!$C$4:$F$379,4,FALSE)</f>
        <v>0</v>
      </c>
      <c r="P326" s="8"/>
      <c r="Q326" s="7">
        <f>VLOOKUP(P326,'Win Methods'!$C$4:$F$379,4,FALSE)</f>
        <v>0</v>
      </c>
      <c r="R326" s="8"/>
      <c r="S326" s="7">
        <f>VLOOKUP(R326,'Win Methods'!$C$4:$F$379,4,FALSE)</f>
        <v>0</v>
      </c>
      <c r="T326" s="8"/>
      <c r="U326" s="7">
        <f>VLOOKUP(T326,'Win Methods'!$C$4:$F$379,4,FALSE)</f>
        <v>0</v>
      </c>
      <c r="V326" s="8"/>
      <c r="W326" s="7">
        <f>VLOOKUP(V326,'Win Methods'!$C$4:$F$379,4,FALSE)</f>
        <v>0</v>
      </c>
      <c r="X326" s="117" t="str">
        <f t="shared" si="11"/>
        <v>main-5|main-26|wild-14|bonusB-4||||||</v>
      </c>
    </row>
    <row r="327" spans="2:24" ht="13.95" customHeight="1">
      <c r="B327" s="116">
        <v>324</v>
      </c>
      <c r="C327" s="7">
        <f t="shared" si="10"/>
        <v>27.1</v>
      </c>
      <c r="D327" s="8" t="s">
        <v>11</v>
      </c>
      <c r="E327" s="7">
        <f>VLOOKUP(D327,'Win Methods'!$C$4:$F$379,4,FALSE)</f>
        <v>2</v>
      </c>
      <c r="F327" s="8" t="s">
        <v>5</v>
      </c>
      <c r="G327" s="7">
        <f>VLOOKUP(F327,'Win Methods'!$C$4:$F$379,4,FALSE)</f>
        <v>0.1</v>
      </c>
      <c r="H327" s="8" t="s">
        <v>34</v>
      </c>
      <c r="I327" s="7">
        <f>VLOOKUP(H327,'Win Methods'!$C$4:$F$379,4,FALSE)</f>
        <v>10</v>
      </c>
      <c r="J327" s="211" t="s">
        <v>141</v>
      </c>
      <c r="K327" s="7">
        <f>VLOOKUP(J327,'Win Methods'!$C$4:$F$379,4,FALSE)</f>
        <v>15</v>
      </c>
      <c r="L327" s="8"/>
      <c r="M327" s="7">
        <f>VLOOKUP(L327,'Win Methods'!$C$4:$F$379,4,FALSE)</f>
        <v>0</v>
      </c>
      <c r="N327" s="8"/>
      <c r="O327" s="7">
        <f>VLOOKUP(N327,'Win Methods'!$C$4:$F$379,4,FALSE)</f>
        <v>0</v>
      </c>
      <c r="P327" s="8"/>
      <c r="Q327" s="7">
        <f>VLOOKUP(P327,'Win Methods'!$C$4:$F$379,4,FALSE)</f>
        <v>0</v>
      </c>
      <c r="R327" s="8"/>
      <c r="S327" s="7">
        <f>VLOOKUP(R327,'Win Methods'!$C$4:$F$379,4,FALSE)</f>
        <v>0</v>
      </c>
      <c r="T327" s="8"/>
      <c r="U327" s="7">
        <f>VLOOKUP(T327,'Win Methods'!$C$4:$F$379,4,FALSE)</f>
        <v>0</v>
      </c>
      <c r="V327" s="8"/>
      <c r="W327" s="7">
        <f>VLOOKUP(V327,'Win Methods'!$C$4:$F$379,4,FALSE)</f>
        <v>0</v>
      </c>
      <c r="X327" s="117" t="str">
        <f t="shared" si="11"/>
        <v>main-4|main-0|main-20|bonusB-5||||||</v>
      </c>
    </row>
    <row r="328" spans="2:24" ht="13.95" customHeight="1">
      <c r="B328" s="116">
        <v>325</v>
      </c>
      <c r="C328" s="7">
        <f t="shared" si="10"/>
        <v>24</v>
      </c>
      <c r="D328" s="8" t="s">
        <v>25</v>
      </c>
      <c r="E328" s="7">
        <f>VLOOKUP(D328,'Win Methods'!$C$4:$F$379,4,FALSE)</f>
        <v>2</v>
      </c>
      <c r="F328" s="8" t="s">
        <v>39</v>
      </c>
      <c r="G328" s="7">
        <f>VLOOKUP(F328,'Win Methods'!$C$4:$F$379,4,FALSE)</f>
        <v>5</v>
      </c>
      <c r="H328" s="8" t="s">
        <v>12</v>
      </c>
      <c r="I328" s="7">
        <f>VLOOKUP(H328,'Win Methods'!$C$4:$F$379,4,FALSE)</f>
        <v>5</v>
      </c>
      <c r="J328" s="211" t="s">
        <v>140</v>
      </c>
      <c r="K328" s="7">
        <f>VLOOKUP(J328,'Win Methods'!$C$4:$F$379,4,FALSE)</f>
        <v>12</v>
      </c>
      <c r="L328" s="8"/>
      <c r="M328" s="7">
        <f>VLOOKUP(L328,'Win Methods'!$C$4:$F$379,4,FALSE)</f>
        <v>0</v>
      </c>
      <c r="N328" s="8"/>
      <c r="O328" s="7">
        <f>VLOOKUP(N328,'Win Methods'!$C$4:$F$379,4,FALSE)</f>
        <v>0</v>
      </c>
      <c r="P328" s="8"/>
      <c r="Q328" s="7">
        <f>VLOOKUP(P328,'Win Methods'!$C$4:$F$379,4,FALSE)</f>
        <v>0</v>
      </c>
      <c r="R328" s="8"/>
      <c r="S328" s="7">
        <f>VLOOKUP(R328,'Win Methods'!$C$4:$F$379,4,FALSE)</f>
        <v>0</v>
      </c>
      <c r="T328" s="8"/>
      <c r="U328" s="7">
        <f>VLOOKUP(T328,'Win Methods'!$C$4:$F$379,4,FALSE)</f>
        <v>0</v>
      </c>
      <c r="V328" s="8"/>
      <c r="W328" s="7">
        <f>VLOOKUP(V328,'Win Methods'!$C$4:$F$379,4,FALSE)</f>
        <v>0</v>
      </c>
      <c r="X328" s="117" t="str">
        <f t="shared" si="11"/>
        <v>main-11|main-25|main-5|bonusB-4||||||</v>
      </c>
    </row>
    <row r="329" spans="2:24" ht="13.95" customHeight="1">
      <c r="B329" s="116">
        <v>326</v>
      </c>
      <c r="C329" s="7">
        <f t="shared" si="10"/>
        <v>23</v>
      </c>
      <c r="D329" s="8" t="s">
        <v>32</v>
      </c>
      <c r="E329" s="7">
        <f>VLOOKUP(D329,'Win Methods'!$C$4:$F$379,4,FALSE)</f>
        <v>3</v>
      </c>
      <c r="F329" s="8" t="s">
        <v>33</v>
      </c>
      <c r="G329" s="7">
        <f>VLOOKUP(F329,'Win Methods'!$C$4:$F$379,4,FALSE)</f>
        <v>5</v>
      </c>
      <c r="H329" s="8" t="s">
        <v>12</v>
      </c>
      <c r="I329" s="7">
        <f>VLOOKUP(H329,'Win Methods'!$C$4:$F$379,4,FALSE)</f>
        <v>5</v>
      </c>
      <c r="J329" s="211" t="s">
        <v>139</v>
      </c>
      <c r="K329" s="7">
        <f>VLOOKUP(J329,'Win Methods'!$C$4:$F$379,4,FALSE)</f>
        <v>10</v>
      </c>
      <c r="L329" s="8"/>
      <c r="M329" s="7">
        <f>VLOOKUP(L329,'Win Methods'!$C$4:$F$379,4,FALSE)</f>
        <v>0</v>
      </c>
      <c r="N329" s="8"/>
      <c r="O329" s="7">
        <f>VLOOKUP(N329,'Win Methods'!$C$4:$F$379,4,FALSE)</f>
        <v>0</v>
      </c>
      <c r="P329" s="8"/>
      <c r="Q329" s="7">
        <f>VLOOKUP(P329,'Win Methods'!$C$4:$F$379,4,FALSE)</f>
        <v>0</v>
      </c>
      <c r="R329" s="8"/>
      <c r="S329" s="7">
        <f>VLOOKUP(R329,'Win Methods'!$C$4:$F$379,4,FALSE)</f>
        <v>0</v>
      </c>
      <c r="T329" s="8"/>
      <c r="U329" s="7">
        <f>VLOOKUP(T329,'Win Methods'!$C$4:$F$379,4,FALSE)</f>
        <v>0</v>
      </c>
      <c r="V329" s="8"/>
      <c r="W329" s="7">
        <f>VLOOKUP(V329,'Win Methods'!$C$4:$F$379,4,FALSE)</f>
        <v>0</v>
      </c>
      <c r="X329" s="117" t="str">
        <f t="shared" si="11"/>
        <v>main-18|main-19|main-5|bonusB-3||||||</v>
      </c>
    </row>
    <row r="330" spans="2:24" ht="13.95" customHeight="1">
      <c r="B330" s="116">
        <v>327</v>
      </c>
      <c r="C330" s="7">
        <f t="shared" si="10"/>
        <v>18.5</v>
      </c>
      <c r="D330" s="8" t="s">
        <v>9</v>
      </c>
      <c r="E330" s="7">
        <f>VLOOKUP(D330,'Win Methods'!$C$4:$F$379,4,FALSE)</f>
        <v>0.5</v>
      </c>
      <c r="F330" s="8" t="s">
        <v>33</v>
      </c>
      <c r="G330" s="7">
        <f>VLOOKUP(F330,'Win Methods'!$C$4:$F$379,4,FALSE)</f>
        <v>5</v>
      </c>
      <c r="H330" s="8" t="s">
        <v>10</v>
      </c>
      <c r="I330" s="7">
        <f>VLOOKUP(H330,'Win Methods'!$C$4:$F$379,4,FALSE)</f>
        <v>1</v>
      </c>
      <c r="J330" s="211" t="s">
        <v>140</v>
      </c>
      <c r="K330" s="7">
        <f>VLOOKUP(J330,'Win Methods'!$C$4:$F$379,4,FALSE)</f>
        <v>12</v>
      </c>
      <c r="L330" s="8"/>
      <c r="M330" s="7">
        <f>VLOOKUP(L330,'Win Methods'!$C$4:$F$379,4,FALSE)</f>
        <v>0</v>
      </c>
      <c r="N330" s="8"/>
      <c r="O330" s="7">
        <f>VLOOKUP(N330,'Win Methods'!$C$4:$F$379,4,FALSE)</f>
        <v>0</v>
      </c>
      <c r="P330" s="8"/>
      <c r="Q330" s="7">
        <f>VLOOKUP(P330,'Win Methods'!$C$4:$F$379,4,FALSE)</f>
        <v>0</v>
      </c>
      <c r="R330" s="8"/>
      <c r="S330" s="7">
        <f>VLOOKUP(R330,'Win Methods'!$C$4:$F$379,4,FALSE)</f>
        <v>0</v>
      </c>
      <c r="T330" s="8"/>
      <c r="U330" s="7">
        <f>VLOOKUP(T330,'Win Methods'!$C$4:$F$379,4,FALSE)</f>
        <v>0</v>
      </c>
      <c r="V330" s="8"/>
      <c r="W330" s="7">
        <f>VLOOKUP(V330,'Win Methods'!$C$4:$F$379,4,FALSE)</f>
        <v>0</v>
      </c>
      <c r="X330" s="117" t="str">
        <f t="shared" si="11"/>
        <v>main-2|main-19|main-3|bonusB-4||||||</v>
      </c>
    </row>
    <row r="331" spans="2:24" ht="13.95" customHeight="1">
      <c r="B331" s="116">
        <v>328</v>
      </c>
      <c r="C331" s="7">
        <f t="shared" si="10"/>
        <v>28</v>
      </c>
      <c r="D331" s="8" t="s">
        <v>32</v>
      </c>
      <c r="E331" s="7">
        <f>VLOOKUP(D331,'Win Methods'!$C$4:$F$379,4,FALSE)</f>
        <v>3</v>
      </c>
      <c r="F331" s="8" t="s">
        <v>33</v>
      </c>
      <c r="G331" s="7">
        <f>VLOOKUP(F331,'Win Methods'!$C$4:$F$379,4,FALSE)</f>
        <v>5</v>
      </c>
      <c r="H331" s="8" t="s">
        <v>12</v>
      </c>
      <c r="I331" s="7">
        <f>VLOOKUP(H331,'Win Methods'!$C$4:$F$379,4,FALSE)</f>
        <v>5</v>
      </c>
      <c r="J331" s="197" t="s">
        <v>58</v>
      </c>
      <c r="K331" s="7">
        <f>VLOOKUP(J331,'Win Methods'!$C$4:$F$379,4,FALSE)</f>
        <v>5</v>
      </c>
      <c r="L331" s="211" t="s">
        <v>139</v>
      </c>
      <c r="M331" s="7">
        <f>VLOOKUP(L331,'Win Methods'!$C$4:$F$379,4,FALSE)</f>
        <v>10</v>
      </c>
      <c r="N331" s="8"/>
      <c r="O331" s="7">
        <f>VLOOKUP(N331,'Win Methods'!$C$4:$F$379,4,FALSE)</f>
        <v>0</v>
      </c>
      <c r="P331" s="8"/>
      <c r="Q331" s="7">
        <f>VLOOKUP(P331,'Win Methods'!$C$4:$F$379,4,FALSE)</f>
        <v>0</v>
      </c>
      <c r="R331" s="8"/>
      <c r="S331" s="7">
        <f>VLOOKUP(R331,'Win Methods'!$C$4:$F$379,4,FALSE)</f>
        <v>0</v>
      </c>
      <c r="T331" s="8"/>
      <c r="U331" s="7">
        <f>VLOOKUP(T331,'Win Methods'!$C$4:$F$379,4,FALSE)</f>
        <v>0</v>
      </c>
      <c r="V331" s="8"/>
      <c r="W331" s="7">
        <f>VLOOKUP(V331,'Win Methods'!$C$4:$F$379,4,FALSE)</f>
        <v>0</v>
      </c>
      <c r="X331" s="117" t="str">
        <f t="shared" si="11"/>
        <v>main-18|main-19|main-5|wild-13|bonusB-3|||||</v>
      </c>
    </row>
    <row r="332" spans="2:24" ht="13.95" customHeight="1">
      <c r="B332" s="116">
        <v>329</v>
      </c>
      <c r="C332" s="7">
        <f t="shared" si="10"/>
        <v>28</v>
      </c>
      <c r="D332" s="8" t="s">
        <v>10</v>
      </c>
      <c r="E332" s="7">
        <f>VLOOKUP(D332,'Win Methods'!$C$4:$F$379,4,FALSE)</f>
        <v>1</v>
      </c>
      <c r="F332" s="8" t="s">
        <v>34</v>
      </c>
      <c r="G332" s="7">
        <f>VLOOKUP(F332,'Win Methods'!$C$4:$F$379,4,FALSE)</f>
        <v>10</v>
      </c>
      <c r="H332" s="8" t="s">
        <v>11</v>
      </c>
      <c r="I332" s="7">
        <f>VLOOKUP(H332,'Win Methods'!$C$4:$F$379,4,FALSE)</f>
        <v>2</v>
      </c>
      <c r="J332" s="197" t="s">
        <v>60</v>
      </c>
      <c r="K332" s="7">
        <f>VLOOKUP(J332,'Win Methods'!$C$4:$F$379,4,FALSE)</f>
        <v>3</v>
      </c>
      <c r="L332" s="211" t="s">
        <v>140</v>
      </c>
      <c r="M332" s="7">
        <f>VLOOKUP(L332,'Win Methods'!$C$4:$F$379,4,FALSE)</f>
        <v>12</v>
      </c>
      <c r="N332" s="8"/>
      <c r="O332" s="7">
        <f>VLOOKUP(N332,'Win Methods'!$C$4:$F$379,4,FALSE)</f>
        <v>0</v>
      </c>
      <c r="P332" s="8"/>
      <c r="Q332" s="7">
        <f>VLOOKUP(P332,'Win Methods'!$C$4:$F$379,4,FALSE)</f>
        <v>0</v>
      </c>
      <c r="R332" s="8"/>
      <c r="S332" s="7">
        <f>VLOOKUP(R332,'Win Methods'!$C$4:$F$379,4,FALSE)</f>
        <v>0</v>
      </c>
      <c r="T332" s="8"/>
      <c r="U332" s="7">
        <f>VLOOKUP(T332,'Win Methods'!$C$4:$F$379,4,FALSE)</f>
        <v>0</v>
      </c>
      <c r="V332" s="8"/>
      <c r="W332" s="7">
        <f>VLOOKUP(V332,'Win Methods'!$C$4:$F$379,4,FALSE)</f>
        <v>0</v>
      </c>
      <c r="X332" s="117" t="str">
        <f t="shared" si="11"/>
        <v>main-3|main-20|main-4|wild-15|bonusB-4|||||</v>
      </c>
    </row>
    <row r="333" spans="2:24" ht="13.95" customHeight="1">
      <c r="B333" s="116">
        <v>330</v>
      </c>
      <c r="C333" s="7">
        <f t="shared" si="10"/>
        <v>20.3</v>
      </c>
      <c r="D333" s="8" t="s">
        <v>11</v>
      </c>
      <c r="E333" s="7">
        <f>VLOOKUP(D333,'Win Methods'!$C$4:$F$379,4,FALSE)</f>
        <v>2</v>
      </c>
      <c r="F333" s="8" t="s">
        <v>5</v>
      </c>
      <c r="G333" s="7">
        <f>VLOOKUP(F333,'Win Methods'!$C$4:$F$379,4,FALSE)</f>
        <v>0.1</v>
      </c>
      <c r="H333" s="8" t="s">
        <v>8</v>
      </c>
      <c r="I333" s="7">
        <f>VLOOKUP(H333,'Win Methods'!$C$4:$F$379,4,FALSE)</f>
        <v>0.2</v>
      </c>
      <c r="J333" s="8" t="s">
        <v>32</v>
      </c>
      <c r="K333" s="7">
        <f>VLOOKUP(J333,'Win Methods'!$C$4:$F$379,4,FALSE)</f>
        <v>3</v>
      </c>
      <c r="L333" s="211" t="s">
        <v>141</v>
      </c>
      <c r="M333" s="7">
        <f>VLOOKUP(L333,'Win Methods'!$C$4:$F$379,4,FALSE)</f>
        <v>15</v>
      </c>
      <c r="N333" s="8"/>
      <c r="O333" s="7">
        <f>VLOOKUP(N333,'Win Methods'!$C$4:$F$379,4,FALSE)</f>
        <v>0</v>
      </c>
      <c r="P333" s="8"/>
      <c r="Q333" s="7">
        <f>VLOOKUP(P333,'Win Methods'!$C$4:$F$379,4,FALSE)</f>
        <v>0</v>
      </c>
      <c r="R333" s="8"/>
      <c r="S333" s="7">
        <f>VLOOKUP(R333,'Win Methods'!$C$4:$F$379,4,FALSE)</f>
        <v>0</v>
      </c>
      <c r="T333" s="8"/>
      <c r="U333" s="7">
        <f>VLOOKUP(T333,'Win Methods'!$C$4:$F$379,4,FALSE)</f>
        <v>0</v>
      </c>
      <c r="V333" s="8"/>
      <c r="W333" s="7">
        <f>VLOOKUP(V333,'Win Methods'!$C$4:$F$379,4,FALSE)</f>
        <v>0</v>
      </c>
      <c r="X333" s="117" t="str">
        <f t="shared" si="11"/>
        <v>main-4|main-0|main-1|main-18|bonusB-5|||||</v>
      </c>
    </row>
    <row r="334" spans="2:24" ht="13.95" customHeight="1">
      <c r="B334" s="116">
        <v>331</v>
      </c>
      <c r="C334" s="7">
        <f t="shared" si="10"/>
        <v>19.2</v>
      </c>
      <c r="D334" s="8" t="s">
        <v>5</v>
      </c>
      <c r="E334" s="7">
        <f>VLOOKUP(D334,'Win Methods'!$C$4:$F$379,4,FALSE)</f>
        <v>0.1</v>
      </c>
      <c r="F334" s="8" t="s">
        <v>11</v>
      </c>
      <c r="G334" s="7">
        <f>VLOOKUP(F334,'Win Methods'!$C$4:$F$379,4,FALSE)</f>
        <v>2</v>
      </c>
      <c r="H334" s="8" t="s">
        <v>5</v>
      </c>
      <c r="I334" s="7">
        <f>VLOOKUP(H334,'Win Methods'!$C$4:$F$379,4,FALSE)</f>
        <v>0.1</v>
      </c>
      <c r="J334" s="8" t="s">
        <v>33</v>
      </c>
      <c r="K334" s="7">
        <f>VLOOKUP(J334,'Win Methods'!$C$4:$F$379,4,FALSE)</f>
        <v>5</v>
      </c>
      <c r="L334" s="211" t="s">
        <v>140</v>
      </c>
      <c r="M334" s="7">
        <f>VLOOKUP(L334,'Win Methods'!$C$4:$F$379,4,FALSE)</f>
        <v>12</v>
      </c>
      <c r="N334" s="8"/>
      <c r="O334" s="7">
        <f>VLOOKUP(N334,'Win Methods'!$C$4:$F$379,4,FALSE)</f>
        <v>0</v>
      </c>
      <c r="P334" s="8"/>
      <c r="Q334" s="7">
        <f>VLOOKUP(P334,'Win Methods'!$C$4:$F$379,4,FALSE)</f>
        <v>0</v>
      </c>
      <c r="R334" s="8"/>
      <c r="S334" s="7">
        <f>VLOOKUP(R334,'Win Methods'!$C$4:$F$379,4,FALSE)</f>
        <v>0</v>
      </c>
      <c r="T334" s="8"/>
      <c r="U334" s="7">
        <f>VLOOKUP(T334,'Win Methods'!$C$4:$F$379,4,FALSE)</f>
        <v>0</v>
      </c>
      <c r="V334" s="8"/>
      <c r="W334" s="7">
        <f>VLOOKUP(V334,'Win Methods'!$C$4:$F$379,4,FALSE)</f>
        <v>0</v>
      </c>
      <c r="X334" s="117" t="str">
        <f t="shared" si="11"/>
        <v>main-0|main-4|main-0|main-19|bonusB-4|||||</v>
      </c>
    </row>
    <row r="335" spans="2:24" ht="13.95" customHeight="1">
      <c r="B335" s="116">
        <v>332</v>
      </c>
      <c r="C335" s="7">
        <f t="shared" si="10"/>
        <v>30.1</v>
      </c>
      <c r="D335" s="8" t="s">
        <v>5</v>
      </c>
      <c r="E335" s="7">
        <f>VLOOKUP(D335,'Win Methods'!$C$4:$F$379,4,FALSE)</f>
        <v>0.1</v>
      </c>
      <c r="F335" s="8" t="s">
        <v>27</v>
      </c>
      <c r="G335" s="7">
        <f>VLOOKUP(F335,'Win Methods'!$C$4:$F$379,4,FALSE)</f>
        <v>5</v>
      </c>
      <c r="H335" s="8" t="s">
        <v>40</v>
      </c>
      <c r="I335" s="7">
        <f>VLOOKUP(H335,'Win Methods'!$C$4:$F$379,4,FALSE)</f>
        <v>10</v>
      </c>
      <c r="J335" s="8" t="s">
        <v>32</v>
      </c>
      <c r="K335" s="7">
        <f>VLOOKUP(J335,'Win Methods'!$C$4:$F$379,4,FALSE)</f>
        <v>3</v>
      </c>
      <c r="L335" s="211" t="s">
        <v>140</v>
      </c>
      <c r="M335" s="7">
        <f>VLOOKUP(L335,'Win Methods'!$C$4:$F$379,4,FALSE)</f>
        <v>12</v>
      </c>
      <c r="N335" s="8"/>
      <c r="O335" s="7">
        <f>VLOOKUP(N335,'Win Methods'!$C$4:$F$379,4,FALSE)</f>
        <v>0</v>
      </c>
      <c r="P335" s="8"/>
      <c r="Q335" s="7">
        <f>VLOOKUP(P335,'Win Methods'!$C$4:$F$379,4,FALSE)</f>
        <v>0</v>
      </c>
      <c r="R335" s="8"/>
      <c r="S335" s="7">
        <f>VLOOKUP(R335,'Win Methods'!$C$4:$F$379,4,FALSE)</f>
        <v>0</v>
      </c>
      <c r="T335" s="8"/>
      <c r="U335" s="7">
        <f>VLOOKUP(T335,'Win Methods'!$C$4:$F$379,4,FALSE)</f>
        <v>0</v>
      </c>
      <c r="V335" s="8"/>
      <c r="W335" s="7">
        <f>VLOOKUP(V335,'Win Methods'!$C$4:$F$379,4,FALSE)</f>
        <v>0</v>
      </c>
      <c r="X335" s="117" t="str">
        <f t="shared" si="11"/>
        <v>main-0|main-13|main-26|main-18|bonusB-4|||||</v>
      </c>
    </row>
    <row r="336" spans="2:24" ht="13.95" customHeight="1">
      <c r="B336" s="116">
        <v>333</v>
      </c>
      <c r="C336" s="7">
        <f t="shared" si="10"/>
        <v>30.1</v>
      </c>
      <c r="D336" s="8" t="s">
        <v>12</v>
      </c>
      <c r="E336" s="7">
        <f>VLOOKUP(D336,'Win Methods'!$C$4:$F$379,4,FALSE)</f>
        <v>5</v>
      </c>
      <c r="F336" s="8" t="s">
        <v>27</v>
      </c>
      <c r="G336" s="7">
        <f>VLOOKUP(F336,'Win Methods'!$C$4:$F$379,4,FALSE)</f>
        <v>5</v>
      </c>
      <c r="H336" s="8" t="s">
        <v>39</v>
      </c>
      <c r="I336" s="7">
        <f>VLOOKUP(H336,'Win Methods'!$C$4:$F$379,4,FALSE)</f>
        <v>5</v>
      </c>
      <c r="J336" s="8" t="s">
        <v>5</v>
      </c>
      <c r="K336" s="7">
        <f>VLOOKUP(J336,'Win Methods'!$C$4:$F$379,4,FALSE)</f>
        <v>0.1</v>
      </c>
      <c r="L336" s="211" t="s">
        <v>141</v>
      </c>
      <c r="M336" s="7">
        <f>VLOOKUP(L336,'Win Methods'!$C$4:$F$379,4,FALSE)</f>
        <v>15</v>
      </c>
      <c r="N336" s="8"/>
      <c r="O336" s="7">
        <f>VLOOKUP(N336,'Win Methods'!$C$4:$F$379,4,FALSE)</f>
        <v>0</v>
      </c>
      <c r="P336" s="8"/>
      <c r="Q336" s="7">
        <f>VLOOKUP(P336,'Win Methods'!$C$4:$F$379,4,FALSE)</f>
        <v>0</v>
      </c>
      <c r="R336" s="8"/>
      <c r="S336" s="7">
        <f>VLOOKUP(R336,'Win Methods'!$C$4:$F$379,4,FALSE)</f>
        <v>0</v>
      </c>
      <c r="T336" s="8"/>
      <c r="U336" s="7">
        <f>VLOOKUP(T336,'Win Methods'!$C$4:$F$379,4,FALSE)</f>
        <v>0</v>
      </c>
      <c r="V336" s="8"/>
      <c r="W336" s="7">
        <f>VLOOKUP(V336,'Win Methods'!$C$4:$F$379,4,FALSE)</f>
        <v>0</v>
      </c>
      <c r="X336" s="117" t="str">
        <f t="shared" si="11"/>
        <v>main-5|main-13|main-25|main-0|bonusB-5|||||</v>
      </c>
    </row>
    <row r="337" spans="2:24" ht="13.95" customHeight="1">
      <c r="B337" s="116">
        <v>334</v>
      </c>
      <c r="C337" s="7">
        <f t="shared" si="10"/>
        <v>37</v>
      </c>
      <c r="D337" s="8" t="s">
        <v>12</v>
      </c>
      <c r="E337" s="7">
        <f>VLOOKUP(D337,'Win Methods'!$C$4:$F$379,4,FALSE)</f>
        <v>5</v>
      </c>
      <c r="F337" s="8" t="s">
        <v>39</v>
      </c>
      <c r="G337" s="7">
        <f>VLOOKUP(F337,'Win Methods'!$C$4:$F$379,4,FALSE)</f>
        <v>5</v>
      </c>
      <c r="H337" s="8" t="s">
        <v>33</v>
      </c>
      <c r="I337" s="7">
        <f>VLOOKUP(H337,'Win Methods'!$C$4:$F$379,4,FALSE)</f>
        <v>5</v>
      </c>
      <c r="J337" s="197" t="s">
        <v>56</v>
      </c>
      <c r="K337" s="7">
        <f>VLOOKUP(J337,'Win Methods'!$C$4:$F$379,4,FALSE)</f>
        <v>2</v>
      </c>
      <c r="L337" s="211" t="s">
        <v>142</v>
      </c>
      <c r="M337" s="7">
        <f>VLOOKUP(L337,'Win Methods'!$C$4:$F$379,4,FALSE)</f>
        <v>20</v>
      </c>
      <c r="N337" s="8"/>
      <c r="O337" s="7">
        <f>VLOOKUP(N337,'Win Methods'!$C$4:$F$379,4,FALSE)</f>
        <v>0</v>
      </c>
      <c r="P337" s="8"/>
      <c r="Q337" s="7">
        <f>VLOOKUP(P337,'Win Methods'!$C$4:$F$379,4,FALSE)</f>
        <v>0</v>
      </c>
      <c r="R337" s="8"/>
      <c r="S337" s="7">
        <f>VLOOKUP(R337,'Win Methods'!$C$4:$F$379,4,FALSE)</f>
        <v>0</v>
      </c>
      <c r="T337" s="8"/>
      <c r="U337" s="7">
        <f>VLOOKUP(T337,'Win Methods'!$C$4:$F$379,4,FALSE)</f>
        <v>0</v>
      </c>
      <c r="V337" s="8"/>
      <c r="W337" s="7">
        <f>VLOOKUP(V337,'Win Methods'!$C$4:$F$379,4,FALSE)</f>
        <v>0</v>
      </c>
      <c r="X337" s="117" t="str">
        <f t="shared" si="11"/>
        <v>main-5|main-25|main-19|wild-11|bonusB-6|||||</v>
      </c>
    </row>
    <row r="338" spans="2:24" ht="13.95" customHeight="1">
      <c r="B338" s="116">
        <v>335</v>
      </c>
      <c r="C338" s="7">
        <f t="shared" si="10"/>
        <v>22.5</v>
      </c>
      <c r="D338" s="8" t="s">
        <v>11</v>
      </c>
      <c r="E338" s="7">
        <f>VLOOKUP(D338,'Win Methods'!$C$4:$F$379,4,FALSE)</f>
        <v>2</v>
      </c>
      <c r="F338" s="8" t="s">
        <v>33</v>
      </c>
      <c r="G338" s="7">
        <f>VLOOKUP(F338,'Win Methods'!$C$4:$F$379,4,FALSE)</f>
        <v>5</v>
      </c>
      <c r="H338" s="8" t="s">
        <v>12</v>
      </c>
      <c r="I338" s="7">
        <f>VLOOKUP(H338,'Win Methods'!$C$4:$F$379,4,FALSE)</f>
        <v>5</v>
      </c>
      <c r="J338" s="197" t="s">
        <v>47</v>
      </c>
      <c r="K338" s="7">
        <f>VLOOKUP(J338,'Win Methods'!$C$4:$F$379,4,FALSE)</f>
        <v>0.5</v>
      </c>
      <c r="L338" s="211" t="s">
        <v>139</v>
      </c>
      <c r="M338" s="7">
        <f>VLOOKUP(L338,'Win Methods'!$C$4:$F$379,4,FALSE)</f>
        <v>10</v>
      </c>
      <c r="N338" s="8"/>
      <c r="O338" s="7">
        <f>VLOOKUP(N338,'Win Methods'!$C$4:$F$379,4,FALSE)</f>
        <v>0</v>
      </c>
      <c r="P338" s="8"/>
      <c r="Q338" s="7">
        <f>VLOOKUP(P338,'Win Methods'!$C$4:$F$379,4,FALSE)</f>
        <v>0</v>
      </c>
      <c r="R338" s="8"/>
      <c r="S338" s="7">
        <f>VLOOKUP(R338,'Win Methods'!$C$4:$F$379,4,FALSE)</f>
        <v>0</v>
      </c>
      <c r="T338" s="8"/>
      <c r="U338" s="7">
        <f>VLOOKUP(T338,'Win Methods'!$C$4:$F$379,4,FALSE)</f>
        <v>0</v>
      </c>
      <c r="V338" s="8"/>
      <c r="W338" s="7">
        <f>VLOOKUP(V338,'Win Methods'!$C$4:$F$379,4,FALSE)</f>
        <v>0</v>
      </c>
      <c r="X338" s="117" t="str">
        <f t="shared" si="11"/>
        <v>main-4|main-19|main-5|wild-2|bonusB-3|||||</v>
      </c>
    </row>
    <row r="339" spans="2:24" ht="13.95" customHeight="1">
      <c r="B339" s="116">
        <v>336</v>
      </c>
      <c r="C339" s="7">
        <f t="shared" si="10"/>
        <v>20</v>
      </c>
      <c r="D339" s="8" t="s">
        <v>40</v>
      </c>
      <c r="E339" s="7">
        <f>VLOOKUP(D339,'Win Methods'!$C$4:$F$379,4,FALSE)</f>
        <v>10</v>
      </c>
      <c r="F339" s="223" t="s">
        <v>151</v>
      </c>
      <c r="G339" s="7">
        <f>VLOOKUP(F339,'Win Methods'!$C$4:$F$379,4,FALSE)</f>
        <v>10</v>
      </c>
      <c r="H339" s="8"/>
      <c r="I339" s="7">
        <f>VLOOKUP(H339,'Win Methods'!$C$4:$F$379,4,FALSE)</f>
        <v>0</v>
      </c>
      <c r="J339" s="8"/>
      <c r="K339" s="7">
        <f>VLOOKUP(J339,'Win Methods'!$C$4:$F$379,4,FALSE)</f>
        <v>0</v>
      </c>
      <c r="L339" s="8"/>
      <c r="M339" s="7">
        <f>VLOOKUP(L339,'Win Methods'!$C$4:$F$379,4,FALSE)</f>
        <v>0</v>
      </c>
      <c r="N339" s="8"/>
      <c r="O339" s="7">
        <f>VLOOKUP(N339,'Win Methods'!$C$4:$F$379,4,FALSE)</f>
        <v>0</v>
      </c>
      <c r="P339" s="8"/>
      <c r="Q339" s="7">
        <f>VLOOKUP(P339,'Win Methods'!$C$4:$F$379,4,FALSE)</f>
        <v>0</v>
      </c>
      <c r="R339" s="8"/>
      <c r="S339" s="7">
        <f>VLOOKUP(R339,'Win Methods'!$C$4:$F$379,4,FALSE)</f>
        <v>0</v>
      </c>
      <c r="T339" s="8"/>
      <c r="U339" s="7">
        <f>VLOOKUP(T339,'Win Methods'!$C$4:$F$379,4,FALSE)</f>
        <v>0</v>
      </c>
      <c r="V339" s="8"/>
      <c r="W339" s="7">
        <f>VLOOKUP(V339,'Win Methods'!$C$4:$F$379,4,FALSE)</f>
        <v>0</v>
      </c>
      <c r="X339" s="117" t="str">
        <f t="shared" si="11"/>
        <v>main-26|bonusC-3||||||||</v>
      </c>
    </row>
    <row r="340" spans="2:24" ht="13.95" customHeight="1">
      <c r="B340" s="116">
        <v>337</v>
      </c>
      <c r="C340" s="7">
        <f t="shared" si="10"/>
        <v>17</v>
      </c>
      <c r="D340" s="8" t="s">
        <v>39</v>
      </c>
      <c r="E340" s="7">
        <f>VLOOKUP(D340,'Win Methods'!$C$4:$F$379,4,FALSE)</f>
        <v>5</v>
      </c>
      <c r="F340" s="223" t="s">
        <v>152</v>
      </c>
      <c r="G340" s="7">
        <f>VLOOKUP(F340,'Win Methods'!$C$4:$F$379,4,FALSE)</f>
        <v>12</v>
      </c>
      <c r="H340" s="8"/>
      <c r="I340" s="7">
        <f>VLOOKUP(H340,'Win Methods'!$C$4:$F$379,4,FALSE)</f>
        <v>0</v>
      </c>
      <c r="J340" s="8"/>
      <c r="K340" s="7">
        <f>VLOOKUP(J340,'Win Methods'!$C$4:$F$379,4,FALSE)</f>
        <v>0</v>
      </c>
      <c r="L340" s="8"/>
      <c r="M340" s="7">
        <f>VLOOKUP(L340,'Win Methods'!$C$4:$F$379,4,FALSE)</f>
        <v>0</v>
      </c>
      <c r="N340" s="8"/>
      <c r="O340" s="7">
        <f>VLOOKUP(N340,'Win Methods'!$C$4:$F$379,4,FALSE)</f>
        <v>0</v>
      </c>
      <c r="P340" s="8"/>
      <c r="Q340" s="7">
        <f>VLOOKUP(P340,'Win Methods'!$C$4:$F$379,4,FALSE)</f>
        <v>0</v>
      </c>
      <c r="R340" s="8"/>
      <c r="S340" s="7">
        <f>VLOOKUP(R340,'Win Methods'!$C$4:$F$379,4,FALSE)</f>
        <v>0</v>
      </c>
      <c r="T340" s="8"/>
      <c r="U340" s="7">
        <f>VLOOKUP(T340,'Win Methods'!$C$4:$F$379,4,FALSE)</f>
        <v>0</v>
      </c>
      <c r="V340" s="8"/>
      <c r="W340" s="7">
        <f>VLOOKUP(V340,'Win Methods'!$C$4:$F$379,4,FALSE)</f>
        <v>0</v>
      </c>
      <c r="X340" s="117" t="str">
        <f t="shared" si="11"/>
        <v>main-25|bonusC-4||||||||</v>
      </c>
    </row>
    <row r="341" spans="2:24" ht="13.95" customHeight="1">
      <c r="B341" s="116">
        <v>338</v>
      </c>
      <c r="C341" s="7">
        <f t="shared" si="10"/>
        <v>20</v>
      </c>
      <c r="D341" s="8" t="s">
        <v>33</v>
      </c>
      <c r="E341" s="7">
        <f>VLOOKUP(D341,'Win Methods'!$C$4:$F$379,4,FALSE)</f>
        <v>5</v>
      </c>
      <c r="F341" s="223" t="s">
        <v>153</v>
      </c>
      <c r="G341" s="7">
        <f>VLOOKUP(F341,'Win Methods'!$C$4:$F$379,4,FALSE)</f>
        <v>15</v>
      </c>
      <c r="H341" s="8"/>
      <c r="I341" s="7">
        <f>VLOOKUP(H341,'Win Methods'!$C$4:$F$379,4,FALSE)</f>
        <v>0</v>
      </c>
      <c r="J341" s="8"/>
      <c r="K341" s="7">
        <f>VLOOKUP(J341,'Win Methods'!$C$4:$F$379,4,FALSE)</f>
        <v>0</v>
      </c>
      <c r="L341" s="8"/>
      <c r="M341" s="7">
        <f>VLOOKUP(L341,'Win Methods'!$C$4:$F$379,4,FALSE)</f>
        <v>0</v>
      </c>
      <c r="N341" s="8"/>
      <c r="O341" s="7">
        <f>VLOOKUP(N341,'Win Methods'!$C$4:$F$379,4,FALSE)</f>
        <v>0</v>
      </c>
      <c r="P341" s="8"/>
      <c r="Q341" s="7">
        <f>VLOOKUP(P341,'Win Methods'!$C$4:$F$379,4,FALSE)</f>
        <v>0</v>
      </c>
      <c r="R341" s="8"/>
      <c r="S341" s="7">
        <f>VLOOKUP(R341,'Win Methods'!$C$4:$F$379,4,FALSE)</f>
        <v>0</v>
      </c>
      <c r="T341" s="8"/>
      <c r="U341" s="7">
        <f>VLOOKUP(T341,'Win Methods'!$C$4:$F$379,4,FALSE)</f>
        <v>0</v>
      </c>
      <c r="V341" s="8"/>
      <c r="W341" s="7">
        <f>VLOOKUP(V341,'Win Methods'!$C$4:$F$379,4,FALSE)</f>
        <v>0</v>
      </c>
      <c r="X341" s="117" t="str">
        <f t="shared" si="11"/>
        <v>main-19|bonusC-5||||||||</v>
      </c>
    </row>
    <row r="342" spans="2:24" ht="13.95" customHeight="1">
      <c r="B342" s="116">
        <v>339</v>
      </c>
      <c r="C342" s="7">
        <f t="shared" si="10"/>
        <v>32</v>
      </c>
      <c r="D342" s="8" t="s">
        <v>41</v>
      </c>
      <c r="E342" s="7">
        <f>VLOOKUP(D342,'Win Methods'!$C$4:$F$379,4,FALSE)</f>
        <v>20</v>
      </c>
      <c r="F342" s="223" t="s">
        <v>152</v>
      </c>
      <c r="G342" s="7">
        <f>VLOOKUP(F342,'Win Methods'!$C$4:$F$379,4,FALSE)</f>
        <v>12</v>
      </c>
      <c r="H342" s="8"/>
      <c r="I342" s="7">
        <f>VLOOKUP(H342,'Win Methods'!$C$4:$F$379,4,FALSE)</f>
        <v>0</v>
      </c>
      <c r="J342" s="8"/>
      <c r="K342" s="7">
        <f>VLOOKUP(J342,'Win Methods'!$C$4:$F$379,4,FALSE)</f>
        <v>0</v>
      </c>
      <c r="L342" s="8"/>
      <c r="M342" s="7">
        <f>VLOOKUP(L342,'Win Methods'!$C$4:$F$379,4,FALSE)</f>
        <v>0</v>
      </c>
      <c r="N342" s="8"/>
      <c r="O342" s="7">
        <f>VLOOKUP(N342,'Win Methods'!$C$4:$F$379,4,FALSE)</f>
        <v>0</v>
      </c>
      <c r="P342" s="8"/>
      <c r="Q342" s="7">
        <f>VLOOKUP(P342,'Win Methods'!$C$4:$F$379,4,FALSE)</f>
        <v>0</v>
      </c>
      <c r="R342" s="8"/>
      <c r="S342" s="7">
        <f>VLOOKUP(R342,'Win Methods'!$C$4:$F$379,4,FALSE)</f>
        <v>0</v>
      </c>
      <c r="T342" s="8"/>
      <c r="U342" s="7">
        <f>VLOOKUP(T342,'Win Methods'!$C$4:$F$379,4,FALSE)</f>
        <v>0</v>
      </c>
      <c r="V342" s="8"/>
      <c r="W342" s="7">
        <f>VLOOKUP(V342,'Win Methods'!$C$4:$F$379,4,FALSE)</f>
        <v>0</v>
      </c>
      <c r="X342" s="117" t="str">
        <f t="shared" si="11"/>
        <v>main-27|bonusC-4||||||||</v>
      </c>
    </row>
    <row r="343" spans="2:24" ht="13.95" customHeight="1">
      <c r="B343" s="116">
        <v>340</v>
      </c>
      <c r="C343" s="7">
        <f t="shared" si="10"/>
        <v>22</v>
      </c>
      <c r="D343" s="8" t="s">
        <v>28</v>
      </c>
      <c r="E343" s="7">
        <f>VLOOKUP(D343,'Win Methods'!$C$4:$F$379,4,FALSE)</f>
        <v>10</v>
      </c>
      <c r="F343" s="223" t="s">
        <v>152</v>
      </c>
      <c r="G343" s="7">
        <f>VLOOKUP(F343,'Win Methods'!$C$4:$F$379,4,FALSE)</f>
        <v>12</v>
      </c>
      <c r="H343" s="8"/>
      <c r="I343" s="7">
        <f>VLOOKUP(H343,'Win Methods'!$C$4:$F$379,4,FALSE)</f>
        <v>0</v>
      </c>
      <c r="J343" s="8"/>
      <c r="K343" s="7">
        <f>VLOOKUP(J343,'Win Methods'!$C$4:$F$379,4,FALSE)</f>
        <v>0</v>
      </c>
      <c r="L343" s="8"/>
      <c r="M343" s="7">
        <f>VLOOKUP(L343,'Win Methods'!$C$4:$F$379,4,FALSE)</f>
        <v>0</v>
      </c>
      <c r="N343" s="8"/>
      <c r="O343" s="7">
        <f>VLOOKUP(N343,'Win Methods'!$C$4:$F$379,4,FALSE)</f>
        <v>0</v>
      </c>
      <c r="P343" s="8"/>
      <c r="Q343" s="7">
        <f>VLOOKUP(P343,'Win Methods'!$C$4:$F$379,4,FALSE)</f>
        <v>0</v>
      </c>
      <c r="R343" s="8"/>
      <c r="S343" s="7">
        <f>VLOOKUP(R343,'Win Methods'!$C$4:$F$379,4,FALSE)</f>
        <v>0</v>
      </c>
      <c r="T343" s="8"/>
      <c r="U343" s="7">
        <f>VLOOKUP(T343,'Win Methods'!$C$4:$F$379,4,FALSE)</f>
        <v>0</v>
      </c>
      <c r="V343" s="8"/>
      <c r="W343" s="7">
        <f>VLOOKUP(V343,'Win Methods'!$C$4:$F$379,4,FALSE)</f>
        <v>0</v>
      </c>
      <c r="X343" s="117" t="str">
        <f t="shared" si="11"/>
        <v>main-14|bonusC-4||||||||</v>
      </c>
    </row>
    <row r="344" spans="2:24" ht="13.95" customHeight="1">
      <c r="B344" s="116">
        <v>341</v>
      </c>
      <c r="C344" s="7">
        <f t="shared" si="10"/>
        <v>115</v>
      </c>
      <c r="D344" s="8" t="s">
        <v>42</v>
      </c>
      <c r="E344" s="7">
        <f>VLOOKUP(D344,'Win Methods'!$C$4:$F$379,4,FALSE)</f>
        <v>100</v>
      </c>
      <c r="F344" s="223" t="s">
        <v>153</v>
      </c>
      <c r="G344" s="7">
        <f>VLOOKUP(F344,'Win Methods'!$C$4:$F$379,4,FALSE)</f>
        <v>15</v>
      </c>
      <c r="H344" s="8"/>
      <c r="I344" s="7">
        <f>VLOOKUP(H344,'Win Methods'!$C$4:$F$379,4,FALSE)</f>
        <v>0</v>
      </c>
      <c r="J344" s="8"/>
      <c r="K344" s="7">
        <f>VLOOKUP(J344,'Win Methods'!$C$4:$F$379,4,FALSE)</f>
        <v>0</v>
      </c>
      <c r="L344" s="8"/>
      <c r="M344" s="7">
        <f>VLOOKUP(L344,'Win Methods'!$C$4:$F$379,4,FALSE)</f>
        <v>0</v>
      </c>
      <c r="N344" s="8"/>
      <c r="O344" s="7">
        <f>VLOOKUP(N344,'Win Methods'!$C$4:$F$379,4,FALSE)</f>
        <v>0</v>
      </c>
      <c r="P344" s="8"/>
      <c r="Q344" s="7">
        <f>VLOOKUP(P344,'Win Methods'!$C$4:$F$379,4,FALSE)</f>
        <v>0</v>
      </c>
      <c r="R344" s="8"/>
      <c r="S344" s="7">
        <f>VLOOKUP(R344,'Win Methods'!$C$4:$F$379,4,FALSE)</f>
        <v>0</v>
      </c>
      <c r="T344" s="8"/>
      <c r="U344" s="7">
        <f>VLOOKUP(T344,'Win Methods'!$C$4:$F$379,4,FALSE)</f>
        <v>0</v>
      </c>
      <c r="V344" s="8"/>
      <c r="W344" s="7">
        <f>VLOOKUP(V344,'Win Methods'!$C$4:$F$379,4,FALSE)</f>
        <v>0</v>
      </c>
      <c r="X344" s="117" t="str">
        <f t="shared" si="11"/>
        <v>main-28|bonusC-5||||||||</v>
      </c>
    </row>
    <row r="345" spans="2:24" ht="13.95" customHeight="1">
      <c r="B345" s="116">
        <v>342</v>
      </c>
      <c r="C345" s="7">
        <f t="shared" si="10"/>
        <v>25</v>
      </c>
      <c r="D345" s="8" t="s">
        <v>39</v>
      </c>
      <c r="E345" s="7">
        <f>VLOOKUP(D345,'Win Methods'!$C$4:$F$379,4,FALSE)</f>
        <v>5</v>
      </c>
      <c r="F345" s="223" t="s">
        <v>154</v>
      </c>
      <c r="G345" s="7">
        <f>VLOOKUP(F345,'Win Methods'!$C$4:$F$379,4,FALSE)</f>
        <v>20</v>
      </c>
      <c r="H345" s="8"/>
      <c r="I345" s="7">
        <f>VLOOKUP(H345,'Win Methods'!$C$4:$F$379,4,FALSE)</f>
        <v>0</v>
      </c>
      <c r="J345" s="8"/>
      <c r="K345" s="7">
        <f>VLOOKUP(J345,'Win Methods'!$C$4:$F$379,4,FALSE)</f>
        <v>0</v>
      </c>
      <c r="L345" s="8"/>
      <c r="M345" s="7">
        <f>VLOOKUP(L345,'Win Methods'!$C$4:$F$379,4,FALSE)</f>
        <v>0</v>
      </c>
      <c r="N345" s="8"/>
      <c r="O345" s="7">
        <f>VLOOKUP(N345,'Win Methods'!$C$4:$F$379,4,FALSE)</f>
        <v>0</v>
      </c>
      <c r="P345" s="8"/>
      <c r="Q345" s="7">
        <f>VLOOKUP(P345,'Win Methods'!$C$4:$F$379,4,FALSE)</f>
        <v>0</v>
      </c>
      <c r="R345" s="8"/>
      <c r="S345" s="7">
        <f>VLOOKUP(R345,'Win Methods'!$C$4:$F$379,4,FALSE)</f>
        <v>0</v>
      </c>
      <c r="T345" s="8"/>
      <c r="U345" s="7">
        <f>VLOOKUP(T345,'Win Methods'!$C$4:$F$379,4,FALSE)</f>
        <v>0</v>
      </c>
      <c r="V345" s="8"/>
      <c r="W345" s="7">
        <f>VLOOKUP(V345,'Win Methods'!$C$4:$F$379,4,FALSE)</f>
        <v>0</v>
      </c>
      <c r="X345" s="117" t="str">
        <f t="shared" si="11"/>
        <v>main-25|bonusC-6||||||||</v>
      </c>
    </row>
    <row r="346" spans="2:24" ht="13.95" customHeight="1">
      <c r="B346" s="116">
        <v>343</v>
      </c>
      <c r="C346" s="7">
        <f t="shared" si="10"/>
        <v>15</v>
      </c>
      <c r="D346" s="8" t="s">
        <v>27</v>
      </c>
      <c r="E346" s="7">
        <f>VLOOKUP(D346,'Win Methods'!$C$4:$F$379,4,FALSE)</f>
        <v>5</v>
      </c>
      <c r="F346" s="223" t="s">
        <v>151</v>
      </c>
      <c r="G346" s="7">
        <f>VLOOKUP(F346,'Win Methods'!$C$4:$F$379,4,FALSE)</f>
        <v>10</v>
      </c>
      <c r="H346" s="8"/>
      <c r="I346" s="7">
        <f>VLOOKUP(H346,'Win Methods'!$C$4:$F$379,4,FALSE)</f>
        <v>0</v>
      </c>
      <c r="J346" s="8"/>
      <c r="K346" s="7">
        <f>VLOOKUP(J346,'Win Methods'!$C$4:$F$379,4,FALSE)</f>
        <v>0</v>
      </c>
      <c r="L346" s="8"/>
      <c r="M346" s="7">
        <f>VLOOKUP(L346,'Win Methods'!$C$4:$F$379,4,FALSE)</f>
        <v>0</v>
      </c>
      <c r="N346" s="8"/>
      <c r="O346" s="7">
        <f>VLOOKUP(N346,'Win Methods'!$C$4:$F$379,4,FALSE)</f>
        <v>0</v>
      </c>
      <c r="P346" s="8"/>
      <c r="Q346" s="7">
        <f>VLOOKUP(P346,'Win Methods'!$C$4:$F$379,4,FALSE)</f>
        <v>0</v>
      </c>
      <c r="R346" s="8"/>
      <c r="S346" s="7">
        <f>VLOOKUP(R346,'Win Methods'!$C$4:$F$379,4,FALSE)</f>
        <v>0</v>
      </c>
      <c r="T346" s="8"/>
      <c r="U346" s="7">
        <f>VLOOKUP(T346,'Win Methods'!$C$4:$F$379,4,FALSE)</f>
        <v>0</v>
      </c>
      <c r="V346" s="8"/>
      <c r="W346" s="7">
        <f>VLOOKUP(V346,'Win Methods'!$C$4:$F$379,4,FALSE)</f>
        <v>0</v>
      </c>
      <c r="X346" s="117" t="str">
        <f t="shared" si="11"/>
        <v>main-13|bonusC-3||||||||</v>
      </c>
    </row>
    <row r="347" spans="2:24" ht="13.95" customHeight="1">
      <c r="B347" s="116">
        <v>344</v>
      </c>
      <c r="C347" s="7">
        <f t="shared" si="10"/>
        <v>18.100000000000001</v>
      </c>
      <c r="D347" s="8" t="s">
        <v>5</v>
      </c>
      <c r="E347" s="7">
        <f>VLOOKUP(D347,'Win Methods'!$C$4:$F$379,4,FALSE)</f>
        <v>0.1</v>
      </c>
      <c r="F347" s="197" t="s">
        <v>57</v>
      </c>
      <c r="G347" s="7">
        <f>VLOOKUP(F347,'Win Methods'!$C$4:$F$379,4,FALSE)</f>
        <v>3</v>
      </c>
      <c r="H347" s="223" t="s">
        <v>153</v>
      </c>
      <c r="I347" s="7">
        <f>VLOOKUP(H347,'Win Methods'!$C$4:$F$379,4,FALSE)</f>
        <v>15</v>
      </c>
      <c r="J347" s="8"/>
      <c r="K347" s="7">
        <f>VLOOKUP(J347,'Win Methods'!$C$4:$F$379,4,FALSE)</f>
        <v>0</v>
      </c>
      <c r="L347" s="8"/>
      <c r="M347" s="7">
        <f>VLOOKUP(L347,'Win Methods'!$C$4:$F$379,4,FALSE)</f>
        <v>0</v>
      </c>
      <c r="N347" s="8"/>
      <c r="O347" s="7">
        <f>VLOOKUP(N347,'Win Methods'!$C$4:$F$379,4,FALSE)</f>
        <v>0</v>
      </c>
      <c r="P347" s="8"/>
      <c r="Q347" s="7">
        <f>VLOOKUP(P347,'Win Methods'!$C$4:$F$379,4,FALSE)</f>
        <v>0</v>
      </c>
      <c r="R347" s="8"/>
      <c r="S347" s="7">
        <f>VLOOKUP(R347,'Win Methods'!$C$4:$F$379,4,FALSE)</f>
        <v>0</v>
      </c>
      <c r="T347" s="8"/>
      <c r="U347" s="7">
        <f>VLOOKUP(T347,'Win Methods'!$C$4:$F$379,4,FALSE)</f>
        <v>0</v>
      </c>
      <c r="V347" s="8"/>
      <c r="W347" s="7">
        <f>VLOOKUP(V347,'Win Methods'!$C$4:$F$379,4,FALSE)</f>
        <v>0</v>
      </c>
      <c r="X347" s="117" t="str">
        <f t="shared" si="11"/>
        <v>main-0|wild-12|bonusC-5|||||||</v>
      </c>
    </row>
    <row r="348" spans="2:24" ht="13.95" customHeight="1">
      <c r="B348" s="116">
        <v>345</v>
      </c>
      <c r="C348" s="7">
        <f t="shared" si="10"/>
        <v>27</v>
      </c>
      <c r="D348" s="8" t="s">
        <v>11</v>
      </c>
      <c r="E348" s="7">
        <f>VLOOKUP(D348,'Win Methods'!$C$4:$F$379,4,FALSE)</f>
        <v>2</v>
      </c>
      <c r="F348" s="197" t="s">
        <v>58</v>
      </c>
      <c r="G348" s="7">
        <f>VLOOKUP(F348,'Win Methods'!$C$4:$F$379,4,FALSE)</f>
        <v>5</v>
      </c>
      <c r="H348" s="223" t="s">
        <v>154</v>
      </c>
      <c r="I348" s="7">
        <f>VLOOKUP(H348,'Win Methods'!$C$4:$F$379,4,FALSE)</f>
        <v>20</v>
      </c>
      <c r="J348" s="8"/>
      <c r="K348" s="7">
        <f>VLOOKUP(J348,'Win Methods'!$C$4:$F$379,4,FALSE)</f>
        <v>0</v>
      </c>
      <c r="L348" s="8"/>
      <c r="M348" s="7">
        <f>VLOOKUP(L348,'Win Methods'!$C$4:$F$379,4,FALSE)</f>
        <v>0</v>
      </c>
      <c r="N348" s="8"/>
      <c r="O348" s="7">
        <f>VLOOKUP(N348,'Win Methods'!$C$4:$F$379,4,FALSE)</f>
        <v>0</v>
      </c>
      <c r="P348" s="8"/>
      <c r="Q348" s="7">
        <f>VLOOKUP(P348,'Win Methods'!$C$4:$F$379,4,FALSE)</f>
        <v>0</v>
      </c>
      <c r="R348" s="8"/>
      <c r="S348" s="7">
        <f>VLOOKUP(R348,'Win Methods'!$C$4:$F$379,4,FALSE)</f>
        <v>0</v>
      </c>
      <c r="T348" s="8"/>
      <c r="U348" s="7">
        <f>VLOOKUP(T348,'Win Methods'!$C$4:$F$379,4,FALSE)</f>
        <v>0</v>
      </c>
      <c r="V348" s="8"/>
      <c r="W348" s="7">
        <f>VLOOKUP(V348,'Win Methods'!$C$4:$F$379,4,FALSE)</f>
        <v>0</v>
      </c>
      <c r="X348" s="117" t="str">
        <f t="shared" si="11"/>
        <v>main-4|wild-13|bonusC-6|||||||</v>
      </c>
    </row>
    <row r="349" spans="2:24" ht="13.95" customHeight="1">
      <c r="B349" s="116">
        <v>346</v>
      </c>
      <c r="C349" s="7">
        <f t="shared" si="10"/>
        <v>23</v>
      </c>
      <c r="D349" s="8" t="s">
        <v>10</v>
      </c>
      <c r="E349" s="7">
        <f>VLOOKUP(D349,'Win Methods'!$C$4:$F$379,4,FALSE)</f>
        <v>1</v>
      </c>
      <c r="F349" s="8" t="s">
        <v>34</v>
      </c>
      <c r="G349" s="7">
        <f>VLOOKUP(F349,'Win Methods'!$C$4:$F$379,4,FALSE)</f>
        <v>10</v>
      </c>
      <c r="H349" s="223" t="s">
        <v>152</v>
      </c>
      <c r="I349" s="7">
        <f>VLOOKUP(H349,'Win Methods'!$C$4:$F$379,4,FALSE)</f>
        <v>12</v>
      </c>
      <c r="J349" s="8"/>
      <c r="K349" s="7">
        <f>VLOOKUP(J349,'Win Methods'!$C$4:$F$379,4,FALSE)</f>
        <v>0</v>
      </c>
      <c r="L349" s="8"/>
      <c r="M349" s="7">
        <f>VLOOKUP(L349,'Win Methods'!$C$4:$F$379,4,FALSE)</f>
        <v>0</v>
      </c>
      <c r="N349" s="8"/>
      <c r="O349" s="7">
        <f>VLOOKUP(N349,'Win Methods'!$C$4:$F$379,4,FALSE)</f>
        <v>0</v>
      </c>
      <c r="P349" s="8"/>
      <c r="Q349" s="7">
        <f>VLOOKUP(P349,'Win Methods'!$C$4:$F$379,4,FALSE)</f>
        <v>0</v>
      </c>
      <c r="R349" s="8"/>
      <c r="S349" s="7">
        <f>VLOOKUP(R349,'Win Methods'!$C$4:$F$379,4,FALSE)</f>
        <v>0</v>
      </c>
      <c r="T349" s="8"/>
      <c r="U349" s="7">
        <f>VLOOKUP(T349,'Win Methods'!$C$4:$F$379,4,FALSE)</f>
        <v>0</v>
      </c>
      <c r="V349" s="8"/>
      <c r="W349" s="7">
        <f>VLOOKUP(V349,'Win Methods'!$C$4:$F$379,4,FALSE)</f>
        <v>0</v>
      </c>
      <c r="X349" s="117" t="str">
        <f t="shared" si="11"/>
        <v>main-3|main-20|bonusC-4|||||||</v>
      </c>
    </row>
    <row r="350" spans="2:24" ht="13.95" customHeight="1">
      <c r="B350" s="116">
        <v>347</v>
      </c>
      <c r="C350" s="7">
        <f t="shared" si="10"/>
        <v>19</v>
      </c>
      <c r="D350" s="8" t="s">
        <v>11</v>
      </c>
      <c r="E350" s="7">
        <f>VLOOKUP(D350,'Win Methods'!$C$4:$F$379,4,FALSE)</f>
        <v>2</v>
      </c>
      <c r="F350" s="8" t="s">
        <v>12</v>
      </c>
      <c r="G350" s="7">
        <f>VLOOKUP(F350,'Win Methods'!$C$4:$F$379,4,FALSE)</f>
        <v>5</v>
      </c>
      <c r="H350" s="223" t="s">
        <v>152</v>
      </c>
      <c r="I350" s="7">
        <f>VLOOKUP(H350,'Win Methods'!$C$4:$F$379,4,FALSE)</f>
        <v>12</v>
      </c>
      <c r="J350" s="8"/>
      <c r="K350" s="7">
        <f>VLOOKUP(J350,'Win Methods'!$C$4:$F$379,4,FALSE)</f>
        <v>0</v>
      </c>
      <c r="L350" s="8"/>
      <c r="M350" s="7">
        <f>VLOOKUP(L350,'Win Methods'!$C$4:$F$379,4,FALSE)</f>
        <v>0</v>
      </c>
      <c r="N350" s="8"/>
      <c r="O350" s="7">
        <f>VLOOKUP(N350,'Win Methods'!$C$4:$F$379,4,FALSE)</f>
        <v>0</v>
      </c>
      <c r="P350" s="8"/>
      <c r="Q350" s="7">
        <f>VLOOKUP(P350,'Win Methods'!$C$4:$F$379,4,FALSE)</f>
        <v>0</v>
      </c>
      <c r="R350" s="8"/>
      <c r="S350" s="7">
        <f>VLOOKUP(R350,'Win Methods'!$C$4:$F$379,4,FALSE)</f>
        <v>0</v>
      </c>
      <c r="T350" s="8"/>
      <c r="U350" s="7">
        <f>VLOOKUP(T350,'Win Methods'!$C$4:$F$379,4,FALSE)</f>
        <v>0</v>
      </c>
      <c r="V350" s="8"/>
      <c r="W350" s="7">
        <f>VLOOKUP(V350,'Win Methods'!$C$4:$F$379,4,FALSE)</f>
        <v>0</v>
      </c>
      <c r="X350" s="117" t="str">
        <f t="shared" si="11"/>
        <v>main-4|main-5|bonusC-4|||||||</v>
      </c>
    </row>
    <row r="351" spans="2:24" ht="13.95" customHeight="1">
      <c r="B351" s="116">
        <v>348</v>
      </c>
      <c r="C351" s="7">
        <f t="shared" si="10"/>
        <v>57</v>
      </c>
      <c r="D351" s="8" t="s">
        <v>11</v>
      </c>
      <c r="E351" s="7">
        <f>VLOOKUP(D351,'Win Methods'!$C$4:$F$379,4,FALSE)</f>
        <v>2</v>
      </c>
      <c r="F351" s="197" t="s">
        <v>54</v>
      </c>
      <c r="G351" s="7">
        <f>VLOOKUP(F351,'Win Methods'!$C$4:$F$379,4,FALSE)</f>
        <v>40</v>
      </c>
      <c r="H351" s="223" t="s">
        <v>153</v>
      </c>
      <c r="I351" s="7">
        <f>VLOOKUP(H351,'Win Methods'!$C$4:$F$379,4,FALSE)</f>
        <v>15</v>
      </c>
      <c r="J351" s="8"/>
      <c r="K351" s="7">
        <f>VLOOKUP(J351,'Win Methods'!$C$4:$F$379,4,FALSE)</f>
        <v>0</v>
      </c>
      <c r="L351" s="8"/>
      <c r="M351" s="7">
        <f>VLOOKUP(L351,'Win Methods'!$C$4:$F$379,4,FALSE)</f>
        <v>0</v>
      </c>
      <c r="N351" s="8"/>
      <c r="O351" s="7">
        <f>VLOOKUP(N351,'Win Methods'!$C$4:$F$379,4,FALSE)</f>
        <v>0</v>
      </c>
      <c r="P351" s="8"/>
      <c r="Q351" s="7">
        <f>VLOOKUP(P351,'Win Methods'!$C$4:$F$379,4,FALSE)</f>
        <v>0</v>
      </c>
      <c r="R351" s="8"/>
      <c r="S351" s="7">
        <f>VLOOKUP(R351,'Win Methods'!$C$4:$F$379,4,FALSE)</f>
        <v>0</v>
      </c>
      <c r="T351" s="8"/>
      <c r="U351" s="7">
        <f>VLOOKUP(T351,'Win Methods'!$C$4:$F$379,4,FALSE)</f>
        <v>0</v>
      </c>
      <c r="V351" s="8"/>
      <c r="W351" s="7">
        <f>VLOOKUP(V351,'Win Methods'!$C$4:$F$379,4,FALSE)</f>
        <v>0</v>
      </c>
      <c r="X351" s="117" t="str">
        <f t="shared" si="11"/>
        <v>main-4|wild-9|bonusC-5|||||||</v>
      </c>
    </row>
    <row r="352" spans="2:24" ht="13.95" customHeight="1">
      <c r="B352" s="116">
        <v>349</v>
      </c>
      <c r="C352" s="7">
        <f t="shared" si="10"/>
        <v>25.5</v>
      </c>
      <c r="D352" s="8" t="s">
        <v>12</v>
      </c>
      <c r="E352" s="7">
        <f>VLOOKUP(D352,'Win Methods'!$C$4:$F$379,4,FALSE)</f>
        <v>5</v>
      </c>
      <c r="F352" s="197" t="s">
        <v>47</v>
      </c>
      <c r="G352" s="7">
        <f>VLOOKUP(F352,'Win Methods'!$C$4:$F$379,4,FALSE)</f>
        <v>0.5</v>
      </c>
      <c r="H352" s="223" t="s">
        <v>154</v>
      </c>
      <c r="I352" s="7">
        <f>VLOOKUP(H352,'Win Methods'!$C$4:$F$379,4,FALSE)</f>
        <v>20</v>
      </c>
      <c r="J352" s="8"/>
      <c r="K352" s="7">
        <f>VLOOKUP(J352,'Win Methods'!$C$4:$F$379,4,FALSE)</f>
        <v>0</v>
      </c>
      <c r="L352" s="8"/>
      <c r="M352" s="7">
        <f>VLOOKUP(L352,'Win Methods'!$C$4:$F$379,4,FALSE)</f>
        <v>0</v>
      </c>
      <c r="N352" s="8"/>
      <c r="O352" s="7">
        <f>VLOOKUP(N352,'Win Methods'!$C$4:$F$379,4,FALSE)</f>
        <v>0</v>
      </c>
      <c r="P352" s="8"/>
      <c r="Q352" s="7">
        <f>VLOOKUP(P352,'Win Methods'!$C$4:$F$379,4,FALSE)</f>
        <v>0</v>
      </c>
      <c r="R352" s="8"/>
      <c r="S352" s="7">
        <f>VLOOKUP(R352,'Win Methods'!$C$4:$F$379,4,FALSE)</f>
        <v>0</v>
      </c>
      <c r="T352" s="8"/>
      <c r="U352" s="7">
        <f>VLOOKUP(T352,'Win Methods'!$C$4:$F$379,4,FALSE)</f>
        <v>0</v>
      </c>
      <c r="V352" s="8"/>
      <c r="W352" s="7">
        <f>VLOOKUP(V352,'Win Methods'!$C$4:$F$379,4,FALSE)</f>
        <v>0</v>
      </c>
      <c r="X352" s="117" t="str">
        <f t="shared" si="11"/>
        <v>main-5|wild-2|bonusC-6|||||||</v>
      </c>
    </row>
    <row r="353" spans="2:24" ht="13.95" customHeight="1">
      <c r="B353" s="116">
        <v>350</v>
      </c>
      <c r="C353" s="7">
        <f t="shared" si="10"/>
        <v>14.1</v>
      </c>
      <c r="D353" s="8" t="s">
        <v>10</v>
      </c>
      <c r="E353" s="7">
        <f>VLOOKUP(D353,'Win Methods'!$C$4:$F$379,4,FALSE)</f>
        <v>1</v>
      </c>
      <c r="F353" s="8" t="s">
        <v>5</v>
      </c>
      <c r="G353" s="7">
        <f>VLOOKUP(F353,'Win Methods'!$C$4:$F$379,4,FALSE)</f>
        <v>0.1</v>
      </c>
      <c r="H353" s="197" t="s">
        <v>58</v>
      </c>
      <c r="I353" s="7">
        <f>VLOOKUP(H353,'Win Methods'!$C$4:$F$379,4,FALSE)</f>
        <v>5</v>
      </c>
      <c r="J353" s="223" t="s">
        <v>150</v>
      </c>
      <c r="K353" s="7">
        <f>VLOOKUP(J353,'Win Methods'!$C$4:$F$379,4,FALSE)</f>
        <v>8</v>
      </c>
      <c r="L353" s="8"/>
      <c r="M353" s="7">
        <f>VLOOKUP(L353,'Win Methods'!$C$4:$F$379,4,FALSE)</f>
        <v>0</v>
      </c>
      <c r="N353" s="8"/>
      <c r="O353" s="7">
        <f>VLOOKUP(N353,'Win Methods'!$C$4:$F$379,4,FALSE)</f>
        <v>0</v>
      </c>
      <c r="P353" s="8"/>
      <c r="Q353" s="7">
        <f>VLOOKUP(P353,'Win Methods'!$C$4:$F$379,4,FALSE)</f>
        <v>0</v>
      </c>
      <c r="R353" s="8"/>
      <c r="S353" s="7">
        <f>VLOOKUP(R353,'Win Methods'!$C$4:$F$379,4,FALSE)</f>
        <v>0</v>
      </c>
      <c r="T353" s="8"/>
      <c r="U353" s="7">
        <f>VLOOKUP(T353,'Win Methods'!$C$4:$F$379,4,FALSE)</f>
        <v>0</v>
      </c>
      <c r="V353" s="8"/>
      <c r="W353" s="7">
        <f>VLOOKUP(V353,'Win Methods'!$C$4:$F$379,4,FALSE)</f>
        <v>0</v>
      </c>
      <c r="X353" s="117" t="str">
        <f t="shared" si="11"/>
        <v>main-3|main-0|wild-13|bonusC-2||||||</v>
      </c>
    </row>
    <row r="354" spans="2:24" ht="13.95" customHeight="1">
      <c r="B354" s="116">
        <v>351</v>
      </c>
      <c r="C354" s="7">
        <f t="shared" si="10"/>
        <v>19.2</v>
      </c>
      <c r="D354" s="8" t="s">
        <v>10</v>
      </c>
      <c r="E354" s="7">
        <f>VLOOKUP(D354,'Win Methods'!$C$4:$F$379,4,FALSE)</f>
        <v>1</v>
      </c>
      <c r="F354" s="8" t="s">
        <v>8</v>
      </c>
      <c r="G354" s="7">
        <f>VLOOKUP(F354,'Win Methods'!$C$4:$F$379,4,FALSE)</f>
        <v>0.2</v>
      </c>
      <c r="H354" s="197" t="s">
        <v>60</v>
      </c>
      <c r="I354" s="7">
        <f>VLOOKUP(H354,'Win Methods'!$C$4:$F$379,4,FALSE)</f>
        <v>3</v>
      </c>
      <c r="J354" s="223" t="s">
        <v>153</v>
      </c>
      <c r="K354" s="7">
        <f>VLOOKUP(J354,'Win Methods'!$C$4:$F$379,4,FALSE)</f>
        <v>15</v>
      </c>
      <c r="L354" s="8"/>
      <c r="M354" s="7">
        <f>VLOOKUP(L354,'Win Methods'!$C$4:$F$379,4,FALSE)</f>
        <v>0</v>
      </c>
      <c r="N354" s="8"/>
      <c r="O354" s="7">
        <f>VLOOKUP(N354,'Win Methods'!$C$4:$F$379,4,FALSE)</f>
        <v>0</v>
      </c>
      <c r="P354" s="8"/>
      <c r="Q354" s="7">
        <f>VLOOKUP(P354,'Win Methods'!$C$4:$F$379,4,FALSE)</f>
        <v>0</v>
      </c>
      <c r="R354" s="8"/>
      <c r="S354" s="7">
        <f>VLOOKUP(R354,'Win Methods'!$C$4:$F$379,4,FALSE)</f>
        <v>0</v>
      </c>
      <c r="T354" s="8"/>
      <c r="U354" s="7">
        <f>VLOOKUP(T354,'Win Methods'!$C$4:$F$379,4,FALSE)</f>
        <v>0</v>
      </c>
      <c r="V354" s="8"/>
      <c r="W354" s="7">
        <f>VLOOKUP(V354,'Win Methods'!$C$4:$F$379,4,FALSE)</f>
        <v>0</v>
      </c>
      <c r="X354" s="117" t="str">
        <f t="shared" si="11"/>
        <v>main-3|main-1|wild-15|bonusC-5||||||</v>
      </c>
    </row>
    <row r="355" spans="2:24" ht="13.95" customHeight="1">
      <c r="B355" s="116">
        <v>352</v>
      </c>
      <c r="C355" s="7">
        <f t="shared" si="10"/>
        <v>30.2</v>
      </c>
      <c r="D355" s="8" t="s">
        <v>8</v>
      </c>
      <c r="E355" s="7">
        <f>VLOOKUP(D355,'Win Methods'!$C$4:$F$379,4,FALSE)</f>
        <v>0.2</v>
      </c>
      <c r="F355" s="8" t="s">
        <v>12</v>
      </c>
      <c r="G355" s="7">
        <f>VLOOKUP(F355,'Win Methods'!$C$4:$F$379,4,FALSE)</f>
        <v>5</v>
      </c>
      <c r="H355" s="197" t="s">
        <v>61</v>
      </c>
      <c r="I355" s="7">
        <f>VLOOKUP(H355,'Win Methods'!$C$4:$F$379,4,FALSE)</f>
        <v>5</v>
      </c>
      <c r="J355" s="223" t="s">
        <v>154</v>
      </c>
      <c r="K355" s="7">
        <f>VLOOKUP(J355,'Win Methods'!$C$4:$F$379,4,FALSE)</f>
        <v>20</v>
      </c>
      <c r="L355" s="8"/>
      <c r="M355" s="7">
        <f>VLOOKUP(L355,'Win Methods'!$C$4:$F$379,4,FALSE)</f>
        <v>0</v>
      </c>
      <c r="N355" s="8"/>
      <c r="O355" s="7">
        <f>VLOOKUP(N355,'Win Methods'!$C$4:$F$379,4,FALSE)</f>
        <v>0</v>
      </c>
      <c r="P355" s="8"/>
      <c r="Q355" s="7">
        <f>VLOOKUP(P355,'Win Methods'!$C$4:$F$379,4,FALSE)</f>
        <v>0</v>
      </c>
      <c r="R355" s="8"/>
      <c r="S355" s="7">
        <f>VLOOKUP(R355,'Win Methods'!$C$4:$F$379,4,FALSE)</f>
        <v>0</v>
      </c>
      <c r="T355" s="8"/>
      <c r="U355" s="7">
        <f>VLOOKUP(T355,'Win Methods'!$C$4:$F$379,4,FALSE)</f>
        <v>0</v>
      </c>
      <c r="V355" s="8"/>
      <c r="W355" s="7">
        <f>VLOOKUP(V355,'Win Methods'!$C$4:$F$379,4,FALSE)</f>
        <v>0</v>
      </c>
      <c r="X355" s="117" t="str">
        <f t="shared" si="11"/>
        <v>main-1|main-5|wild-16|bonusC-6||||||</v>
      </c>
    </row>
    <row r="356" spans="2:24" ht="13.95" customHeight="1">
      <c r="B356" s="116">
        <v>353</v>
      </c>
      <c r="C356" s="7">
        <f t="shared" si="10"/>
        <v>29</v>
      </c>
      <c r="D356" s="8" t="s">
        <v>11</v>
      </c>
      <c r="E356" s="7">
        <f>VLOOKUP(D356,'Win Methods'!$C$4:$F$379,4,FALSE)</f>
        <v>2</v>
      </c>
      <c r="F356" s="8" t="s">
        <v>33</v>
      </c>
      <c r="G356" s="7">
        <f>VLOOKUP(F356,'Win Methods'!$C$4:$F$379,4,FALSE)</f>
        <v>5</v>
      </c>
      <c r="H356" s="197" t="s">
        <v>62</v>
      </c>
      <c r="I356" s="7">
        <f>VLOOKUP(H356,'Win Methods'!$C$4:$F$379,4,FALSE)</f>
        <v>10</v>
      </c>
      <c r="J356" s="223" t="s">
        <v>152</v>
      </c>
      <c r="K356" s="7">
        <f>VLOOKUP(J356,'Win Methods'!$C$4:$F$379,4,FALSE)</f>
        <v>12</v>
      </c>
      <c r="L356" s="8"/>
      <c r="M356" s="7">
        <f>VLOOKUP(L356,'Win Methods'!$C$4:$F$379,4,FALSE)</f>
        <v>0</v>
      </c>
      <c r="N356" s="8"/>
      <c r="O356" s="7">
        <f>VLOOKUP(N356,'Win Methods'!$C$4:$F$379,4,FALSE)</f>
        <v>0</v>
      </c>
      <c r="P356" s="8"/>
      <c r="Q356" s="7">
        <f>VLOOKUP(P356,'Win Methods'!$C$4:$F$379,4,FALSE)</f>
        <v>0</v>
      </c>
      <c r="R356" s="8"/>
      <c r="S356" s="7">
        <f>VLOOKUP(R356,'Win Methods'!$C$4:$F$379,4,FALSE)</f>
        <v>0</v>
      </c>
      <c r="T356" s="8"/>
      <c r="U356" s="7">
        <f>VLOOKUP(T356,'Win Methods'!$C$4:$F$379,4,FALSE)</f>
        <v>0</v>
      </c>
      <c r="V356" s="8"/>
      <c r="W356" s="7">
        <f>VLOOKUP(V356,'Win Methods'!$C$4:$F$379,4,FALSE)</f>
        <v>0</v>
      </c>
      <c r="X356" s="117" t="str">
        <f t="shared" si="11"/>
        <v>main-4|main-19|wild-17|bonusC-4||||||</v>
      </c>
    </row>
    <row r="357" spans="2:24" ht="13.95" customHeight="1">
      <c r="B357" s="116">
        <v>354</v>
      </c>
      <c r="C357" s="7">
        <f t="shared" si="10"/>
        <v>25</v>
      </c>
      <c r="D357" s="8" t="s">
        <v>10</v>
      </c>
      <c r="E357" s="7">
        <f>VLOOKUP(D357,'Win Methods'!$C$4:$F$379,4,FALSE)</f>
        <v>1</v>
      </c>
      <c r="F357" s="8" t="s">
        <v>34</v>
      </c>
      <c r="G357" s="7">
        <f>VLOOKUP(F357,'Win Methods'!$C$4:$F$379,4,FALSE)</f>
        <v>10</v>
      </c>
      <c r="H357" s="8" t="s">
        <v>11</v>
      </c>
      <c r="I357" s="7">
        <f>VLOOKUP(H357,'Win Methods'!$C$4:$F$379,4,FALSE)</f>
        <v>2</v>
      </c>
      <c r="J357" s="223" t="s">
        <v>152</v>
      </c>
      <c r="K357" s="7">
        <f>VLOOKUP(J357,'Win Methods'!$C$4:$F$379,4,FALSE)</f>
        <v>12</v>
      </c>
      <c r="L357" s="8"/>
      <c r="M357" s="7">
        <f>VLOOKUP(L357,'Win Methods'!$C$4:$F$379,4,FALSE)</f>
        <v>0</v>
      </c>
      <c r="N357" s="8"/>
      <c r="O357" s="7">
        <f>VLOOKUP(N357,'Win Methods'!$C$4:$F$379,4,FALSE)</f>
        <v>0</v>
      </c>
      <c r="P357" s="8"/>
      <c r="Q357" s="7">
        <f>VLOOKUP(P357,'Win Methods'!$C$4:$F$379,4,FALSE)</f>
        <v>0</v>
      </c>
      <c r="R357" s="8"/>
      <c r="S357" s="7">
        <f>VLOOKUP(R357,'Win Methods'!$C$4:$F$379,4,FALSE)</f>
        <v>0</v>
      </c>
      <c r="T357" s="8"/>
      <c r="U357" s="7">
        <f>VLOOKUP(T357,'Win Methods'!$C$4:$F$379,4,FALSE)</f>
        <v>0</v>
      </c>
      <c r="V357" s="8"/>
      <c r="W357" s="7">
        <f>VLOOKUP(V357,'Win Methods'!$C$4:$F$379,4,FALSE)</f>
        <v>0</v>
      </c>
      <c r="X357" s="117" t="str">
        <f t="shared" si="11"/>
        <v>main-3|main-20|main-4|bonusC-4||||||</v>
      </c>
    </row>
    <row r="358" spans="2:24" ht="13.95" customHeight="1">
      <c r="B358" s="116">
        <v>355</v>
      </c>
      <c r="C358" s="7">
        <f t="shared" si="10"/>
        <v>28</v>
      </c>
      <c r="D358" s="8" t="s">
        <v>10</v>
      </c>
      <c r="E358" s="7">
        <f>VLOOKUP(D358,'Win Methods'!$C$4:$F$379,4,FALSE)</f>
        <v>1</v>
      </c>
      <c r="F358" s="8" t="s">
        <v>34</v>
      </c>
      <c r="G358" s="7">
        <f>VLOOKUP(F358,'Win Methods'!$C$4:$F$379,4,FALSE)</f>
        <v>10</v>
      </c>
      <c r="H358" s="197" t="s">
        <v>56</v>
      </c>
      <c r="I358" s="7">
        <f>VLOOKUP(H358,'Win Methods'!$C$4:$F$379,4,FALSE)</f>
        <v>2</v>
      </c>
      <c r="J358" s="223" t="s">
        <v>153</v>
      </c>
      <c r="K358" s="7">
        <f>VLOOKUP(J358,'Win Methods'!$C$4:$F$379,4,FALSE)</f>
        <v>15</v>
      </c>
      <c r="L358" s="8"/>
      <c r="M358" s="7">
        <f>VLOOKUP(L358,'Win Methods'!$C$4:$F$379,4,FALSE)</f>
        <v>0</v>
      </c>
      <c r="N358" s="8"/>
      <c r="O358" s="7">
        <f>VLOOKUP(N358,'Win Methods'!$C$4:$F$379,4,FALSE)</f>
        <v>0</v>
      </c>
      <c r="P358" s="8"/>
      <c r="Q358" s="7">
        <f>VLOOKUP(P358,'Win Methods'!$C$4:$F$379,4,FALSE)</f>
        <v>0</v>
      </c>
      <c r="R358" s="8"/>
      <c r="S358" s="7">
        <f>VLOOKUP(R358,'Win Methods'!$C$4:$F$379,4,FALSE)</f>
        <v>0</v>
      </c>
      <c r="T358" s="8"/>
      <c r="U358" s="7">
        <f>VLOOKUP(T358,'Win Methods'!$C$4:$F$379,4,FALSE)</f>
        <v>0</v>
      </c>
      <c r="V358" s="8"/>
      <c r="W358" s="7">
        <f>VLOOKUP(V358,'Win Methods'!$C$4:$F$379,4,FALSE)</f>
        <v>0</v>
      </c>
      <c r="X358" s="117" t="str">
        <f t="shared" si="11"/>
        <v>main-3|main-20|wild-11|bonusC-5||||||</v>
      </c>
    </row>
    <row r="359" spans="2:24" ht="13.95" customHeight="1">
      <c r="B359" s="116">
        <v>356</v>
      </c>
      <c r="C359" s="7">
        <f t="shared" si="10"/>
        <v>25</v>
      </c>
      <c r="D359" s="8" t="s">
        <v>11</v>
      </c>
      <c r="E359" s="7">
        <f>VLOOKUP(D359,'Win Methods'!$C$4:$F$379,4,FALSE)</f>
        <v>2</v>
      </c>
      <c r="F359" s="8" t="s">
        <v>12</v>
      </c>
      <c r="G359" s="7">
        <f>VLOOKUP(F359,'Win Methods'!$C$4:$F$379,4,FALSE)</f>
        <v>5</v>
      </c>
      <c r="H359" s="197" t="s">
        <v>57</v>
      </c>
      <c r="I359" s="7">
        <f>VLOOKUP(H359,'Win Methods'!$C$4:$F$379,4,FALSE)</f>
        <v>3</v>
      </c>
      <c r="J359" s="223" t="s">
        <v>153</v>
      </c>
      <c r="K359" s="7">
        <f>VLOOKUP(J359,'Win Methods'!$C$4:$F$379,4,FALSE)</f>
        <v>15</v>
      </c>
      <c r="L359" s="8"/>
      <c r="M359" s="7">
        <f>VLOOKUP(L359,'Win Methods'!$C$4:$F$379,4,FALSE)</f>
        <v>0</v>
      </c>
      <c r="N359" s="8"/>
      <c r="O359" s="7">
        <f>VLOOKUP(N359,'Win Methods'!$C$4:$F$379,4,FALSE)</f>
        <v>0</v>
      </c>
      <c r="P359" s="8"/>
      <c r="Q359" s="7">
        <f>VLOOKUP(P359,'Win Methods'!$C$4:$F$379,4,FALSE)</f>
        <v>0</v>
      </c>
      <c r="R359" s="8"/>
      <c r="S359" s="7">
        <f>VLOOKUP(R359,'Win Methods'!$C$4:$F$379,4,FALSE)</f>
        <v>0</v>
      </c>
      <c r="T359" s="8"/>
      <c r="U359" s="7">
        <f>VLOOKUP(T359,'Win Methods'!$C$4:$F$379,4,FALSE)</f>
        <v>0</v>
      </c>
      <c r="V359" s="8"/>
      <c r="W359" s="7">
        <f>VLOOKUP(V359,'Win Methods'!$C$4:$F$379,4,FALSE)</f>
        <v>0</v>
      </c>
      <c r="X359" s="117" t="str">
        <f t="shared" si="11"/>
        <v>main-4|main-5|wild-12|bonusC-5||||||</v>
      </c>
    </row>
    <row r="360" spans="2:24" ht="13.95" customHeight="1">
      <c r="B360" s="116">
        <v>357</v>
      </c>
      <c r="C360" s="7">
        <f t="shared" si="10"/>
        <v>25</v>
      </c>
      <c r="D360" s="8" t="s">
        <v>12</v>
      </c>
      <c r="E360" s="7">
        <f>VLOOKUP(D360,'Win Methods'!$C$4:$F$379,4,FALSE)</f>
        <v>5</v>
      </c>
      <c r="F360" s="8" t="s">
        <v>39</v>
      </c>
      <c r="G360" s="7">
        <f>VLOOKUP(F360,'Win Methods'!$C$4:$F$379,4,FALSE)</f>
        <v>5</v>
      </c>
      <c r="H360" s="197" t="s">
        <v>58</v>
      </c>
      <c r="I360" s="7">
        <f>VLOOKUP(H360,'Win Methods'!$C$4:$F$379,4,FALSE)</f>
        <v>5</v>
      </c>
      <c r="J360" s="223" t="s">
        <v>151</v>
      </c>
      <c r="K360" s="7">
        <f>VLOOKUP(J360,'Win Methods'!$C$4:$F$379,4,FALSE)</f>
        <v>10</v>
      </c>
      <c r="L360" s="8"/>
      <c r="M360" s="7">
        <f>VLOOKUP(L360,'Win Methods'!$C$4:$F$379,4,FALSE)</f>
        <v>0</v>
      </c>
      <c r="N360" s="8"/>
      <c r="O360" s="7">
        <f>VLOOKUP(N360,'Win Methods'!$C$4:$F$379,4,FALSE)</f>
        <v>0</v>
      </c>
      <c r="P360" s="8"/>
      <c r="Q360" s="7">
        <f>VLOOKUP(P360,'Win Methods'!$C$4:$F$379,4,FALSE)</f>
        <v>0</v>
      </c>
      <c r="R360" s="8"/>
      <c r="S360" s="7">
        <f>VLOOKUP(R360,'Win Methods'!$C$4:$F$379,4,FALSE)</f>
        <v>0</v>
      </c>
      <c r="T360" s="8"/>
      <c r="U360" s="7">
        <f>VLOOKUP(T360,'Win Methods'!$C$4:$F$379,4,FALSE)</f>
        <v>0</v>
      </c>
      <c r="V360" s="8"/>
      <c r="W360" s="7">
        <f>VLOOKUP(V360,'Win Methods'!$C$4:$F$379,4,FALSE)</f>
        <v>0</v>
      </c>
      <c r="X360" s="117" t="str">
        <f t="shared" si="11"/>
        <v>main-5|main-25|wild-13|bonusC-3||||||</v>
      </c>
    </row>
    <row r="361" spans="2:24" ht="13.95" customHeight="1">
      <c r="B361" s="116">
        <v>358</v>
      </c>
      <c r="C361" s="7">
        <f t="shared" si="10"/>
        <v>29</v>
      </c>
      <c r="D361" s="8" t="s">
        <v>12</v>
      </c>
      <c r="E361" s="7">
        <f>VLOOKUP(D361,'Win Methods'!$C$4:$F$379,4,FALSE)</f>
        <v>5</v>
      </c>
      <c r="F361" s="8" t="s">
        <v>40</v>
      </c>
      <c r="G361" s="7">
        <f>VLOOKUP(F361,'Win Methods'!$C$4:$F$379,4,FALSE)</f>
        <v>10</v>
      </c>
      <c r="H361" s="197" t="s">
        <v>59</v>
      </c>
      <c r="I361" s="7">
        <f>VLOOKUP(H361,'Win Methods'!$C$4:$F$379,4,FALSE)</f>
        <v>2</v>
      </c>
      <c r="J361" s="223" t="s">
        <v>152</v>
      </c>
      <c r="K361" s="7">
        <f>VLOOKUP(J361,'Win Methods'!$C$4:$F$379,4,FALSE)</f>
        <v>12</v>
      </c>
      <c r="L361" s="8"/>
      <c r="M361" s="7">
        <f>VLOOKUP(L361,'Win Methods'!$C$4:$F$379,4,FALSE)</f>
        <v>0</v>
      </c>
      <c r="N361" s="8"/>
      <c r="O361" s="7">
        <f>VLOOKUP(N361,'Win Methods'!$C$4:$F$379,4,FALSE)</f>
        <v>0</v>
      </c>
      <c r="P361" s="8"/>
      <c r="Q361" s="7">
        <f>VLOOKUP(P361,'Win Methods'!$C$4:$F$379,4,FALSE)</f>
        <v>0</v>
      </c>
      <c r="R361" s="8"/>
      <c r="S361" s="7">
        <f>VLOOKUP(R361,'Win Methods'!$C$4:$F$379,4,FALSE)</f>
        <v>0</v>
      </c>
      <c r="T361" s="8"/>
      <c r="U361" s="7">
        <f>VLOOKUP(T361,'Win Methods'!$C$4:$F$379,4,FALSE)</f>
        <v>0</v>
      </c>
      <c r="V361" s="8"/>
      <c r="W361" s="7">
        <f>VLOOKUP(V361,'Win Methods'!$C$4:$F$379,4,FALSE)</f>
        <v>0</v>
      </c>
      <c r="X361" s="117" t="str">
        <f t="shared" si="11"/>
        <v>main-5|main-26|wild-14|bonusC-4||||||</v>
      </c>
    </row>
    <row r="362" spans="2:24" ht="13.95" customHeight="1">
      <c r="B362" s="116">
        <v>359</v>
      </c>
      <c r="C362" s="7">
        <f t="shared" si="10"/>
        <v>27.1</v>
      </c>
      <c r="D362" s="8" t="s">
        <v>11</v>
      </c>
      <c r="E362" s="7">
        <f>VLOOKUP(D362,'Win Methods'!$C$4:$F$379,4,FALSE)</f>
        <v>2</v>
      </c>
      <c r="F362" s="8" t="s">
        <v>5</v>
      </c>
      <c r="G362" s="7">
        <f>VLOOKUP(F362,'Win Methods'!$C$4:$F$379,4,FALSE)</f>
        <v>0.1</v>
      </c>
      <c r="H362" s="8" t="s">
        <v>34</v>
      </c>
      <c r="I362" s="7">
        <f>VLOOKUP(H362,'Win Methods'!$C$4:$F$379,4,FALSE)</f>
        <v>10</v>
      </c>
      <c r="J362" s="223" t="s">
        <v>153</v>
      </c>
      <c r="K362" s="7">
        <f>VLOOKUP(J362,'Win Methods'!$C$4:$F$379,4,FALSE)</f>
        <v>15</v>
      </c>
      <c r="L362" s="8"/>
      <c r="M362" s="7">
        <f>VLOOKUP(L362,'Win Methods'!$C$4:$F$379,4,FALSE)</f>
        <v>0</v>
      </c>
      <c r="N362" s="8"/>
      <c r="O362" s="7">
        <f>VLOOKUP(N362,'Win Methods'!$C$4:$F$379,4,FALSE)</f>
        <v>0</v>
      </c>
      <c r="P362" s="8"/>
      <c r="Q362" s="7">
        <f>VLOOKUP(P362,'Win Methods'!$C$4:$F$379,4,FALSE)</f>
        <v>0</v>
      </c>
      <c r="R362" s="8"/>
      <c r="S362" s="7">
        <f>VLOOKUP(R362,'Win Methods'!$C$4:$F$379,4,FALSE)</f>
        <v>0</v>
      </c>
      <c r="T362" s="8"/>
      <c r="U362" s="7">
        <f>VLOOKUP(T362,'Win Methods'!$C$4:$F$379,4,FALSE)</f>
        <v>0</v>
      </c>
      <c r="V362" s="8"/>
      <c r="W362" s="7">
        <f>VLOOKUP(V362,'Win Methods'!$C$4:$F$379,4,FALSE)</f>
        <v>0</v>
      </c>
      <c r="X362" s="117" t="str">
        <f t="shared" si="11"/>
        <v>main-4|main-0|main-20|bonusC-5||||||</v>
      </c>
    </row>
    <row r="363" spans="2:24" ht="13.95" customHeight="1">
      <c r="B363" s="116">
        <v>360</v>
      </c>
      <c r="C363" s="7">
        <f t="shared" si="10"/>
        <v>24</v>
      </c>
      <c r="D363" s="8" t="s">
        <v>25</v>
      </c>
      <c r="E363" s="7">
        <f>VLOOKUP(D363,'Win Methods'!$C$4:$F$379,4,FALSE)</f>
        <v>2</v>
      </c>
      <c r="F363" s="8" t="s">
        <v>39</v>
      </c>
      <c r="G363" s="7">
        <f>VLOOKUP(F363,'Win Methods'!$C$4:$F$379,4,FALSE)</f>
        <v>5</v>
      </c>
      <c r="H363" s="8" t="s">
        <v>12</v>
      </c>
      <c r="I363" s="7">
        <f>VLOOKUP(H363,'Win Methods'!$C$4:$F$379,4,FALSE)</f>
        <v>5</v>
      </c>
      <c r="J363" s="223" t="s">
        <v>152</v>
      </c>
      <c r="K363" s="7">
        <f>VLOOKUP(J363,'Win Methods'!$C$4:$F$379,4,FALSE)</f>
        <v>12</v>
      </c>
      <c r="L363" s="8"/>
      <c r="M363" s="7">
        <f>VLOOKUP(L363,'Win Methods'!$C$4:$F$379,4,FALSE)</f>
        <v>0</v>
      </c>
      <c r="N363" s="8"/>
      <c r="O363" s="7">
        <f>VLOOKUP(N363,'Win Methods'!$C$4:$F$379,4,FALSE)</f>
        <v>0</v>
      </c>
      <c r="P363" s="8"/>
      <c r="Q363" s="7">
        <f>VLOOKUP(P363,'Win Methods'!$C$4:$F$379,4,FALSE)</f>
        <v>0</v>
      </c>
      <c r="R363" s="8"/>
      <c r="S363" s="7">
        <f>VLOOKUP(R363,'Win Methods'!$C$4:$F$379,4,FALSE)</f>
        <v>0</v>
      </c>
      <c r="T363" s="8"/>
      <c r="U363" s="7">
        <f>VLOOKUP(T363,'Win Methods'!$C$4:$F$379,4,FALSE)</f>
        <v>0</v>
      </c>
      <c r="V363" s="8"/>
      <c r="W363" s="7">
        <f>VLOOKUP(V363,'Win Methods'!$C$4:$F$379,4,FALSE)</f>
        <v>0</v>
      </c>
      <c r="X363" s="117" t="str">
        <f t="shared" si="11"/>
        <v>main-11|main-25|main-5|bonusC-4||||||</v>
      </c>
    </row>
    <row r="364" spans="2:24" ht="13.95" customHeight="1">
      <c r="B364" s="116">
        <v>361</v>
      </c>
      <c r="C364" s="7">
        <f t="shared" si="10"/>
        <v>23</v>
      </c>
      <c r="D364" s="8" t="s">
        <v>32</v>
      </c>
      <c r="E364" s="7">
        <f>VLOOKUP(D364,'Win Methods'!$C$4:$F$379,4,FALSE)</f>
        <v>3</v>
      </c>
      <c r="F364" s="8" t="s">
        <v>33</v>
      </c>
      <c r="G364" s="7">
        <f>VLOOKUP(F364,'Win Methods'!$C$4:$F$379,4,FALSE)</f>
        <v>5</v>
      </c>
      <c r="H364" s="8" t="s">
        <v>12</v>
      </c>
      <c r="I364" s="7">
        <f>VLOOKUP(H364,'Win Methods'!$C$4:$F$379,4,FALSE)</f>
        <v>5</v>
      </c>
      <c r="J364" s="223" t="s">
        <v>151</v>
      </c>
      <c r="K364" s="7">
        <f>VLOOKUP(J364,'Win Methods'!$C$4:$F$379,4,FALSE)</f>
        <v>10</v>
      </c>
      <c r="L364" s="8"/>
      <c r="M364" s="7">
        <f>VLOOKUP(L364,'Win Methods'!$C$4:$F$379,4,FALSE)</f>
        <v>0</v>
      </c>
      <c r="N364" s="8"/>
      <c r="O364" s="7">
        <f>VLOOKUP(N364,'Win Methods'!$C$4:$F$379,4,FALSE)</f>
        <v>0</v>
      </c>
      <c r="P364" s="8"/>
      <c r="Q364" s="7">
        <f>VLOOKUP(P364,'Win Methods'!$C$4:$F$379,4,FALSE)</f>
        <v>0</v>
      </c>
      <c r="R364" s="8"/>
      <c r="S364" s="7">
        <f>VLOOKUP(R364,'Win Methods'!$C$4:$F$379,4,FALSE)</f>
        <v>0</v>
      </c>
      <c r="T364" s="8"/>
      <c r="U364" s="7">
        <f>VLOOKUP(T364,'Win Methods'!$C$4:$F$379,4,FALSE)</f>
        <v>0</v>
      </c>
      <c r="V364" s="8"/>
      <c r="W364" s="7">
        <f>VLOOKUP(V364,'Win Methods'!$C$4:$F$379,4,FALSE)</f>
        <v>0</v>
      </c>
      <c r="X364" s="117" t="str">
        <f t="shared" si="11"/>
        <v>main-18|main-19|main-5|bonusC-3||||||</v>
      </c>
    </row>
    <row r="365" spans="2:24" ht="13.95" customHeight="1">
      <c r="B365" s="116">
        <v>362</v>
      </c>
      <c r="C365" s="7">
        <f t="shared" si="10"/>
        <v>18.5</v>
      </c>
      <c r="D365" s="8" t="s">
        <v>9</v>
      </c>
      <c r="E365" s="7">
        <f>VLOOKUP(D365,'Win Methods'!$C$4:$F$379,4,FALSE)</f>
        <v>0.5</v>
      </c>
      <c r="F365" s="8" t="s">
        <v>33</v>
      </c>
      <c r="G365" s="7">
        <f>VLOOKUP(F365,'Win Methods'!$C$4:$F$379,4,FALSE)</f>
        <v>5</v>
      </c>
      <c r="H365" s="8" t="s">
        <v>10</v>
      </c>
      <c r="I365" s="7">
        <f>VLOOKUP(H365,'Win Methods'!$C$4:$F$379,4,FALSE)</f>
        <v>1</v>
      </c>
      <c r="J365" s="223" t="s">
        <v>152</v>
      </c>
      <c r="K365" s="7">
        <f>VLOOKUP(J365,'Win Methods'!$C$4:$F$379,4,FALSE)</f>
        <v>12</v>
      </c>
      <c r="L365" s="8"/>
      <c r="M365" s="7">
        <f>VLOOKUP(L365,'Win Methods'!$C$4:$F$379,4,FALSE)</f>
        <v>0</v>
      </c>
      <c r="N365" s="8"/>
      <c r="O365" s="7">
        <f>VLOOKUP(N365,'Win Methods'!$C$4:$F$379,4,FALSE)</f>
        <v>0</v>
      </c>
      <c r="P365" s="8"/>
      <c r="Q365" s="7">
        <f>VLOOKUP(P365,'Win Methods'!$C$4:$F$379,4,FALSE)</f>
        <v>0</v>
      </c>
      <c r="R365" s="8"/>
      <c r="S365" s="7">
        <f>VLOOKUP(R365,'Win Methods'!$C$4:$F$379,4,FALSE)</f>
        <v>0</v>
      </c>
      <c r="T365" s="8"/>
      <c r="U365" s="7">
        <f>VLOOKUP(T365,'Win Methods'!$C$4:$F$379,4,FALSE)</f>
        <v>0</v>
      </c>
      <c r="V365" s="8"/>
      <c r="W365" s="7">
        <f>VLOOKUP(V365,'Win Methods'!$C$4:$F$379,4,FALSE)</f>
        <v>0</v>
      </c>
      <c r="X365" s="117" t="str">
        <f t="shared" si="11"/>
        <v>main-2|main-19|main-3|bonusC-4||||||</v>
      </c>
    </row>
    <row r="366" spans="2:24" ht="13.95" customHeight="1">
      <c r="B366" s="116">
        <v>363</v>
      </c>
      <c r="C366" s="7">
        <f t="shared" si="10"/>
        <v>28</v>
      </c>
      <c r="D366" s="8" t="s">
        <v>32</v>
      </c>
      <c r="E366" s="7">
        <f>VLOOKUP(D366,'Win Methods'!$C$4:$F$379,4,FALSE)</f>
        <v>3</v>
      </c>
      <c r="F366" s="8" t="s">
        <v>33</v>
      </c>
      <c r="G366" s="7">
        <f>VLOOKUP(F366,'Win Methods'!$C$4:$F$379,4,FALSE)</f>
        <v>5</v>
      </c>
      <c r="H366" s="8" t="s">
        <v>12</v>
      </c>
      <c r="I366" s="7">
        <f>VLOOKUP(H366,'Win Methods'!$C$4:$F$379,4,FALSE)</f>
        <v>5</v>
      </c>
      <c r="J366" s="197" t="s">
        <v>58</v>
      </c>
      <c r="K366" s="7">
        <f>VLOOKUP(J366,'Win Methods'!$C$4:$F$379,4,FALSE)</f>
        <v>5</v>
      </c>
      <c r="L366" s="223" t="s">
        <v>151</v>
      </c>
      <c r="M366" s="7">
        <f>VLOOKUP(L366,'Win Methods'!$C$4:$F$379,4,FALSE)</f>
        <v>10</v>
      </c>
      <c r="N366" s="8"/>
      <c r="O366" s="7">
        <f>VLOOKUP(N366,'Win Methods'!$C$4:$F$379,4,FALSE)</f>
        <v>0</v>
      </c>
      <c r="P366" s="8"/>
      <c r="Q366" s="7">
        <f>VLOOKUP(P366,'Win Methods'!$C$4:$F$379,4,FALSE)</f>
        <v>0</v>
      </c>
      <c r="R366" s="8"/>
      <c r="S366" s="7">
        <f>VLOOKUP(R366,'Win Methods'!$C$4:$F$379,4,FALSE)</f>
        <v>0</v>
      </c>
      <c r="T366" s="8"/>
      <c r="U366" s="7">
        <f>VLOOKUP(T366,'Win Methods'!$C$4:$F$379,4,FALSE)</f>
        <v>0</v>
      </c>
      <c r="V366" s="8"/>
      <c r="W366" s="7">
        <f>VLOOKUP(V366,'Win Methods'!$C$4:$F$379,4,FALSE)</f>
        <v>0</v>
      </c>
      <c r="X366" s="117" t="str">
        <f t="shared" si="11"/>
        <v>main-18|main-19|main-5|wild-13|bonusC-3|||||</v>
      </c>
    </row>
    <row r="367" spans="2:24" ht="13.95" customHeight="1">
      <c r="B367" s="116">
        <v>364</v>
      </c>
      <c r="C367" s="7">
        <f t="shared" si="10"/>
        <v>28</v>
      </c>
      <c r="D367" s="8" t="s">
        <v>10</v>
      </c>
      <c r="E367" s="7">
        <f>VLOOKUP(D367,'Win Methods'!$C$4:$F$379,4,FALSE)</f>
        <v>1</v>
      </c>
      <c r="F367" s="8" t="s">
        <v>34</v>
      </c>
      <c r="G367" s="7">
        <f>VLOOKUP(F367,'Win Methods'!$C$4:$F$379,4,FALSE)</f>
        <v>10</v>
      </c>
      <c r="H367" s="8" t="s">
        <v>11</v>
      </c>
      <c r="I367" s="7">
        <f>VLOOKUP(H367,'Win Methods'!$C$4:$F$379,4,FALSE)</f>
        <v>2</v>
      </c>
      <c r="J367" s="197" t="s">
        <v>60</v>
      </c>
      <c r="K367" s="7">
        <f>VLOOKUP(J367,'Win Methods'!$C$4:$F$379,4,FALSE)</f>
        <v>3</v>
      </c>
      <c r="L367" s="223" t="s">
        <v>152</v>
      </c>
      <c r="M367" s="7">
        <f>VLOOKUP(L367,'Win Methods'!$C$4:$F$379,4,FALSE)</f>
        <v>12</v>
      </c>
      <c r="N367" s="8"/>
      <c r="O367" s="7">
        <f>VLOOKUP(N367,'Win Methods'!$C$4:$F$379,4,FALSE)</f>
        <v>0</v>
      </c>
      <c r="P367" s="8"/>
      <c r="Q367" s="7">
        <f>VLOOKUP(P367,'Win Methods'!$C$4:$F$379,4,FALSE)</f>
        <v>0</v>
      </c>
      <c r="R367" s="8"/>
      <c r="S367" s="7">
        <f>VLOOKUP(R367,'Win Methods'!$C$4:$F$379,4,FALSE)</f>
        <v>0</v>
      </c>
      <c r="T367" s="8"/>
      <c r="U367" s="7">
        <f>VLOOKUP(T367,'Win Methods'!$C$4:$F$379,4,FALSE)</f>
        <v>0</v>
      </c>
      <c r="V367" s="8"/>
      <c r="W367" s="7">
        <f>VLOOKUP(V367,'Win Methods'!$C$4:$F$379,4,FALSE)</f>
        <v>0</v>
      </c>
      <c r="X367" s="117" t="str">
        <f t="shared" si="11"/>
        <v>main-3|main-20|main-4|wild-15|bonusC-4|||||</v>
      </c>
    </row>
    <row r="368" spans="2:24" ht="13.95" customHeight="1">
      <c r="B368" s="116">
        <v>365</v>
      </c>
      <c r="C368" s="7">
        <f t="shared" si="10"/>
        <v>20.3</v>
      </c>
      <c r="D368" s="8" t="s">
        <v>11</v>
      </c>
      <c r="E368" s="7">
        <f>VLOOKUP(D368,'Win Methods'!$C$4:$F$379,4,FALSE)</f>
        <v>2</v>
      </c>
      <c r="F368" s="8" t="s">
        <v>5</v>
      </c>
      <c r="G368" s="7">
        <f>VLOOKUP(F368,'Win Methods'!$C$4:$F$379,4,FALSE)</f>
        <v>0.1</v>
      </c>
      <c r="H368" s="8" t="s">
        <v>8</v>
      </c>
      <c r="I368" s="7">
        <f>VLOOKUP(H368,'Win Methods'!$C$4:$F$379,4,FALSE)</f>
        <v>0.2</v>
      </c>
      <c r="J368" s="8" t="s">
        <v>32</v>
      </c>
      <c r="K368" s="7">
        <f>VLOOKUP(J368,'Win Methods'!$C$4:$F$379,4,FALSE)</f>
        <v>3</v>
      </c>
      <c r="L368" s="223" t="s">
        <v>153</v>
      </c>
      <c r="M368" s="7">
        <f>VLOOKUP(L368,'Win Methods'!$C$4:$F$379,4,FALSE)</f>
        <v>15</v>
      </c>
      <c r="N368" s="8"/>
      <c r="O368" s="7">
        <f>VLOOKUP(N368,'Win Methods'!$C$4:$F$379,4,FALSE)</f>
        <v>0</v>
      </c>
      <c r="P368" s="8"/>
      <c r="Q368" s="7">
        <f>VLOOKUP(P368,'Win Methods'!$C$4:$F$379,4,FALSE)</f>
        <v>0</v>
      </c>
      <c r="R368" s="8"/>
      <c r="S368" s="7">
        <f>VLOOKUP(R368,'Win Methods'!$C$4:$F$379,4,FALSE)</f>
        <v>0</v>
      </c>
      <c r="T368" s="8"/>
      <c r="U368" s="7">
        <f>VLOOKUP(T368,'Win Methods'!$C$4:$F$379,4,FALSE)</f>
        <v>0</v>
      </c>
      <c r="V368" s="8"/>
      <c r="W368" s="7">
        <f>VLOOKUP(V368,'Win Methods'!$C$4:$F$379,4,FALSE)</f>
        <v>0</v>
      </c>
      <c r="X368" s="117" t="str">
        <f t="shared" si="11"/>
        <v>main-4|main-0|main-1|main-18|bonusC-5|||||</v>
      </c>
    </row>
    <row r="369" spans="2:24" ht="13.95" customHeight="1">
      <c r="B369" s="116">
        <v>366</v>
      </c>
      <c r="C369" s="7">
        <f t="shared" si="10"/>
        <v>19.2</v>
      </c>
      <c r="D369" s="8" t="s">
        <v>5</v>
      </c>
      <c r="E369" s="7">
        <f>VLOOKUP(D369,'Win Methods'!$C$4:$F$379,4,FALSE)</f>
        <v>0.1</v>
      </c>
      <c r="F369" s="8" t="s">
        <v>11</v>
      </c>
      <c r="G369" s="7">
        <f>VLOOKUP(F369,'Win Methods'!$C$4:$F$379,4,FALSE)</f>
        <v>2</v>
      </c>
      <c r="H369" s="8" t="s">
        <v>5</v>
      </c>
      <c r="I369" s="7">
        <f>VLOOKUP(H369,'Win Methods'!$C$4:$F$379,4,FALSE)</f>
        <v>0.1</v>
      </c>
      <c r="J369" s="8" t="s">
        <v>33</v>
      </c>
      <c r="K369" s="7">
        <f>VLOOKUP(J369,'Win Methods'!$C$4:$F$379,4,FALSE)</f>
        <v>5</v>
      </c>
      <c r="L369" s="223" t="s">
        <v>152</v>
      </c>
      <c r="M369" s="7">
        <f>VLOOKUP(L369,'Win Methods'!$C$4:$F$379,4,FALSE)</f>
        <v>12</v>
      </c>
      <c r="N369" s="8"/>
      <c r="O369" s="7">
        <f>VLOOKUP(N369,'Win Methods'!$C$4:$F$379,4,FALSE)</f>
        <v>0</v>
      </c>
      <c r="P369" s="8"/>
      <c r="Q369" s="7">
        <f>VLOOKUP(P369,'Win Methods'!$C$4:$F$379,4,FALSE)</f>
        <v>0</v>
      </c>
      <c r="R369" s="8"/>
      <c r="S369" s="7">
        <f>VLOOKUP(R369,'Win Methods'!$C$4:$F$379,4,FALSE)</f>
        <v>0</v>
      </c>
      <c r="T369" s="8"/>
      <c r="U369" s="7">
        <f>VLOOKUP(T369,'Win Methods'!$C$4:$F$379,4,FALSE)</f>
        <v>0</v>
      </c>
      <c r="V369" s="8"/>
      <c r="W369" s="7">
        <f>VLOOKUP(V369,'Win Methods'!$C$4:$F$379,4,FALSE)</f>
        <v>0</v>
      </c>
      <c r="X369" s="117" t="str">
        <f t="shared" si="11"/>
        <v>main-0|main-4|main-0|main-19|bonusC-4|||||</v>
      </c>
    </row>
    <row r="370" spans="2:24" ht="13.95" customHeight="1">
      <c r="B370" s="116">
        <v>367</v>
      </c>
      <c r="C370" s="7">
        <f t="shared" si="10"/>
        <v>30.1</v>
      </c>
      <c r="D370" s="8" t="s">
        <v>5</v>
      </c>
      <c r="E370" s="7">
        <f>VLOOKUP(D370,'Win Methods'!$C$4:$F$379,4,FALSE)</f>
        <v>0.1</v>
      </c>
      <c r="F370" s="8" t="s">
        <v>27</v>
      </c>
      <c r="G370" s="7">
        <f>VLOOKUP(F370,'Win Methods'!$C$4:$F$379,4,FALSE)</f>
        <v>5</v>
      </c>
      <c r="H370" s="8" t="s">
        <v>40</v>
      </c>
      <c r="I370" s="7">
        <f>VLOOKUP(H370,'Win Methods'!$C$4:$F$379,4,FALSE)</f>
        <v>10</v>
      </c>
      <c r="J370" s="8" t="s">
        <v>32</v>
      </c>
      <c r="K370" s="7">
        <f>VLOOKUP(J370,'Win Methods'!$C$4:$F$379,4,FALSE)</f>
        <v>3</v>
      </c>
      <c r="L370" s="223" t="s">
        <v>152</v>
      </c>
      <c r="M370" s="7">
        <f>VLOOKUP(L370,'Win Methods'!$C$4:$F$379,4,FALSE)</f>
        <v>12</v>
      </c>
      <c r="N370" s="8"/>
      <c r="O370" s="7">
        <f>VLOOKUP(N370,'Win Methods'!$C$4:$F$379,4,FALSE)</f>
        <v>0</v>
      </c>
      <c r="P370" s="8"/>
      <c r="Q370" s="7">
        <f>VLOOKUP(P370,'Win Methods'!$C$4:$F$379,4,FALSE)</f>
        <v>0</v>
      </c>
      <c r="R370" s="8"/>
      <c r="S370" s="7">
        <f>VLOOKUP(R370,'Win Methods'!$C$4:$F$379,4,FALSE)</f>
        <v>0</v>
      </c>
      <c r="T370" s="8"/>
      <c r="U370" s="7">
        <f>VLOOKUP(T370,'Win Methods'!$C$4:$F$379,4,FALSE)</f>
        <v>0</v>
      </c>
      <c r="V370" s="8"/>
      <c r="W370" s="7">
        <f>VLOOKUP(V370,'Win Methods'!$C$4:$F$379,4,FALSE)</f>
        <v>0</v>
      </c>
      <c r="X370" s="117" t="str">
        <f t="shared" si="11"/>
        <v>main-0|main-13|main-26|main-18|bonusC-4|||||</v>
      </c>
    </row>
    <row r="371" spans="2:24" ht="13.95" customHeight="1">
      <c r="B371" s="116">
        <v>368</v>
      </c>
      <c r="C371" s="7">
        <f t="shared" si="10"/>
        <v>30.1</v>
      </c>
      <c r="D371" s="8" t="s">
        <v>12</v>
      </c>
      <c r="E371" s="7">
        <f>VLOOKUP(D371,'Win Methods'!$C$4:$F$379,4,FALSE)</f>
        <v>5</v>
      </c>
      <c r="F371" s="8" t="s">
        <v>27</v>
      </c>
      <c r="G371" s="7">
        <f>VLOOKUP(F371,'Win Methods'!$C$4:$F$379,4,FALSE)</f>
        <v>5</v>
      </c>
      <c r="H371" s="8" t="s">
        <v>39</v>
      </c>
      <c r="I371" s="7">
        <f>VLOOKUP(H371,'Win Methods'!$C$4:$F$379,4,FALSE)</f>
        <v>5</v>
      </c>
      <c r="J371" s="8" t="s">
        <v>5</v>
      </c>
      <c r="K371" s="7">
        <f>VLOOKUP(J371,'Win Methods'!$C$4:$F$379,4,FALSE)</f>
        <v>0.1</v>
      </c>
      <c r="L371" s="223" t="s">
        <v>153</v>
      </c>
      <c r="M371" s="7">
        <f>VLOOKUP(L371,'Win Methods'!$C$4:$F$379,4,FALSE)</f>
        <v>15</v>
      </c>
      <c r="N371" s="8"/>
      <c r="O371" s="7">
        <f>VLOOKUP(N371,'Win Methods'!$C$4:$F$379,4,FALSE)</f>
        <v>0</v>
      </c>
      <c r="P371" s="8"/>
      <c r="Q371" s="7">
        <f>VLOOKUP(P371,'Win Methods'!$C$4:$F$379,4,FALSE)</f>
        <v>0</v>
      </c>
      <c r="R371" s="8"/>
      <c r="S371" s="7">
        <f>VLOOKUP(R371,'Win Methods'!$C$4:$F$379,4,FALSE)</f>
        <v>0</v>
      </c>
      <c r="T371" s="8"/>
      <c r="U371" s="7">
        <f>VLOOKUP(T371,'Win Methods'!$C$4:$F$379,4,FALSE)</f>
        <v>0</v>
      </c>
      <c r="V371" s="8"/>
      <c r="W371" s="7">
        <f>VLOOKUP(V371,'Win Methods'!$C$4:$F$379,4,FALSE)</f>
        <v>0</v>
      </c>
      <c r="X371" s="117" t="str">
        <f t="shared" si="11"/>
        <v>main-5|main-13|main-25|main-0|bonusC-5|||||</v>
      </c>
    </row>
    <row r="372" spans="2:24" ht="13.95" customHeight="1">
      <c r="B372" s="116">
        <v>369</v>
      </c>
      <c r="C372" s="7">
        <f t="shared" si="10"/>
        <v>37</v>
      </c>
      <c r="D372" s="8" t="s">
        <v>12</v>
      </c>
      <c r="E372" s="7">
        <f>VLOOKUP(D372,'Win Methods'!$C$4:$F$379,4,FALSE)</f>
        <v>5</v>
      </c>
      <c r="F372" s="8" t="s">
        <v>39</v>
      </c>
      <c r="G372" s="7">
        <f>VLOOKUP(F372,'Win Methods'!$C$4:$F$379,4,FALSE)</f>
        <v>5</v>
      </c>
      <c r="H372" s="8" t="s">
        <v>33</v>
      </c>
      <c r="I372" s="7">
        <f>VLOOKUP(H372,'Win Methods'!$C$4:$F$379,4,FALSE)</f>
        <v>5</v>
      </c>
      <c r="J372" s="197" t="s">
        <v>56</v>
      </c>
      <c r="K372" s="7">
        <f>VLOOKUP(J372,'Win Methods'!$C$4:$F$379,4,FALSE)</f>
        <v>2</v>
      </c>
      <c r="L372" s="223" t="s">
        <v>154</v>
      </c>
      <c r="M372" s="7">
        <f>VLOOKUP(L372,'Win Methods'!$C$4:$F$379,4,FALSE)</f>
        <v>20</v>
      </c>
      <c r="N372" s="8"/>
      <c r="O372" s="7">
        <f>VLOOKUP(N372,'Win Methods'!$C$4:$F$379,4,FALSE)</f>
        <v>0</v>
      </c>
      <c r="P372" s="8"/>
      <c r="Q372" s="7">
        <f>VLOOKUP(P372,'Win Methods'!$C$4:$F$379,4,FALSE)</f>
        <v>0</v>
      </c>
      <c r="R372" s="8"/>
      <c r="S372" s="7">
        <f>VLOOKUP(R372,'Win Methods'!$C$4:$F$379,4,FALSE)</f>
        <v>0</v>
      </c>
      <c r="T372" s="8"/>
      <c r="U372" s="7">
        <f>VLOOKUP(T372,'Win Methods'!$C$4:$F$379,4,FALSE)</f>
        <v>0</v>
      </c>
      <c r="V372" s="8"/>
      <c r="W372" s="7">
        <f>VLOOKUP(V372,'Win Methods'!$C$4:$F$379,4,FALSE)</f>
        <v>0</v>
      </c>
      <c r="X372" s="117" t="str">
        <f t="shared" si="11"/>
        <v>main-5|main-25|main-19|wild-11|bonusC-6|||||</v>
      </c>
    </row>
    <row r="373" spans="2:24" ht="13.95" customHeight="1">
      <c r="B373" s="116">
        <v>370</v>
      </c>
      <c r="C373" s="7">
        <f t="shared" si="10"/>
        <v>22.5</v>
      </c>
      <c r="D373" s="8" t="s">
        <v>11</v>
      </c>
      <c r="E373" s="7">
        <f>VLOOKUP(D373,'Win Methods'!$C$4:$F$379,4,FALSE)</f>
        <v>2</v>
      </c>
      <c r="F373" s="8" t="s">
        <v>33</v>
      </c>
      <c r="G373" s="7">
        <f>VLOOKUP(F373,'Win Methods'!$C$4:$F$379,4,FALSE)</f>
        <v>5</v>
      </c>
      <c r="H373" s="8" t="s">
        <v>12</v>
      </c>
      <c r="I373" s="7">
        <f>VLOOKUP(H373,'Win Methods'!$C$4:$F$379,4,FALSE)</f>
        <v>5</v>
      </c>
      <c r="J373" s="197" t="s">
        <v>47</v>
      </c>
      <c r="K373" s="7">
        <f>VLOOKUP(J373,'Win Methods'!$C$4:$F$379,4,FALSE)</f>
        <v>0.5</v>
      </c>
      <c r="L373" s="223" t="s">
        <v>151</v>
      </c>
      <c r="M373" s="7">
        <f>VLOOKUP(L373,'Win Methods'!$C$4:$F$379,4,FALSE)</f>
        <v>10</v>
      </c>
      <c r="N373" s="8"/>
      <c r="O373" s="7">
        <f>VLOOKUP(N373,'Win Methods'!$C$4:$F$379,4,FALSE)</f>
        <v>0</v>
      </c>
      <c r="P373" s="8"/>
      <c r="Q373" s="7">
        <f>VLOOKUP(P373,'Win Methods'!$C$4:$F$379,4,FALSE)</f>
        <v>0</v>
      </c>
      <c r="R373" s="8"/>
      <c r="S373" s="7">
        <f>VLOOKUP(R373,'Win Methods'!$C$4:$F$379,4,FALSE)</f>
        <v>0</v>
      </c>
      <c r="T373" s="8"/>
      <c r="U373" s="7">
        <f>VLOOKUP(T373,'Win Methods'!$C$4:$F$379,4,FALSE)</f>
        <v>0</v>
      </c>
      <c r="V373" s="8"/>
      <c r="W373" s="7">
        <f>VLOOKUP(V373,'Win Methods'!$C$4:$F$379,4,FALSE)</f>
        <v>0</v>
      </c>
      <c r="X373" s="117" t="str">
        <f t="shared" si="11"/>
        <v>main-4|main-19|main-5|wild-2|bonusC-3|||||</v>
      </c>
    </row>
    <row r="374" spans="2:24" ht="13.95" customHeight="1">
      <c r="B374" s="116">
        <v>371</v>
      </c>
      <c r="C374" s="7">
        <f t="shared" si="10"/>
        <v>3</v>
      </c>
      <c r="D374" s="198" t="s">
        <v>116</v>
      </c>
      <c r="E374" s="7">
        <f>VLOOKUP(D374,'Win Methods'!$C$4:$F$379,4,FALSE)</f>
        <v>3</v>
      </c>
      <c r="F374" s="8"/>
      <c r="G374" s="7">
        <f>VLOOKUP(F374,'Win Methods'!$C$4:$F$379,4,FALSE)</f>
        <v>0</v>
      </c>
      <c r="H374" s="8"/>
      <c r="I374" s="7">
        <f>VLOOKUP(H374,'Win Methods'!$C$4:$F$379,4,FALSE)</f>
        <v>0</v>
      </c>
      <c r="J374" s="8"/>
      <c r="K374" s="7">
        <f>VLOOKUP(J374,'Win Methods'!$C$4:$F$379,4,FALSE)</f>
        <v>0</v>
      </c>
      <c r="L374" s="8"/>
      <c r="M374" s="7">
        <f>VLOOKUP(L374,'Win Methods'!$C$4:$F$379,4,FALSE)</f>
        <v>0</v>
      </c>
      <c r="N374" s="8"/>
      <c r="O374" s="7">
        <f>VLOOKUP(N374,'Win Methods'!$C$4:$F$379,4,FALSE)</f>
        <v>0</v>
      </c>
      <c r="P374" s="8"/>
      <c r="Q374" s="7">
        <f>VLOOKUP(P374,'Win Methods'!$C$4:$F$379,4,FALSE)</f>
        <v>0</v>
      </c>
      <c r="R374" s="8"/>
      <c r="S374" s="7">
        <f>VLOOKUP(R374,'Win Methods'!$C$4:$F$379,4,FALSE)</f>
        <v>0</v>
      </c>
      <c r="T374" s="8"/>
      <c r="U374" s="7">
        <f>VLOOKUP(T374,'Win Methods'!$C$4:$F$379,4,FALSE)</f>
        <v>0</v>
      </c>
      <c r="V374" s="8"/>
      <c r="W374" s="7">
        <f>VLOOKUP(V374,'Win Methods'!$C$4:$F$379,4,FALSE)</f>
        <v>0</v>
      </c>
      <c r="X374" s="117" t="str">
        <f t="shared" si="11"/>
        <v>instantA-0|||||||||</v>
      </c>
    </row>
    <row r="375" spans="2:24" ht="13.95" customHeight="1">
      <c r="B375" s="116">
        <v>372</v>
      </c>
      <c r="C375" s="7">
        <f t="shared" si="10"/>
        <v>5</v>
      </c>
      <c r="D375" s="198" t="s">
        <v>118</v>
      </c>
      <c r="E375" s="7">
        <f>VLOOKUP(D375,'Win Methods'!$C$4:$F$379,4,FALSE)</f>
        <v>5</v>
      </c>
      <c r="F375" s="8"/>
      <c r="G375" s="7">
        <f>VLOOKUP(F375,'Win Methods'!$C$4:$F$379,4,FALSE)</f>
        <v>0</v>
      </c>
      <c r="H375" s="8"/>
      <c r="I375" s="7">
        <f>VLOOKUP(H375,'Win Methods'!$C$4:$F$379,4,FALSE)</f>
        <v>0</v>
      </c>
      <c r="J375" s="8"/>
      <c r="K375" s="7">
        <f>VLOOKUP(J375,'Win Methods'!$C$4:$F$379,4,FALSE)</f>
        <v>0</v>
      </c>
      <c r="L375" s="8"/>
      <c r="M375" s="7">
        <f>VLOOKUP(L375,'Win Methods'!$C$4:$F$379,4,FALSE)</f>
        <v>0</v>
      </c>
      <c r="N375" s="8"/>
      <c r="O375" s="7">
        <f>VLOOKUP(N375,'Win Methods'!$C$4:$F$379,4,FALSE)</f>
        <v>0</v>
      </c>
      <c r="P375" s="8"/>
      <c r="Q375" s="7">
        <f>VLOOKUP(P375,'Win Methods'!$C$4:$F$379,4,FALSE)</f>
        <v>0</v>
      </c>
      <c r="R375" s="8"/>
      <c r="S375" s="7">
        <f>VLOOKUP(R375,'Win Methods'!$C$4:$F$379,4,FALSE)</f>
        <v>0</v>
      </c>
      <c r="T375" s="8"/>
      <c r="U375" s="7">
        <f>VLOOKUP(T375,'Win Methods'!$C$4:$F$379,4,FALSE)</f>
        <v>0</v>
      </c>
      <c r="V375" s="8"/>
      <c r="W375" s="7">
        <f>VLOOKUP(V375,'Win Methods'!$C$4:$F$379,4,FALSE)</f>
        <v>0</v>
      </c>
      <c r="X375" s="117" t="str">
        <f t="shared" si="11"/>
        <v>instantA-1|||||||||</v>
      </c>
    </row>
    <row r="376" spans="2:24" ht="13.95" customHeight="1">
      <c r="B376" s="116">
        <v>373</v>
      </c>
      <c r="C376" s="7">
        <f t="shared" si="10"/>
        <v>8</v>
      </c>
      <c r="D376" s="198" t="s">
        <v>119</v>
      </c>
      <c r="E376" s="7">
        <f>VLOOKUP(D376,'Win Methods'!$C$4:$F$379,4,FALSE)</f>
        <v>8</v>
      </c>
      <c r="F376" s="8"/>
      <c r="G376" s="7">
        <f>VLOOKUP(F376,'Win Methods'!$C$4:$F$379,4,FALSE)</f>
        <v>0</v>
      </c>
      <c r="H376" s="8"/>
      <c r="I376" s="7">
        <f>VLOOKUP(H376,'Win Methods'!$C$4:$F$379,4,FALSE)</f>
        <v>0</v>
      </c>
      <c r="J376" s="8"/>
      <c r="K376" s="7">
        <f>VLOOKUP(J376,'Win Methods'!$C$4:$F$379,4,FALSE)</f>
        <v>0</v>
      </c>
      <c r="L376" s="8"/>
      <c r="M376" s="7">
        <f>VLOOKUP(L376,'Win Methods'!$C$4:$F$379,4,FALSE)</f>
        <v>0</v>
      </c>
      <c r="N376" s="8"/>
      <c r="O376" s="7">
        <f>VLOOKUP(N376,'Win Methods'!$C$4:$F$379,4,FALSE)</f>
        <v>0</v>
      </c>
      <c r="P376" s="8"/>
      <c r="Q376" s="7">
        <f>VLOOKUP(P376,'Win Methods'!$C$4:$F$379,4,FALSE)</f>
        <v>0</v>
      </c>
      <c r="R376" s="8"/>
      <c r="S376" s="7">
        <f>VLOOKUP(R376,'Win Methods'!$C$4:$F$379,4,FALSE)</f>
        <v>0</v>
      </c>
      <c r="T376" s="8"/>
      <c r="U376" s="7">
        <f>VLOOKUP(T376,'Win Methods'!$C$4:$F$379,4,FALSE)</f>
        <v>0</v>
      </c>
      <c r="V376" s="8"/>
      <c r="W376" s="7">
        <f>VLOOKUP(V376,'Win Methods'!$C$4:$F$379,4,FALSE)</f>
        <v>0</v>
      </c>
      <c r="X376" s="117" t="str">
        <f t="shared" si="11"/>
        <v>instantA-2|||||||||</v>
      </c>
    </row>
    <row r="377" spans="2:24" ht="13.95" customHeight="1">
      <c r="B377" s="116">
        <v>374</v>
      </c>
      <c r="C377" s="7">
        <f t="shared" si="10"/>
        <v>10</v>
      </c>
      <c r="D377" s="198" t="s">
        <v>120</v>
      </c>
      <c r="E377" s="7">
        <f>VLOOKUP(D377,'Win Methods'!$C$4:$F$379,4,FALSE)</f>
        <v>10</v>
      </c>
      <c r="F377" s="8"/>
      <c r="G377" s="7">
        <f>VLOOKUP(F377,'Win Methods'!$C$4:$F$379,4,FALSE)</f>
        <v>0</v>
      </c>
      <c r="H377" s="8"/>
      <c r="I377" s="7">
        <f>VLOOKUP(H377,'Win Methods'!$C$4:$F$379,4,FALSE)</f>
        <v>0</v>
      </c>
      <c r="J377" s="8"/>
      <c r="K377" s="7">
        <f>VLOOKUP(J377,'Win Methods'!$C$4:$F$379,4,FALSE)</f>
        <v>0</v>
      </c>
      <c r="L377" s="8"/>
      <c r="M377" s="7">
        <f>VLOOKUP(L377,'Win Methods'!$C$4:$F$379,4,FALSE)</f>
        <v>0</v>
      </c>
      <c r="N377" s="8"/>
      <c r="O377" s="7">
        <f>VLOOKUP(N377,'Win Methods'!$C$4:$F$379,4,FALSE)</f>
        <v>0</v>
      </c>
      <c r="P377" s="8"/>
      <c r="Q377" s="7">
        <f>VLOOKUP(P377,'Win Methods'!$C$4:$F$379,4,FALSE)</f>
        <v>0</v>
      </c>
      <c r="R377" s="8"/>
      <c r="S377" s="7">
        <f>VLOOKUP(R377,'Win Methods'!$C$4:$F$379,4,FALSE)</f>
        <v>0</v>
      </c>
      <c r="T377" s="8"/>
      <c r="U377" s="7">
        <f>VLOOKUP(T377,'Win Methods'!$C$4:$F$379,4,FALSE)</f>
        <v>0</v>
      </c>
      <c r="V377" s="8"/>
      <c r="W377" s="7">
        <f>VLOOKUP(V377,'Win Methods'!$C$4:$F$379,4,FALSE)</f>
        <v>0</v>
      </c>
      <c r="X377" s="117" t="str">
        <f t="shared" si="11"/>
        <v>instantA-3|||||||||</v>
      </c>
    </row>
    <row r="378" spans="2:24" ht="13.95" customHeight="1">
      <c r="B378" s="116">
        <v>375</v>
      </c>
      <c r="C378" s="7">
        <f t="shared" si="10"/>
        <v>20</v>
      </c>
      <c r="D378" s="198" t="s">
        <v>121</v>
      </c>
      <c r="E378" s="7">
        <f>VLOOKUP(D378,'Win Methods'!$C$4:$F$379,4,FALSE)</f>
        <v>20</v>
      </c>
      <c r="F378" s="8"/>
      <c r="G378" s="7">
        <f>VLOOKUP(F378,'Win Methods'!$C$4:$F$379,4,FALSE)</f>
        <v>0</v>
      </c>
      <c r="H378" s="8"/>
      <c r="I378" s="7">
        <f>VLOOKUP(H378,'Win Methods'!$C$4:$F$379,4,FALSE)</f>
        <v>0</v>
      </c>
      <c r="J378" s="8"/>
      <c r="K378" s="7">
        <f>VLOOKUP(J378,'Win Methods'!$C$4:$F$379,4,FALSE)</f>
        <v>0</v>
      </c>
      <c r="L378" s="8"/>
      <c r="M378" s="7">
        <f>VLOOKUP(L378,'Win Methods'!$C$4:$F$379,4,FALSE)</f>
        <v>0</v>
      </c>
      <c r="N378" s="8"/>
      <c r="O378" s="7">
        <f>VLOOKUP(N378,'Win Methods'!$C$4:$F$379,4,FALSE)</f>
        <v>0</v>
      </c>
      <c r="P378" s="8"/>
      <c r="Q378" s="7">
        <f>VLOOKUP(P378,'Win Methods'!$C$4:$F$379,4,FALSE)</f>
        <v>0</v>
      </c>
      <c r="R378" s="8"/>
      <c r="S378" s="7">
        <f>VLOOKUP(R378,'Win Methods'!$C$4:$F$379,4,FALSE)</f>
        <v>0</v>
      </c>
      <c r="T378" s="8"/>
      <c r="U378" s="7">
        <f>VLOOKUP(T378,'Win Methods'!$C$4:$F$379,4,FALSE)</f>
        <v>0</v>
      </c>
      <c r="V378" s="8"/>
      <c r="W378" s="7">
        <f>VLOOKUP(V378,'Win Methods'!$C$4:$F$379,4,FALSE)</f>
        <v>0</v>
      </c>
      <c r="X378" s="117" t="str">
        <f t="shared" si="11"/>
        <v>instantA-4|||||||||</v>
      </c>
    </row>
    <row r="379" spans="2:24" ht="13.95" customHeight="1">
      <c r="B379" s="116">
        <v>376</v>
      </c>
      <c r="C379" s="7">
        <f t="shared" si="10"/>
        <v>3</v>
      </c>
      <c r="D379" s="108" t="s">
        <v>122</v>
      </c>
      <c r="E379" s="7">
        <f>VLOOKUP(D379,'Win Methods'!$C$4:$F$379,4,FALSE)</f>
        <v>3</v>
      </c>
      <c r="F379" s="8"/>
      <c r="G379" s="7">
        <f>VLOOKUP(F379,'Win Methods'!$C$4:$F$379,4,FALSE)</f>
        <v>0</v>
      </c>
      <c r="H379" s="8"/>
      <c r="I379" s="7">
        <f>VLOOKUP(H379,'Win Methods'!$C$4:$F$379,4,FALSE)</f>
        <v>0</v>
      </c>
      <c r="J379" s="8"/>
      <c r="K379" s="7">
        <f>VLOOKUP(J379,'Win Methods'!$C$4:$F$379,4,FALSE)</f>
        <v>0</v>
      </c>
      <c r="L379" s="8"/>
      <c r="M379" s="7">
        <f>VLOOKUP(L379,'Win Methods'!$C$4:$F$379,4,FALSE)</f>
        <v>0</v>
      </c>
      <c r="N379" s="8"/>
      <c r="O379" s="7">
        <f>VLOOKUP(N379,'Win Methods'!$C$4:$F$379,4,FALSE)</f>
        <v>0</v>
      </c>
      <c r="P379" s="8"/>
      <c r="Q379" s="7">
        <f>VLOOKUP(P379,'Win Methods'!$C$4:$F$379,4,FALSE)</f>
        <v>0</v>
      </c>
      <c r="R379" s="8"/>
      <c r="S379" s="7">
        <f>VLOOKUP(R379,'Win Methods'!$C$4:$F$379,4,FALSE)</f>
        <v>0</v>
      </c>
      <c r="T379" s="8"/>
      <c r="U379" s="7">
        <f>VLOOKUP(T379,'Win Methods'!$C$4:$F$379,4,FALSE)</f>
        <v>0</v>
      </c>
      <c r="V379" s="8"/>
      <c r="W379" s="7">
        <f>VLOOKUP(V379,'Win Methods'!$C$4:$F$379,4,FALSE)</f>
        <v>0</v>
      </c>
      <c r="X379" s="117" t="str">
        <f t="shared" si="11"/>
        <v>bonusA-0|||||||||</v>
      </c>
    </row>
    <row r="380" spans="2:24" ht="13.95" customHeight="1">
      <c r="B380" s="116">
        <v>377</v>
      </c>
      <c r="C380" s="7">
        <f t="shared" si="10"/>
        <v>5</v>
      </c>
      <c r="D380" s="108" t="s">
        <v>124</v>
      </c>
      <c r="E380" s="7">
        <f>VLOOKUP(D380,'Win Methods'!$C$4:$F$379,4,FALSE)</f>
        <v>5</v>
      </c>
      <c r="F380" s="8"/>
      <c r="G380" s="7">
        <f>VLOOKUP(F380,'Win Methods'!$C$4:$F$379,4,FALSE)</f>
        <v>0</v>
      </c>
      <c r="H380" s="8"/>
      <c r="I380" s="7">
        <f>VLOOKUP(H380,'Win Methods'!$C$4:$F$379,4,FALSE)</f>
        <v>0</v>
      </c>
      <c r="J380" s="8"/>
      <c r="K380" s="7">
        <f>VLOOKUP(J380,'Win Methods'!$C$4:$F$379,4,FALSE)</f>
        <v>0</v>
      </c>
      <c r="L380" s="8"/>
      <c r="M380" s="7">
        <f>VLOOKUP(L380,'Win Methods'!$C$4:$F$379,4,FALSE)</f>
        <v>0</v>
      </c>
      <c r="N380" s="8"/>
      <c r="O380" s="7">
        <f>VLOOKUP(N380,'Win Methods'!$C$4:$F$379,4,FALSE)</f>
        <v>0</v>
      </c>
      <c r="P380" s="8"/>
      <c r="Q380" s="7">
        <f>VLOOKUP(P380,'Win Methods'!$C$4:$F$379,4,FALSE)</f>
        <v>0</v>
      </c>
      <c r="R380" s="8"/>
      <c r="S380" s="7">
        <f>VLOOKUP(R380,'Win Methods'!$C$4:$F$379,4,FALSE)</f>
        <v>0</v>
      </c>
      <c r="T380" s="8"/>
      <c r="U380" s="7">
        <f>VLOOKUP(T380,'Win Methods'!$C$4:$F$379,4,FALSE)</f>
        <v>0</v>
      </c>
      <c r="V380" s="8"/>
      <c r="W380" s="7">
        <f>VLOOKUP(V380,'Win Methods'!$C$4:$F$379,4,FALSE)</f>
        <v>0</v>
      </c>
      <c r="X380" s="117" t="str">
        <f t="shared" si="11"/>
        <v>bonusA-1|||||||||</v>
      </c>
    </row>
    <row r="381" spans="2:24" ht="13.95" customHeight="1">
      <c r="B381" s="116">
        <v>378</v>
      </c>
      <c r="C381" s="7">
        <f t="shared" si="10"/>
        <v>8</v>
      </c>
      <c r="D381" s="108" t="s">
        <v>125</v>
      </c>
      <c r="E381" s="7">
        <f>VLOOKUP(D381,'Win Methods'!$C$4:$F$379,4,FALSE)</f>
        <v>8</v>
      </c>
      <c r="F381" s="8"/>
      <c r="G381" s="7">
        <f>VLOOKUP(F381,'Win Methods'!$C$4:$F$379,4,FALSE)</f>
        <v>0</v>
      </c>
      <c r="H381" s="8"/>
      <c r="I381" s="7">
        <f>VLOOKUP(H381,'Win Methods'!$C$4:$F$379,4,FALSE)</f>
        <v>0</v>
      </c>
      <c r="J381" s="8"/>
      <c r="K381" s="7">
        <f>VLOOKUP(J381,'Win Methods'!$C$4:$F$379,4,FALSE)</f>
        <v>0</v>
      </c>
      <c r="L381" s="8"/>
      <c r="M381" s="7">
        <f>VLOOKUP(L381,'Win Methods'!$C$4:$F$379,4,FALSE)</f>
        <v>0</v>
      </c>
      <c r="N381" s="8"/>
      <c r="O381" s="7">
        <f>VLOOKUP(N381,'Win Methods'!$C$4:$F$379,4,FALSE)</f>
        <v>0</v>
      </c>
      <c r="P381" s="8"/>
      <c r="Q381" s="7">
        <f>VLOOKUP(P381,'Win Methods'!$C$4:$F$379,4,FALSE)</f>
        <v>0</v>
      </c>
      <c r="R381" s="8"/>
      <c r="S381" s="7">
        <f>VLOOKUP(R381,'Win Methods'!$C$4:$F$379,4,FALSE)</f>
        <v>0</v>
      </c>
      <c r="T381" s="8"/>
      <c r="U381" s="7">
        <f>VLOOKUP(T381,'Win Methods'!$C$4:$F$379,4,FALSE)</f>
        <v>0</v>
      </c>
      <c r="V381" s="8"/>
      <c r="W381" s="7">
        <f>VLOOKUP(V381,'Win Methods'!$C$4:$F$379,4,FALSE)</f>
        <v>0</v>
      </c>
      <c r="X381" s="117" t="str">
        <f t="shared" si="11"/>
        <v>bonusA-2|||||||||</v>
      </c>
    </row>
    <row r="382" spans="2:24" ht="13.95" customHeight="1">
      <c r="B382" s="116">
        <v>379</v>
      </c>
      <c r="C382" s="7">
        <f t="shared" si="10"/>
        <v>10</v>
      </c>
      <c r="D382" s="108" t="s">
        <v>126</v>
      </c>
      <c r="E382" s="7">
        <f>VLOOKUP(D382,'Win Methods'!$C$4:$F$379,4,FALSE)</f>
        <v>10</v>
      </c>
      <c r="F382" s="8"/>
      <c r="G382" s="7">
        <f>VLOOKUP(F382,'Win Methods'!$C$4:$F$379,4,FALSE)</f>
        <v>0</v>
      </c>
      <c r="H382" s="8"/>
      <c r="I382" s="7">
        <f>VLOOKUP(H382,'Win Methods'!$C$4:$F$379,4,FALSE)</f>
        <v>0</v>
      </c>
      <c r="J382" s="8"/>
      <c r="K382" s="7">
        <f>VLOOKUP(J382,'Win Methods'!$C$4:$F$379,4,FALSE)</f>
        <v>0</v>
      </c>
      <c r="L382" s="8"/>
      <c r="M382" s="7">
        <f>VLOOKUP(L382,'Win Methods'!$C$4:$F$379,4,FALSE)</f>
        <v>0</v>
      </c>
      <c r="N382" s="8"/>
      <c r="O382" s="7">
        <f>VLOOKUP(N382,'Win Methods'!$C$4:$F$379,4,FALSE)</f>
        <v>0</v>
      </c>
      <c r="P382" s="8"/>
      <c r="Q382" s="7">
        <f>VLOOKUP(P382,'Win Methods'!$C$4:$F$379,4,FALSE)</f>
        <v>0</v>
      </c>
      <c r="R382" s="8"/>
      <c r="S382" s="7">
        <f>VLOOKUP(R382,'Win Methods'!$C$4:$F$379,4,FALSE)</f>
        <v>0</v>
      </c>
      <c r="T382" s="8"/>
      <c r="U382" s="7">
        <f>VLOOKUP(T382,'Win Methods'!$C$4:$F$379,4,FALSE)</f>
        <v>0</v>
      </c>
      <c r="V382" s="8"/>
      <c r="W382" s="7">
        <f>VLOOKUP(V382,'Win Methods'!$C$4:$F$379,4,FALSE)</f>
        <v>0</v>
      </c>
      <c r="X382" s="117" t="str">
        <f t="shared" si="11"/>
        <v>bonusA-3|||||||||</v>
      </c>
    </row>
    <row r="383" spans="2:24" ht="13.95" customHeight="1">
      <c r="B383" s="116">
        <v>380</v>
      </c>
      <c r="C383" s="7">
        <f t="shared" si="10"/>
        <v>12</v>
      </c>
      <c r="D383" s="108" t="s">
        <v>127</v>
      </c>
      <c r="E383" s="7">
        <f>VLOOKUP(D383,'Win Methods'!$C$4:$F$379,4,FALSE)</f>
        <v>12</v>
      </c>
      <c r="F383" s="8"/>
      <c r="G383" s="7">
        <f>VLOOKUP(F383,'Win Methods'!$C$4:$F$379,4,FALSE)</f>
        <v>0</v>
      </c>
      <c r="H383" s="8"/>
      <c r="I383" s="7">
        <f>VLOOKUP(H383,'Win Methods'!$C$4:$F$379,4,FALSE)</f>
        <v>0</v>
      </c>
      <c r="J383" s="8"/>
      <c r="K383" s="7">
        <f>VLOOKUP(J383,'Win Methods'!$C$4:$F$379,4,FALSE)</f>
        <v>0</v>
      </c>
      <c r="L383" s="8"/>
      <c r="M383" s="7">
        <f>VLOOKUP(L383,'Win Methods'!$C$4:$F$379,4,FALSE)</f>
        <v>0</v>
      </c>
      <c r="N383" s="8"/>
      <c r="O383" s="7">
        <f>VLOOKUP(N383,'Win Methods'!$C$4:$F$379,4,FALSE)</f>
        <v>0</v>
      </c>
      <c r="P383" s="8"/>
      <c r="Q383" s="7">
        <f>VLOOKUP(P383,'Win Methods'!$C$4:$F$379,4,FALSE)</f>
        <v>0</v>
      </c>
      <c r="R383" s="8"/>
      <c r="S383" s="7">
        <f>VLOOKUP(R383,'Win Methods'!$C$4:$F$379,4,FALSE)</f>
        <v>0</v>
      </c>
      <c r="T383" s="8"/>
      <c r="U383" s="7">
        <f>VLOOKUP(T383,'Win Methods'!$C$4:$F$379,4,FALSE)</f>
        <v>0</v>
      </c>
      <c r="V383" s="8"/>
      <c r="W383" s="7">
        <f>VLOOKUP(V383,'Win Methods'!$C$4:$F$379,4,FALSE)</f>
        <v>0</v>
      </c>
      <c r="X383" s="117" t="str">
        <f t="shared" si="11"/>
        <v>bonusA-4|||||||||</v>
      </c>
    </row>
    <row r="384" spans="2:24" ht="13.95" customHeight="1">
      <c r="B384" s="116">
        <v>381</v>
      </c>
      <c r="C384" s="7">
        <f t="shared" si="10"/>
        <v>15</v>
      </c>
      <c r="D384" s="108" t="s">
        <v>128</v>
      </c>
      <c r="E384" s="7">
        <f>VLOOKUP(D384,'Win Methods'!$C$4:$F$379,4,FALSE)</f>
        <v>15</v>
      </c>
      <c r="F384" s="8"/>
      <c r="G384" s="7">
        <f>VLOOKUP(F384,'Win Methods'!$C$4:$F$379,4,FALSE)</f>
        <v>0</v>
      </c>
      <c r="H384" s="8"/>
      <c r="I384" s="7">
        <f>VLOOKUP(H384,'Win Methods'!$C$4:$F$379,4,FALSE)</f>
        <v>0</v>
      </c>
      <c r="J384" s="8"/>
      <c r="K384" s="7">
        <f>VLOOKUP(J384,'Win Methods'!$C$4:$F$379,4,FALSE)</f>
        <v>0</v>
      </c>
      <c r="L384" s="8"/>
      <c r="M384" s="7">
        <f>VLOOKUP(L384,'Win Methods'!$C$4:$F$379,4,FALSE)</f>
        <v>0</v>
      </c>
      <c r="N384" s="8"/>
      <c r="O384" s="7">
        <f>VLOOKUP(N384,'Win Methods'!$C$4:$F$379,4,FALSE)</f>
        <v>0</v>
      </c>
      <c r="P384" s="8"/>
      <c r="Q384" s="7">
        <f>VLOOKUP(P384,'Win Methods'!$C$4:$F$379,4,FALSE)</f>
        <v>0</v>
      </c>
      <c r="R384" s="8"/>
      <c r="S384" s="7">
        <f>VLOOKUP(R384,'Win Methods'!$C$4:$F$379,4,FALSE)</f>
        <v>0</v>
      </c>
      <c r="T384" s="8"/>
      <c r="U384" s="7">
        <f>VLOOKUP(T384,'Win Methods'!$C$4:$F$379,4,FALSE)</f>
        <v>0</v>
      </c>
      <c r="V384" s="8"/>
      <c r="W384" s="7">
        <f>VLOOKUP(V384,'Win Methods'!$C$4:$F$379,4,FALSE)</f>
        <v>0</v>
      </c>
      <c r="X384" s="117" t="str">
        <f t="shared" si="11"/>
        <v>bonusA-5|||||||||</v>
      </c>
    </row>
    <row r="385" spans="2:24" ht="13.95" customHeight="1">
      <c r="B385" s="116">
        <v>382</v>
      </c>
      <c r="C385" s="7">
        <f t="shared" si="10"/>
        <v>20</v>
      </c>
      <c r="D385" s="108" t="s">
        <v>129</v>
      </c>
      <c r="E385" s="7">
        <f>VLOOKUP(D385,'Win Methods'!$C$4:$F$379,4,FALSE)</f>
        <v>20</v>
      </c>
      <c r="F385" s="8"/>
      <c r="G385" s="7">
        <f>VLOOKUP(F385,'Win Methods'!$C$4:$F$379,4,FALSE)</f>
        <v>0</v>
      </c>
      <c r="H385" s="8"/>
      <c r="I385" s="7">
        <f>VLOOKUP(H385,'Win Methods'!$C$4:$F$379,4,FALSE)</f>
        <v>0</v>
      </c>
      <c r="J385" s="8"/>
      <c r="K385" s="7">
        <f>VLOOKUP(J385,'Win Methods'!$C$4:$F$379,4,FALSE)</f>
        <v>0</v>
      </c>
      <c r="L385" s="8"/>
      <c r="M385" s="7">
        <f>VLOOKUP(L385,'Win Methods'!$C$4:$F$379,4,FALSE)</f>
        <v>0</v>
      </c>
      <c r="N385" s="8"/>
      <c r="O385" s="7">
        <f>VLOOKUP(N385,'Win Methods'!$C$4:$F$379,4,FALSE)</f>
        <v>0</v>
      </c>
      <c r="P385" s="8"/>
      <c r="Q385" s="7">
        <f>VLOOKUP(P385,'Win Methods'!$C$4:$F$379,4,FALSE)</f>
        <v>0</v>
      </c>
      <c r="R385" s="8"/>
      <c r="S385" s="7">
        <f>VLOOKUP(R385,'Win Methods'!$C$4:$F$379,4,FALSE)</f>
        <v>0</v>
      </c>
      <c r="T385" s="8"/>
      <c r="U385" s="7">
        <f>VLOOKUP(T385,'Win Methods'!$C$4:$F$379,4,FALSE)</f>
        <v>0</v>
      </c>
      <c r="V385" s="8"/>
      <c r="W385" s="7">
        <f>VLOOKUP(V385,'Win Methods'!$C$4:$F$379,4,FALSE)</f>
        <v>0</v>
      </c>
      <c r="X385" s="117" t="str">
        <f t="shared" si="11"/>
        <v>bonusA-6|||||||||</v>
      </c>
    </row>
    <row r="386" spans="2:24" ht="13.95" customHeight="1">
      <c r="B386" s="116">
        <v>383</v>
      </c>
      <c r="C386" s="7">
        <f t="shared" si="10"/>
        <v>25</v>
      </c>
      <c r="D386" s="108" t="s">
        <v>131</v>
      </c>
      <c r="E386" s="7">
        <f>VLOOKUP(D386,'Win Methods'!$C$4:$F$379,4,FALSE)</f>
        <v>25</v>
      </c>
      <c r="F386" s="8"/>
      <c r="G386" s="7">
        <f>VLOOKUP(F386,'Win Methods'!$C$4:$F$379,4,FALSE)</f>
        <v>0</v>
      </c>
      <c r="H386" s="8"/>
      <c r="I386" s="7">
        <f>VLOOKUP(H386,'Win Methods'!$C$4:$F$379,4,FALSE)</f>
        <v>0</v>
      </c>
      <c r="J386" s="8"/>
      <c r="K386" s="7">
        <f>VLOOKUP(J386,'Win Methods'!$C$4:$F$379,4,FALSE)</f>
        <v>0</v>
      </c>
      <c r="L386" s="8"/>
      <c r="M386" s="7">
        <f>VLOOKUP(L386,'Win Methods'!$C$4:$F$379,4,FALSE)</f>
        <v>0</v>
      </c>
      <c r="N386" s="8"/>
      <c r="O386" s="7">
        <f>VLOOKUP(N386,'Win Methods'!$C$4:$F$379,4,FALSE)</f>
        <v>0</v>
      </c>
      <c r="P386" s="8"/>
      <c r="Q386" s="7">
        <f>VLOOKUP(P386,'Win Methods'!$C$4:$F$379,4,FALSE)</f>
        <v>0</v>
      </c>
      <c r="R386" s="8"/>
      <c r="S386" s="7">
        <f>VLOOKUP(R386,'Win Methods'!$C$4:$F$379,4,FALSE)</f>
        <v>0</v>
      </c>
      <c r="T386" s="8"/>
      <c r="U386" s="7">
        <f>VLOOKUP(T386,'Win Methods'!$C$4:$F$379,4,FALSE)</f>
        <v>0</v>
      </c>
      <c r="V386" s="8"/>
      <c r="W386" s="7">
        <f>VLOOKUP(V386,'Win Methods'!$C$4:$F$379,4,FALSE)</f>
        <v>0</v>
      </c>
      <c r="X386" s="117" t="str">
        <f t="shared" si="11"/>
        <v>bonusA-7|||||||||</v>
      </c>
    </row>
    <row r="387" spans="2:24" ht="13.95" customHeight="1">
      <c r="B387" s="116">
        <v>384</v>
      </c>
      <c r="C387" s="7">
        <f t="shared" ref="C387:C409" si="12">(E387+G387+I387+K387+M387+O387+Q387+S387+U387+W387)</f>
        <v>30</v>
      </c>
      <c r="D387" s="108" t="s">
        <v>132</v>
      </c>
      <c r="E387" s="7">
        <f>VLOOKUP(D387,'Win Methods'!$C$4:$F$379,4,FALSE)</f>
        <v>30</v>
      </c>
      <c r="F387" s="8"/>
      <c r="G387" s="7">
        <f>VLOOKUP(F387,'Win Methods'!$C$4:$F$379,4,FALSE)</f>
        <v>0</v>
      </c>
      <c r="H387" s="8"/>
      <c r="I387" s="7">
        <f>VLOOKUP(H387,'Win Methods'!$C$4:$F$379,4,FALSE)</f>
        <v>0</v>
      </c>
      <c r="J387" s="8"/>
      <c r="K387" s="7">
        <f>VLOOKUP(J387,'Win Methods'!$C$4:$F$379,4,FALSE)</f>
        <v>0</v>
      </c>
      <c r="L387" s="8"/>
      <c r="M387" s="7">
        <f>VLOOKUP(L387,'Win Methods'!$C$4:$F$379,4,FALSE)</f>
        <v>0</v>
      </c>
      <c r="N387" s="8"/>
      <c r="O387" s="7">
        <f>VLOOKUP(N387,'Win Methods'!$C$4:$F$379,4,FALSE)</f>
        <v>0</v>
      </c>
      <c r="P387" s="8"/>
      <c r="Q387" s="7">
        <f>VLOOKUP(P387,'Win Methods'!$C$4:$F$379,4,FALSE)</f>
        <v>0</v>
      </c>
      <c r="R387" s="8"/>
      <c r="S387" s="7">
        <f>VLOOKUP(R387,'Win Methods'!$C$4:$F$379,4,FALSE)</f>
        <v>0</v>
      </c>
      <c r="T387" s="8"/>
      <c r="U387" s="7">
        <f>VLOOKUP(T387,'Win Methods'!$C$4:$F$379,4,FALSE)</f>
        <v>0</v>
      </c>
      <c r="V387" s="8"/>
      <c r="W387" s="7">
        <f>VLOOKUP(V387,'Win Methods'!$C$4:$F$379,4,FALSE)</f>
        <v>0</v>
      </c>
      <c r="X387" s="117" t="str">
        <f t="shared" ref="X387:X409" si="13">D387&amp;"|"&amp;F387&amp;"|"&amp;H387&amp;"|"&amp;J387&amp;"|"&amp;L387&amp;"|"&amp;N387&amp;"|"&amp;P387&amp;"|"&amp;R387&amp;"|"&amp;T387&amp;"|"&amp;V387</f>
        <v>bonusA-8|||||||||</v>
      </c>
    </row>
    <row r="388" spans="2:24" ht="13.95" customHeight="1">
      <c r="B388" s="116">
        <v>385</v>
      </c>
      <c r="C388" s="7">
        <f t="shared" si="12"/>
        <v>50</v>
      </c>
      <c r="D388" s="108" t="s">
        <v>133</v>
      </c>
      <c r="E388" s="7">
        <f>VLOOKUP(D388,'Win Methods'!$C$4:$F$379,4,FALSE)</f>
        <v>50</v>
      </c>
      <c r="F388" s="8"/>
      <c r="G388" s="7">
        <f>VLOOKUP(F388,'Win Methods'!$C$4:$F$379,4,FALSE)</f>
        <v>0</v>
      </c>
      <c r="H388" s="8"/>
      <c r="I388" s="7">
        <f>VLOOKUP(H388,'Win Methods'!$C$4:$F$379,4,FALSE)</f>
        <v>0</v>
      </c>
      <c r="J388" s="8"/>
      <c r="K388" s="7">
        <f>VLOOKUP(J388,'Win Methods'!$C$4:$F$379,4,FALSE)</f>
        <v>0</v>
      </c>
      <c r="L388" s="8"/>
      <c r="M388" s="7">
        <f>VLOOKUP(L388,'Win Methods'!$C$4:$F$379,4,FALSE)</f>
        <v>0</v>
      </c>
      <c r="N388" s="8"/>
      <c r="O388" s="7">
        <f>VLOOKUP(N388,'Win Methods'!$C$4:$F$379,4,FALSE)</f>
        <v>0</v>
      </c>
      <c r="P388" s="8"/>
      <c r="Q388" s="7">
        <f>VLOOKUP(P388,'Win Methods'!$C$4:$F$379,4,FALSE)</f>
        <v>0</v>
      </c>
      <c r="R388" s="8"/>
      <c r="S388" s="7">
        <f>VLOOKUP(R388,'Win Methods'!$C$4:$F$379,4,FALSE)</f>
        <v>0</v>
      </c>
      <c r="T388" s="8"/>
      <c r="U388" s="7">
        <f>VLOOKUP(T388,'Win Methods'!$C$4:$F$379,4,FALSE)</f>
        <v>0</v>
      </c>
      <c r="V388" s="8"/>
      <c r="W388" s="7">
        <f>VLOOKUP(V388,'Win Methods'!$C$4:$F$379,4,FALSE)</f>
        <v>0</v>
      </c>
      <c r="X388" s="117" t="str">
        <f t="shared" si="13"/>
        <v>bonusA-9|||||||||</v>
      </c>
    </row>
    <row r="389" spans="2:24" ht="13.95" customHeight="1">
      <c r="B389" s="116">
        <v>386</v>
      </c>
      <c r="C389" s="7">
        <f t="shared" si="12"/>
        <v>100</v>
      </c>
      <c r="D389" s="108" t="s">
        <v>134</v>
      </c>
      <c r="E389" s="7">
        <f>VLOOKUP(D389,'Win Methods'!$C$4:$F$379,4,FALSE)</f>
        <v>100</v>
      </c>
      <c r="F389" s="8"/>
      <c r="G389" s="7">
        <f>VLOOKUP(F389,'Win Methods'!$C$4:$F$379,4,FALSE)</f>
        <v>0</v>
      </c>
      <c r="H389" s="8"/>
      <c r="I389" s="7">
        <f>VLOOKUP(H389,'Win Methods'!$C$4:$F$379,4,FALSE)</f>
        <v>0</v>
      </c>
      <c r="J389" s="8"/>
      <c r="K389" s="7">
        <f>VLOOKUP(J389,'Win Methods'!$C$4:$F$379,4,FALSE)</f>
        <v>0</v>
      </c>
      <c r="L389" s="8"/>
      <c r="M389" s="7">
        <f>VLOOKUP(L389,'Win Methods'!$C$4:$F$379,4,FALSE)</f>
        <v>0</v>
      </c>
      <c r="N389" s="8"/>
      <c r="O389" s="7">
        <f>VLOOKUP(N389,'Win Methods'!$C$4:$F$379,4,FALSE)</f>
        <v>0</v>
      </c>
      <c r="P389" s="8"/>
      <c r="Q389" s="7">
        <f>VLOOKUP(P389,'Win Methods'!$C$4:$F$379,4,FALSE)</f>
        <v>0</v>
      </c>
      <c r="R389" s="8"/>
      <c r="S389" s="7">
        <f>VLOOKUP(R389,'Win Methods'!$C$4:$F$379,4,FALSE)</f>
        <v>0</v>
      </c>
      <c r="T389" s="8"/>
      <c r="U389" s="7">
        <f>VLOOKUP(T389,'Win Methods'!$C$4:$F$379,4,FALSE)</f>
        <v>0</v>
      </c>
      <c r="V389" s="8"/>
      <c r="W389" s="7">
        <f>VLOOKUP(V389,'Win Methods'!$C$4:$F$379,4,FALSE)</f>
        <v>0</v>
      </c>
      <c r="X389" s="117" t="str">
        <f t="shared" si="13"/>
        <v>bonusA-10|||||||||</v>
      </c>
    </row>
    <row r="390" spans="2:24" ht="13.95" customHeight="1">
      <c r="B390" s="116">
        <v>387</v>
      </c>
      <c r="C390" s="7">
        <f t="shared" si="12"/>
        <v>3</v>
      </c>
      <c r="D390" s="211" t="s">
        <v>135</v>
      </c>
      <c r="E390" s="7">
        <f>VLOOKUP(D390,'Win Methods'!$C$4:$F$379,4,FALSE)</f>
        <v>3</v>
      </c>
      <c r="F390" s="8"/>
      <c r="G390" s="7">
        <f>VLOOKUP(F390,'Win Methods'!$C$4:$F$379,4,FALSE)</f>
        <v>0</v>
      </c>
      <c r="H390" s="8"/>
      <c r="I390" s="7">
        <f>VLOOKUP(H390,'Win Methods'!$C$4:$F$379,4,FALSE)</f>
        <v>0</v>
      </c>
      <c r="J390" s="8"/>
      <c r="K390" s="7">
        <f>VLOOKUP(J390,'Win Methods'!$C$4:$F$379,4,FALSE)</f>
        <v>0</v>
      </c>
      <c r="L390" s="8"/>
      <c r="M390" s="7">
        <f>VLOOKUP(L390,'Win Methods'!$C$4:$F$379,4,FALSE)</f>
        <v>0</v>
      </c>
      <c r="N390" s="8"/>
      <c r="O390" s="7">
        <f>VLOOKUP(N390,'Win Methods'!$C$4:$F$379,4,FALSE)</f>
        <v>0</v>
      </c>
      <c r="P390" s="8"/>
      <c r="Q390" s="7">
        <f>VLOOKUP(P390,'Win Methods'!$C$4:$F$379,4,FALSE)</f>
        <v>0</v>
      </c>
      <c r="R390" s="8"/>
      <c r="S390" s="7">
        <f>VLOOKUP(R390,'Win Methods'!$C$4:$F$379,4,FALSE)</f>
        <v>0</v>
      </c>
      <c r="T390" s="8"/>
      <c r="U390" s="7">
        <f>VLOOKUP(T390,'Win Methods'!$C$4:$F$379,4,FALSE)</f>
        <v>0</v>
      </c>
      <c r="V390" s="8"/>
      <c r="W390" s="7">
        <f>VLOOKUP(V390,'Win Methods'!$C$4:$F$379,4,FALSE)</f>
        <v>0</v>
      </c>
      <c r="X390" s="117" t="str">
        <f t="shared" si="13"/>
        <v>bonusB-0|||||||||</v>
      </c>
    </row>
    <row r="391" spans="2:24" ht="13.95" customHeight="1">
      <c r="B391" s="116">
        <v>388</v>
      </c>
      <c r="C391" s="7">
        <f t="shared" si="12"/>
        <v>5</v>
      </c>
      <c r="D391" s="211" t="s">
        <v>137</v>
      </c>
      <c r="E391" s="7">
        <f>VLOOKUP(D391,'Win Methods'!$C$4:$F$379,4,FALSE)</f>
        <v>5</v>
      </c>
      <c r="F391" s="8"/>
      <c r="G391" s="7">
        <f>VLOOKUP(F391,'Win Methods'!$C$4:$F$379,4,FALSE)</f>
        <v>0</v>
      </c>
      <c r="H391" s="8"/>
      <c r="I391" s="7">
        <f>VLOOKUP(H391,'Win Methods'!$C$4:$F$379,4,FALSE)</f>
        <v>0</v>
      </c>
      <c r="J391" s="8"/>
      <c r="K391" s="7">
        <f>VLOOKUP(J391,'Win Methods'!$C$4:$F$379,4,FALSE)</f>
        <v>0</v>
      </c>
      <c r="L391" s="8"/>
      <c r="M391" s="7">
        <f>VLOOKUP(L391,'Win Methods'!$C$4:$F$379,4,FALSE)</f>
        <v>0</v>
      </c>
      <c r="N391" s="8"/>
      <c r="O391" s="7">
        <f>VLOOKUP(N391,'Win Methods'!$C$4:$F$379,4,FALSE)</f>
        <v>0</v>
      </c>
      <c r="P391" s="8"/>
      <c r="Q391" s="7">
        <f>VLOOKUP(P391,'Win Methods'!$C$4:$F$379,4,FALSE)</f>
        <v>0</v>
      </c>
      <c r="R391" s="8"/>
      <c r="S391" s="7">
        <f>VLOOKUP(R391,'Win Methods'!$C$4:$F$379,4,FALSE)</f>
        <v>0</v>
      </c>
      <c r="T391" s="8"/>
      <c r="U391" s="7">
        <f>VLOOKUP(T391,'Win Methods'!$C$4:$F$379,4,FALSE)</f>
        <v>0</v>
      </c>
      <c r="V391" s="8"/>
      <c r="W391" s="7">
        <f>VLOOKUP(V391,'Win Methods'!$C$4:$F$379,4,FALSE)</f>
        <v>0</v>
      </c>
      <c r="X391" s="117" t="str">
        <f t="shared" si="13"/>
        <v>bonusB-1|||||||||</v>
      </c>
    </row>
    <row r="392" spans="2:24" ht="13.95" customHeight="1">
      <c r="B392" s="116">
        <v>389</v>
      </c>
      <c r="C392" s="7">
        <f t="shared" si="12"/>
        <v>8</v>
      </c>
      <c r="D392" s="211" t="s">
        <v>138</v>
      </c>
      <c r="E392" s="7">
        <f>VLOOKUP(D392,'Win Methods'!$C$4:$F$379,4,FALSE)</f>
        <v>8</v>
      </c>
      <c r="F392" s="8"/>
      <c r="G392" s="7">
        <f>VLOOKUP(F392,'Win Methods'!$C$4:$F$379,4,FALSE)</f>
        <v>0</v>
      </c>
      <c r="H392" s="8"/>
      <c r="I392" s="7">
        <f>VLOOKUP(H392,'Win Methods'!$C$4:$F$379,4,FALSE)</f>
        <v>0</v>
      </c>
      <c r="J392" s="8"/>
      <c r="K392" s="7">
        <f>VLOOKUP(J392,'Win Methods'!$C$4:$F$379,4,FALSE)</f>
        <v>0</v>
      </c>
      <c r="L392" s="8"/>
      <c r="M392" s="7">
        <f>VLOOKUP(L392,'Win Methods'!$C$4:$F$379,4,FALSE)</f>
        <v>0</v>
      </c>
      <c r="N392" s="8"/>
      <c r="O392" s="7">
        <f>VLOOKUP(N392,'Win Methods'!$C$4:$F$379,4,FALSE)</f>
        <v>0</v>
      </c>
      <c r="P392" s="8"/>
      <c r="Q392" s="7">
        <f>VLOOKUP(P392,'Win Methods'!$C$4:$F$379,4,FALSE)</f>
        <v>0</v>
      </c>
      <c r="R392" s="8"/>
      <c r="S392" s="7">
        <f>VLOOKUP(R392,'Win Methods'!$C$4:$F$379,4,FALSE)</f>
        <v>0</v>
      </c>
      <c r="T392" s="8"/>
      <c r="U392" s="7">
        <f>VLOOKUP(T392,'Win Methods'!$C$4:$F$379,4,FALSE)</f>
        <v>0</v>
      </c>
      <c r="V392" s="8"/>
      <c r="W392" s="7">
        <f>VLOOKUP(V392,'Win Methods'!$C$4:$F$379,4,FALSE)</f>
        <v>0</v>
      </c>
      <c r="X392" s="117" t="str">
        <f t="shared" si="13"/>
        <v>bonusB-2|||||||||</v>
      </c>
    </row>
    <row r="393" spans="2:24" ht="13.95" customHeight="1">
      <c r="B393" s="116">
        <v>390</v>
      </c>
      <c r="C393" s="7">
        <f t="shared" si="12"/>
        <v>10</v>
      </c>
      <c r="D393" s="211" t="s">
        <v>139</v>
      </c>
      <c r="E393" s="7">
        <f>VLOOKUP(D393,'Win Methods'!$C$4:$F$379,4,FALSE)</f>
        <v>10</v>
      </c>
      <c r="F393" s="8"/>
      <c r="G393" s="7">
        <f>VLOOKUP(F393,'Win Methods'!$C$4:$F$379,4,FALSE)</f>
        <v>0</v>
      </c>
      <c r="H393" s="8"/>
      <c r="I393" s="7">
        <f>VLOOKUP(H393,'Win Methods'!$C$4:$F$379,4,FALSE)</f>
        <v>0</v>
      </c>
      <c r="J393" s="8"/>
      <c r="K393" s="7">
        <f>VLOOKUP(J393,'Win Methods'!$C$4:$F$379,4,FALSE)</f>
        <v>0</v>
      </c>
      <c r="L393" s="8"/>
      <c r="M393" s="7">
        <f>VLOOKUP(L393,'Win Methods'!$C$4:$F$379,4,FALSE)</f>
        <v>0</v>
      </c>
      <c r="N393" s="8"/>
      <c r="O393" s="7">
        <f>VLOOKUP(N393,'Win Methods'!$C$4:$F$379,4,FALSE)</f>
        <v>0</v>
      </c>
      <c r="P393" s="8"/>
      <c r="Q393" s="7">
        <f>VLOOKUP(P393,'Win Methods'!$C$4:$F$379,4,FALSE)</f>
        <v>0</v>
      </c>
      <c r="R393" s="8"/>
      <c r="S393" s="7">
        <f>VLOOKUP(R393,'Win Methods'!$C$4:$F$379,4,FALSE)</f>
        <v>0</v>
      </c>
      <c r="T393" s="8"/>
      <c r="U393" s="7">
        <f>VLOOKUP(T393,'Win Methods'!$C$4:$F$379,4,FALSE)</f>
        <v>0</v>
      </c>
      <c r="V393" s="8"/>
      <c r="W393" s="7">
        <f>VLOOKUP(V393,'Win Methods'!$C$4:$F$379,4,FALSE)</f>
        <v>0</v>
      </c>
      <c r="X393" s="117" t="str">
        <f t="shared" si="13"/>
        <v>bonusB-3|||||||||</v>
      </c>
    </row>
    <row r="394" spans="2:24" ht="13.95" customHeight="1">
      <c r="B394" s="116">
        <v>391</v>
      </c>
      <c r="C394" s="7">
        <f t="shared" si="12"/>
        <v>12</v>
      </c>
      <c r="D394" s="211" t="s">
        <v>140</v>
      </c>
      <c r="E394" s="7">
        <f>VLOOKUP(D394,'Win Methods'!$C$4:$F$379,4,FALSE)</f>
        <v>12</v>
      </c>
      <c r="F394" s="8"/>
      <c r="G394" s="7">
        <f>VLOOKUP(F394,'Win Methods'!$C$4:$F$379,4,FALSE)</f>
        <v>0</v>
      </c>
      <c r="H394" s="8"/>
      <c r="I394" s="7">
        <f>VLOOKUP(H394,'Win Methods'!$C$4:$F$379,4,FALSE)</f>
        <v>0</v>
      </c>
      <c r="J394" s="8"/>
      <c r="K394" s="7">
        <f>VLOOKUP(J394,'Win Methods'!$C$4:$F$379,4,FALSE)</f>
        <v>0</v>
      </c>
      <c r="L394" s="8"/>
      <c r="M394" s="7">
        <f>VLOOKUP(L394,'Win Methods'!$C$4:$F$379,4,FALSE)</f>
        <v>0</v>
      </c>
      <c r="N394" s="8"/>
      <c r="O394" s="7">
        <f>VLOOKUP(N394,'Win Methods'!$C$4:$F$379,4,FALSE)</f>
        <v>0</v>
      </c>
      <c r="P394" s="8"/>
      <c r="Q394" s="7">
        <f>VLOOKUP(P394,'Win Methods'!$C$4:$F$379,4,FALSE)</f>
        <v>0</v>
      </c>
      <c r="R394" s="8"/>
      <c r="S394" s="7">
        <f>VLOOKUP(R394,'Win Methods'!$C$4:$F$379,4,FALSE)</f>
        <v>0</v>
      </c>
      <c r="T394" s="8"/>
      <c r="U394" s="7">
        <f>VLOOKUP(T394,'Win Methods'!$C$4:$F$379,4,FALSE)</f>
        <v>0</v>
      </c>
      <c r="V394" s="8"/>
      <c r="W394" s="7">
        <f>VLOOKUP(V394,'Win Methods'!$C$4:$F$379,4,FALSE)</f>
        <v>0</v>
      </c>
      <c r="X394" s="117" t="str">
        <f t="shared" si="13"/>
        <v>bonusB-4|||||||||</v>
      </c>
    </row>
    <row r="395" spans="2:24" ht="13.95" customHeight="1">
      <c r="B395" s="116">
        <v>392</v>
      </c>
      <c r="C395" s="7">
        <f t="shared" si="12"/>
        <v>15</v>
      </c>
      <c r="D395" s="211" t="s">
        <v>141</v>
      </c>
      <c r="E395" s="7">
        <f>VLOOKUP(D395,'Win Methods'!$C$4:$F$379,4,FALSE)</f>
        <v>15</v>
      </c>
      <c r="F395" s="8"/>
      <c r="G395" s="7">
        <f>VLOOKUP(F395,'Win Methods'!$C$4:$F$379,4,FALSE)</f>
        <v>0</v>
      </c>
      <c r="H395" s="8"/>
      <c r="I395" s="7">
        <f>VLOOKUP(H395,'Win Methods'!$C$4:$F$379,4,FALSE)</f>
        <v>0</v>
      </c>
      <c r="J395" s="8"/>
      <c r="K395" s="7">
        <f>VLOOKUP(J395,'Win Methods'!$C$4:$F$379,4,FALSE)</f>
        <v>0</v>
      </c>
      <c r="L395" s="8"/>
      <c r="M395" s="7">
        <f>VLOOKUP(L395,'Win Methods'!$C$4:$F$379,4,FALSE)</f>
        <v>0</v>
      </c>
      <c r="N395" s="8"/>
      <c r="O395" s="7">
        <f>VLOOKUP(N395,'Win Methods'!$C$4:$F$379,4,FALSE)</f>
        <v>0</v>
      </c>
      <c r="P395" s="8"/>
      <c r="Q395" s="7">
        <f>VLOOKUP(P395,'Win Methods'!$C$4:$F$379,4,FALSE)</f>
        <v>0</v>
      </c>
      <c r="R395" s="8"/>
      <c r="S395" s="7">
        <f>VLOOKUP(R395,'Win Methods'!$C$4:$F$379,4,FALSE)</f>
        <v>0</v>
      </c>
      <c r="T395" s="8"/>
      <c r="U395" s="7">
        <f>VLOOKUP(T395,'Win Methods'!$C$4:$F$379,4,FALSE)</f>
        <v>0</v>
      </c>
      <c r="V395" s="8"/>
      <c r="W395" s="7">
        <f>VLOOKUP(V395,'Win Methods'!$C$4:$F$379,4,FALSE)</f>
        <v>0</v>
      </c>
      <c r="X395" s="117" t="str">
        <f t="shared" si="13"/>
        <v>bonusB-5|||||||||</v>
      </c>
    </row>
    <row r="396" spans="2:24" ht="13.95" customHeight="1">
      <c r="B396" s="116">
        <v>393</v>
      </c>
      <c r="C396" s="7">
        <f t="shared" si="12"/>
        <v>20</v>
      </c>
      <c r="D396" s="211" t="s">
        <v>142</v>
      </c>
      <c r="E396" s="7">
        <f>VLOOKUP(D396,'Win Methods'!$C$4:$F$379,4,FALSE)</f>
        <v>20</v>
      </c>
      <c r="F396" s="8"/>
      <c r="G396" s="7">
        <f>VLOOKUP(F396,'Win Methods'!$C$4:$F$379,4,FALSE)</f>
        <v>0</v>
      </c>
      <c r="H396" s="8"/>
      <c r="I396" s="7">
        <f>VLOOKUP(H396,'Win Methods'!$C$4:$F$379,4,FALSE)</f>
        <v>0</v>
      </c>
      <c r="J396" s="8"/>
      <c r="K396" s="7">
        <f>VLOOKUP(J396,'Win Methods'!$C$4:$F$379,4,FALSE)</f>
        <v>0</v>
      </c>
      <c r="L396" s="8"/>
      <c r="M396" s="7">
        <f>VLOOKUP(L396,'Win Methods'!$C$4:$F$379,4,FALSE)</f>
        <v>0</v>
      </c>
      <c r="N396" s="8"/>
      <c r="O396" s="7">
        <f>VLOOKUP(N396,'Win Methods'!$C$4:$F$379,4,FALSE)</f>
        <v>0</v>
      </c>
      <c r="P396" s="8"/>
      <c r="Q396" s="7">
        <f>VLOOKUP(P396,'Win Methods'!$C$4:$F$379,4,FALSE)</f>
        <v>0</v>
      </c>
      <c r="R396" s="8"/>
      <c r="S396" s="7">
        <f>VLOOKUP(R396,'Win Methods'!$C$4:$F$379,4,FALSE)</f>
        <v>0</v>
      </c>
      <c r="T396" s="8"/>
      <c r="U396" s="7">
        <f>VLOOKUP(T396,'Win Methods'!$C$4:$F$379,4,FALSE)</f>
        <v>0</v>
      </c>
      <c r="V396" s="8"/>
      <c r="W396" s="7">
        <f>VLOOKUP(V396,'Win Methods'!$C$4:$F$379,4,FALSE)</f>
        <v>0</v>
      </c>
      <c r="X396" s="117" t="str">
        <f t="shared" si="13"/>
        <v>bonusB-6|||||||||</v>
      </c>
    </row>
    <row r="397" spans="2:24" ht="13.95" customHeight="1">
      <c r="B397" s="116">
        <v>394</v>
      </c>
      <c r="C397" s="7">
        <f t="shared" si="12"/>
        <v>25</v>
      </c>
      <c r="D397" s="211" t="s">
        <v>143</v>
      </c>
      <c r="E397" s="7">
        <f>VLOOKUP(D397,'Win Methods'!$C$4:$F$379,4,FALSE)</f>
        <v>25</v>
      </c>
      <c r="F397" s="8"/>
      <c r="G397" s="7">
        <f>VLOOKUP(F397,'Win Methods'!$C$4:$F$379,4,FALSE)</f>
        <v>0</v>
      </c>
      <c r="H397" s="8"/>
      <c r="I397" s="7">
        <f>VLOOKUP(H397,'Win Methods'!$C$4:$F$379,4,FALSE)</f>
        <v>0</v>
      </c>
      <c r="J397" s="8"/>
      <c r="K397" s="7">
        <f>VLOOKUP(J397,'Win Methods'!$C$4:$F$379,4,FALSE)</f>
        <v>0</v>
      </c>
      <c r="L397" s="8"/>
      <c r="M397" s="7">
        <f>VLOOKUP(L397,'Win Methods'!$C$4:$F$379,4,FALSE)</f>
        <v>0</v>
      </c>
      <c r="N397" s="8"/>
      <c r="O397" s="7">
        <f>VLOOKUP(N397,'Win Methods'!$C$4:$F$379,4,FALSE)</f>
        <v>0</v>
      </c>
      <c r="P397" s="8"/>
      <c r="Q397" s="7">
        <f>VLOOKUP(P397,'Win Methods'!$C$4:$F$379,4,FALSE)</f>
        <v>0</v>
      </c>
      <c r="R397" s="8"/>
      <c r="S397" s="7">
        <f>VLOOKUP(R397,'Win Methods'!$C$4:$F$379,4,FALSE)</f>
        <v>0</v>
      </c>
      <c r="T397" s="8"/>
      <c r="U397" s="7">
        <f>VLOOKUP(T397,'Win Methods'!$C$4:$F$379,4,FALSE)</f>
        <v>0</v>
      </c>
      <c r="V397" s="8"/>
      <c r="W397" s="7">
        <f>VLOOKUP(V397,'Win Methods'!$C$4:$F$379,4,FALSE)</f>
        <v>0</v>
      </c>
      <c r="X397" s="117" t="str">
        <f t="shared" si="13"/>
        <v>bonusB-7|||||||||</v>
      </c>
    </row>
    <row r="398" spans="2:24" ht="13.95" customHeight="1">
      <c r="B398" s="116">
        <v>395</v>
      </c>
      <c r="C398" s="7">
        <f t="shared" si="12"/>
        <v>30</v>
      </c>
      <c r="D398" s="211" t="s">
        <v>144</v>
      </c>
      <c r="E398" s="7">
        <f>VLOOKUP(D398,'Win Methods'!$C$4:$F$379,4,FALSE)</f>
        <v>30</v>
      </c>
      <c r="F398" s="8"/>
      <c r="G398" s="7">
        <f>VLOOKUP(F398,'Win Methods'!$C$4:$F$379,4,FALSE)</f>
        <v>0</v>
      </c>
      <c r="H398" s="8"/>
      <c r="I398" s="7">
        <f>VLOOKUP(H398,'Win Methods'!$C$4:$F$379,4,FALSE)</f>
        <v>0</v>
      </c>
      <c r="J398" s="8"/>
      <c r="K398" s="7">
        <f>VLOOKUP(J398,'Win Methods'!$C$4:$F$379,4,FALSE)</f>
        <v>0</v>
      </c>
      <c r="L398" s="8"/>
      <c r="M398" s="7">
        <f>VLOOKUP(L398,'Win Methods'!$C$4:$F$379,4,FALSE)</f>
        <v>0</v>
      </c>
      <c r="N398" s="8"/>
      <c r="O398" s="7">
        <f>VLOOKUP(N398,'Win Methods'!$C$4:$F$379,4,FALSE)</f>
        <v>0</v>
      </c>
      <c r="P398" s="8"/>
      <c r="Q398" s="7">
        <f>VLOOKUP(P398,'Win Methods'!$C$4:$F$379,4,FALSE)</f>
        <v>0</v>
      </c>
      <c r="R398" s="8"/>
      <c r="S398" s="7">
        <f>VLOOKUP(R398,'Win Methods'!$C$4:$F$379,4,FALSE)</f>
        <v>0</v>
      </c>
      <c r="T398" s="8"/>
      <c r="U398" s="7">
        <f>VLOOKUP(T398,'Win Methods'!$C$4:$F$379,4,FALSE)</f>
        <v>0</v>
      </c>
      <c r="V398" s="8"/>
      <c r="W398" s="7">
        <f>VLOOKUP(V398,'Win Methods'!$C$4:$F$379,4,FALSE)</f>
        <v>0</v>
      </c>
      <c r="X398" s="117" t="str">
        <f t="shared" si="13"/>
        <v>bonusB-8|||||||||</v>
      </c>
    </row>
    <row r="399" spans="2:24" ht="13.95" customHeight="1">
      <c r="B399" s="116">
        <v>396</v>
      </c>
      <c r="C399" s="7">
        <f t="shared" si="12"/>
        <v>50</v>
      </c>
      <c r="D399" s="211" t="s">
        <v>145</v>
      </c>
      <c r="E399" s="7">
        <f>VLOOKUP(D399,'Win Methods'!$C$4:$F$379,4,FALSE)</f>
        <v>50</v>
      </c>
      <c r="F399" s="8"/>
      <c r="G399" s="7">
        <f>VLOOKUP(F399,'Win Methods'!$C$4:$F$379,4,FALSE)</f>
        <v>0</v>
      </c>
      <c r="H399" s="8"/>
      <c r="I399" s="7">
        <f>VLOOKUP(H399,'Win Methods'!$C$4:$F$379,4,FALSE)</f>
        <v>0</v>
      </c>
      <c r="J399" s="8"/>
      <c r="K399" s="7">
        <f>VLOOKUP(J399,'Win Methods'!$C$4:$F$379,4,FALSE)</f>
        <v>0</v>
      </c>
      <c r="L399" s="8"/>
      <c r="M399" s="7">
        <f>VLOOKUP(L399,'Win Methods'!$C$4:$F$379,4,FALSE)</f>
        <v>0</v>
      </c>
      <c r="N399" s="8"/>
      <c r="O399" s="7">
        <f>VLOOKUP(N399,'Win Methods'!$C$4:$F$379,4,FALSE)</f>
        <v>0</v>
      </c>
      <c r="P399" s="8"/>
      <c r="Q399" s="7">
        <f>VLOOKUP(P399,'Win Methods'!$C$4:$F$379,4,FALSE)</f>
        <v>0</v>
      </c>
      <c r="R399" s="8"/>
      <c r="S399" s="7">
        <f>VLOOKUP(R399,'Win Methods'!$C$4:$F$379,4,FALSE)</f>
        <v>0</v>
      </c>
      <c r="T399" s="8"/>
      <c r="U399" s="7">
        <f>VLOOKUP(T399,'Win Methods'!$C$4:$F$379,4,FALSE)</f>
        <v>0</v>
      </c>
      <c r="V399" s="8"/>
      <c r="W399" s="7">
        <f>VLOOKUP(V399,'Win Methods'!$C$4:$F$379,4,FALSE)</f>
        <v>0</v>
      </c>
      <c r="X399" s="117" t="str">
        <f t="shared" si="13"/>
        <v>bonusB-9|||||||||</v>
      </c>
    </row>
    <row r="400" spans="2:24" ht="13.95" customHeight="1">
      <c r="B400" s="116">
        <v>397</v>
      </c>
      <c r="C400" s="7">
        <f t="shared" si="12"/>
        <v>100</v>
      </c>
      <c r="D400" s="211" t="s">
        <v>146</v>
      </c>
      <c r="E400" s="7">
        <f>VLOOKUP(D400,'Win Methods'!$C$4:$F$379,4,FALSE)</f>
        <v>100</v>
      </c>
      <c r="F400" s="8"/>
      <c r="G400" s="7">
        <f>VLOOKUP(F400,'Win Methods'!$C$4:$F$379,4,FALSE)</f>
        <v>0</v>
      </c>
      <c r="H400" s="8"/>
      <c r="I400" s="7">
        <f>VLOOKUP(H400,'Win Methods'!$C$4:$F$379,4,FALSE)</f>
        <v>0</v>
      </c>
      <c r="J400" s="8"/>
      <c r="K400" s="7">
        <f>VLOOKUP(J400,'Win Methods'!$C$4:$F$379,4,FALSE)</f>
        <v>0</v>
      </c>
      <c r="L400" s="8"/>
      <c r="M400" s="7">
        <f>VLOOKUP(L400,'Win Methods'!$C$4:$F$379,4,FALSE)</f>
        <v>0</v>
      </c>
      <c r="N400" s="8"/>
      <c r="O400" s="7">
        <f>VLOOKUP(N400,'Win Methods'!$C$4:$F$379,4,FALSE)</f>
        <v>0</v>
      </c>
      <c r="P400" s="8"/>
      <c r="Q400" s="7">
        <f>VLOOKUP(P400,'Win Methods'!$C$4:$F$379,4,FALSE)</f>
        <v>0</v>
      </c>
      <c r="R400" s="8"/>
      <c r="S400" s="7">
        <f>VLOOKUP(R400,'Win Methods'!$C$4:$F$379,4,FALSE)</f>
        <v>0</v>
      </c>
      <c r="T400" s="8"/>
      <c r="U400" s="7">
        <f>VLOOKUP(T400,'Win Methods'!$C$4:$F$379,4,FALSE)</f>
        <v>0</v>
      </c>
      <c r="V400" s="8"/>
      <c r="W400" s="7">
        <f>VLOOKUP(V400,'Win Methods'!$C$4:$F$379,4,FALSE)</f>
        <v>0</v>
      </c>
      <c r="X400" s="117" t="str">
        <f t="shared" si="13"/>
        <v>bonusB-10|||||||||</v>
      </c>
    </row>
    <row r="401" spans="2:24" ht="13.95" customHeight="1">
      <c r="B401" s="116">
        <v>398</v>
      </c>
      <c r="C401" s="7">
        <f t="shared" si="12"/>
        <v>3</v>
      </c>
      <c r="D401" s="223" t="s">
        <v>147</v>
      </c>
      <c r="E401" s="7">
        <f>VLOOKUP(D401,'Win Methods'!$C$4:$F$379,4,FALSE)</f>
        <v>3</v>
      </c>
      <c r="F401" s="8"/>
      <c r="G401" s="7">
        <f>VLOOKUP(F401,'Win Methods'!$C$4:$F$379,4,FALSE)</f>
        <v>0</v>
      </c>
      <c r="H401" s="8"/>
      <c r="I401" s="7">
        <f>VLOOKUP(H401,'Win Methods'!$C$4:$F$379,4,FALSE)</f>
        <v>0</v>
      </c>
      <c r="J401" s="8"/>
      <c r="K401" s="7">
        <f>VLOOKUP(J401,'Win Methods'!$C$4:$F$379,4,FALSE)</f>
        <v>0</v>
      </c>
      <c r="L401" s="8"/>
      <c r="M401" s="7">
        <f>VLOOKUP(L401,'Win Methods'!$C$4:$F$379,4,FALSE)</f>
        <v>0</v>
      </c>
      <c r="N401" s="8"/>
      <c r="O401" s="7">
        <f>VLOOKUP(N401,'Win Methods'!$C$4:$F$379,4,FALSE)</f>
        <v>0</v>
      </c>
      <c r="P401" s="8"/>
      <c r="Q401" s="7">
        <f>VLOOKUP(P401,'Win Methods'!$C$4:$F$379,4,FALSE)</f>
        <v>0</v>
      </c>
      <c r="R401" s="8"/>
      <c r="S401" s="7">
        <f>VLOOKUP(R401,'Win Methods'!$C$4:$F$379,4,FALSE)</f>
        <v>0</v>
      </c>
      <c r="T401" s="8"/>
      <c r="U401" s="7">
        <f>VLOOKUP(T401,'Win Methods'!$C$4:$F$379,4,FALSE)</f>
        <v>0</v>
      </c>
      <c r="V401" s="8"/>
      <c r="W401" s="7">
        <f>VLOOKUP(V401,'Win Methods'!$C$4:$F$379,4,FALSE)</f>
        <v>0</v>
      </c>
      <c r="X401" s="117" t="str">
        <f t="shared" si="13"/>
        <v>bonusC-0|||||||||</v>
      </c>
    </row>
    <row r="402" spans="2:24" ht="13.95" customHeight="1">
      <c r="B402" s="116">
        <v>399</v>
      </c>
      <c r="C402" s="7">
        <f t="shared" si="12"/>
        <v>5</v>
      </c>
      <c r="D402" s="223" t="s">
        <v>149</v>
      </c>
      <c r="E402" s="7">
        <f>VLOOKUP(D402,'Win Methods'!$C$4:$F$379,4,FALSE)</f>
        <v>5</v>
      </c>
      <c r="F402" s="8"/>
      <c r="G402" s="7">
        <f>VLOOKUP(F402,'Win Methods'!$C$4:$F$379,4,FALSE)</f>
        <v>0</v>
      </c>
      <c r="H402" s="8"/>
      <c r="I402" s="7">
        <f>VLOOKUP(H402,'Win Methods'!$C$4:$F$379,4,FALSE)</f>
        <v>0</v>
      </c>
      <c r="J402" s="8"/>
      <c r="K402" s="7">
        <f>VLOOKUP(J402,'Win Methods'!$C$4:$F$379,4,FALSE)</f>
        <v>0</v>
      </c>
      <c r="L402" s="8"/>
      <c r="M402" s="7">
        <f>VLOOKUP(L402,'Win Methods'!$C$4:$F$379,4,FALSE)</f>
        <v>0</v>
      </c>
      <c r="N402" s="8"/>
      <c r="O402" s="7">
        <f>VLOOKUP(N402,'Win Methods'!$C$4:$F$379,4,FALSE)</f>
        <v>0</v>
      </c>
      <c r="P402" s="8"/>
      <c r="Q402" s="7">
        <f>VLOOKUP(P402,'Win Methods'!$C$4:$F$379,4,FALSE)</f>
        <v>0</v>
      </c>
      <c r="R402" s="8"/>
      <c r="S402" s="7">
        <f>VLOOKUP(R402,'Win Methods'!$C$4:$F$379,4,FALSE)</f>
        <v>0</v>
      </c>
      <c r="T402" s="8"/>
      <c r="U402" s="7">
        <f>VLOOKUP(T402,'Win Methods'!$C$4:$F$379,4,FALSE)</f>
        <v>0</v>
      </c>
      <c r="V402" s="8"/>
      <c r="W402" s="7">
        <f>VLOOKUP(V402,'Win Methods'!$C$4:$F$379,4,FALSE)</f>
        <v>0</v>
      </c>
      <c r="X402" s="117" t="str">
        <f t="shared" si="13"/>
        <v>bonusC-1|||||||||</v>
      </c>
    </row>
    <row r="403" spans="2:24" ht="13.95" customHeight="1">
      <c r="B403" s="116">
        <v>400</v>
      </c>
      <c r="C403" s="7">
        <f t="shared" si="12"/>
        <v>8</v>
      </c>
      <c r="D403" s="223" t="s">
        <v>150</v>
      </c>
      <c r="E403" s="7">
        <f>VLOOKUP(D403,'Win Methods'!$C$4:$F$379,4,FALSE)</f>
        <v>8</v>
      </c>
      <c r="F403" s="8"/>
      <c r="G403" s="7">
        <f>VLOOKUP(F403,'Win Methods'!$C$4:$F$379,4,FALSE)</f>
        <v>0</v>
      </c>
      <c r="H403" s="8"/>
      <c r="I403" s="7">
        <f>VLOOKUP(H403,'Win Methods'!$C$4:$F$379,4,FALSE)</f>
        <v>0</v>
      </c>
      <c r="J403" s="8"/>
      <c r="K403" s="7">
        <f>VLOOKUP(J403,'Win Methods'!$C$4:$F$379,4,FALSE)</f>
        <v>0</v>
      </c>
      <c r="L403" s="8"/>
      <c r="M403" s="7">
        <f>VLOOKUP(L403,'Win Methods'!$C$4:$F$379,4,FALSE)</f>
        <v>0</v>
      </c>
      <c r="N403" s="8"/>
      <c r="O403" s="7">
        <f>VLOOKUP(N403,'Win Methods'!$C$4:$F$379,4,FALSE)</f>
        <v>0</v>
      </c>
      <c r="P403" s="8"/>
      <c r="Q403" s="7">
        <f>VLOOKUP(P403,'Win Methods'!$C$4:$F$379,4,FALSE)</f>
        <v>0</v>
      </c>
      <c r="R403" s="8"/>
      <c r="S403" s="7">
        <f>VLOOKUP(R403,'Win Methods'!$C$4:$F$379,4,FALSE)</f>
        <v>0</v>
      </c>
      <c r="T403" s="8"/>
      <c r="U403" s="7">
        <f>VLOOKUP(T403,'Win Methods'!$C$4:$F$379,4,FALSE)</f>
        <v>0</v>
      </c>
      <c r="V403" s="8"/>
      <c r="W403" s="7">
        <f>VLOOKUP(V403,'Win Methods'!$C$4:$F$379,4,FALSE)</f>
        <v>0</v>
      </c>
      <c r="X403" s="117" t="str">
        <f t="shared" si="13"/>
        <v>bonusC-2|||||||||</v>
      </c>
    </row>
    <row r="404" spans="2:24" ht="13.95" customHeight="1">
      <c r="B404" s="116">
        <v>401</v>
      </c>
      <c r="C404" s="7">
        <f t="shared" si="12"/>
        <v>10</v>
      </c>
      <c r="D404" s="223" t="s">
        <v>151</v>
      </c>
      <c r="E404" s="7">
        <f>VLOOKUP(D404,'Win Methods'!$C$4:$F$379,4,FALSE)</f>
        <v>10</v>
      </c>
      <c r="F404" s="8"/>
      <c r="G404" s="7">
        <f>VLOOKUP(F404,'Win Methods'!$C$4:$F$379,4,FALSE)</f>
        <v>0</v>
      </c>
      <c r="H404" s="8"/>
      <c r="I404" s="7">
        <f>VLOOKUP(H404,'Win Methods'!$C$4:$F$379,4,FALSE)</f>
        <v>0</v>
      </c>
      <c r="J404" s="8"/>
      <c r="K404" s="7">
        <f>VLOOKUP(J404,'Win Methods'!$C$4:$F$379,4,FALSE)</f>
        <v>0</v>
      </c>
      <c r="L404" s="8"/>
      <c r="M404" s="7">
        <f>VLOOKUP(L404,'Win Methods'!$C$4:$F$379,4,FALSE)</f>
        <v>0</v>
      </c>
      <c r="N404" s="8"/>
      <c r="O404" s="7">
        <f>VLOOKUP(N404,'Win Methods'!$C$4:$F$379,4,FALSE)</f>
        <v>0</v>
      </c>
      <c r="P404" s="8"/>
      <c r="Q404" s="7">
        <f>VLOOKUP(P404,'Win Methods'!$C$4:$F$379,4,FALSE)</f>
        <v>0</v>
      </c>
      <c r="R404" s="8"/>
      <c r="S404" s="7">
        <f>VLOOKUP(R404,'Win Methods'!$C$4:$F$379,4,FALSE)</f>
        <v>0</v>
      </c>
      <c r="T404" s="8"/>
      <c r="U404" s="7">
        <f>VLOOKUP(T404,'Win Methods'!$C$4:$F$379,4,FALSE)</f>
        <v>0</v>
      </c>
      <c r="V404" s="8"/>
      <c r="W404" s="7">
        <f>VLOOKUP(V404,'Win Methods'!$C$4:$F$379,4,FALSE)</f>
        <v>0</v>
      </c>
      <c r="X404" s="117" t="str">
        <f t="shared" si="13"/>
        <v>bonusC-3|||||||||</v>
      </c>
    </row>
    <row r="405" spans="2:24" ht="13.95" customHeight="1">
      <c r="B405" s="116">
        <v>402</v>
      </c>
      <c r="C405" s="7">
        <f t="shared" si="12"/>
        <v>12</v>
      </c>
      <c r="D405" s="223" t="s">
        <v>152</v>
      </c>
      <c r="E405" s="7">
        <f>VLOOKUP(D405,'Win Methods'!$C$4:$F$379,4,FALSE)</f>
        <v>12</v>
      </c>
      <c r="F405" s="8"/>
      <c r="G405" s="7">
        <f>VLOOKUP(F405,'Win Methods'!$C$4:$F$379,4,FALSE)</f>
        <v>0</v>
      </c>
      <c r="H405" s="8"/>
      <c r="I405" s="7">
        <f>VLOOKUP(H405,'Win Methods'!$C$4:$F$379,4,FALSE)</f>
        <v>0</v>
      </c>
      <c r="J405" s="8"/>
      <c r="K405" s="7">
        <f>VLOOKUP(J405,'Win Methods'!$C$4:$F$379,4,FALSE)</f>
        <v>0</v>
      </c>
      <c r="L405" s="8"/>
      <c r="M405" s="7">
        <f>VLOOKUP(L405,'Win Methods'!$C$4:$F$379,4,FALSE)</f>
        <v>0</v>
      </c>
      <c r="N405" s="8"/>
      <c r="O405" s="7">
        <f>VLOOKUP(N405,'Win Methods'!$C$4:$F$379,4,FALSE)</f>
        <v>0</v>
      </c>
      <c r="P405" s="8"/>
      <c r="Q405" s="7">
        <f>VLOOKUP(P405,'Win Methods'!$C$4:$F$379,4,FALSE)</f>
        <v>0</v>
      </c>
      <c r="R405" s="8"/>
      <c r="S405" s="7">
        <f>VLOOKUP(R405,'Win Methods'!$C$4:$F$379,4,FALSE)</f>
        <v>0</v>
      </c>
      <c r="T405" s="8"/>
      <c r="U405" s="7">
        <f>VLOOKUP(T405,'Win Methods'!$C$4:$F$379,4,FALSE)</f>
        <v>0</v>
      </c>
      <c r="V405" s="8"/>
      <c r="W405" s="7">
        <f>VLOOKUP(V405,'Win Methods'!$C$4:$F$379,4,FALSE)</f>
        <v>0</v>
      </c>
      <c r="X405" s="117" t="str">
        <f t="shared" si="13"/>
        <v>bonusC-4|||||||||</v>
      </c>
    </row>
    <row r="406" spans="2:24" ht="13.95" customHeight="1">
      <c r="B406" s="116">
        <v>403</v>
      </c>
      <c r="C406" s="7">
        <f t="shared" si="12"/>
        <v>15</v>
      </c>
      <c r="D406" s="223" t="s">
        <v>153</v>
      </c>
      <c r="E406" s="7">
        <f>VLOOKUP(D406,'Win Methods'!$C$4:$F$379,4,FALSE)</f>
        <v>15</v>
      </c>
      <c r="F406" s="8"/>
      <c r="G406" s="7">
        <f>VLOOKUP(F406,'Win Methods'!$C$4:$F$379,4,FALSE)</f>
        <v>0</v>
      </c>
      <c r="H406" s="8"/>
      <c r="I406" s="7">
        <f>VLOOKUP(H406,'Win Methods'!$C$4:$F$379,4,FALSE)</f>
        <v>0</v>
      </c>
      <c r="J406" s="8"/>
      <c r="K406" s="7">
        <f>VLOOKUP(J406,'Win Methods'!$C$4:$F$379,4,FALSE)</f>
        <v>0</v>
      </c>
      <c r="L406" s="8"/>
      <c r="M406" s="7">
        <f>VLOOKUP(L406,'Win Methods'!$C$4:$F$379,4,FALSE)</f>
        <v>0</v>
      </c>
      <c r="N406" s="8"/>
      <c r="O406" s="7">
        <f>VLOOKUP(N406,'Win Methods'!$C$4:$F$379,4,FALSE)</f>
        <v>0</v>
      </c>
      <c r="P406" s="8"/>
      <c r="Q406" s="7">
        <f>VLOOKUP(P406,'Win Methods'!$C$4:$F$379,4,FALSE)</f>
        <v>0</v>
      </c>
      <c r="R406" s="8"/>
      <c r="S406" s="7">
        <f>VLOOKUP(R406,'Win Methods'!$C$4:$F$379,4,FALSE)</f>
        <v>0</v>
      </c>
      <c r="T406" s="8"/>
      <c r="U406" s="7">
        <f>VLOOKUP(T406,'Win Methods'!$C$4:$F$379,4,FALSE)</f>
        <v>0</v>
      </c>
      <c r="V406" s="8"/>
      <c r="W406" s="7">
        <f>VLOOKUP(V406,'Win Methods'!$C$4:$F$379,4,FALSE)</f>
        <v>0</v>
      </c>
      <c r="X406" s="117" t="str">
        <f t="shared" si="13"/>
        <v>bonusC-5|||||||||</v>
      </c>
    </row>
    <row r="407" spans="2:24" ht="13.95" customHeight="1">
      <c r="B407" s="116">
        <v>404</v>
      </c>
      <c r="C407" s="7">
        <f t="shared" si="12"/>
        <v>20</v>
      </c>
      <c r="D407" s="223" t="s">
        <v>154</v>
      </c>
      <c r="E407" s="7">
        <f>VLOOKUP(D407,'Win Methods'!$C$4:$F$379,4,FALSE)</f>
        <v>20</v>
      </c>
      <c r="F407" s="8"/>
      <c r="G407" s="7">
        <f>VLOOKUP(F407,'Win Methods'!$C$4:$F$379,4,FALSE)</f>
        <v>0</v>
      </c>
      <c r="H407" s="8"/>
      <c r="I407" s="7">
        <f>VLOOKUP(H407,'Win Methods'!$C$4:$F$379,4,FALSE)</f>
        <v>0</v>
      </c>
      <c r="J407" s="8"/>
      <c r="K407" s="7">
        <f>VLOOKUP(J407,'Win Methods'!$C$4:$F$379,4,FALSE)</f>
        <v>0</v>
      </c>
      <c r="L407" s="8"/>
      <c r="M407" s="7">
        <f>VLOOKUP(L407,'Win Methods'!$C$4:$F$379,4,FALSE)</f>
        <v>0</v>
      </c>
      <c r="N407" s="8"/>
      <c r="O407" s="7">
        <f>VLOOKUP(N407,'Win Methods'!$C$4:$F$379,4,FALSE)</f>
        <v>0</v>
      </c>
      <c r="P407" s="8"/>
      <c r="Q407" s="7">
        <f>VLOOKUP(P407,'Win Methods'!$C$4:$F$379,4,FALSE)</f>
        <v>0</v>
      </c>
      <c r="R407" s="8"/>
      <c r="S407" s="7">
        <f>VLOOKUP(R407,'Win Methods'!$C$4:$F$379,4,FALSE)</f>
        <v>0</v>
      </c>
      <c r="T407" s="8"/>
      <c r="U407" s="7">
        <f>VLOOKUP(T407,'Win Methods'!$C$4:$F$379,4,FALSE)</f>
        <v>0</v>
      </c>
      <c r="V407" s="8"/>
      <c r="W407" s="7">
        <f>VLOOKUP(V407,'Win Methods'!$C$4:$F$379,4,FALSE)</f>
        <v>0</v>
      </c>
      <c r="X407" s="117" t="str">
        <f t="shared" si="13"/>
        <v>bonusC-6|||||||||</v>
      </c>
    </row>
    <row r="408" spans="2:24" ht="13.95" customHeight="1">
      <c r="B408" s="116">
        <v>405</v>
      </c>
      <c r="C408" s="7">
        <f t="shared" si="12"/>
        <v>100</v>
      </c>
      <c r="D408" s="223" t="s">
        <v>155</v>
      </c>
      <c r="E408" s="7">
        <f>VLOOKUP(D408,'Win Methods'!$C$4:$F$379,4,FALSE)</f>
        <v>100</v>
      </c>
      <c r="F408" s="8"/>
      <c r="G408" s="7">
        <f>VLOOKUP(F408,'Win Methods'!$C$4:$F$379,4,FALSE)</f>
        <v>0</v>
      </c>
      <c r="H408" s="8"/>
      <c r="I408" s="7">
        <f>VLOOKUP(H408,'Win Methods'!$C$4:$F$379,4,FALSE)</f>
        <v>0</v>
      </c>
      <c r="J408" s="8"/>
      <c r="K408" s="7">
        <f>VLOOKUP(J408,'Win Methods'!$C$4:$F$379,4,FALSE)</f>
        <v>0</v>
      </c>
      <c r="L408" s="8"/>
      <c r="M408" s="7">
        <f>VLOOKUP(L408,'Win Methods'!$C$4:$F$379,4,FALSE)</f>
        <v>0</v>
      </c>
      <c r="N408" s="8"/>
      <c r="O408" s="7">
        <f>VLOOKUP(N408,'Win Methods'!$C$4:$F$379,4,FALSE)</f>
        <v>0</v>
      </c>
      <c r="P408" s="8"/>
      <c r="Q408" s="7">
        <f>VLOOKUP(P408,'Win Methods'!$C$4:$F$379,4,FALSE)</f>
        <v>0</v>
      </c>
      <c r="R408" s="8"/>
      <c r="S408" s="7">
        <f>VLOOKUP(R408,'Win Methods'!$C$4:$F$379,4,FALSE)</f>
        <v>0</v>
      </c>
      <c r="T408" s="8"/>
      <c r="U408" s="7">
        <f>VLOOKUP(T408,'Win Methods'!$C$4:$F$379,4,FALSE)</f>
        <v>0</v>
      </c>
      <c r="V408" s="8"/>
      <c r="W408" s="7">
        <f>VLOOKUP(V408,'Win Methods'!$C$4:$F$379,4,FALSE)</f>
        <v>0</v>
      </c>
      <c r="X408" s="117" t="str">
        <f t="shared" si="13"/>
        <v>bonusC-7|||||||||</v>
      </c>
    </row>
    <row r="409" spans="2:24" ht="13.95" customHeight="1">
      <c r="B409" s="116">
        <v>406</v>
      </c>
      <c r="C409" s="7">
        <f t="shared" si="12"/>
        <v>500</v>
      </c>
      <c r="D409" s="223" t="s">
        <v>156</v>
      </c>
      <c r="E409" s="7">
        <f>VLOOKUP(D409,'Win Methods'!$C$4:$F$379,4,FALSE)</f>
        <v>500</v>
      </c>
      <c r="F409" s="8"/>
      <c r="G409" s="7">
        <f>VLOOKUP(F409,'Win Methods'!$C$4:$F$379,4,FALSE)</f>
        <v>0</v>
      </c>
      <c r="H409" s="8"/>
      <c r="I409" s="7">
        <f>VLOOKUP(H409,'Win Methods'!$C$4:$F$379,4,FALSE)</f>
        <v>0</v>
      </c>
      <c r="J409" s="8"/>
      <c r="K409" s="7">
        <f>VLOOKUP(J409,'Win Methods'!$C$4:$F$379,4,FALSE)</f>
        <v>0</v>
      </c>
      <c r="L409" s="8"/>
      <c r="M409" s="7">
        <f>VLOOKUP(L409,'Win Methods'!$C$4:$F$379,4,FALSE)</f>
        <v>0</v>
      </c>
      <c r="N409" s="8"/>
      <c r="O409" s="7">
        <f>VLOOKUP(N409,'Win Methods'!$C$4:$F$379,4,FALSE)</f>
        <v>0</v>
      </c>
      <c r="P409" s="8"/>
      <c r="Q409" s="7">
        <f>VLOOKUP(P409,'Win Methods'!$C$4:$F$379,4,FALSE)</f>
        <v>0</v>
      </c>
      <c r="R409" s="8"/>
      <c r="S409" s="7">
        <f>VLOOKUP(R409,'Win Methods'!$C$4:$F$379,4,FALSE)</f>
        <v>0</v>
      </c>
      <c r="T409" s="8"/>
      <c r="U409" s="7">
        <f>VLOOKUP(T409,'Win Methods'!$C$4:$F$379,4,FALSE)</f>
        <v>0</v>
      </c>
      <c r="V409" s="8"/>
      <c r="W409" s="7">
        <f>VLOOKUP(V409,'Win Methods'!$C$4:$F$379,4,FALSE)</f>
        <v>0</v>
      </c>
      <c r="X409" s="117" t="str">
        <f t="shared" si="13"/>
        <v>bonusC-8|||||||||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H138"/>
  <sheetViews>
    <sheetView topLeftCell="A58" zoomScaleNormal="100" workbookViewId="0">
      <selection activeCell="J111" sqref="J111"/>
    </sheetView>
  </sheetViews>
  <sheetFormatPr defaultRowHeight="13.2"/>
  <cols>
    <col min="1" max="1" width="9.33203125" customWidth="1"/>
    <col min="2" max="2" width="8.88671875" style="13" customWidth="1"/>
    <col min="3" max="3" width="14.44140625" customWidth="1"/>
    <col min="4" max="4" width="10.33203125" customWidth="1"/>
    <col min="6" max="6" width="10.33203125" style="110" customWidth="1"/>
    <col min="7" max="7" width="16.88671875" customWidth="1"/>
    <col min="8" max="8" width="13.88671875" customWidth="1"/>
  </cols>
  <sheetData>
    <row r="2" spans="2:8">
      <c r="B2" s="110" t="s">
        <v>767</v>
      </c>
      <c r="C2" s="110"/>
      <c r="D2" s="110"/>
      <c r="E2" s="110"/>
      <c r="G2" s="110"/>
      <c r="H2" s="120"/>
    </row>
    <row r="3" spans="2:8">
      <c r="B3" s="120" t="s">
        <v>768</v>
      </c>
      <c r="C3" s="120" t="s">
        <v>1</v>
      </c>
      <c r="D3" s="120" t="s">
        <v>3</v>
      </c>
      <c r="E3" s="120" t="s">
        <v>769</v>
      </c>
      <c r="F3" s="120" t="s">
        <v>2</v>
      </c>
      <c r="G3" s="120" t="s">
        <v>770</v>
      </c>
      <c r="H3" s="120" t="s">
        <v>771</v>
      </c>
    </row>
    <row r="4" spans="2:8">
      <c r="B4" s="13" t="s">
        <v>772</v>
      </c>
      <c r="C4">
        <v>0</v>
      </c>
    </row>
    <row r="5" spans="2:8">
      <c r="B5" s="13">
        <v>1</v>
      </c>
      <c r="C5" t="s">
        <v>5</v>
      </c>
      <c r="D5" s="13" t="s">
        <v>6</v>
      </c>
      <c r="E5">
        <v>3</v>
      </c>
      <c r="F5" s="111">
        <f>VLOOKUP(D5,'Pay Table'!$C$3:$M$12,E5-1,FALSE)*G5*Frequency!$N$7</f>
        <v>0.1</v>
      </c>
      <c r="G5">
        <v>1</v>
      </c>
      <c r="H5" t="s">
        <v>7</v>
      </c>
    </row>
    <row r="6" spans="2:8">
      <c r="B6" s="13">
        <v>2</v>
      </c>
      <c r="C6" t="s">
        <v>8</v>
      </c>
      <c r="D6" s="13" t="s">
        <v>6</v>
      </c>
      <c r="E6">
        <v>4</v>
      </c>
      <c r="F6" s="111">
        <f>VLOOKUP(D6,'Pay Table'!$C$3:$M$12,E6-1,FALSE)*G6*Frequency!$N$7</f>
        <v>0.2</v>
      </c>
      <c r="G6">
        <v>1</v>
      </c>
      <c r="H6" t="s">
        <v>7</v>
      </c>
    </row>
    <row r="7" spans="2:8">
      <c r="B7" s="13">
        <v>3</v>
      </c>
      <c r="C7" t="s">
        <v>9</v>
      </c>
      <c r="D7" s="13" t="s">
        <v>6</v>
      </c>
      <c r="E7">
        <v>5</v>
      </c>
      <c r="F7" s="111">
        <f>VLOOKUP(D7,'Pay Table'!$C$3:$M$12,E7-1,FALSE)*G7*Frequency!$N$7</f>
        <v>0.5</v>
      </c>
      <c r="G7">
        <v>1</v>
      </c>
      <c r="H7" t="s">
        <v>7</v>
      </c>
    </row>
    <row r="8" spans="2:8">
      <c r="B8" s="13">
        <v>4</v>
      </c>
      <c r="C8" t="s">
        <v>10</v>
      </c>
      <c r="D8" s="13" t="s">
        <v>6</v>
      </c>
      <c r="E8">
        <v>6</v>
      </c>
      <c r="F8" s="111">
        <f>VLOOKUP(D8,'Pay Table'!$C$3:$M$12,E8-1,FALSE)*G8*Frequency!$N$7</f>
        <v>1</v>
      </c>
      <c r="G8">
        <v>1</v>
      </c>
      <c r="H8" t="s">
        <v>7</v>
      </c>
    </row>
    <row r="9" spans="2:8">
      <c r="B9" s="13">
        <v>5</v>
      </c>
      <c r="C9" t="s">
        <v>11</v>
      </c>
      <c r="D9" s="13" t="s">
        <v>6</v>
      </c>
      <c r="E9">
        <v>7</v>
      </c>
      <c r="F9" s="111">
        <f>VLOOKUP(D9,'Pay Table'!$C$3:$M$12,E9-1,FALSE)*G9*Frequency!$N$7</f>
        <v>2</v>
      </c>
      <c r="G9">
        <v>1</v>
      </c>
      <c r="H9" t="s">
        <v>7</v>
      </c>
    </row>
    <row r="10" spans="2:8">
      <c r="B10" s="13">
        <v>6</v>
      </c>
      <c r="C10" t="s">
        <v>12</v>
      </c>
      <c r="D10" s="13" t="s">
        <v>6</v>
      </c>
      <c r="E10">
        <v>8</v>
      </c>
      <c r="F10" s="111">
        <f>VLOOKUP(D10,'Pay Table'!$C$3:$M$12,E10-1,FALSE)*G10*Frequency!$N$7</f>
        <v>5</v>
      </c>
      <c r="G10">
        <v>1</v>
      </c>
      <c r="H10" t="s">
        <v>7</v>
      </c>
    </row>
    <row r="11" spans="2:8">
      <c r="B11" s="13">
        <v>7</v>
      </c>
      <c r="C11" t="s">
        <v>20</v>
      </c>
      <c r="D11" s="13">
        <v>0</v>
      </c>
      <c r="E11">
        <v>9</v>
      </c>
      <c r="F11" s="111">
        <f>VLOOKUP(D11,'Pay Table'!$C$3:$M$12,E11-1,FALSE)*G11*Frequency!$N$7</f>
        <v>10</v>
      </c>
      <c r="G11">
        <v>1</v>
      </c>
    </row>
    <row r="12" spans="2:8">
      <c r="B12" s="13">
        <v>8</v>
      </c>
      <c r="C12" t="s">
        <v>21</v>
      </c>
      <c r="D12" s="13">
        <v>1</v>
      </c>
      <c r="E12">
        <v>9</v>
      </c>
      <c r="F12" s="111">
        <f>VLOOKUP(D12,'Pay Table'!$C$3:$M$12,E12-1,FALSE)*G12*Frequency!$N$7</f>
        <v>20</v>
      </c>
      <c r="G12">
        <v>1</v>
      </c>
    </row>
    <row r="13" spans="2:8">
      <c r="B13" s="13">
        <v>9</v>
      </c>
      <c r="C13" t="s">
        <v>22</v>
      </c>
      <c r="D13" s="13">
        <v>2</v>
      </c>
      <c r="E13">
        <v>9</v>
      </c>
      <c r="F13" s="111">
        <f>VLOOKUP(D13,'Pay Table'!$C$3:$M$12,E13-1,FALSE)*G13*Frequency!$N$7</f>
        <v>30</v>
      </c>
      <c r="G13">
        <v>1</v>
      </c>
    </row>
    <row r="14" spans="2:8">
      <c r="B14" s="13">
        <v>10</v>
      </c>
      <c r="C14" t="s">
        <v>23</v>
      </c>
      <c r="D14" s="13">
        <v>3</v>
      </c>
      <c r="E14">
        <v>9</v>
      </c>
      <c r="F14" s="111">
        <f>VLOOKUP(D14,'Pay Table'!$C$3:$M$12,E14-1,FALSE)*G14*Frequency!$N$7</f>
        <v>40</v>
      </c>
      <c r="G14">
        <v>1</v>
      </c>
    </row>
    <row r="15" spans="2:8">
      <c r="B15" s="13">
        <v>11</v>
      </c>
      <c r="C15" t="s">
        <v>24</v>
      </c>
      <c r="D15" s="13">
        <v>4</v>
      </c>
      <c r="E15">
        <v>3</v>
      </c>
      <c r="F15" s="111">
        <f>VLOOKUP(D15,'Pay Table'!$C$3:$M$12,E15-1,FALSE)*G15*Frequency!$N$7</f>
        <v>1</v>
      </c>
      <c r="G15">
        <v>1</v>
      </c>
    </row>
    <row r="16" spans="2:8">
      <c r="B16" s="13">
        <v>12</v>
      </c>
      <c r="C16" t="s">
        <v>25</v>
      </c>
      <c r="D16" s="13">
        <v>4</v>
      </c>
      <c r="E16">
        <v>4</v>
      </c>
      <c r="F16" s="111">
        <f>VLOOKUP(D16,'Pay Table'!$C$3:$M$12,E16-1,FALSE)*G16*Frequency!$N$7</f>
        <v>2</v>
      </c>
      <c r="G16">
        <v>1</v>
      </c>
    </row>
    <row r="17" spans="2:7">
      <c r="B17" s="13">
        <v>13</v>
      </c>
      <c r="C17" t="s">
        <v>26</v>
      </c>
      <c r="D17" s="13">
        <v>4</v>
      </c>
      <c r="E17">
        <v>5</v>
      </c>
      <c r="F17" s="111">
        <f>VLOOKUP(D17,'Pay Table'!$C$3:$M$12,E17-1,FALSE)*G17*Frequency!$N$7</f>
        <v>3</v>
      </c>
      <c r="G17">
        <v>1</v>
      </c>
    </row>
    <row r="18" spans="2:7">
      <c r="B18" s="13">
        <v>14</v>
      </c>
      <c r="C18" t="s">
        <v>27</v>
      </c>
      <c r="D18" s="13">
        <v>4</v>
      </c>
      <c r="E18">
        <v>6</v>
      </c>
      <c r="F18" s="111">
        <f>VLOOKUP(D18,'Pay Table'!$C$3:$M$12,E18-1,FALSE)*G18*Frequency!$N$7</f>
        <v>5</v>
      </c>
      <c r="G18">
        <v>1</v>
      </c>
    </row>
    <row r="19" spans="2:7">
      <c r="B19" s="13">
        <v>15</v>
      </c>
      <c r="C19" t="s">
        <v>28</v>
      </c>
      <c r="D19" s="13">
        <v>4</v>
      </c>
      <c r="E19">
        <v>7</v>
      </c>
      <c r="F19" s="111">
        <f>VLOOKUP(D19,'Pay Table'!$C$3:$M$12,E19-1,FALSE)*G19*Frequency!$N$7</f>
        <v>10</v>
      </c>
      <c r="G19">
        <v>1</v>
      </c>
    </row>
    <row r="20" spans="2:7">
      <c r="B20" s="13">
        <v>16</v>
      </c>
      <c r="C20" t="s">
        <v>29</v>
      </c>
      <c r="D20" s="13">
        <v>4</v>
      </c>
      <c r="E20">
        <v>8</v>
      </c>
      <c r="F20" s="111">
        <f>VLOOKUP(D20,'Pay Table'!$C$3:$M$12,E20-1,FALSE)*G20*Frequency!$N$7</f>
        <v>20</v>
      </c>
      <c r="G20">
        <v>1</v>
      </c>
    </row>
    <row r="21" spans="2:7">
      <c r="B21" s="13">
        <v>17</v>
      </c>
      <c r="C21" t="s">
        <v>30</v>
      </c>
      <c r="D21" s="13">
        <v>4</v>
      </c>
      <c r="E21">
        <v>9</v>
      </c>
      <c r="F21" s="111">
        <f>VLOOKUP(D21,'Pay Table'!$C$3:$M$12,E21-1,FALSE)*G21*Frequency!$N$7</f>
        <v>100</v>
      </c>
      <c r="G21">
        <v>1</v>
      </c>
    </row>
    <row r="22" spans="2:7">
      <c r="B22" s="13">
        <v>18</v>
      </c>
      <c r="C22" t="s">
        <v>31</v>
      </c>
      <c r="D22" s="13">
        <v>5</v>
      </c>
      <c r="E22">
        <v>3</v>
      </c>
      <c r="F22" s="111">
        <f>VLOOKUP(D22,'Pay Table'!$C$3:$M$12,E22-1,FALSE)*G22*Frequency!$N$7</f>
        <v>2</v>
      </c>
      <c r="G22">
        <v>1</v>
      </c>
    </row>
    <row r="23" spans="2:7">
      <c r="B23" s="13">
        <v>19</v>
      </c>
      <c r="C23" t="s">
        <v>32</v>
      </c>
      <c r="D23" s="13">
        <v>5</v>
      </c>
      <c r="E23">
        <v>4</v>
      </c>
      <c r="F23" s="111">
        <f>VLOOKUP(D23,'Pay Table'!$C$3:$M$12,E23-1,FALSE)*G23*Frequency!$N$7</f>
        <v>3</v>
      </c>
      <c r="G23">
        <v>1</v>
      </c>
    </row>
    <row r="24" spans="2:7">
      <c r="B24" s="13">
        <v>20</v>
      </c>
      <c r="C24" t="s">
        <v>33</v>
      </c>
      <c r="D24" s="13">
        <v>5</v>
      </c>
      <c r="E24">
        <v>5</v>
      </c>
      <c r="F24" s="111">
        <f>VLOOKUP(D24,'Pay Table'!$C$3:$M$12,E24-1,FALSE)*G24*Frequency!$N$7</f>
        <v>5</v>
      </c>
      <c r="G24">
        <v>1</v>
      </c>
    </row>
    <row r="25" spans="2:7">
      <c r="B25" s="13">
        <v>21</v>
      </c>
      <c r="C25" t="s">
        <v>34</v>
      </c>
      <c r="D25" s="13">
        <v>5</v>
      </c>
      <c r="E25">
        <v>6</v>
      </c>
      <c r="F25" s="111">
        <f>VLOOKUP(D25,'Pay Table'!$C$3:$M$12,E25-1,FALSE)*G25*Frequency!$N$7</f>
        <v>10</v>
      </c>
      <c r="G25">
        <v>1</v>
      </c>
    </row>
    <row r="26" spans="2:7">
      <c r="B26" s="13">
        <v>22</v>
      </c>
      <c r="C26" t="s">
        <v>35</v>
      </c>
      <c r="D26" s="13">
        <v>5</v>
      </c>
      <c r="E26">
        <v>7</v>
      </c>
      <c r="F26" s="111">
        <f>VLOOKUP(D26,'Pay Table'!$C$3:$M$12,E26-1,FALSE)*G26*Frequency!$N$7</f>
        <v>20</v>
      </c>
      <c r="G26">
        <v>1</v>
      </c>
    </row>
    <row r="27" spans="2:7">
      <c r="B27" s="13">
        <v>23</v>
      </c>
      <c r="C27" t="s">
        <v>36</v>
      </c>
      <c r="D27" s="13">
        <v>5</v>
      </c>
      <c r="E27">
        <v>8</v>
      </c>
      <c r="F27" s="111">
        <f>VLOOKUP(D27,'Pay Table'!$C$3:$M$12,E27-1,FALSE)*G27*Frequency!$N$7</f>
        <v>100</v>
      </c>
      <c r="G27">
        <v>1</v>
      </c>
    </row>
    <row r="28" spans="2:7">
      <c r="B28" s="13">
        <v>24</v>
      </c>
      <c r="C28" t="s">
        <v>37</v>
      </c>
      <c r="D28" s="13">
        <v>5</v>
      </c>
      <c r="E28">
        <v>9</v>
      </c>
      <c r="F28" s="111">
        <f>VLOOKUP(D28,'Pay Table'!$C$3:$M$12,E28-1,FALSE)*G28*Frequency!$N$7</f>
        <v>200</v>
      </c>
      <c r="G28">
        <v>1</v>
      </c>
    </row>
    <row r="29" spans="2:7">
      <c r="B29" s="13">
        <v>25</v>
      </c>
      <c r="C29" t="s">
        <v>38</v>
      </c>
      <c r="D29" s="13">
        <v>6</v>
      </c>
      <c r="E29">
        <v>3</v>
      </c>
      <c r="F29" s="111">
        <f>VLOOKUP(D29,'Pay Table'!$C$3:$M$12,E29-1,FALSE)*G29*Frequency!$N$7</f>
        <v>3</v>
      </c>
      <c r="G29">
        <v>1</v>
      </c>
    </row>
    <row r="30" spans="2:7">
      <c r="B30" s="13">
        <v>26</v>
      </c>
      <c r="C30" t="s">
        <v>39</v>
      </c>
      <c r="D30" s="13">
        <v>6</v>
      </c>
      <c r="E30">
        <v>4</v>
      </c>
      <c r="F30" s="111">
        <f>VLOOKUP(D30,'Pay Table'!$C$3:$M$12,E30-1,FALSE)*G30*Frequency!$N$7</f>
        <v>5</v>
      </c>
      <c r="G30">
        <v>1</v>
      </c>
    </row>
    <row r="31" spans="2:7">
      <c r="B31" s="13">
        <v>27</v>
      </c>
      <c r="C31" t="s">
        <v>40</v>
      </c>
      <c r="D31" s="13">
        <v>6</v>
      </c>
      <c r="E31">
        <v>5</v>
      </c>
      <c r="F31" s="111">
        <f>VLOOKUP(D31,'Pay Table'!$C$3:$M$12,E31-1,FALSE)*G31*Frequency!$N$7</f>
        <v>10</v>
      </c>
      <c r="G31">
        <v>1</v>
      </c>
    </row>
    <row r="32" spans="2:7">
      <c r="B32" s="13">
        <v>28</v>
      </c>
      <c r="C32" t="s">
        <v>41</v>
      </c>
      <c r="D32" s="13">
        <v>6</v>
      </c>
      <c r="E32">
        <v>6</v>
      </c>
      <c r="F32" s="111">
        <f>VLOOKUP(D32,'Pay Table'!$C$3:$M$12,E32-1,FALSE)*G32*Frequency!$N$7</f>
        <v>20</v>
      </c>
      <c r="G32">
        <v>1</v>
      </c>
    </row>
    <row r="33" spans="2:8">
      <c r="B33" s="13">
        <v>29</v>
      </c>
      <c r="C33" t="s">
        <v>42</v>
      </c>
      <c r="D33" s="13">
        <v>6</v>
      </c>
      <c r="E33">
        <v>7</v>
      </c>
      <c r="F33" s="111">
        <f>VLOOKUP(D33,'Pay Table'!$C$3:$M$12,E33-1,FALSE)*G33*Frequency!$N$7</f>
        <v>100</v>
      </c>
      <c r="G33">
        <v>1</v>
      </c>
    </row>
    <row r="34" spans="2:8">
      <c r="B34" s="13">
        <v>30</v>
      </c>
      <c r="C34" t="s">
        <v>43</v>
      </c>
      <c r="D34" s="13">
        <v>6</v>
      </c>
      <c r="E34">
        <v>8</v>
      </c>
      <c r="F34" s="111">
        <f>VLOOKUP(D34,'Pay Table'!$C$3:$M$12,E34-1,FALSE)*G34*Frequency!$N$7</f>
        <v>200</v>
      </c>
      <c r="G34">
        <v>1</v>
      </c>
    </row>
    <row r="35" spans="2:8">
      <c r="B35" s="13">
        <v>31</v>
      </c>
      <c r="C35" t="s">
        <v>44</v>
      </c>
      <c r="D35" s="13">
        <v>6</v>
      </c>
      <c r="E35">
        <v>9</v>
      </c>
      <c r="F35" s="111">
        <f>VLOOKUP(D35,'Pay Table'!$C$3:$M$12,E35-1,FALSE)*G35*Frequency!$N$7</f>
        <v>1000</v>
      </c>
      <c r="G35">
        <v>1</v>
      </c>
    </row>
    <row r="36" spans="2:8">
      <c r="B36" s="13">
        <v>32</v>
      </c>
      <c r="C36" t="s">
        <v>45</v>
      </c>
      <c r="D36" s="13" t="s">
        <v>6</v>
      </c>
      <c r="E36">
        <v>3</v>
      </c>
      <c r="F36" s="111">
        <f>VLOOKUP(D36,'Pay Table'!$C$3:$M$12,E36-1,FALSE)*G36*Frequency!$N$7</f>
        <v>0.1</v>
      </c>
      <c r="G36">
        <v>1</v>
      </c>
      <c r="H36" t="s">
        <v>7</v>
      </c>
    </row>
    <row r="37" spans="2:8">
      <c r="B37" s="13">
        <v>33</v>
      </c>
      <c r="C37" t="s">
        <v>46</v>
      </c>
      <c r="D37" s="13" t="s">
        <v>6</v>
      </c>
      <c r="E37">
        <v>4</v>
      </c>
      <c r="F37" s="111">
        <f>VLOOKUP(D37,'Pay Table'!$C$3:$M$12,E37-1,FALSE)*G37*Frequency!$N$7</f>
        <v>0.2</v>
      </c>
      <c r="G37">
        <v>1</v>
      </c>
      <c r="H37" t="s">
        <v>7</v>
      </c>
    </row>
    <row r="38" spans="2:8">
      <c r="B38" s="13">
        <v>34</v>
      </c>
      <c r="C38" t="s">
        <v>47</v>
      </c>
      <c r="D38" s="13" t="s">
        <v>6</v>
      </c>
      <c r="E38">
        <v>5</v>
      </c>
      <c r="F38" s="111">
        <f>VLOOKUP(D38,'Pay Table'!$C$3:$M$12,E38-1,FALSE)*G38*Frequency!$N$7</f>
        <v>0.5</v>
      </c>
      <c r="G38">
        <v>1</v>
      </c>
      <c r="H38" t="s">
        <v>7</v>
      </c>
    </row>
    <row r="39" spans="2:8">
      <c r="B39" s="13">
        <v>35</v>
      </c>
      <c r="C39" t="s">
        <v>48</v>
      </c>
      <c r="D39" s="13" t="s">
        <v>6</v>
      </c>
      <c r="E39">
        <v>6</v>
      </c>
      <c r="F39" s="111">
        <f>VLOOKUP(D39,'Pay Table'!$C$3:$M$12,E39-1,FALSE)*G39*Frequency!$N$7</f>
        <v>1</v>
      </c>
      <c r="G39">
        <v>1</v>
      </c>
      <c r="H39" t="s">
        <v>7</v>
      </c>
    </row>
    <row r="40" spans="2:8">
      <c r="B40" s="13">
        <v>36</v>
      </c>
      <c r="C40" t="s">
        <v>49</v>
      </c>
      <c r="D40" s="13" t="s">
        <v>6</v>
      </c>
      <c r="E40">
        <v>7</v>
      </c>
      <c r="F40" s="111">
        <f>VLOOKUP(D40,'Pay Table'!$C$3:$M$12,E40-1,FALSE)*G40*Frequency!$N$7</f>
        <v>2</v>
      </c>
      <c r="G40">
        <v>1</v>
      </c>
      <c r="H40" t="s">
        <v>7</v>
      </c>
    </row>
    <row r="41" spans="2:8">
      <c r="B41" s="13">
        <v>37</v>
      </c>
      <c r="C41" t="s">
        <v>50</v>
      </c>
      <c r="D41" s="13" t="s">
        <v>6</v>
      </c>
      <c r="E41">
        <v>8</v>
      </c>
      <c r="F41" s="111">
        <f>VLOOKUP(D41,'Pay Table'!$C$3:$M$12,E41-1,FALSE)*G41*Frequency!$N$7</f>
        <v>5</v>
      </c>
      <c r="G41">
        <v>1</v>
      </c>
      <c r="H41" t="s">
        <v>7</v>
      </c>
    </row>
    <row r="42" spans="2:8">
      <c r="B42" s="13">
        <v>38</v>
      </c>
      <c r="C42" t="s">
        <v>51</v>
      </c>
      <c r="D42" s="13">
        <v>0</v>
      </c>
      <c r="E42">
        <v>9</v>
      </c>
      <c r="F42" s="111">
        <f>VLOOKUP(D42,'Pay Table'!$C$3:$M$12,E42-1,FALSE)*G42*Frequency!$N$7</f>
        <v>10</v>
      </c>
      <c r="G42">
        <v>1</v>
      </c>
    </row>
    <row r="43" spans="2:8">
      <c r="B43" s="13">
        <v>39</v>
      </c>
      <c r="C43" t="s">
        <v>52</v>
      </c>
      <c r="D43" s="13">
        <v>1</v>
      </c>
      <c r="E43">
        <v>9</v>
      </c>
      <c r="F43" s="111">
        <f>VLOOKUP(D43,'Pay Table'!$C$3:$M$12,E43-1,FALSE)*G43*Frequency!$N$7</f>
        <v>20</v>
      </c>
      <c r="G43">
        <v>1</v>
      </c>
    </row>
    <row r="44" spans="2:8">
      <c r="B44" s="13">
        <v>40</v>
      </c>
      <c r="C44" t="s">
        <v>53</v>
      </c>
      <c r="D44" s="13">
        <v>2</v>
      </c>
      <c r="E44">
        <v>9</v>
      </c>
      <c r="F44" s="111">
        <f>VLOOKUP(D44,'Pay Table'!$C$3:$M$12,E44-1,FALSE)*G44*Frequency!$N$7</f>
        <v>30</v>
      </c>
      <c r="G44">
        <v>1</v>
      </c>
    </row>
    <row r="45" spans="2:8">
      <c r="B45" s="13">
        <v>41</v>
      </c>
      <c r="C45" t="s">
        <v>54</v>
      </c>
      <c r="D45" s="13">
        <v>3</v>
      </c>
      <c r="E45">
        <v>9</v>
      </c>
      <c r="F45" s="111">
        <f>VLOOKUP(D45,'Pay Table'!$C$3:$M$12,E45-1,FALSE)*G45*Frequency!$N$7</f>
        <v>40</v>
      </c>
      <c r="G45">
        <v>1</v>
      </c>
    </row>
    <row r="46" spans="2:8">
      <c r="B46" s="13">
        <v>42</v>
      </c>
      <c r="C46" t="s">
        <v>55</v>
      </c>
      <c r="D46" s="13">
        <v>4</v>
      </c>
      <c r="E46">
        <v>3</v>
      </c>
      <c r="F46" s="111">
        <f>VLOOKUP(D46,'Pay Table'!$C$3:$M$12,E46-1,FALSE)*G46*Frequency!$N$7</f>
        <v>1</v>
      </c>
      <c r="G46">
        <v>1</v>
      </c>
    </row>
    <row r="47" spans="2:8">
      <c r="B47" s="13">
        <v>43</v>
      </c>
      <c r="C47" t="s">
        <v>56</v>
      </c>
      <c r="D47" s="13">
        <v>4</v>
      </c>
      <c r="E47">
        <v>4</v>
      </c>
      <c r="F47" s="111">
        <f>VLOOKUP(D47,'Pay Table'!$C$3:$M$12,E47-1,FALSE)*G47*Frequency!$N$7</f>
        <v>2</v>
      </c>
      <c r="G47">
        <v>1</v>
      </c>
    </row>
    <row r="48" spans="2:8">
      <c r="B48" s="13">
        <v>44</v>
      </c>
      <c r="C48" t="s">
        <v>57</v>
      </c>
      <c r="D48" s="13">
        <v>4</v>
      </c>
      <c r="E48">
        <v>5</v>
      </c>
      <c r="F48" s="111">
        <f>VLOOKUP(D48,'Pay Table'!$C$3:$M$12,E48-1,FALSE)*G48*Frequency!$N$7</f>
        <v>3</v>
      </c>
      <c r="G48">
        <v>1</v>
      </c>
    </row>
    <row r="49" spans="2:7">
      <c r="B49" s="13">
        <v>45</v>
      </c>
      <c r="C49" t="s">
        <v>58</v>
      </c>
      <c r="D49" s="13">
        <v>4</v>
      </c>
      <c r="E49">
        <v>6</v>
      </c>
      <c r="F49" s="111">
        <f>VLOOKUP(D49,'Pay Table'!$C$3:$M$12,E49-1,FALSE)*G49*Frequency!$N$7</f>
        <v>5</v>
      </c>
      <c r="G49">
        <v>1</v>
      </c>
    </row>
    <row r="50" spans="2:7">
      <c r="B50" s="13">
        <v>46</v>
      </c>
      <c r="C50" t="s">
        <v>59</v>
      </c>
      <c r="D50" s="13">
        <v>5</v>
      </c>
      <c r="E50">
        <v>3</v>
      </c>
      <c r="F50" s="111">
        <f>VLOOKUP(D50,'Pay Table'!$C$3:$M$12,E50-1,FALSE)*G50*Frequency!$N$7</f>
        <v>2</v>
      </c>
      <c r="G50">
        <v>1</v>
      </c>
    </row>
    <row r="51" spans="2:7">
      <c r="B51" s="13">
        <v>47</v>
      </c>
      <c r="C51" t="s">
        <v>60</v>
      </c>
      <c r="D51" s="13">
        <v>5</v>
      </c>
      <c r="E51">
        <v>4</v>
      </c>
      <c r="F51" s="111">
        <f>VLOOKUP(D51,'Pay Table'!$C$3:$M$12,E51-1,FALSE)*G51*Frequency!$N$7</f>
        <v>3</v>
      </c>
      <c r="G51">
        <v>1</v>
      </c>
    </row>
    <row r="52" spans="2:7">
      <c r="B52" s="13">
        <v>48</v>
      </c>
      <c r="C52" t="s">
        <v>61</v>
      </c>
      <c r="D52" s="13">
        <v>5</v>
      </c>
      <c r="E52">
        <v>5</v>
      </c>
      <c r="F52" s="111">
        <f>VLOOKUP(D52,'Pay Table'!$C$3:$M$12,E52-1,FALSE)*G52*Frequency!$N$7</f>
        <v>5</v>
      </c>
      <c r="G52">
        <v>1</v>
      </c>
    </row>
    <row r="53" spans="2:7">
      <c r="B53" s="13">
        <v>49</v>
      </c>
      <c r="C53" t="s">
        <v>62</v>
      </c>
      <c r="D53" s="13">
        <v>5</v>
      </c>
      <c r="E53">
        <v>6</v>
      </c>
      <c r="F53" s="111">
        <f>VLOOKUP(D53,'Pay Table'!$C$3:$M$12,E53-1,FALSE)*G53*Frequency!$N$7</f>
        <v>10</v>
      </c>
      <c r="G53">
        <v>1</v>
      </c>
    </row>
    <row r="54" spans="2:7">
      <c r="B54" s="13">
        <v>50</v>
      </c>
      <c r="C54" t="s">
        <v>63</v>
      </c>
      <c r="D54" s="13">
        <v>6</v>
      </c>
      <c r="E54">
        <v>3</v>
      </c>
      <c r="F54" s="111">
        <f>VLOOKUP(D54,'Pay Table'!$C$3:$M$12,E54-1,FALSE)*G54*Frequency!$N$7</f>
        <v>3</v>
      </c>
      <c r="G54">
        <v>1</v>
      </c>
    </row>
    <row r="55" spans="2:7">
      <c r="B55" s="13">
        <v>51</v>
      </c>
      <c r="C55" t="s">
        <v>64</v>
      </c>
      <c r="D55" s="13">
        <v>6</v>
      </c>
      <c r="E55">
        <v>4</v>
      </c>
      <c r="F55" s="111">
        <f>VLOOKUP(D55,'Pay Table'!$C$3:$M$12,E55-1,FALSE)*G55*Frequency!$N$7</f>
        <v>5</v>
      </c>
      <c r="G55">
        <v>1</v>
      </c>
    </row>
    <row r="56" spans="2:7">
      <c r="B56" s="13">
        <v>52</v>
      </c>
      <c r="C56" t="s">
        <v>65</v>
      </c>
      <c r="D56" s="13">
        <v>6</v>
      </c>
      <c r="E56">
        <v>5</v>
      </c>
      <c r="F56" s="111">
        <f>VLOOKUP(D56,'Pay Table'!$C$3:$M$12,E56-1,FALSE)*G56*Frequency!$N$7</f>
        <v>10</v>
      </c>
      <c r="G56">
        <v>1</v>
      </c>
    </row>
    <row r="57" spans="2:7">
      <c r="B57" s="13">
        <v>53</v>
      </c>
      <c r="C57" t="s">
        <v>66</v>
      </c>
      <c r="D57" s="13">
        <v>6</v>
      </c>
      <c r="E57">
        <v>6</v>
      </c>
      <c r="F57" s="111">
        <f>VLOOKUP(D57,'Pay Table'!$C$3:$M$12,E57-1,FALSE)*G57*Frequency!$N$7</f>
        <v>20</v>
      </c>
      <c r="G57">
        <v>1</v>
      </c>
    </row>
    <row r="58" spans="2:7">
      <c r="B58" s="13">
        <v>54</v>
      </c>
      <c r="C58" s="68" t="s">
        <v>67</v>
      </c>
      <c r="D58" s="13"/>
      <c r="F58" s="111">
        <f t="array" ref="F58">SUM(VLOOKUP('Free Plays'!E3:AH3,Tiers!$B:$C,2,FALSE))*G58</f>
        <v>0.7</v>
      </c>
      <c r="G58">
        <v>1</v>
      </c>
    </row>
    <row r="59" spans="2:7">
      <c r="B59" s="13">
        <v>55</v>
      </c>
      <c r="C59" s="68" t="s">
        <v>69</v>
      </c>
      <c r="D59" s="13"/>
      <c r="F59" s="111">
        <f t="array" ref="F59">SUM(VLOOKUP('Free Plays'!E4:AH4,Tiers!$B:$C,2,FALSE))*G59</f>
        <v>3</v>
      </c>
      <c r="G59">
        <v>1</v>
      </c>
    </row>
    <row r="60" spans="2:7">
      <c r="B60" s="13">
        <v>56</v>
      </c>
      <c r="C60" s="68" t="s">
        <v>70</v>
      </c>
      <c r="D60" s="13"/>
      <c r="F60" s="111">
        <f t="array" ref="F60">SUM(VLOOKUP('Free Plays'!E5:AH5,Tiers!$B:$C,2,FALSE))*G60</f>
        <v>0.5</v>
      </c>
      <c r="G60">
        <v>1</v>
      </c>
    </row>
    <row r="61" spans="2:7">
      <c r="B61" s="13">
        <v>57</v>
      </c>
      <c r="C61" s="68" t="s">
        <v>71</v>
      </c>
      <c r="D61" s="13"/>
      <c r="F61" s="111">
        <f t="array" ref="F61">SUM(VLOOKUP('Free Plays'!E6:AH6,Tiers!$B:$C,2,FALSE))*G61</f>
        <v>0.1</v>
      </c>
      <c r="G61">
        <v>1</v>
      </c>
    </row>
    <row r="62" spans="2:7">
      <c r="B62" s="13">
        <v>58</v>
      </c>
      <c r="C62" s="68" t="s">
        <v>72</v>
      </c>
      <c r="D62" s="13"/>
      <c r="F62" s="111">
        <f t="array" ref="F62">SUM(VLOOKUP('Free Plays'!E7:AH7,Tiers!$B:$C,2,FALSE))*G62</f>
        <v>0.7</v>
      </c>
      <c r="G62">
        <v>1</v>
      </c>
    </row>
    <row r="63" spans="2:7">
      <c r="B63" s="13">
        <v>59</v>
      </c>
      <c r="C63" s="68" t="s">
        <v>73</v>
      </c>
      <c r="D63" s="13"/>
      <c r="F63" s="111">
        <f t="array" ref="F63">SUM(VLOOKUP('Free Plays'!E8:AH8,Tiers!$B:$C,2,FALSE))*G63</f>
        <v>5</v>
      </c>
      <c r="G63">
        <v>1</v>
      </c>
    </row>
    <row r="64" spans="2:7">
      <c r="B64" s="13">
        <v>60</v>
      </c>
      <c r="C64" s="68" t="s">
        <v>74</v>
      </c>
      <c r="F64" s="111">
        <f t="array" ref="F64">SUM(VLOOKUP('Free Plays'!E9:AH9,Tiers!$B:$C,2,FALSE))*G64</f>
        <v>5</v>
      </c>
      <c r="G64">
        <v>1</v>
      </c>
    </row>
    <row r="65" spans="2:7">
      <c r="B65" s="13">
        <v>61</v>
      </c>
      <c r="C65" s="68" t="s">
        <v>75</v>
      </c>
      <c r="F65" s="111">
        <f t="array" ref="F65">SUM(VLOOKUP('Free Plays'!E10:AH10,Tiers!$B:$C,2,FALSE))*G65</f>
        <v>0.2</v>
      </c>
      <c r="G65">
        <v>1</v>
      </c>
    </row>
    <row r="66" spans="2:7">
      <c r="B66" s="13">
        <v>62</v>
      </c>
      <c r="C66" s="68" t="s">
        <v>76</v>
      </c>
      <c r="F66" s="111">
        <f t="array" ref="F66">SUM(VLOOKUP('Free Plays'!E11:AH11,Tiers!$B:$C,2,FALSE))*G66</f>
        <v>0.2</v>
      </c>
      <c r="G66">
        <v>1</v>
      </c>
    </row>
    <row r="67" spans="2:7">
      <c r="B67" s="13">
        <v>63</v>
      </c>
      <c r="C67" s="68" t="s">
        <v>77</v>
      </c>
      <c r="F67" s="111">
        <f t="array" ref="F67">SUM(VLOOKUP('Free Plays'!E12:AH12,Tiers!$B:$C,2,FALSE))*G67</f>
        <v>3</v>
      </c>
      <c r="G67">
        <v>1</v>
      </c>
    </row>
    <row r="68" spans="2:7">
      <c r="B68" s="13">
        <v>64</v>
      </c>
      <c r="C68" s="68" t="s">
        <v>78</v>
      </c>
      <c r="F68" s="111">
        <f t="array" ref="F68">SUM(VLOOKUP('Free Plays'!E13:AH13,Tiers!$B:$C,2,FALSE))*G68</f>
        <v>5</v>
      </c>
      <c r="G68">
        <v>1</v>
      </c>
    </row>
    <row r="69" spans="2:7">
      <c r="B69" s="13">
        <v>65</v>
      </c>
      <c r="C69" s="68" t="s">
        <v>79</v>
      </c>
      <c r="F69" s="111">
        <f t="array" ref="F69">SUM(VLOOKUP('Free Plays'!E14:AH14,Tiers!$B:$C,2,FALSE))*G69</f>
        <v>3</v>
      </c>
      <c r="G69">
        <v>1</v>
      </c>
    </row>
    <row r="70" spans="2:7">
      <c r="B70" s="13">
        <v>66</v>
      </c>
      <c r="C70" s="68" t="s">
        <v>80</v>
      </c>
      <c r="F70" s="111">
        <f t="array" ref="F70">SUM(VLOOKUP('Free Plays'!E15:AH15,Tiers!$B:$C,2,FALSE))*G70</f>
        <v>0.2</v>
      </c>
      <c r="G70">
        <v>1</v>
      </c>
    </row>
    <row r="71" spans="2:7">
      <c r="B71" s="13">
        <v>67</v>
      </c>
      <c r="C71" s="68" t="s">
        <v>81</v>
      </c>
      <c r="F71" s="111">
        <f t="array" ref="F71">SUM(VLOOKUP('Free Plays'!E16:AH16,Tiers!$B:$C,2,FALSE))*G71</f>
        <v>3</v>
      </c>
      <c r="G71">
        <v>1</v>
      </c>
    </row>
    <row r="72" spans="2:7">
      <c r="B72" s="13">
        <v>68</v>
      </c>
      <c r="C72" s="68" t="s">
        <v>82</v>
      </c>
      <c r="F72" s="111">
        <f t="array" ref="F72">SUM(VLOOKUP('Free Plays'!E17:AH17,Tiers!$B:$C,2,FALSE))*G72</f>
        <v>3</v>
      </c>
      <c r="G72">
        <v>1</v>
      </c>
    </row>
    <row r="73" spans="2:7">
      <c r="B73" s="13">
        <v>69</v>
      </c>
      <c r="C73" s="68" t="s">
        <v>83</v>
      </c>
      <c r="F73" s="111">
        <f t="array" ref="F73">SUM(VLOOKUP('Free Plays'!E18:AH18,Tiers!$B:$C,2,FALSE))*G73</f>
        <v>1</v>
      </c>
      <c r="G73">
        <v>1</v>
      </c>
    </row>
    <row r="74" spans="2:7">
      <c r="B74" s="13">
        <v>70</v>
      </c>
      <c r="C74" s="68" t="s">
        <v>84</v>
      </c>
      <c r="F74" s="111">
        <f t="array" ref="F74">SUM(VLOOKUP('Free Plays'!E19:AH19,Tiers!$B:$C,2,FALSE))*G74</f>
        <v>20</v>
      </c>
      <c r="G74">
        <v>1</v>
      </c>
    </row>
    <row r="75" spans="2:7">
      <c r="B75" s="13">
        <v>71</v>
      </c>
      <c r="C75" s="68" t="s">
        <v>85</v>
      </c>
      <c r="D75" s="13"/>
      <c r="F75" s="111">
        <f t="array" ref="F75">SUM(VLOOKUP('Free Plays'!E20:AH20,Tiers!$B:$C,2,FALSE))*G75</f>
        <v>3</v>
      </c>
      <c r="G75">
        <v>1</v>
      </c>
    </row>
    <row r="76" spans="2:7">
      <c r="B76" s="13">
        <v>72</v>
      </c>
      <c r="C76" s="68" t="s">
        <v>86</v>
      </c>
      <c r="D76" s="13"/>
      <c r="F76" s="111">
        <f t="array" ref="F76">SUM(VLOOKUP('Free Plays'!E21:AH21,Tiers!$B:$C,2,FALSE))*G76</f>
        <v>1</v>
      </c>
      <c r="G76">
        <v>1</v>
      </c>
    </row>
    <row r="77" spans="2:7">
      <c r="B77" s="13">
        <v>73</v>
      </c>
      <c r="C77" s="68" t="s">
        <v>87</v>
      </c>
      <c r="D77" s="13"/>
      <c r="F77" s="111">
        <f t="array" ref="F77">SUM(VLOOKUP('Free Plays'!E22:AH22,Tiers!$B:$C,2,FALSE))*G77</f>
        <v>2</v>
      </c>
      <c r="G77">
        <v>1</v>
      </c>
    </row>
    <row r="78" spans="2:7">
      <c r="B78" s="13">
        <v>74</v>
      </c>
      <c r="C78" s="68" t="s">
        <v>88</v>
      </c>
      <c r="D78" s="13"/>
      <c r="F78" s="111">
        <f t="array" ref="F78">SUM(VLOOKUP('Free Plays'!E23:AH23,Tiers!$B:$C,2,FALSE))*G78</f>
        <v>10</v>
      </c>
      <c r="G78">
        <v>1</v>
      </c>
    </row>
    <row r="79" spans="2:7">
      <c r="B79" s="13">
        <v>75</v>
      </c>
      <c r="C79" s="68" t="s">
        <v>89</v>
      </c>
      <c r="D79" s="13"/>
      <c r="F79" s="111">
        <f t="array" ref="F79">SUM(VLOOKUP('Free Plays'!E24:AH24,Tiers!$B:$C,2,FALSE))*G79</f>
        <v>20</v>
      </c>
      <c r="G79">
        <v>1</v>
      </c>
    </row>
    <row r="80" spans="2:7">
      <c r="B80" s="13">
        <v>76</v>
      </c>
      <c r="C80" s="68" t="s">
        <v>90</v>
      </c>
      <c r="D80" s="13"/>
      <c r="F80" s="111">
        <f t="array" ref="F80">SUM(VLOOKUP('Free Plays'!E25:AH25,Tiers!$B:$C,2,FALSE))*G80</f>
        <v>3.2</v>
      </c>
      <c r="G80">
        <v>1</v>
      </c>
    </row>
    <row r="81" spans="2:8">
      <c r="B81" s="13">
        <v>77</v>
      </c>
      <c r="C81" s="68" t="s">
        <v>91</v>
      </c>
      <c r="D81" s="13"/>
      <c r="F81" s="111">
        <f t="array" ref="F81">SUM(VLOOKUP('Free Plays'!E26:AH26,Tiers!$B:$C,2,FALSE))*G81</f>
        <v>20</v>
      </c>
      <c r="G81">
        <v>1</v>
      </c>
    </row>
    <row r="82" spans="2:8">
      <c r="B82" s="13">
        <v>78</v>
      </c>
      <c r="C82" s="68" t="s">
        <v>92</v>
      </c>
      <c r="D82" s="13"/>
      <c r="F82" s="111">
        <f t="array" ref="F82">SUM(VLOOKUP('Free Plays'!E27:AH27,Tiers!$B:$C,2,FALSE))*G82</f>
        <v>11.2</v>
      </c>
      <c r="G82">
        <v>1</v>
      </c>
    </row>
    <row r="83" spans="2:8">
      <c r="B83" s="13">
        <v>79</v>
      </c>
      <c r="C83" s="68" t="s">
        <v>93</v>
      </c>
      <c r="D83" s="13"/>
      <c r="F83" s="111">
        <f t="array" ref="F83">SUM(VLOOKUP('Free Plays'!E28:AH28,Tiers!$B:$C,2,FALSE))*G83</f>
        <v>5</v>
      </c>
      <c r="G83">
        <v>1</v>
      </c>
    </row>
    <row r="84" spans="2:8">
      <c r="B84" s="13">
        <v>80</v>
      </c>
      <c r="C84" s="68" t="s">
        <v>94</v>
      </c>
      <c r="D84" s="13"/>
      <c r="F84" s="111">
        <f t="array" ref="F84">SUM(VLOOKUP('Free Plays'!E29:AH29,Tiers!$B:$C,2,FALSE))*G84</f>
        <v>5</v>
      </c>
      <c r="G84">
        <v>1</v>
      </c>
    </row>
    <row r="85" spans="2:8">
      <c r="B85" s="13">
        <v>81</v>
      </c>
      <c r="C85" s="68" t="s">
        <v>95</v>
      </c>
      <c r="D85" s="13"/>
      <c r="F85" s="111">
        <f t="array" ref="F85">SUM(VLOOKUP('Free Plays'!E30:AH30,Tiers!$B:$C,2,FALSE))*G85</f>
        <v>0.5</v>
      </c>
      <c r="G85">
        <v>1</v>
      </c>
    </row>
    <row r="86" spans="2:8">
      <c r="B86" s="13">
        <v>82</v>
      </c>
      <c r="C86" s="68" t="s">
        <v>96</v>
      </c>
      <c r="D86" s="13"/>
      <c r="F86" s="111">
        <f t="array" ref="F86">SUM(VLOOKUP('Free Plays'!E31:AH31,Tiers!$B:$C,2,FALSE))*G86</f>
        <v>3.1</v>
      </c>
      <c r="G86">
        <v>1</v>
      </c>
    </row>
    <row r="87" spans="2:8">
      <c r="B87" s="13">
        <v>83</v>
      </c>
      <c r="C87" s="68" t="s">
        <v>97</v>
      </c>
      <c r="D87" s="13"/>
      <c r="F87" s="111">
        <f t="array" ref="F87">SUM(VLOOKUP('Free Plays'!E32:AH32,Tiers!$B:$C,2,FALSE))*G87</f>
        <v>2</v>
      </c>
      <c r="G87">
        <v>1</v>
      </c>
    </row>
    <row r="88" spans="2:8">
      <c r="B88" s="13">
        <v>84</v>
      </c>
      <c r="C88" s="68" t="s">
        <v>98</v>
      </c>
      <c r="D88" s="13"/>
      <c r="F88" s="111">
        <f t="array" ref="F88">SUM(VLOOKUP('Free Plays'!E33:AH33,Tiers!$B:$C,2,FALSE))*G88</f>
        <v>0.1</v>
      </c>
      <c r="G88">
        <v>1</v>
      </c>
    </row>
    <row r="89" spans="2:8">
      <c r="B89" s="13">
        <v>85</v>
      </c>
      <c r="C89" s="68" t="s">
        <v>99</v>
      </c>
      <c r="D89" s="13"/>
      <c r="F89" s="111">
        <f t="array" ref="F89">SUM(VLOOKUP('Free Plays'!E34:AH34,Tiers!$B:$C,2,FALSE))*G89</f>
        <v>10</v>
      </c>
      <c r="G89">
        <v>1</v>
      </c>
    </row>
    <row r="90" spans="2:8">
      <c r="B90" s="13">
        <v>86</v>
      </c>
      <c r="C90" s="68" t="s">
        <v>100</v>
      </c>
      <c r="D90" s="13"/>
      <c r="F90" s="111">
        <f t="array" ref="F90">SUM(VLOOKUP('Free Plays'!E35:AH35,Tiers!$B:$C,2,FALSE))*G90</f>
        <v>0.1</v>
      </c>
      <c r="G90">
        <v>1</v>
      </c>
    </row>
    <row r="91" spans="2:8">
      <c r="B91" s="13">
        <v>87</v>
      </c>
      <c r="C91" s="68" t="s">
        <v>101</v>
      </c>
      <c r="D91" s="13"/>
      <c r="F91" s="111">
        <f t="array" ref="F91">SUM(VLOOKUP('Free Plays'!E36:AH36,Tiers!$B:$C,2,FALSE))*G91</f>
        <v>5</v>
      </c>
      <c r="G91">
        <v>1</v>
      </c>
    </row>
    <row r="92" spans="2:8">
      <c r="B92" s="13">
        <v>88</v>
      </c>
      <c r="C92" s="68" t="s">
        <v>102</v>
      </c>
      <c r="D92" s="13"/>
      <c r="F92" s="111">
        <f t="array" ref="F92">SUM(VLOOKUP('Free Plays'!E37:AH37,Tiers!$B:$C,2,FALSE))*G92</f>
        <v>20</v>
      </c>
      <c r="G92">
        <v>1</v>
      </c>
      <c r="H92" t="s">
        <v>103</v>
      </c>
    </row>
    <row r="93" spans="2:8">
      <c r="B93" s="13">
        <v>89</v>
      </c>
      <c r="C93" s="68" t="s">
        <v>104</v>
      </c>
      <c r="D93" s="13"/>
      <c r="F93" s="111">
        <f t="array" ref="F93">SUM(VLOOKUP('Free Plays'!E38:AH38,Tiers!$B:$C,2,FALSE))*G93</f>
        <v>0.2</v>
      </c>
      <c r="G93">
        <v>1</v>
      </c>
      <c r="H93" t="s">
        <v>103</v>
      </c>
    </row>
    <row r="94" spans="2:8">
      <c r="B94" s="13">
        <v>90</v>
      </c>
      <c r="C94" s="68" t="s">
        <v>105</v>
      </c>
      <c r="D94" s="13"/>
      <c r="F94" s="111">
        <f t="array" ref="F94">SUM(VLOOKUP('Free Plays'!E39:AH39,Tiers!$B:$C,2,FALSE))*G94</f>
        <v>2</v>
      </c>
      <c r="G94">
        <v>1</v>
      </c>
      <c r="H94" t="s">
        <v>103</v>
      </c>
    </row>
    <row r="95" spans="2:8">
      <c r="B95" s="13">
        <v>91</v>
      </c>
      <c r="C95" s="68" t="s">
        <v>106</v>
      </c>
      <c r="D95" s="13"/>
      <c r="F95" s="111">
        <f t="array" ref="F95">SUM(VLOOKUP('Free Plays'!E40:AH40,Tiers!$B:$C,2,FALSE))*G95</f>
        <v>1</v>
      </c>
      <c r="G95">
        <v>1</v>
      </c>
      <c r="H95" t="s">
        <v>107</v>
      </c>
    </row>
    <row r="96" spans="2:8">
      <c r="B96" s="13">
        <v>92</v>
      </c>
      <c r="C96" s="68" t="s">
        <v>108</v>
      </c>
      <c r="D96" s="13"/>
      <c r="F96" s="111">
        <f t="array" ref="F96">SUM(VLOOKUP('Free Plays'!E41:AH41,Tiers!$B:$C,2,FALSE))*G96</f>
        <v>5</v>
      </c>
      <c r="G96">
        <v>1</v>
      </c>
      <c r="H96" t="s">
        <v>107</v>
      </c>
    </row>
    <row r="97" spans="2:8">
      <c r="B97" s="13">
        <v>93</v>
      </c>
      <c r="C97" s="68" t="s">
        <v>109</v>
      </c>
      <c r="D97" s="13"/>
      <c r="F97" s="111">
        <f t="array" ref="F97">SUM(VLOOKUP('Free Plays'!E42:AH42,Tiers!$B:$C,2,FALSE))*G97</f>
        <v>3</v>
      </c>
      <c r="G97">
        <v>1</v>
      </c>
      <c r="H97" t="s">
        <v>107</v>
      </c>
    </row>
    <row r="98" spans="2:8">
      <c r="B98" s="13">
        <v>94</v>
      </c>
      <c r="C98" s="68" t="s">
        <v>110</v>
      </c>
      <c r="D98" s="13"/>
      <c r="F98" s="111">
        <f t="array" ref="F98">SUM(VLOOKUP('Free Plays'!E43:AH43,Tiers!$B:$C,2,FALSE))*G98</f>
        <v>0.2</v>
      </c>
      <c r="G98">
        <v>1</v>
      </c>
      <c r="H98" t="s">
        <v>107</v>
      </c>
    </row>
    <row r="99" spans="2:8">
      <c r="B99" s="13">
        <v>95</v>
      </c>
      <c r="C99" s="68" t="s">
        <v>111</v>
      </c>
      <c r="D99" s="13"/>
      <c r="F99" s="111">
        <f t="array" ref="F99">SUM(VLOOKUP('Free Plays'!E44:AH44,Tiers!$B:$C,2,FALSE))*G99</f>
        <v>1</v>
      </c>
      <c r="G99">
        <v>1</v>
      </c>
      <c r="H99" t="s">
        <v>112</v>
      </c>
    </row>
    <row r="100" spans="2:8">
      <c r="B100" s="13">
        <v>96</v>
      </c>
      <c r="C100" s="68" t="s">
        <v>113</v>
      </c>
      <c r="D100" s="13"/>
      <c r="F100" s="111">
        <f t="array" ref="F100">SUM(VLOOKUP('Free Plays'!E45:AH45,Tiers!$B:$C,2,FALSE))*G100</f>
        <v>5</v>
      </c>
      <c r="G100">
        <v>1</v>
      </c>
      <c r="H100" t="s">
        <v>112</v>
      </c>
    </row>
    <row r="101" spans="2:8">
      <c r="B101" s="13">
        <v>97</v>
      </c>
      <c r="C101" s="68" t="s">
        <v>114</v>
      </c>
      <c r="D101" s="13"/>
      <c r="F101" s="111">
        <f t="array" ref="F101">SUM(VLOOKUP('Free Plays'!E46:AH46,Tiers!$B:$C,2,FALSE))*G101</f>
        <v>3</v>
      </c>
      <c r="G101">
        <v>1</v>
      </c>
      <c r="H101" t="s">
        <v>112</v>
      </c>
    </row>
    <row r="102" spans="2:8">
      <c r="B102" s="13">
        <v>98</v>
      </c>
      <c r="C102" s="68" t="s">
        <v>115</v>
      </c>
      <c r="D102" s="13"/>
      <c r="F102" s="111">
        <f t="array" ref="F102">SUM(VLOOKUP('Free Plays'!E47:AH47,Tiers!$B:$C,2,FALSE))*G102</f>
        <v>0.2</v>
      </c>
      <c r="G102">
        <v>1</v>
      </c>
      <c r="H102" t="s">
        <v>112</v>
      </c>
    </row>
    <row r="103" spans="2:8">
      <c r="B103" s="13">
        <v>371</v>
      </c>
      <c r="C103" s="199" t="s">
        <v>116</v>
      </c>
      <c r="D103" s="13"/>
      <c r="F103" s="111">
        <f>VLOOKUP(C103,'Pay Table'!$B:$C,2,FALSE)*G103*Frequency!$N$7</f>
        <v>3</v>
      </c>
      <c r="G103">
        <v>1</v>
      </c>
    </row>
    <row r="104" spans="2:8">
      <c r="B104" s="13">
        <v>372</v>
      </c>
      <c r="C104" s="199" t="s">
        <v>118</v>
      </c>
      <c r="D104" s="13"/>
      <c r="F104" s="111">
        <f>VLOOKUP(C104,'Pay Table'!$B:$C,2,FALSE)*G104*Frequency!$N$7</f>
        <v>5</v>
      </c>
      <c r="G104">
        <v>1</v>
      </c>
    </row>
    <row r="105" spans="2:8">
      <c r="B105" s="13">
        <v>373</v>
      </c>
      <c r="C105" s="199" t="s">
        <v>119</v>
      </c>
      <c r="D105" s="13"/>
      <c r="F105" s="111">
        <f>VLOOKUP(C105,'Pay Table'!$B:$C,2,FALSE)*G105*Frequency!$N$7</f>
        <v>8</v>
      </c>
      <c r="G105">
        <v>1</v>
      </c>
    </row>
    <row r="106" spans="2:8">
      <c r="B106" s="13">
        <v>374</v>
      </c>
      <c r="C106" s="199" t="s">
        <v>120</v>
      </c>
      <c r="F106" s="111">
        <f>VLOOKUP(C106,'Pay Table'!$B:$C,2,FALSE)*G106*Frequency!$N$7</f>
        <v>10</v>
      </c>
      <c r="G106">
        <v>1</v>
      </c>
    </row>
    <row r="107" spans="2:8">
      <c r="B107" s="13">
        <v>375</v>
      </c>
      <c r="C107" s="199" t="s">
        <v>121</v>
      </c>
      <c r="F107" s="111">
        <f>VLOOKUP(C107,'Pay Table'!$B:$C,2,FALSE)*G107*Frequency!$N$7</f>
        <v>20</v>
      </c>
      <c r="G107">
        <v>1</v>
      </c>
    </row>
    <row r="108" spans="2:8">
      <c r="B108" s="13">
        <v>376</v>
      </c>
      <c r="C108" s="66" t="s">
        <v>122</v>
      </c>
      <c r="D108" s="13"/>
      <c r="F108" s="111">
        <f>VLOOKUP(C108,'Pay Table'!$B:$C,2,FALSE)*G108*Frequency!$N$7</f>
        <v>3</v>
      </c>
      <c r="G108">
        <v>1</v>
      </c>
      <c r="H108" s="66" t="s">
        <v>123</v>
      </c>
    </row>
    <row r="109" spans="2:8">
      <c r="B109" s="13">
        <v>377</v>
      </c>
      <c r="C109" s="66" t="s">
        <v>124</v>
      </c>
      <c r="D109" s="13"/>
      <c r="F109" s="111">
        <f>VLOOKUP(C109,'Pay Table'!$B:$C,2,FALSE)*G109*Frequency!$N$7</f>
        <v>5</v>
      </c>
      <c r="G109">
        <v>1</v>
      </c>
    </row>
    <row r="110" spans="2:8">
      <c r="B110" s="13">
        <v>378</v>
      </c>
      <c r="C110" s="66" t="s">
        <v>125</v>
      </c>
      <c r="D110" s="13"/>
      <c r="F110" s="111">
        <f>VLOOKUP(C110,'Pay Table'!$B:$C,2,FALSE)*G110*Frequency!$N$7</f>
        <v>8</v>
      </c>
      <c r="G110">
        <v>1</v>
      </c>
    </row>
    <row r="111" spans="2:8">
      <c r="B111" s="13">
        <v>379</v>
      </c>
      <c r="C111" s="66" t="s">
        <v>126</v>
      </c>
      <c r="D111" s="13"/>
      <c r="F111" s="111">
        <f>VLOOKUP(C111,'Pay Table'!$B:$C,2,FALSE)*G111*Frequency!$N$7</f>
        <v>10</v>
      </c>
      <c r="G111">
        <v>1</v>
      </c>
    </row>
    <row r="112" spans="2:8">
      <c r="B112" s="13">
        <v>380</v>
      </c>
      <c r="C112" s="66" t="s">
        <v>127</v>
      </c>
      <c r="D112" s="13"/>
      <c r="F112" s="111">
        <f>VLOOKUP(C112,'Pay Table'!$B:$C,2,FALSE)*G112*Frequency!$N$7</f>
        <v>12</v>
      </c>
      <c r="G112">
        <v>1</v>
      </c>
    </row>
    <row r="113" spans="2:8" ht="13.8" customHeight="1" thickBot="1">
      <c r="B113" s="13">
        <v>381</v>
      </c>
      <c r="C113" s="201" t="s">
        <v>128</v>
      </c>
      <c r="D113" s="106"/>
      <c r="E113" s="10"/>
      <c r="F113" s="203">
        <f>VLOOKUP(C113,'Pay Table'!$B:$C,2,FALSE)*G113*Frequency!$N$7</f>
        <v>15</v>
      </c>
      <c r="G113" s="10">
        <v>1</v>
      </c>
    </row>
    <row r="114" spans="2:8">
      <c r="B114" s="13">
        <v>382</v>
      </c>
      <c r="C114" s="66" t="s">
        <v>129</v>
      </c>
      <c r="D114" s="13"/>
      <c r="F114" s="111">
        <f>VLOOKUP(C114,'Pay Table'!$B:$C,2,FALSE)*G114*Frequency!$N$7</f>
        <v>20</v>
      </c>
      <c r="G114">
        <v>1</v>
      </c>
      <c r="H114" t="s">
        <v>130</v>
      </c>
    </row>
    <row r="115" spans="2:8">
      <c r="B115" s="13">
        <v>383</v>
      </c>
      <c r="C115" s="66" t="s">
        <v>131</v>
      </c>
      <c r="D115" s="13"/>
      <c r="F115" s="111">
        <f>VLOOKUP(C115,'Pay Table'!$B:$C,2,FALSE)*G115*Frequency!$N$7</f>
        <v>25</v>
      </c>
      <c r="G115">
        <v>1</v>
      </c>
    </row>
    <row r="116" spans="2:8">
      <c r="B116" s="13">
        <v>384</v>
      </c>
      <c r="C116" s="66" t="s">
        <v>132</v>
      </c>
      <c r="D116" s="13"/>
      <c r="F116" s="111">
        <f>VLOOKUP(C116,'Pay Table'!$B:$C,2,FALSE)*G116*Frequency!$N$7</f>
        <v>30</v>
      </c>
      <c r="G116">
        <v>1</v>
      </c>
    </row>
    <row r="117" spans="2:8">
      <c r="B117" s="13">
        <v>385</v>
      </c>
      <c r="C117" s="66" t="s">
        <v>133</v>
      </c>
      <c r="D117" s="13"/>
      <c r="F117" s="111">
        <f>VLOOKUP(C117,'Pay Table'!$B:$C,2,FALSE)*G117*Frequency!$N$7</f>
        <v>50</v>
      </c>
      <c r="G117">
        <v>1</v>
      </c>
    </row>
    <row r="118" spans="2:8">
      <c r="B118" s="13">
        <v>386</v>
      </c>
      <c r="C118" s="66" t="s">
        <v>134</v>
      </c>
      <c r="D118" s="13"/>
      <c r="F118" s="111">
        <f>VLOOKUP(C118,'Pay Table'!$B:$C,2,FALSE)*G118*Frequency!$N$7</f>
        <v>100</v>
      </c>
      <c r="G118">
        <v>1</v>
      </c>
    </row>
    <row r="119" spans="2:8">
      <c r="B119" s="13">
        <v>387</v>
      </c>
      <c r="C119" s="208" t="s">
        <v>135</v>
      </c>
      <c r="D119" s="13"/>
      <c r="F119" s="111">
        <f>VLOOKUP(C119,'Pay Table'!$B:$C,2,FALSE)*G119*Frequency!$N$7</f>
        <v>3</v>
      </c>
      <c r="G119">
        <v>1</v>
      </c>
      <c r="H119" s="208" t="s">
        <v>136</v>
      </c>
    </row>
    <row r="120" spans="2:8">
      <c r="B120" s="13">
        <v>388</v>
      </c>
      <c r="C120" s="208" t="s">
        <v>137</v>
      </c>
      <c r="D120" s="13"/>
      <c r="F120" s="111">
        <f>VLOOKUP(C120,'Pay Table'!$B:$C,2,FALSE)*G120*Frequency!$N$7</f>
        <v>5</v>
      </c>
      <c r="G120">
        <v>1</v>
      </c>
    </row>
    <row r="121" spans="2:8">
      <c r="B121" s="13">
        <v>389</v>
      </c>
      <c r="C121" s="208" t="s">
        <v>138</v>
      </c>
      <c r="D121" s="13"/>
      <c r="F121" s="111">
        <f>VLOOKUP(C121,'Pay Table'!$B:$C,2,FALSE)*G121*Frequency!$N$7</f>
        <v>8</v>
      </c>
      <c r="G121">
        <v>1</v>
      </c>
    </row>
    <row r="122" spans="2:8">
      <c r="B122" s="13">
        <v>390</v>
      </c>
      <c r="C122" s="208" t="s">
        <v>139</v>
      </c>
      <c r="D122" s="13"/>
      <c r="F122" s="111">
        <f>VLOOKUP(C122,'Pay Table'!$B:$C,2,FALSE)*G122*Frequency!$N$7</f>
        <v>10</v>
      </c>
      <c r="G122">
        <v>1</v>
      </c>
    </row>
    <row r="123" spans="2:8">
      <c r="B123" s="13">
        <v>391</v>
      </c>
      <c r="C123" s="208" t="s">
        <v>140</v>
      </c>
      <c r="D123" s="13"/>
      <c r="F123" s="111">
        <f>VLOOKUP(C123,'Pay Table'!$B:$C,2,FALSE)*G123*Frequency!$N$7</f>
        <v>12</v>
      </c>
      <c r="G123">
        <v>1</v>
      </c>
    </row>
    <row r="124" spans="2:8" ht="13.8" customHeight="1" thickBot="1">
      <c r="B124" s="106">
        <v>392</v>
      </c>
      <c r="C124" s="209" t="s">
        <v>141</v>
      </c>
      <c r="D124" s="106"/>
      <c r="E124" s="10"/>
      <c r="F124" s="203">
        <f>VLOOKUP(C124,'Pay Table'!$B:$C,2,FALSE)*G124*Frequency!$N$7</f>
        <v>15</v>
      </c>
      <c r="G124" s="10">
        <v>1</v>
      </c>
    </row>
    <row r="125" spans="2:8">
      <c r="B125" s="13">
        <v>393</v>
      </c>
      <c r="C125" s="208" t="s">
        <v>142</v>
      </c>
      <c r="D125" s="13"/>
      <c r="F125" s="111">
        <f>VLOOKUP(C125,'Pay Table'!$B:$C,2,FALSE)*G125*Frequency!$N$7</f>
        <v>20</v>
      </c>
      <c r="G125">
        <v>1</v>
      </c>
      <c r="H125" t="s">
        <v>130</v>
      </c>
    </row>
    <row r="126" spans="2:8">
      <c r="B126" s="13">
        <v>394</v>
      </c>
      <c r="C126" s="208" t="s">
        <v>143</v>
      </c>
      <c r="D126" s="13"/>
      <c r="F126" s="111">
        <f>VLOOKUP(C126,'Pay Table'!$B:$C,2,FALSE)*G126*Frequency!$N$7</f>
        <v>25</v>
      </c>
      <c r="G126">
        <v>1</v>
      </c>
    </row>
    <row r="127" spans="2:8">
      <c r="B127" s="13">
        <v>395</v>
      </c>
      <c r="C127" s="208" t="s">
        <v>144</v>
      </c>
      <c r="D127" s="13"/>
      <c r="F127" s="111">
        <f>VLOOKUP(C127,'Pay Table'!$B:$C,2,FALSE)*G127*Frequency!$N$7</f>
        <v>30</v>
      </c>
      <c r="G127">
        <v>1</v>
      </c>
    </row>
    <row r="128" spans="2:8">
      <c r="B128" s="13">
        <v>396</v>
      </c>
      <c r="C128" s="208" t="s">
        <v>145</v>
      </c>
      <c r="D128" s="13"/>
      <c r="F128" s="111">
        <f>VLOOKUP(C128,'Pay Table'!$B:$C,2,FALSE)*G128*Frequency!$N$7</f>
        <v>50</v>
      </c>
      <c r="G128">
        <v>1</v>
      </c>
    </row>
    <row r="129" spans="2:8">
      <c r="B129" s="13">
        <v>397</v>
      </c>
      <c r="C129" s="208" t="s">
        <v>146</v>
      </c>
      <c r="D129" s="13"/>
      <c r="F129" s="111">
        <f>VLOOKUP(C129,'Pay Table'!$B:$C,2,FALSE)*G129*Frequency!$N$7</f>
        <v>100</v>
      </c>
      <c r="G129">
        <v>1</v>
      </c>
    </row>
    <row r="130" spans="2:8">
      <c r="B130" s="13">
        <v>398</v>
      </c>
      <c r="C130" s="219" t="s">
        <v>147</v>
      </c>
      <c r="F130" s="111">
        <f>VLOOKUP(C130,'Pay Table'!$B:$C,2,FALSE)*G130*Frequency!$N$7</f>
        <v>3</v>
      </c>
      <c r="G130">
        <v>1</v>
      </c>
      <c r="H130" s="219" t="s">
        <v>148</v>
      </c>
    </row>
    <row r="131" spans="2:8">
      <c r="B131" s="13">
        <v>399</v>
      </c>
      <c r="C131" s="219" t="s">
        <v>149</v>
      </c>
      <c r="F131" s="111">
        <f>VLOOKUP(C131,'Pay Table'!$B:$C,2,FALSE)*G131*Frequency!$N$7</f>
        <v>5</v>
      </c>
      <c r="G131">
        <v>1</v>
      </c>
    </row>
    <row r="132" spans="2:8">
      <c r="B132" s="13">
        <v>400</v>
      </c>
      <c r="C132" s="219" t="s">
        <v>150</v>
      </c>
      <c r="F132" s="111">
        <f>VLOOKUP(C132,'Pay Table'!$B:$C,2,FALSE)*G132*Frequency!$N$7</f>
        <v>8</v>
      </c>
      <c r="G132">
        <v>1</v>
      </c>
    </row>
    <row r="133" spans="2:8">
      <c r="B133" s="13">
        <v>401</v>
      </c>
      <c r="C133" s="219" t="s">
        <v>151</v>
      </c>
      <c r="F133" s="111">
        <f>VLOOKUP(C133,'Pay Table'!$B:$C,2,FALSE)*G133*Frequency!$N$7</f>
        <v>10</v>
      </c>
      <c r="G133">
        <v>1</v>
      </c>
    </row>
    <row r="134" spans="2:8">
      <c r="B134" s="13">
        <v>402</v>
      </c>
      <c r="C134" s="219" t="s">
        <v>152</v>
      </c>
      <c r="F134" s="111">
        <f>VLOOKUP(C134,'Pay Table'!$B:$C,2,FALSE)*G134*Frequency!$N$7</f>
        <v>12</v>
      </c>
      <c r="G134">
        <v>1</v>
      </c>
    </row>
    <row r="135" spans="2:8">
      <c r="B135" s="13">
        <v>403</v>
      </c>
      <c r="C135" s="219" t="s">
        <v>153</v>
      </c>
      <c r="F135" s="111">
        <f>VLOOKUP(C135,'Pay Table'!$B:$C,2,FALSE)*G135*Frequency!$N$7</f>
        <v>15</v>
      </c>
      <c r="G135">
        <v>1</v>
      </c>
    </row>
    <row r="136" spans="2:8">
      <c r="B136" s="13">
        <v>404</v>
      </c>
      <c r="C136" s="219" t="s">
        <v>154</v>
      </c>
      <c r="F136" s="111">
        <f>VLOOKUP(C136,'Pay Table'!$B:$C,2,FALSE)*G136*Frequency!$N$7</f>
        <v>20</v>
      </c>
      <c r="G136">
        <v>1</v>
      </c>
    </row>
    <row r="137" spans="2:8">
      <c r="B137" s="13">
        <v>405</v>
      </c>
      <c r="C137" s="219" t="s">
        <v>155</v>
      </c>
      <c r="F137" s="111">
        <f>VLOOKUP(C137,'Pay Table'!$B:$C,2,FALSE)*G137*Frequency!$N$7</f>
        <v>100</v>
      </c>
      <c r="G137">
        <v>1</v>
      </c>
    </row>
    <row r="138" spans="2:8">
      <c r="B138" s="13">
        <v>406</v>
      </c>
      <c r="C138" s="219" t="s">
        <v>156</v>
      </c>
      <c r="F138" s="111">
        <f>VLOOKUP(C138,'Pay Table'!$B:$C,2,FALSE)*G138*Frequency!$N$7</f>
        <v>500</v>
      </c>
      <c r="G138">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J53"/>
  <sheetViews>
    <sheetView workbookViewId="0">
      <selection activeCell="J26" sqref="J26"/>
    </sheetView>
  </sheetViews>
  <sheetFormatPr defaultRowHeight="13.2"/>
  <cols>
    <col min="2" max="2" width="12.6640625" customWidth="1"/>
    <col min="4" max="4" width="12.5546875" customWidth="1"/>
  </cols>
  <sheetData>
    <row r="2" spans="2:10">
      <c r="C2" t="s">
        <v>773</v>
      </c>
    </row>
    <row r="3" spans="2:10" ht="13.8" customHeight="1" thickBot="1">
      <c r="B3" t="s">
        <v>774</v>
      </c>
      <c r="C3" s="10" t="s">
        <v>775</v>
      </c>
      <c r="D3" s="10">
        <v>3</v>
      </c>
      <c r="E3" s="10">
        <v>4</v>
      </c>
      <c r="F3" s="10">
        <v>5</v>
      </c>
      <c r="G3" s="10">
        <v>6</v>
      </c>
      <c r="H3" s="10">
        <v>7</v>
      </c>
      <c r="I3" s="10">
        <v>8</v>
      </c>
      <c r="J3" s="10">
        <v>9</v>
      </c>
    </row>
    <row r="4" spans="2:10">
      <c r="B4" t="s">
        <v>13</v>
      </c>
      <c r="C4" s="13">
        <v>0</v>
      </c>
      <c r="D4" s="13">
        <v>0.1</v>
      </c>
      <c r="E4" s="13">
        <v>0.2</v>
      </c>
      <c r="F4" s="13">
        <v>0.5</v>
      </c>
      <c r="G4" s="13">
        <v>1</v>
      </c>
      <c r="H4" s="13">
        <v>2</v>
      </c>
      <c r="I4" s="13">
        <v>5</v>
      </c>
      <c r="J4" s="13">
        <v>10</v>
      </c>
    </row>
    <row r="5" spans="2:10">
      <c r="B5" t="s">
        <v>14</v>
      </c>
      <c r="C5" s="13">
        <v>1</v>
      </c>
      <c r="D5" s="13">
        <v>0.1</v>
      </c>
      <c r="E5" s="13">
        <v>0.2</v>
      </c>
      <c r="F5" s="13">
        <v>0.5</v>
      </c>
      <c r="G5" s="13">
        <v>1</v>
      </c>
      <c r="H5" s="13">
        <v>2</v>
      </c>
      <c r="I5" s="13">
        <v>5</v>
      </c>
      <c r="J5" s="13">
        <v>20</v>
      </c>
    </row>
    <row r="6" spans="2:10">
      <c r="B6" t="s">
        <v>15</v>
      </c>
      <c r="C6" s="13">
        <v>2</v>
      </c>
      <c r="D6" s="13">
        <v>0.1</v>
      </c>
      <c r="E6" s="13">
        <v>0.2</v>
      </c>
      <c r="F6" s="13">
        <v>0.5</v>
      </c>
      <c r="G6" s="13">
        <v>1</v>
      </c>
      <c r="H6" s="13">
        <v>2</v>
      </c>
      <c r="I6" s="13">
        <v>5</v>
      </c>
      <c r="J6" s="13">
        <v>30</v>
      </c>
    </row>
    <row r="7" spans="2:10">
      <c r="B7" t="s">
        <v>16</v>
      </c>
      <c r="C7" s="13">
        <v>3</v>
      </c>
      <c r="D7" s="13">
        <v>0.1</v>
      </c>
      <c r="E7" s="13">
        <v>0.2</v>
      </c>
      <c r="F7" s="13">
        <v>0.5</v>
      </c>
      <c r="G7" s="13">
        <v>1</v>
      </c>
      <c r="H7" s="13">
        <v>2</v>
      </c>
      <c r="I7" s="13">
        <v>5</v>
      </c>
      <c r="J7" s="13">
        <v>40</v>
      </c>
    </row>
    <row r="8" spans="2:10">
      <c r="B8" t="s">
        <v>17</v>
      </c>
      <c r="C8" s="67">
        <v>4</v>
      </c>
      <c r="D8" s="13">
        <v>1</v>
      </c>
      <c r="E8" s="13">
        <v>2</v>
      </c>
      <c r="F8" s="13">
        <v>3</v>
      </c>
      <c r="G8" s="13">
        <v>5</v>
      </c>
      <c r="H8" s="13">
        <v>10</v>
      </c>
      <c r="I8" s="13">
        <v>20</v>
      </c>
      <c r="J8" s="13">
        <v>100</v>
      </c>
    </row>
    <row r="9" spans="2:10">
      <c r="B9" t="s">
        <v>18</v>
      </c>
      <c r="C9" s="67">
        <v>5</v>
      </c>
      <c r="D9" s="13">
        <v>2</v>
      </c>
      <c r="E9" s="13">
        <v>3</v>
      </c>
      <c r="F9" s="13">
        <v>5</v>
      </c>
      <c r="G9" s="13">
        <v>10</v>
      </c>
      <c r="H9" s="13">
        <v>20</v>
      </c>
      <c r="I9" s="13">
        <v>100</v>
      </c>
      <c r="J9" s="13">
        <v>200</v>
      </c>
    </row>
    <row r="10" spans="2:10">
      <c r="B10" t="s">
        <v>19</v>
      </c>
      <c r="C10" s="67">
        <v>6</v>
      </c>
      <c r="D10" s="13">
        <v>3</v>
      </c>
      <c r="E10" s="13">
        <v>5</v>
      </c>
      <c r="F10" s="13">
        <v>10</v>
      </c>
      <c r="G10" s="13">
        <v>20</v>
      </c>
      <c r="H10" s="13">
        <v>100</v>
      </c>
      <c r="I10" s="13">
        <v>200</v>
      </c>
      <c r="J10" s="13">
        <v>1000</v>
      </c>
    </row>
    <row r="11" spans="2:10" ht="13.8" customHeight="1" thickBot="1">
      <c r="B11" t="s">
        <v>7</v>
      </c>
      <c r="C11" s="106" t="s">
        <v>6</v>
      </c>
      <c r="D11" s="106">
        <v>0.1</v>
      </c>
      <c r="E11" s="106">
        <v>0.2</v>
      </c>
      <c r="F11" s="106">
        <v>0.5</v>
      </c>
      <c r="G11" s="106">
        <v>1</v>
      </c>
      <c r="H11" s="106">
        <v>2</v>
      </c>
      <c r="I11" s="106">
        <v>5</v>
      </c>
      <c r="J11" s="106" t="s">
        <v>735</v>
      </c>
    </row>
    <row r="14" spans="2:10">
      <c r="B14" s="110" t="s">
        <v>206</v>
      </c>
      <c r="C14" s="110" t="s">
        <v>2</v>
      </c>
      <c r="D14" s="200" t="s">
        <v>776</v>
      </c>
    </row>
    <row r="15" spans="2:10">
      <c r="B15" s="66" t="s">
        <v>122</v>
      </c>
      <c r="C15">
        <v>3</v>
      </c>
      <c r="D15">
        <v>10</v>
      </c>
      <c r="E15" s="66" t="s">
        <v>123</v>
      </c>
    </row>
    <row r="16" spans="2:10">
      <c r="B16" s="66" t="s">
        <v>124</v>
      </c>
      <c r="C16">
        <v>5</v>
      </c>
      <c r="D16">
        <v>20</v>
      </c>
    </row>
    <row r="17" spans="2:5">
      <c r="B17" s="66" t="s">
        <v>125</v>
      </c>
      <c r="C17">
        <v>8</v>
      </c>
      <c r="D17">
        <v>30</v>
      </c>
    </row>
    <row r="18" spans="2:5">
      <c r="B18" s="66" t="s">
        <v>126</v>
      </c>
      <c r="C18">
        <v>10</v>
      </c>
      <c r="D18">
        <v>40</v>
      </c>
    </row>
    <row r="19" spans="2:5">
      <c r="B19" s="66" t="s">
        <v>127</v>
      </c>
      <c r="C19">
        <v>12</v>
      </c>
      <c r="D19">
        <v>50</v>
      </c>
    </row>
    <row r="20" spans="2:5" ht="13.8" customHeight="1" thickBot="1">
      <c r="B20" s="201" t="s">
        <v>128</v>
      </c>
      <c r="C20" s="10">
        <v>15</v>
      </c>
      <c r="D20" s="10">
        <v>60</v>
      </c>
    </row>
    <row r="21" spans="2:5">
      <c r="B21" s="66" t="s">
        <v>129</v>
      </c>
      <c r="C21">
        <v>20</v>
      </c>
      <c r="D21">
        <v>70</v>
      </c>
    </row>
    <row r="22" spans="2:5">
      <c r="B22" s="66" t="s">
        <v>131</v>
      </c>
      <c r="C22">
        <v>25</v>
      </c>
      <c r="D22">
        <v>80</v>
      </c>
    </row>
    <row r="23" spans="2:5">
      <c r="B23" s="66" t="s">
        <v>132</v>
      </c>
      <c r="C23">
        <v>30</v>
      </c>
      <c r="D23">
        <v>90</v>
      </c>
    </row>
    <row r="24" spans="2:5">
      <c r="B24" s="66" t="s">
        <v>133</v>
      </c>
      <c r="C24">
        <v>50</v>
      </c>
      <c r="D24">
        <v>100</v>
      </c>
    </row>
    <row r="25" spans="2:5">
      <c r="B25" s="66" t="s">
        <v>134</v>
      </c>
      <c r="C25">
        <v>100</v>
      </c>
      <c r="D25">
        <v>150</v>
      </c>
    </row>
    <row r="26" spans="2:5">
      <c r="B26" s="208" t="s">
        <v>135</v>
      </c>
      <c r="C26">
        <v>3</v>
      </c>
      <c r="D26">
        <v>10</v>
      </c>
      <c r="E26" s="208" t="s">
        <v>136</v>
      </c>
    </row>
    <row r="27" spans="2:5">
      <c r="B27" s="208" t="s">
        <v>137</v>
      </c>
      <c r="C27">
        <v>5</v>
      </c>
      <c r="D27">
        <v>20</v>
      </c>
    </row>
    <row r="28" spans="2:5">
      <c r="B28" s="208" t="s">
        <v>138</v>
      </c>
      <c r="C28">
        <v>8</v>
      </c>
      <c r="D28">
        <v>30</v>
      </c>
    </row>
    <row r="29" spans="2:5">
      <c r="B29" s="208" t="s">
        <v>139</v>
      </c>
      <c r="C29">
        <v>10</v>
      </c>
      <c r="D29">
        <v>40</v>
      </c>
    </row>
    <row r="30" spans="2:5">
      <c r="B30" s="208" t="s">
        <v>140</v>
      </c>
      <c r="C30">
        <v>12</v>
      </c>
      <c r="D30">
        <v>50</v>
      </c>
    </row>
    <row r="31" spans="2:5" ht="13.8" customHeight="1" thickBot="1">
      <c r="B31" s="209" t="s">
        <v>141</v>
      </c>
      <c r="C31" s="10">
        <v>15</v>
      </c>
      <c r="D31" s="10">
        <v>60</v>
      </c>
    </row>
    <row r="32" spans="2:5">
      <c r="B32" s="208" t="s">
        <v>142</v>
      </c>
      <c r="C32">
        <v>20</v>
      </c>
      <c r="D32">
        <v>70</v>
      </c>
    </row>
    <row r="33" spans="2:5">
      <c r="B33" s="208" t="s">
        <v>143</v>
      </c>
      <c r="C33">
        <v>25</v>
      </c>
      <c r="D33">
        <v>80</v>
      </c>
    </row>
    <row r="34" spans="2:5">
      <c r="B34" s="208" t="s">
        <v>144</v>
      </c>
      <c r="C34">
        <v>30</v>
      </c>
      <c r="D34">
        <v>90</v>
      </c>
    </row>
    <row r="35" spans="2:5">
      <c r="B35" s="208" t="s">
        <v>145</v>
      </c>
      <c r="C35">
        <v>50</v>
      </c>
      <c r="D35">
        <v>100</v>
      </c>
    </row>
    <row r="36" spans="2:5">
      <c r="B36" s="208" t="s">
        <v>146</v>
      </c>
      <c r="C36">
        <v>100</v>
      </c>
      <c r="D36">
        <v>150</v>
      </c>
    </row>
    <row r="38" spans="2:5">
      <c r="B38" s="219" t="s">
        <v>147</v>
      </c>
      <c r="C38">
        <v>3</v>
      </c>
      <c r="E38" s="219" t="s">
        <v>148</v>
      </c>
    </row>
    <row r="39" spans="2:5">
      <c r="B39" s="219" t="s">
        <v>149</v>
      </c>
      <c r="C39">
        <v>5</v>
      </c>
    </row>
    <row r="40" spans="2:5">
      <c r="B40" s="219" t="s">
        <v>150</v>
      </c>
      <c r="C40">
        <v>8</v>
      </c>
    </row>
    <row r="41" spans="2:5">
      <c r="B41" s="219" t="s">
        <v>151</v>
      </c>
      <c r="C41">
        <v>10</v>
      </c>
    </row>
    <row r="42" spans="2:5">
      <c r="B42" s="219" t="s">
        <v>152</v>
      </c>
      <c r="C42">
        <v>12</v>
      </c>
    </row>
    <row r="43" spans="2:5">
      <c r="B43" s="219" t="s">
        <v>153</v>
      </c>
      <c r="C43">
        <v>15</v>
      </c>
    </row>
    <row r="44" spans="2:5">
      <c r="B44" s="219" t="s">
        <v>154</v>
      </c>
      <c r="C44">
        <v>20</v>
      </c>
    </row>
    <row r="45" spans="2:5">
      <c r="B45" s="219" t="s">
        <v>155</v>
      </c>
      <c r="C45">
        <v>100</v>
      </c>
    </row>
    <row r="46" spans="2:5">
      <c r="B46" s="219" t="s">
        <v>156</v>
      </c>
      <c r="C46">
        <v>500</v>
      </c>
    </row>
    <row r="49" spans="2:3">
      <c r="B49" s="199" t="s">
        <v>116</v>
      </c>
      <c r="C49">
        <v>3</v>
      </c>
    </row>
    <row r="50" spans="2:3">
      <c r="B50" s="199" t="s">
        <v>118</v>
      </c>
      <c r="C50">
        <v>5</v>
      </c>
    </row>
    <row r="51" spans="2:3">
      <c r="B51" s="199" t="s">
        <v>119</v>
      </c>
      <c r="C51">
        <v>8</v>
      </c>
    </row>
    <row r="52" spans="2:3">
      <c r="B52" s="199" t="s">
        <v>120</v>
      </c>
      <c r="C52">
        <v>10</v>
      </c>
    </row>
    <row r="53" spans="2:3">
      <c r="B53" s="199" t="s">
        <v>121</v>
      </c>
      <c r="C53">
        <v>20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AH47"/>
  <sheetViews>
    <sheetView zoomScaleNormal="100" workbookViewId="0">
      <selection activeCell="D52" sqref="D52"/>
    </sheetView>
  </sheetViews>
  <sheetFormatPr defaultRowHeight="13.2"/>
  <cols>
    <col min="3" max="4" width="13.88671875" customWidth="1"/>
    <col min="14" max="14" width="11" customWidth="1"/>
  </cols>
  <sheetData>
    <row r="2" spans="2:34" s="110" customFormat="1">
      <c r="B2" s="110" t="s">
        <v>157</v>
      </c>
      <c r="C2" s="110" t="s">
        <v>777</v>
      </c>
      <c r="D2" s="110" t="s">
        <v>163</v>
      </c>
      <c r="E2" s="110" t="s">
        <v>778</v>
      </c>
      <c r="F2" s="110" t="s">
        <v>779</v>
      </c>
      <c r="G2" s="110" t="s">
        <v>780</v>
      </c>
      <c r="H2" s="110" t="s">
        <v>781</v>
      </c>
      <c r="I2" s="110" t="s">
        <v>782</v>
      </c>
      <c r="J2" s="110" t="s">
        <v>783</v>
      </c>
      <c r="K2" s="110" t="s">
        <v>784</v>
      </c>
      <c r="L2" s="110" t="s">
        <v>785</v>
      </c>
      <c r="M2" s="110" t="s">
        <v>786</v>
      </c>
      <c r="N2" s="110" t="s">
        <v>787</v>
      </c>
      <c r="O2" s="110" t="s">
        <v>788</v>
      </c>
      <c r="P2" s="110" t="s">
        <v>789</v>
      </c>
      <c r="Q2" s="110" t="s">
        <v>790</v>
      </c>
      <c r="R2" s="110" t="s">
        <v>791</v>
      </c>
      <c r="S2" s="110" t="s">
        <v>792</v>
      </c>
      <c r="T2" s="110" t="s">
        <v>793</v>
      </c>
      <c r="U2" s="110" t="s">
        <v>794</v>
      </c>
      <c r="V2" s="110" t="s">
        <v>795</v>
      </c>
      <c r="W2" s="110" t="s">
        <v>796</v>
      </c>
      <c r="X2" s="110" t="s">
        <v>797</v>
      </c>
      <c r="Y2" s="110" t="s">
        <v>798</v>
      </c>
      <c r="Z2" s="110" t="s">
        <v>799</v>
      </c>
      <c r="AA2" s="110" t="s">
        <v>800</v>
      </c>
      <c r="AB2" s="110" t="s">
        <v>801</v>
      </c>
      <c r="AC2" s="110" t="s">
        <v>802</v>
      </c>
      <c r="AD2" s="110" t="s">
        <v>803</v>
      </c>
      <c r="AE2" s="110" t="s">
        <v>804</v>
      </c>
      <c r="AF2" s="110" t="s">
        <v>805</v>
      </c>
      <c r="AG2" s="110" t="s">
        <v>806</v>
      </c>
      <c r="AH2" s="110" t="s">
        <v>807</v>
      </c>
    </row>
    <row r="3" spans="2:34">
      <c r="B3">
        <v>54</v>
      </c>
      <c r="C3">
        <v>10</v>
      </c>
      <c r="D3" s="68" t="s">
        <v>67</v>
      </c>
      <c r="E3">
        <v>158</v>
      </c>
      <c r="F3">
        <v>32</v>
      </c>
      <c r="G3">
        <v>36</v>
      </c>
      <c r="H3">
        <v>33</v>
      </c>
      <c r="I3">
        <v>33</v>
      </c>
    </row>
    <row r="4" spans="2:34">
      <c r="B4">
        <v>55</v>
      </c>
      <c r="C4">
        <v>10</v>
      </c>
      <c r="D4" s="68" t="s">
        <v>69</v>
      </c>
      <c r="E4">
        <v>44</v>
      </c>
      <c r="F4">
        <v>3</v>
      </c>
      <c r="G4">
        <v>4</v>
      </c>
      <c r="H4">
        <v>35</v>
      </c>
      <c r="I4">
        <v>45</v>
      </c>
      <c r="J4">
        <v>1</v>
      </c>
    </row>
    <row r="5" spans="2:34">
      <c r="B5">
        <v>56</v>
      </c>
      <c r="C5">
        <v>10</v>
      </c>
      <c r="D5" s="68" t="s">
        <v>70</v>
      </c>
      <c r="E5">
        <v>34</v>
      </c>
      <c r="F5">
        <v>33</v>
      </c>
      <c r="G5">
        <v>1</v>
      </c>
      <c r="H5">
        <v>2</v>
      </c>
      <c r="I5">
        <v>21</v>
      </c>
    </row>
    <row r="6" spans="2:34">
      <c r="B6">
        <v>57</v>
      </c>
      <c r="C6">
        <v>10</v>
      </c>
      <c r="D6" s="68" t="s">
        <v>71</v>
      </c>
      <c r="E6">
        <v>1</v>
      </c>
      <c r="F6">
        <v>105</v>
      </c>
      <c r="G6">
        <v>160</v>
      </c>
      <c r="H6">
        <v>19</v>
      </c>
      <c r="I6">
        <v>6</v>
      </c>
    </row>
    <row r="7" spans="2:34">
      <c r="B7">
        <v>58</v>
      </c>
      <c r="C7">
        <v>10</v>
      </c>
      <c r="D7" s="68" t="s">
        <v>72</v>
      </c>
      <c r="E7">
        <v>158</v>
      </c>
      <c r="F7">
        <v>34</v>
      </c>
      <c r="G7">
        <v>108</v>
      </c>
      <c r="H7">
        <v>35</v>
      </c>
      <c r="I7">
        <v>34</v>
      </c>
    </row>
    <row r="8" spans="2:34">
      <c r="B8">
        <v>59</v>
      </c>
      <c r="C8">
        <v>10</v>
      </c>
      <c r="D8" s="68" t="s">
        <v>73</v>
      </c>
      <c r="E8">
        <v>45</v>
      </c>
      <c r="F8">
        <v>4</v>
      </c>
      <c r="G8">
        <v>50</v>
      </c>
      <c r="H8">
        <v>46</v>
      </c>
      <c r="I8">
        <v>48</v>
      </c>
    </row>
    <row r="9" spans="2:34">
      <c r="B9">
        <v>60</v>
      </c>
      <c r="C9">
        <v>10</v>
      </c>
      <c r="D9" s="68" t="s">
        <v>74</v>
      </c>
      <c r="E9">
        <v>26</v>
      </c>
      <c r="F9">
        <v>108</v>
      </c>
      <c r="G9">
        <v>3</v>
      </c>
      <c r="H9">
        <v>4</v>
      </c>
      <c r="I9">
        <v>33</v>
      </c>
    </row>
    <row r="10" spans="2:34">
      <c r="B10">
        <v>61</v>
      </c>
      <c r="C10">
        <v>10</v>
      </c>
      <c r="D10" s="68" t="s">
        <v>75</v>
      </c>
      <c r="E10">
        <v>2</v>
      </c>
      <c r="F10">
        <v>15</v>
      </c>
      <c r="G10">
        <v>1</v>
      </c>
      <c r="H10">
        <v>7</v>
      </c>
    </row>
    <row r="11" spans="2:34">
      <c r="B11">
        <v>62</v>
      </c>
      <c r="C11">
        <v>10</v>
      </c>
      <c r="D11" s="68" t="s">
        <v>76</v>
      </c>
      <c r="E11">
        <v>33</v>
      </c>
      <c r="F11">
        <v>34</v>
      </c>
      <c r="G11">
        <v>37</v>
      </c>
      <c r="H11">
        <v>34</v>
      </c>
      <c r="I11">
        <v>33</v>
      </c>
      <c r="J11">
        <v>48</v>
      </c>
    </row>
    <row r="12" spans="2:34">
      <c r="B12">
        <v>63</v>
      </c>
      <c r="C12">
        <v>10</v>
      </c>
      <c r="D12" s="68" t="s">
        <v>77</v>
      </c>
      <c r="E12">
        <v>50</v>
      </c>
      <c r="F12">
        <v>7</v>
      </c>
      <c r="G12">
        <v>5</v>
      </c>
      <c r="H12">
        <v>1</v>
      </c>
      <c r="I12">
        <v>48</v>
      </c>
      <c r="J12">
        <v>43</v>
      </c>
    </row>
    <row r="13" spans="2:34">
      <c r="B13">
        <v>64</v>
      </c>
      <c r="C13">
        <v>10</v>
      </c>
      <c r="D13" s="68" t="s">
        <v>78</v>
      </c>
      <c r="E13">
        <v>48</v>
      </c>
      <c r="F13">
        <v>2</v>
      </c>
      <c r="G13">
        <v>45</v>
      </c>
      <c r="H13">
        <v>12</v>
      </c>
      <c r="I13">
        <v>36</v>
      </c>
      <c r="J13">
        <v>19</v>
      </c>
    </row>
    <row r="14" spans="2:34">
      <c r="B14">
        <v>65</v>
      </c>
      <c r="C14">
        <v>10</v>
      </c>
      <c r="D14" s="68" t="s">
        <v>79</v>
      </c>
      <c r="E14">
        <v>50</v>
      </c>
      <c r="F14">
        <v>109</v>
      </c>
      <c r="G14">
        <v>20</v>
      </c>
      <c r="H14">
        <v>45</v>
      </c>
      <c r="I14">
        <v>32</v>
      </c>
    </row>
    <row r="15" spans="2:34">
      <c r="B15">
        <v>66</v>
      </c>
      <c r="C15">
        <v>10</v>
      </c>
      <c r="D15" s="68" t="s">
        <v>80</v>
      </c>
      <c r="E15">
        <v>33</v>
      </c>
      <c r="F15">
        <v>43</v>
      </c>
      <c r="G15">
        <v>37</v>
      </c>
      <c r="H15">
        <v>42</v>
      </c>
      <c r="I15">
        <v>34</v>
      </c>
      <c r="J15">
        <v>163</v>
      </c>
    </row>
    <row r="16" spans="2:34">
      <c r="B16">
        <v>67</v>
      </c>
      <c r="C16">
        <v>10</v>
      </c>
      <c r="D16" s="68" t="s">
        <v>81</v>
      </c>
      <c r="E16">
        <v>50</v>
      </c>
      <c r="F16">
        <v>46</v>
      </c>
      <c r="G16">
        <v>35</v>
      </c>
      <c r="H16">
        <v>38</v>
      </c>
      <c r="I16">
        <v>152</v>
      </c>
    </row>
    <row r="17" spans="2:11">
      <c r="B17">
        <v>68</v>
      </c>
      <c r="C17">
        <v>10</v>
      </c>
      <c r="D17" s="68" t="s">
        <v>82</v>
      </c>
      <c r="E17">
        <v>50</v>
      </c>
      <c r="F17">
        <v>19</v>
      </c>
      <c r="G17">
        <v>45</v>
      </c>
      <c r="H17">
        <v>142</v>
      </c>
      <c r="I17">
        <v>99</v>
      </c>
    </row>
    <row r="18" spans="2:11">
      <c r="B18">
        <v>69</v>
      </c>
      <c r="C18">
        <v>10</v>
      </c>
      <c r="D18" s="68" t="s">
        <v>83</v>
      </c>
      <c r="E18">
        <v>42</v>
      </c>
      <c r="F18">
        <v>1</v>
      </c>
      <c r="G18">
        <v>47</v>
      </c>
      <c r="H18">
        <v>14</v>
      </c>
      <c r="I18">
        <v>38</v>
      </c>
      <c r="J18">
        <v>159</v>
      </c>
    </row>
    <row r="19" spans="2:11">
      <c r="B19">
        <v>70</v>
      </c>
      <c r="C19">
        <v>10</v>
      </c>
      <c r="D19" s="68" t="s">
        <v>84</v>
      </c>
      <c r="E19">
        <v>53</v>
      </c>
      <c r="F19">
        <v>34</v>
      </c>
      <c r="G19">
        <v>107</v>
      </c>
      <c r="H19">
        <v>35</v>
      </c>
      <c r="I19">
        <v>3</v>
      </c>
      <c r="J19">
        <v>35</v>
      </c>
    </row>
    <row r="20" spans="2:11">
      <c r="B20">
        <v>71</v>
      </c>
      <c r="C20">
        <v>10</v>
      </c>
      <c r="D20" s="68" t="s">
        <v>85</v>
      </c>
      <c r="E20">
        <v>47</v>
      </c>
      <c r="F20">
        <v>36</v>
      </c>
      <c r="G20">
        <v>153</v>
      </c>
      <c r="H20">
        <v>48</v>
      </c>
      <c r="I20">
        <v>36</v>
      </c>
    </row>
    <row r="21" spans="2:11">
      <c r="B21">
        <v>72</v>
      </c>
      <c r="C21">
        <v>10</v>
      </c>
      <c r="D21" s="68" t="s">
        <v>86</v>
      </c>
      <c r="E21">
        <v>35</v>
      </c>
      <c r="F21">
        <v>104</v>
      </c>
      <c r="G21">
        <v>49</v>
      </c>
      <c r="H21">
        <v>157</v>
      </c>
      <c r="I21">
        <v>32</v>
      </c>
      <c r="J21">
        <v>44</v>
      </c>
      <c r="K21">
        <v>42</v>
      </c>
    </row>
    <row r="22" spans="2:11">
      <c r="B22">
        <v>73</v>
      </c>
      <c r="C22">
        <v>10</v>
      </c>
      <c r="D22" s="68" t="s">
        <v>87</v>
      </c>
      <c r="E22">
        <v>36</v>
      </c>
      <c r="F22">
        <v>106</v>
      </c>
      <c r="G22">
        <v>37</v>
      </c>
      <c r="H22">
        <v>37</v>
      </c>
      <c r="I22">
        <v>36</v>
      </c>
    </row>
    <row r="23" spans="2:11">
      <c r="B23">
        <v>74</v>
      </c>
      <c r="C23">
        <v>10</v>
      </c>
      <c r="D23" s="68" t="s">
        <v>88</v>
      </c>
      <c r="E23">
        <v>52</v>
      </c>
      <c r="F23">
        <v>107</v>
      </c>
      <c r="G23">
        <v>35</v>
      </c>
      <c r="H23">
        <v>46</v>
      </c>
      <c r="I23">
        <v>36</v>
      </c>
      <c r="J23">
        <v>34</v>
      </c>
    </row>
    <row r="24" spans="2:11">
      <c r="B24">
        <v>75</v>
      </c>
      <c r="C24">
        <v>10</v>
      </c>
      <c r="D24" s="68" t="s">
        <v>89</v>
      </c>
      <c r="E24">
        <v>39</v>
      </c>
      <c r="F24">
        <v>1</v>
      </c>
      <c r="G24">
        <v>105</v>
      </c>
      <c r="H24">
        <v>2</v>
      </c>
      <c r="I24">
        <v>35</v>
      </c>
      <c r="J24">
        <v>47</v>
      </c>
    </row>
    <row r="25" spans="2:11">
      <c r="B25">
        <v>76</v>
      </c>
      <c r="C25">
        <v>10</v>
      </c>
      <c r="D25" s="68" t="s">
        <v>90</v>
      </c>
      <c r="E25">
        <v>157</v>
      </c>
      <c r="F25">
        <v>5</v>
      </c>
      <c r="G25">
        <v>51</v>
      </c>
      <c r="H25">
        <v>19</v>
      </c>
      <c r="I25">
        <v>47</v>
      </c>
      <c r="J25">
        <v>53</v>
      </c>
      <c r="K25">
        <v>33</v>
      </c>
    </row>
    <row r="26" spans="2:11">
      <c r="B26">
        <v>77</v>
      </c>
      <c r="C26">
        <v>10</v>
      </c>
      <c r="D26" s="68" t="s">
        <v>91</v>
      </c>
      <c r="E26">
        <v>28</v>
      </c>
      <c r="F26">
        <v>19</v>
      </c>
      <c r="G26">
        <v>45</v>
      </c>
      <c r="H26">
        <v>12</v>
      </c>
      <c r="I26">
        <v>26</v>
      </c>
    </row>
    <row r="27" spans="2:11">
      <c r="B27">
        <v>78</v>
      </c>
      <c r="C27">
        <v>10</v>
      </c>
      <c r="D27" s="68" t="s">
        <v>92</v>
      </c>
      <c r="E27">
        <v>140</v>
      </c>
      <c r="F27">
        <v>44</v>
      </c>
      <c r="G27">
        <v>106</v>
      </c>
      <c r="H27">
        <v>37</v>
      </c>
      <c r="I27">
        <v>131</v>
      </c>
      <c r="J27">
        <v>37</v>
      </c>
    </row>
    <row r="28" spans="2:11">
      <c r="B28">
        <v>79</v>
      </c>
      <c r="C28">
        <v>10</v>
      </c>
      <c r="D28" s="68" t="s">
        <v>93</v>
      </c>
      <c r="E28">
        <v>37</v>
      </c>
      <c r="F28">
        <v>105</v>
      </c>
      <c r="G28">
        <v>44</v>
      </c>
      <c r="H28">
        <v>25</v>
      </c>
      <c r="I28">
        <v>35</v>
      </c>
      <c r="J28">
        <v>37</v>
      </c>
      <c r="K28">
        <v>35</v>
      </c>
    </row>
    <row r="29" spans="2:11">
      <c r="B29">
        <v>80</v>
      </c>
      <c r="C29">
        <v>10</v>
      </c>
      <c r="D29" s="68" t="s">
        <v>94</v>
      </c>
      <c r="E29">
        <v>48</v>
      </c>
      <c r="F29">
        <v>35</v>
      </c>
      <c r="G29">
        <v>51</v>
      </c>
      <c r="H29">
        <v>33</v>
      </c>
      <c r="I29">
        <v>21</v>
      </c>
      <c r="J29">
        <v>45</v>
      </c>
    </row>
    <row r="30" spans="2:11">
      <c r="B30">
        <v>81</v>
      </c>
      <c r="C30">
        <v>10</v>
      </c>
      <c r="D30" s="68" t="s">
        <v>95</v>
      </c>
      <c r="E30">
        <v>34</v>
      </c>
      <c r="F30">
        <v>107</v>
      </c>
      <c r="G30">
        <v>45</v>
      </c>
      <c r="H30">
        <v>33</v>
      </c>
      <c r="I30">
        <v>36</v>
      </c>
      <c r="J30">
        <v>37</v>
      </c>
    </row>
    <row r="31" spans="2:11">
      <c r="B31">
        <v>82</v>
      </c>
      <c r="C31">
        <v>10</v>
      </c>
      <c r="D31" s="68" t="s">
        <v>96</v>
      </c>
      <c r="E31">
        <v>178</v>
      </c>
      <c r="F31">
        <v>106</v>
      </c>
      <c r="G31">
        <v>158</v>
      </c>
      <c r="H31">
        <v>20</v>
      </c>
      <c r="I31">
        <v>49</v>
      </c>
      <c r="J31">
        <v>34</v>
      </c>
      <c r="K31">
        <v>37</v>
      </c>
    </row>
    <row r="32" spans="2:11">
      <c r="B32">
        <v>83</v>
      </c>
      <c r="C32">
        <v>10</v>
      </c>
      <c r="D32" s="68" t="s">
        <v>97</v>
      </c>
      <c r="E32">
        <v>43</v>
      </c>
      <c r="F32">
        <v>2</v>
      </c>
      <c r="G32">
        <v>109</v>
      </c>
      <c r="H32">
        <v>15</v>
      </c>
      <c r="I32">
        <v>44</v>
      </c>
      <c r="J32">
        <v>6</v>
      </c>
      <c r="K32">
        <v>38</v>
      </c>
    </row>
    <row r="33" spans="2:12">
      <c r="B33">
        <v>84</v>
      </c>
      <c r="C33">
        <v>10</v>
      </c>
      <c r="D33" s="68" t="s">
        <v>98</v>
      </c>
      <c r="E33">
        <v>32</v>
      </c>
      <c r="F33">
        <v>40</v>
      </c>
      <c r="G33">
        <v>34</v>
      </c>
      <c r="H33">
        <v>47</v>
      </c>
      <c r="I33">
        <v>35</v>
      </c>
      <c r="J33">
        <v>34</v>
      </c>
      <c r="K33">
        <v>52</v>
      </c>
    </row>
    <row r="34" spans="2:12">
      <c r="B34">
        <v>85</v>
      </c>
      <c r="C34">
        <v>10</v>
      </c>
      <c r="D34" s="68" t="s">
        <v>99</v>
      </c>
      <c r="E34">
        <v>7</v>
      </c>
      <c r="F34">
        <v>154</v>
      </c>
      <c r="G34">
        <v>10</v>
      </c>
      <c r="H34">
        <v>33</v>
      </c>
      <c r="I34">
        <v>33</v>
      </c>
    </row>
    <row r="35" spans="2:12">
      <c r="B35">
        <v>86</v>
      </c>
      <c r="C35">
        <v>10</v>
      </c>
      <c r="D35" s="68" t="s">
        <v>100</v>
      </c>
      <c r="E35">
        <v>32</v>
      </c>
      <c r="F35">
        <v>108</v>
      </c>
      <c r="G35">
        <v>1</v>
      </c>
      <c r="H35">
        <v>37</v>
      </c>
      <c r="I35">
        <v>37</v>
      </c>
      <c r="J35">
        <v>151</v>
      </c>
      <c r="K35">
        <v>51</v>
      </c>
    </row>
    <row r="36" spans="2:12">
      <c r="B36">
        <v>87</v>
      </c>
      <c r="C36">
        <v>10</v>
      </c>
      <c r="D36" s="68" t="s">
        <v>101</v>
      </c>
      <c r="E36">
        <v>37</v>
      </c>
      <c r="F36">
        <v>26</v>
      </c>
      <c r="G36">
        <v>37</v>
      </c>
      <c r="H36">
        <v>37</v>
      </c>
      <c r="I36">
        <v>37</v>
      </c>
      <c r="J36">
        <v>45</v>
      </c>
      <c r="K36">
        <v>13</v>
      </c>
    </row>
    <row r="37" spans="2:12">
      <c r="B37">
        <v>88</v>
      </c>
      <c r="C37">
        <v>10</v>
      </c>
      <c r="D37" s="68" t="s">
        <v>102</v>
      </c>
      <c r="E37">
        <v>8</v>
      </c>
      <c r="F37">
        <v>4</v>
      </c>
      <c r="G37">
        <v>19</v>
      </c>
      <c r="H37">
        <v>1</v>
      </c>
      <c r="I37" s="68">
        <v>58</v>
      </c>
    </row>
    <row r="38" spans="2:12">
      <c r="B38">
        <v>89</v>
      </c>
      <c r="C38">
        <v>10</v>
      </c>
      <c r="D38" s="68" t="s">
        <v>104</v>
      </c>
      <c r="E38">
        <v>2</v>
      </c>
      <c r="F38">
        <v>157</v>
      </c>
      <c r="G38">
        <v>159</v>
      </c>
      <c r="H38">
        <v>49</v>
      </c>
      <c r="I38" s="68">
        <v>59</v>
      </c>
    </row>
    <row r="39" spans="2:12">
      <c r="B39">
        <v>90</v>
      </c>
      <c r="C39">
        <v>10</v>
      </c>
      <c r="D39" s="68" t="s">
        <v>105</v>
      </c>
      <c r="E39">
        <v>46</v>
      </c>
      <c r="F39">
        <v>158</v>
      </c>
      <c r="G39">
        <v>21</v>
      </c>
      <c r="H39">
        <v>174</v>
      </c>
      <c r="I39" s="68">
        <v>60</v>
      </c>
    </row>
    <row r="40" spans="2:12">
      <c r="B40">
        <v>91</v>
      </c>
      <c r="C40">
        <v>10</v>
      </c>
      <c r="D40" s="68" t="s">
        <v>106</v>
      </c>
      <c r="E40">
        <v>4</v>
      </c>
      <c r="F40">
        <v>159</v>
      </c>
      <c r="G40">
        <v>4</v>
      </c>
      <c r="H40">
        <v>51</v>
      </c>
      <c r="I40">
        <v>45</v>
      </c>
      <c r="J40">
        <v>15</v>
      </c>
      <c r="K40">
        <v>2</v>
      </c>
      <c r="L40" s="105">
        <v>379</v>
      </c>
    </row>
    <row r="41" spans="2:12">
      <c r="B41">
        <v>92</v>
      </c>
      <c r="C41">
        <v>10</v>
      </c>
      <c r="D41" s="68" t="s">
        <v>108</v>
      </c>
      <c r="E41">
        <v>51</v>
      </c>
      <c r="F41">
        <v>156</v>
      </c>
      <c r="G41">
        <v>6</v>
      </c>
      <c r="H41">
        <v>33</v>
      </c>
      <c r="I41" s="66">
        <v>380</v>
      </c>
    </row>
    <row r="42" spans="2:12">
      <c r="B42">
        <v>93</v>
      </c>
      <c r="C42">
        <v>10</v>
      </c>
      <c r="D42" s="68" t="s">
        <v>109</v>
      </c>
      <c r="E42">
        <v>25</v>
      </c>
      <c r="F42">
        <v>34</v>
      </c>
      <c r="G42">
        <v>8</v>
      </c>
      <c r="H42">
        <v>7</v>
      </c>
      <c r="I42">
        <v>4</v>
      </c>
      <c r="J42" s="66">
        <v>381</v>
      </c>
    </row>
    <row r="43" spans="2:12">
      <c r="B43">
        <v>94</v>
      </c>
      <c r="C43">
        <v>10</v>
      </c>
      <c r="D43" s="68" t="s">
        <v>110</v>
      </c>
      <c r="E43">
        <v>33</v>
      </c>
      <c r="F43">
        <v>13</v>
      </c>
      <c r="G43">
        <v>46</v>
      </c>
      <c r="H43">
        <v>15</v>
      </c>
      <c r="I43">
        <v>33</v>
      </c>
      <c r="J43" s="66">
        <v>382</v>
      </c>
    </row>
    <row r="44" spans="2:12">
      <c r="B44">
        <v>95</v>
      </c>
      <c r="C44">
        <v>10</v>
      </c>
      <c r="D44" s="68" t="s">
        <v>111</v>
      </c>
      <c r="E44">
        <v>4</v>
      </c>
      <c r="F44">
        <v>159</v>
      </c>
      <c r="G44">
        <v>4</v>
      </c>
      <c r="H44">
        <v>51</v>
      </c>
      <c r="I44">
        <v>45</v>
      </c>
      <c r="J44">
        <v>15</v>
      </c>
      <c r="K44">
        <v>2</v>
      </c>
      <c r="L44" s="210">
        <v>390</v>
      </c>
    </row>
    <row r="45" spans="2:12">
      <c r="B45">
        <v>96</v>
      </c>
      <c r="C45">
        <v>10</v>
      </c>
      <c r="D45" s="68" t="s">
        <v>113</v>
      </c>
      <c r="E45">
        <v>51</v>
      </c>
      <c r="F45">
        <v>156</v>
      </c>
      <c r="G45">
        <v>6</v>
      </c>
      <c r="H45">
        <v>33</v>
      </c>
      <c r="I45" s="208">
        <v>391</v>
      </c>
    </row>
    <row r="46" spans="2:12">
      <c r="B46">
        <v>97</v>
      </c>
      <c r="C46">
        <v>10</v>
      </c>
      <c r="D46" s="68" t="s">
        <v>114</v>
      </c>
      <c r="E46">
        <v>25</v>
      </c>
      <c r="F46">
        <v>34</v>
      </c>
      <c r="G46">
        <v>8</v>
      </c>
      <c r="H46">
        <v>7</v>
      </c>
      <c r="I46">
        <v>4</v>
      </c>
      <c r="J46" s="208">
        <v>392</v>
      </c>
    </row>
    <row r="47" spans="2:12">
      <c r="B47">
        <v>98</v>
      </c>
      <c r="C47">
        <v>10</v>
      </c>
      <c r="D47" s="68" t="s">
        <v>115</v>
      </c>
      <c r="E47">
        <v>33</v>
      </c>
      <c r="F47">
        <v>13</v>
      </c>
      <c r="G47">
        <v>46</v>
      </c>
      <c r="H47">
        <v>15</v>
      </c>
      <c r="I47">
        <v>33</v>
      </c>
      <c r="J47" s="208">
        <v>393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X434"/>
  <sheetViews>
    <sheetView topLeftCell="AX1" zoomScale="103" workbookViewId="0">
      <pane ySplit="1" topLeftCell="A402" activePane="bottomLeft" state="frozen"/>
      <selection pane="bottomLeft" activeCell="G413" sqref="G413"/>
    </sheetView>
  </sheetViews>
  <sheetFormatPr defaultRowHeight="13.2"/>
  <cols>
    <col min="3" max="3" width="52.6640625" customWidth="1"/>
    <col min="4" max="4" width="17.5546875" customWidth="1"/>
    <col min="5" max="37" width="14.88671875" customWidth="1"/>
    <col min="39" max="40" width="12.109375" customWidth="1"/>
    <col min="41" max="41" width="13.109375" customWidth="1"/>
    <col min="42" max="42" width="14.5546875" bestFit="1" customWidth="1"/>
    <col min="43" max="44" width="16.33203125" customWidth="1"/>
    <col min="45" max="46" width="14.5546875" customWidth="1"/>
    <col min="47" max="49" width="9.88671875" customWidth="1"/>
    <col min="50" max="50" width="10.88671875" bestFit="1" customWidth="1"/>
    <col min="51" max="51" width="10.88671875" customWidth="1"/>
    <col min="52" max="52" width="14.77734375" customWidth="1"/>
    <col min="53" max="53" width="14" customWidth="1"/>
    <col min="54" max="54" width="15.5546875" customWidth="1"/>
    <col min="55" max="55" width="18.33203125" customWidth="1"/>
    <col min="56" max="56" width="9.88671875" customWidth="1"/>
    <col min="57" max="57" width="16" customWidth="1"/>
    <col min="58" max="58" width="16.6640625" customWidth="1"/>
    <col min="60" max="61" width="14" customWidth="1"/>
    <col min="62" max="62" width="15.109375" customWidth="1"/>
    <col min="63" max="63" width="17.88671875" customWidth="1"/>
    <col min="64" max="64" width="20.5546875" customWidth="1"/>
    <col min="65" max="65" width="11.44140625" customWidth="1"/>
    <col min="66" max="66" width="15.33203125" customWidth="1"/>
    <col min="67" max="67" width="13.109375" customWidth="1"/>
    <col min="68" max="68" width="21.6640625" customWidth="1"/>
    <col min="69" max="69" width="20.33203125" customWidth="1"/>
    <col min="70" max="71" width="19" bestFit="1" customWidth="1"/>
    <col min="72" max="72" width="19.6640625" bestFit="1" customWidth="1"/>
    <col min="73" max="73" width="16.109375" bestFit="1" customWidth="1"/>
    <col min="74" max="75" width="16.88671875" bestFit="1" customWidth="1"/>
    <col min="76" max="76" width="17.6640625" bestFit="1" customWidth="1"/>
  </cols>
  <sheetData>
    <row r="1" spans="1:76" s="12" customFormat="1" ht="13.8" customHeight="1" thickBot="1">
      <c r="A1" s="11"/>
      <c r="B1" s="48" t="s">
        <v>808</v>
      </c>
      <c r="C1" s="41" t="s">
        <v>163</v>
      </c>
      <c r="D1" s="41" t="s">
        <v>159</v>
      </c>
      <c r="E1" s="12" t="s">
        <v>809</v>
      </c>
      <c r="F1" s="12" t="s">
        <v>810</v>
      </c>
      <c r="G1" s="37" t="s">
        <v>811</v>
      </c>
      <c r="H1" s="37" t="s">
        <v>812</v>
      </c>
      <c r="I1" s="37" t="s">
        <v>813</v>
      </c>
      <c r="J1" s="37" t="s">
        <v>814</v>
      </c>
      <c r="K1" s="37" t="s">
        <v>736</v>
      </c>
      <c r="L1" s="37" t="s">
        <v>815</v>
      </c>
      <c r="M1" s="37">
        <f>1</f>
        <v>1</v>
      </c>
      <c r="N1" s="37" t="s">
        <v>816</v>
      </c>
      <c r="O1" s="37" t="s">
        <v>737</v>
      </c>
      <c r="P1" s="37" t="s">
        <v>817</v>
      </c>
      <c r="Q1" s="37" t="s">
        <v>738</v>
      </c>
      <c r="R1" s="37" t="s">
        <v>818</v>
      </c>
      <c r="S1" s="37" t="s">
        <v>739</v>
      </c>
      <c r="T1" s="37" t="s">
        <v>819</v>
      </c>
      <c r="U1" s="37" t="s">
        <v>740</v>
      </c>
      <c r="V1" s="37" t="s">
        <v>820</v>
      </c>
      <c r="W1" s="37" t="s">
        <v>741</v>
      </c>
      <c r="X1" s="37" t="s">
        <v>821</v>
      </c>
      <c r="Y1" s="37" t="s">
        <v>742</v>
      </c>
      <c r="Z1" s="37" t="s">
        <v>822</v>
      </c>
      <c r="AA1" s="37" t="s">
        <v>743</v>
      </c>
      <c r="AB1" s="37" t="s">
        <v>823</v>
      </c>
      <c r="AC1" s="37" t="s">
        <v>744</v>
      </c>
      <c r="AD1" s="37" t="s">
        <v>824</v>
      </c>
      <c r="AE1" s="12" t="s">
        <v>705</v>
      </c>
      <c r="AF1" s="12" t="s">
        <v>825</v>
      </c>
      <c r="AG1" s="12" t="s">
        <v>826</v>
      </c>
      <c r="AH1" s="12" t="s">
        <v>827</v>
      </c>
      <c r="AI1" s="12" t="s">
        <v>828</v>
      </c>
      <c r="AJ1" s="12" t="s">
        <v>724</v>
      </c>
      <c r="AK1" s="12" t="s">
        <v>829</v>
      </c>
      <c r="AL1" s="41" t="s">
        <v>830</v>
      </c>
      <c r="AM1" s="41" t="s">
        <v>699</v>
      </c>
      <c r="AN1" s="41" t="s">
        <v>831</v>
      </c>
      <c r="AO1" s="41" t="s">
        <v>832</v>
      </c>
      <c r="AP1" s="41" t="s">
        <v>833</v>
      </c>
      <c r="AQ1" s="41" t="s">
        <v>834</v>
      </c>
      <c r="AR1" s="41" t="s">
        <v>835</v>
      </c>
      <c r="AS1" s="41" t="s">
        <v>836</v>
      </c>
      <c r="AT1" s="41" t="s">
        <v>837</v>
      </c>
      <c r="AU1" s="41" t="s">
        <v>838</v>
      </c>
      <c r="AV1" s="41" t="s">
        <v>839</v>
      </c>
      <c r="AW1" s="41" t="s">
        <v>840</v>
      </c>
      <c r="AX1" s="41" t="s">
        <v>220</v>
      </c>
      <c r="AY1" s="41" t="s">
        <v>711</v>
      </c>
      <c r="AZ1" s="41" t="s">
        <v>841</v>
      </c>
      <c r="BA1" s="41" t="s">
        <v>842</v>
      </c>
      <c r="BB1" s="41" t="s">
        <v>714</v>
      </c>
      <c r="BC1" s="41" t="s">
        <v>843</v>
      </c>
      <c r="BD1" s="41" t="s">
        <v>844</v>
      </c>
      <c r="BE1" s="41" t="s">
        <v>717</v>
      </c>
      <c r="BF1" s="41" t="s">
        <v>845</v>
      </c>
      <c r="BG1" s="41" t="s">
        <v>846</v>
      </c>
      <c r="BH1" s="41" t="s">
        <v>827</v>
      </c>
      <c r="BI1" s="41" t="s">
        <v>847</v>
      </c>
      <c r="BJ1" s="41" t="s">
        <v>848</v>
      </c>
      <c r="BK1" s="41" t="s">
        <v>849</v>
      </c>
      <c r="BL1" s="41" t="s">
        <v>850</v>
      </c>
      <c r="BM1" s="41" t="s">
        <v>851</v>
      </c>
      <c r="BN1" s="41" t="s">
        <v>852</v>
      </c>
      <c r="BO1" s="41" t="s">
        <v>853</v>
      </c>
      <c r="BP1" s="41" t="s">
        <v>854</v>
      </c>
      <c r="BQ1" s="12" t="s">
        <v>855</v>
      </c>
      <c r="BR1" s="12" t="s">
        <v>856</v>
      </c>
      <c r="BS1" s="12" t="s">
        <v>857</v>
      </c>
      <c r="BT1" s="12" t="s">
        <v>858</v>
      </c>
      <c r="BU1" s="12" t="s">
        <v>859</v>
      </c>
      <c r="BV1" s="12" t="s">
        <v>860</v>
      </c>
      <c r="BW1" s="12" t="s">
        <v>861</v>
      </c>
      <c r="BX1" s="12" t="s">
        <v>862</v>
      </c>
    </row>
    <row r="2" spans="1:76" ht="16.2" customHeight="1">
      <c r="B2" s="103">
        <f>Tiers!B3</f>
        <v>0</v>
      </c>
      <c r="C2" s="20" t="str">
        <f>Tiers!X3</f>
        <v>0|||||||||</v>
      </c>
      <c r="D2" s="21">
        <f>Tiers!C3</f>
        <v>0</v>
      </c>
      <c r="E2" s="22">
        <f>Frequency!E4</f>
        <v>1486523</v>
      </c>
      <c r="F2" s="22">
        <f t="shared" ref="F2:F65" si="0">E2*D2</f>
        <v>0</v>
      </c>
      <c r="G2" s="20">
        <f>IF(AND(D2/Summary!$C$4&gt;0, D2/Summary!$C$4&lt;5),E2,0) * D2</f>
        <v>0</v>
      </c>
      <c r="H2" s="20">
        <f>IF(AND(D2/Summary!$C$4&gt;= 5, D2/Summary!$C$4&lt;10),E2,0) * D2</f>
        <v>0</v>
      </c>
      <c r="I2" s="20">
        <f>IF(AND(D2/Summary!$C$4&gt;=10, D2/Summary!$C$4&lt;25),E2,0)*D2</f>
        <v>0</v>
      </c>
      <c r="J2" s="20">
        <f>IF(D2/Summary!$C$4&gt;=25,E2,0)*D2</f>
        <v>0</v>
      </c>
      <c r="K2" s="35">
        <f>IF(AND(D2/Frequency!$N$7&gt;0, D2/Frequency!$N$7&lt;1),E2,0)</f>
        <v>0</v>
      </c>
      <c r="L2" s="35">
        <f t="shared" ref="L2:L65" si="1">IF(K2&gt;0,D2*E2,0)</f>
        <v>0</v>
      </c>
      <c r="M2" s="35">
        <f>IF(D2/Frequency!$N$7=1,1,0)*E2</f>
        <v>0</v>
      </c>
      <c r="N2" s="35">
        <f t="shared" ref="N2:N65" si="2">IF(M2&gt;0,D2*E2,0)</f>
        <v>0</v>
      </c>
      <c r="O2" s="35">
        <f>IF(AND(D2/Frequency!$N$7&gt;1, D2/Frequency!$N$7&lt;=2),1,0)*E2</f>
        <v>0</v>
      </c>
      <c r="P2" s="35">
        <f t="shared" ref="P2:P65" si="3">IF(O2&gt;0,D2*E2,0)</f>
        <v>0</v>
      </c>
      <c r="Q2" s="35">
        <f>IF(AND(D2/Frequency!$N$7&gt;2,D2/Frequency!$N$7&lt;=5),1,0)*E2</f>
        <v>0</v>
      </c>
      <c r="R2" s="35">
        <f t="shared" ref="R2:R65" si="4">IF(Q2&gt;0,D2*E2,0)</f>
        <v>0</v>
      </c>
      <c r="S2" s="35">
        <f>IF(AND(D2/Frequency!$N$7&gt;5, D2/Frequency!$N$7&lt;=10),1,0)*E2</f>
        <v>0</v>
      </c>
      <c r="T2" s="35">
        <f t="shared" ref="T2:T65" si="5">IF(S2&gt;0,D2*E2,0)</f>
        <v>0</v>
      </c>
      <c r="U2" s="35">
        <f>IF(AND(D2/Frequency!$N$7&gt;10, D2/Frequency!$N$7&lt;=20),1,0)*E2</f>
        <v>0</v>
      </c>
      <c r="V2" s="35">
        <f t="shared" ref="V2:V65" si="6">IF(U2&gt;0,D2*E2,0)</f>
        <v>0</v>
      </c>
      <c r="W2" s="35">
        <f>IF(AND(D2/Frequency!$N$7&gt;20, D2/Frequency!$N$7&lt;=30),1,0)*E2</f>
        <v>0</v>
      </c>
      <c r="X2" s="35">
        <f t="shared" ref="X2:X65" si="7">IF(W2&gt;0,D2*E2,0)</f>
        <v>0</v>
      </c>
      <c r="Y2" s="35">
        <f>IF(AND(D2/Frequency!$N$7&gt;30, D2/Frequency!$N$7&lt;=50),1,0)*E2</f>
        <v>0</v>
      </c>
      <c r="Z2" s="35">
        <f t="shared" ref="Z2:Z65" si="8">IF(Y2&gt;0,D2*E2,0)</f>
        <v>0</v>
      </c>
      <c r="AA2" s="35">
        <f>IF(AND(D2/Frequency!$N$7&gt;50, D2/Frequency!$N$7&lt;=100),1,0)*E2</f>
        <v>0</v>
      </c>
      <c r="AB2" s="35">
        <f t="shared" ref="AB2:AB65" si="9">IF(AA2&gt;0,D2*E2,0)</f>
        <v>0</v>
      </c>
      <c r="AC2" s="35">
        <f>IF(D2/Frequency!$N$7&gt;100,1,0)*E2</f>
        <v>0</v>
      </c>
      <c r="AD2" s="35">
        <f t="shared" ref="AD2:AD65" si="10">IF(AC2&gt;0,D2*E2,0)</f>
        <v>0</v>
      </c>
      <c r="AE2" s="22">
        <f t="shared" ref="AE2:AE65" si="11">IF(AU2&gt;0,E2,0)</f>
        <v>0</v>
      </c>
      <c r="AF2" s="22">
        <f t="shared" ref="AF2:AF65" si="12">IF(AX2+BA2&gt;0,E2,0)</f>
        <v>0</v>
      </c>
      <c r="AG2" s="22">
        <f t="shared" ref="AG2:AG65" si="13">AF2*D2</f>
        <v>0</v>
      </c>
      <c r="AH2" s="22">
        <f t="shared" ref="AH2:AH65" si="14">IF(BG2&gt;0,E2,0)</f>
        <v>0</v>
      </c>
      <c r="AI2" s="35">
        <f t="shared" ref="AI2:AI65" si="15">IF(ISNUMBER(SEARCH("|||||||||",C2)),0,1)</f>
        <v>0</v>
      </c>
      <c r="AJ2" s="35">
        <f t="shared" ref="AJ2:AJ65" si="16">IF(AI2=1, E2,0)</f>
        <v>0</v>
      </c>
      <c r="AK2" s="35">
        <f t="shared" ref="AK2:AK65" si="17">IF(AJ2&gt;0,D2*E2,0)</f>
        <v>0</v>
      </c>
      <c r="AL2">
        <f t="shared" ref="AL2:AL65" si="18">IF(ISNUMBER(SEARCH("wild",C2)),1,0)</f>
        <v>0</v>
      </c>
      <c r="AM2">
        <f t="shared" ref="AM2:AM65" si="19">IF(AL2=1, E2,0)</f>
        <v>0</v>
      </c>
      <c r="AN2">
        <f t="shared" ref="AN2:AN65" si="20">IF(AM2&gt;0,D2*E2,0)</f>
        <v>0</v>
      </c>
      <c r="AO2">
        <f t="shared" ref="AO2:AO65" si="21">IF(ISNUMBER(SEARCH("wild-",C2)),1,0)</f>
        <v>0</v>
      </c>
      <c r="AP2">
        <f t="shared" ref="AP2:AP65" si="22">IF(AO2=1, E2,0)</f>
        <v>0</v>
      </c>
      <c r="AQ2">
        <f t="shared" ref="AQ2:AQ65" si="23">IF(AP2&gt;0,D2*E2,0)</f>
        <v>0</v>
      </c>
      <c r="AR2">
        <f t="shared" ref="AR2:AR65" si="24">IF(ISNUMBER(SEARCH("wildX",C2)),1,0)</f>
        <v>0</v>
      </c>
      <c r="AS2">
        <f t="shared" ref="AS2:AS65" si="25">IF(AR2=1, E2,0)</f>
        <v>0</v>
      </c>
      <c r="AT2">
        <f t="shared" ref="AT2:AT65" si="26">IF(AS2&gt;0,D2*E2,0)</f>
        <v>0</v>
      </c>
      <c r="AU2">
        <f t="shared" ref="AU2:AU65" si="27">IF(ISNUMBER(SEARCH("FreePlay",C2)),1,0)</f>
        <v>0</v>
      </c>
      <c r="AV2">
        <v>0</v>
      </c>
      <c r="AW2">
        <v>0</v>
      </c>
      <c r="AX2">
        <f t="shared" ref="AX2:AX65" si="28">IF(ISNUMBER(SEARCH("bonusA",C2)),1,0)</f>
        <v>0</v>
      </c>
      <c r="AY2">
        <f t="shared" ref="AY2:AY65" si="29">AX2*E2</f>
        <v>0</v>
      </c>
      <c r="AZ2">
        <f t="shared" ref="AZ2:AZ65" si="30">AY2*D2</f>
        <v>0</v>
      </c>
      <c r="BA2">
        <f t="shared" ref="BA2:BA65" si="31">IF(ISNUMBER(SEARCH("bonusB",C2)),1,0)</f>
        <v>0</v>
      </c>
      <c r="BB2">
        <f t="shared" ref="BB2:BB65" si="32">BA2*E2</f>
        <v>0</v>
      </c>
      <c r="BC2">
        <f t="shared" ref="BC2:BC65" si="33">BB2*D2</f>
        <v>0</v>
      </c>
      <c r="BD2">
        <f t="shared" ref="BD2:BD65" si="34">IF(ISNUMBER(SEARCH("bonusC",C2)),1,0)</f>
        <v>0</v>
      </c>
      <c r="BE2">
        <f t="shared" ref="BE2:BE65" si="35">BD2*E2</f>
        <v>0</v>
      </c>
      <c r="BF2">
        <f t="shared" ref="BF2:BF65" si="36">BE2*D2</f>
        <v>0</v>
      </c>
      <c r="BG2">
        <f t="shared" ref="BG2:BG65" si="37">IF(ISNUMBER(SEARCH("Instant",C2)),1,0)</f>
        <v>0</v>
      </c>
      <c r="BH2">
        <f t="shared" ref="BH2:BH65" si="38">BG2*E2</f>
        <v>0</v>
      </c>
      <c r="BI2">
        <f t="shared" ref="BI2:BI65" si="39">BH2*D2</f>
        <v>0</v>
      </c>
      <c r="BJ2">
        <v>0</v>
      </c>
      <c r="BK2" t="str">
        <f>IF(D2 &lt; $D$417, $C$417,
      IF(D2 = $D$418, $C$418,
          IF(D2 &lt; $D$419, $C$419,
              IF(D2 &lt; $D$420, $C$420,
                 IF(D2 &lt; $D$421, $C$421, $C$422)))))</f>
        <v>Less than Stake</v>
      </c>
      <c r="BL2" s="40" t="str">
        <f>IF(AU2 = 1,$C$426,
      IF(AV2 = 1,$C$427,
          IF(AW2 = 1,$C$428,
              IF(AX2 = 1,$C$429,
                  IF(BA2 = 1,$C$430,
                     IF(BD2 = 1,$C$431,
                        IF(BG2 = 1,$C$432,
                           IF(ISNUMBER(SEARCH("|||||||||",C2)), $C$433,$C$434))))))))</f>
        <v>Single Win</v>
      </c>
      <c r="BM2">
        <f>(D2/Frequency!$N$7-Summary!$C$7)^2*E2</f>
        <v>1048890.6287999998</v>
      </c>
      <c r="BN2">
        <f t="shared" ref="BN2:BN65" si="40">IF(AU2=1, E2*D2,0)</f>
        <v>0</v>
      </c>
      <c r="BO2">
        <f t="shared" ref="BO2:BO65" si="41">IF(BG2=1, D2*E2,0)</f>
        <v>0</v>
      </c>
      <c r="BP2">
        <f t="shared" ref="BP2:BP65" si="42">IF(BJ2&gt;0,BJ2*E2,0)</f>
        <v>0</v>
      </c>
      <c r="BQ2">
        <f t="shared" ref="BQ2:BQ65" si="43">IF(AND(AU2=1, AI2=0),E2,0)</f>
        <v>0</v>
      </c>
      <c r="BR2">
        <f t="shared" ref="BR2:BR65" si="44">IF(BQ2&gt;0,E2*D2,0)</f>
        <v>0</v>
      </c>
      <c r="BS2">
        <f t="shared" ref="BS2:BS65" si="45">IF(AND(AU2=1, AI2=1),E2,0)</f>
        <v>0</v>
      </c>
      <c r="BT2">
        <f t="shared" ref="BT2:BT65" si="46">IF(BS2&gt;0,E2*D2,0)</f>
        <v>0</v>
      </c>
      <c r="BU2">
        <f t="shared" ref="BU2:BU65" si="47">IF(AND(AX2+BA2=1, AI2=0),E2,0)</f>
        <v>0</v>
      </c>
      <c r="BV2">
        <f t="shared" ref="BV2:BV65" si="48">IF(BU2&gt;0,E2*D2,0)</f>
        <v>0</v>
      </c>
      <c r="BW2">
        <f t="shared" ref="BW2:BW65" si="49">IF(AND(AX2+BA2=1, AI2=1),E2,0)</f>
        <v>0</v>
      </c>
      <c r="BX2">
        <f t="shared" ref="BX2:BX65" si="50">IF(BW2&gt;0,E2*D2,0)</f>
        <v>0</v>
      </c>
    </row>
    <row r="3" spans="1:76">
      <c r="B3" s="19">
        <f>Tiers!B4</f>
        <v>1</v>
      </c>
      <c r="C3" s="20" t="str">
        <f>Tiers!X4</f>
        <v>main-0|||||||||</v>
      </c>
      <c r="D3" s="21">
        <f>Tiers!C4</f>
        <v>0.1</v>
      </c>
      <c r="E3" s="22">
        <f>Frequency!E5</f>
        <v>48698</v>
      </c>
      <c r="F3" s="22">
        <f t="shared" si="0"/>
        <v>4869.8</v>
      </c>
      <c r="G3" s="20">
        <f>IF(AND(D3/Summary!$C$4&gt;0, D3/Summary!$C$4&lt;5),E3,0) * D3</f>
        <v>4869.8</v>
      </c>
      <c r="H3" s="20">
        <f>IF(AND(D3/Summary!$C$4&gt;= 5, D3/Summary!$C$4&lt;10),E3,0) * D3</f>
        <v>0</v>
      </c>
      <c r="I3" s="20">
        <f>IF(AND(D3/Summary!$C$4&gt;=10, D3/Summary!$C$4&lt;25),E3,0)*D3</f>
        <v>0</v>
      </c>
      <c r="J3" s="20">
        <f>IF(D3/Summary!$C$4&gt;=25,E3,0)*D3</f>
        <v>0</v>
      </c>
      <c r="K3" s="35">
        <f>IF(AND(D3/Frequency!$N$7&gt;0, D3/Frequency!$N$7&lt;1),E3,0)</f>
        <v>48698</v>
      </c>
      <c r="L3" s="35">
        <f t="shared" si="1"/>
        <v>4869.8</v>
      </c>
      <c r="M3" s="35">
        <f>IF(D3/Frequency!$N$7=1,1,0)*E3</f>
        <v>0</v>
      </c>
      <c r="N3" s="35">
        <f t="shared" si="2"/>
        <v>0</v>
      </c>
      <c r="O3" s="35">
        <f>IF(AND(D3/Frequency!$N$7&gt;1, D3/Frequency!$N$7&lt;=2),1,0)*E3</f>
        <v>0</v>
      </c>
      <c r="P3" s="35">
        <f t="shared" si="3"/>
        <v>0</v>
      </c>
      <c r="Q3" s="35">
        <f>IF(AND(D3/Frequency!$N$7&gt;2,D3/Frequency!$N$7&lt;=5),1,0)*E3</f>
        <v>0</v>
      </c>
      <c r="R3" s="35">
        <f t="shared" si="4"/>
        <v>0</v>
      </c>
      <c r="S3" s="35">
        <f>IF(AND(D3/Frequency!$N$7&gt;5, D3/Frequency!$N$7&lt;=10),1,0)*E3</f>
        <v>0</v>
      </c>
      <c r="T3" s="35">
        <f t="shared" si="5"/>
        <v>0</v>
      </c>
      <c r="U3" s="35">
        <f>IF(AND(D3/Frequency!$N$7&gt;10, D3/Frequency!$N$7&lt;=20),1,0)*E3</f>
        <v>0</v>
      </c>
      <c r="V3" s="35">
        <f t="shared" si="6"/>
        <v>0</v>
      </c>
      <c r="W3" s="35">
        <f>IF(AND(D3/Frequency!$N$7&gt;20, D3/Frequency!$N$7&lt;=30),1,0)*E3</f>
        <v>0</v>
      </c>
      <c r="X3" s="35">
        <f t="shared" si="7"/>
        <v>0</v>
      </c>
      <c r="Y3" s="35">
        <f>IF(AND(D3/Frequency!$N$7&gt;30, D3/Frequency!$N$7&lt;=50),1,0)*E3</f>
        <v>0</v>
      </c>
      <c r="Z3" s="35">
        <f t="shared" si="8"/>
        <v>0</v>
      </c>
      <c r="AA3" s="35">
        <f>IF(AND(D3/Frequency!$N$7&gt;50, D3/Frequency!$N$7&lt;=100),1,0)*E3</f>
        <v>0</v>
      </c>
      <c r="AB3" s="35">
        <f t="shared" si="9"/>
        <v>0</v>
      </c>
      <c r="AC3" s="35">
        <f>IF(D3/Frequency!$N$7&gt;100,1,0)*E3</f>
        <v>0</v>
      </c>
      <c r="AD3" s="35">
        <f t="shared" si="10"/>
        <v>0</v>
      </c>
      <c r="AE3" s="22">
        <f t="shared" si="11"/>
        <v>0</v>
      </c>
      <c r="AF3" s="22">
        <f t="shared" si="12"/>
        <v>0</v>
      </c>
      <c r="AG3" s="22">
        <f t="shared" si="13"/>
        <v>0</v>
      </c>
      <c r="AH3" s="22">
        <f t="shared" si="14"/>
        <v>0</v>
      </c>
      <c r="AI3" s="35">
        <f t="shared" si="15"/>
        <v>0</v>
      </c>
      <c r="AJ3" s="35">
        <f t="shared" si="16"/>
        <v>0</v>
      </c>
      <c r="AK3" s="35">
        <f t="shared" si="17"/>
        <v>0</v>
      </c>
      <c r="AL3">
        <f t="shared" si="18"/>
        <v>0</v>
      </c>
      <c r="AM3">
        <f t="shared" si="19"/>
        <v>0</v>
      </c>
      <c r="AN3">
        <f t="shared" si="20"/>
        <v>0</v>
      </c>
      <c r="AO3">
        <f t="shared" si="21"/>
        <v>0</v>
      </c>
      <c r="AP3">
        <f t="shared" si="22"/>
        <v>0</v>
      </c>
      <c r="AQ3">
        <f t="shared" si="23"/>
        <v>0</v>
      </c>
      <c r="AR3">
        <f t="shared" si="24"/>
        <v>0</v>
      </c>
      <c r="AS3">
        <f t="shared" si="25"/>
        <v>0</v>
      </c>
      <c r="AT3">
        <f t="shared" si="26"/>
        <v>0</v>
      </c>
      <c r="AU3">
        <f t="shared" si="27"/>
        <v>0</v>
      </c>
      <c r="AV3">
        <v>0</v>
      </c>
      <c r="AW3">
        <v>0</v>
      </c>
      <c r="AX3">
        <f t="shared" si="28"/>
        <v>0</v>
      </c>
      <c r="AY3">
        <f t="shared" si="29"/>
        <v>0</v>
      </c>
      <c r="AZ3">
        <f t="shared" si="30"/>
        <v>0</v>
      </c>
      <c r="BA3">
        <f t="shared" si="31"/>
        <v>0</v>
      </c>
      <c r="BB3">
        <f t="shared" si="32"/>
        <v>0</v>
      </c>
      <c r="BC3">
        <f t="shared" si="33"/>
        <v>0</v>
      </c>
      <c r="BD3">
        <f t="shared" si="34"/>
        <v>0</v>
      </c>
      <c r="BE3">
        <f t="shared" si="35"/>
        <v>0</v>
      </c>
      <c r="BF3">
        <f t="shared" si="36"/>
        <v>0</v>
      </c>
      <c r="BG3">
        <f t="shared" si="37"/>
        <v>0</v>
      </c>
      <c r="BH3">
        <f t="shared" si="38"/>
        <v>0</v>
      </c>
      <c r="BI3">
        <f t="shared" si="39"/>
        <v>0</v>
      </c>
      <c r="BJ3">
        <v>0</v>
      </c>
      <c r="BK3" t="str">
        <f t="shared" ref="BK3:BK34" si="51">IF(D3 &lt; $D$417, $C$417,
IF(D3 = $D$418, $C$418,
IF(D3 &lt; $D$419, $C$419,
IF(D3 &lt; $D$420, $C$420,
IF(D3 &lt; $D$421, $C$421, $C$422)))))</f>
        <v>Less than Stake</v>
      </c>
      <c r="BL3" s="40" t="str">
        <f t="shared" ref="BL3:BL34" si="52">IF(AU3 = 1,$C$426,
IF(AV3 = 1,$C$427,
IF(AW3 = 1,$C$428,
IF(AX3 = 1,$C$429,
IF(BA3 = 1,$C$430,
IF(BD3 = 1,$C$431,
IF(BG3 = 1,$C$432,
IF(ISNUMBER(SEARCH("|||||||||",C3)), $C$433,$C$434))))))))</f>
        <v>Single Win</v>
      </c>
      <c r="BM3">
        <f>(D3/Frequency!$N$7-Summary!$C$7)^2*E3</f>
        <v>26667.024799999999</v>
      </c>
      <c r="BN3">
        <f t="shared" si="40"/>
        <v>0</v>
      </c>
      <c r="BO3">
        <f t="shared" si="41"/>
        <v>0</v>
      </c>
      <c r="BP3">
        <f t="shared" si="42"/>
        <v>0</v>
      </c>
      <c r="BQ3">
        <f t="shared" si="43"/>
        <v>0</v>
      </c>
      <c r="BR3">
        <f t="shared" si="44"/>
        <v>0</v>
      </c>
      <c r="BS3">
        <f t="shared" si="45"/>
        <v>0</v>
      </c>
      <c r="BT3">
        <f t="shared" si="46"/>
        <v>0</v>
      </c>
      <c r="BU3">
        <f t="shared" si="47"/>
        <v>0</v>
      </c>
      <c r="BV3">
        <f t="shared" si="48"/>
        <v>0</v>
      </c>
      <c r="BW3">
        <f t="shared" si="49"/>
        <v>0</v>
      </c>
      <c r="BX3">
        <f t="shared" si="50"/>
        <v>0</v>
      </c>
    </row>
    <row r="4" spans="1:76">
      <c r="B4" s="19">
        <f>Tiers!B5</f>
        <v>2</v>
      </c>
      <c r="C4" s="20" t="str">
        <f>Tiers!X5</f>
        <v>main-1|||||||||</v>
      </c>
      <c r="D4" s="21">
        <f>Tiers!C5</f>
        <v>0.2</v>
      </c>
      <c r="E4" s="22">
        <f>Frequency!E6</f>
        <v>35002</v>
      </c>
      <c r="F4" s="22">
        <f t="shared" si="0"/>
        <v>7000.4000000000005</v>
      </c>
      <c r="G4" s="20">
        <f>IF(AND(D4/Summary!$C$4&gt;0, D4/Summary!$C$4&lt;5),E4,0) * D4</f>
        <v>7000.4000000000005</v>
      </c>
      <c r="H4" s="20">
        <f>IF(AND(D4/Summary!$C$4&gt;= 5, D4/Summary!$C$4&lt;10),E4,0) * D4</f>
        <v>0</v>
      </c>
      <c r="I4" s="20">
        <f>IF(AND(D4/Summary!$C$4&gt;=10, D4/Summary!$C$4&lt;25),E4,0)*D4</f>
        <v>0</v>
      </c>
      <c r="J4" s="20">
        <f>IF(D4/Summary!$C$4&gt;=25,E4,0)*D4</f>
        <v>0</v>
      </c>
      <c r="K4" s="35">
        <f>IF(AND(D4/Frequency!$N$7&gt;0, D4/Frequency!$N$7&lt;1),E4,0)</f>
        <v>35002</v>
      </c>
      <c r="L4" s="35">
        <f t="shared" si="1"/>
        <v>7000.4000000000005</v>
      </c>
      <c r="M4" s="35">
        <f>IF(D4/Frequency!$N$7=1,1,0)*E4</f>
        <v>0</v>
      </c>
      <c r="N4" s="35">
        <f t="shared" si="2"/>
        <v>0</v>
      </c>
      <c r="O4" s="35">
        <f>IF(AND(D4/Frequency!$N$7&gt;1, D4/Frequency!$N$7&lt;=2),1,0)*E4</f>
        <v>0</v>
      </c>
      <c r="P4" s="35">
        <f t="shared" si="3"/>
        <v>0</v>
      </c>
      <c r="Q4" s="35">
        <f>IF(AND(D4/Frequency!$N$7&gt;2,D4/Frequency!$N$7&lt;=5),1,0)*E4</f>
        <v>0</v>
      </c>
      <c r="R4" s="35">
        <f t="shared" si="4"/>
        <v>0</v>
      </c>
      <c r="S4" s="35">
        <f>IF(AND(D4/Frequency!$N$7&gt;5, D4/Frequency!$N$7&lt;=10),1,0)*E4</f>
        <v>0</v>
      </c>
      <c r="T4" s="35">
        <f t="shared" si="5"/>
        <v>0</v>
      </c>
      <c r="U4" s="35">
        <f>IF(AND(D4/Frequency!$N$7&gt;10, D4/Frequency!$N$7&lt;=20),1,0)*E4</f>
        <v>0</v>
      </c>
      <c r="V4" s="35">
        <f t="shared" si="6"/>
        <v>0</v>
      </c>
      <c r="W4" s="35">
        <f>IF(AND(D4/Frequency!$N$7&gt;20, D4/Frequency!$N$7&lt;=30),1,0)*E4</f>
        <v>0</v>
      </c>
      <c r="X4" s="35">
        <f t="shared" si="7"/>
        <v>0</v>
      </c>
      <c r="Y4" s="35">
        <f>IF(AND(D4/Frequency!$N$7&gt;30, D4/Frequency!$N$7&lt;=50),1,0)*E4</f>
        <v>0</v>
      </c>
      <c r="Z4" s="35">
        <f t="shared" si="8"/>
        <v>0</v>
      </c>
      <c r="AA4" s="35">
        <f>IF(AND(D4/Frequency!$N$7&gt;50, D4/Frequency!$N$7&lt;=100),1,0)*E4</f>
        <v>0</v>
      </c>
      <c r="AB4" s="35">
        <f t="shared" si="9"/>
        <v>0</v>
      </c>
      <c r="AC4" s="35">
        <f>IF(D4/Frequency!$N$7&gt;100,1,0)*E4</f>
        <v>0</v>
      </c>
      <c r="AD4" s="35">
        <f t="shared" si="10"/>
        <v>0</v>
      </c>
      <c r="AE4" s="22">
        <f t="shared" si="11"/>
        <v>0</v>
      </c>
      <c r="AF4" s="22">
        <f t="shared" si="12"/>
        <v>0</v>
      </c>
      <c r="AG4" s="22">
        <f t="shared" si="13"/>
        <v>0</v>
      </c>
      <c r="AH4" s="22">
        <f t="shared" si="14"/>
        <v>0</v>
      </c>
      <c r="AI4" s="35">
        <f t="shared" si="15"/>
        <v>0</v>
      </c>
      <c r="AJ4" s="35">
        <f t="shared" si="16"/>
        <v>0</v>
      </c>
      <c r="AK4" s="35">
        <f t="shared" si="17"/>
        <v>0</v>
      </c>
      <c r="AL4">
        <f t="shared" si="18"/>
        <v>0</v>
      </c>
      <c r="AM4">
        <f t="shared" si="19"/>
        <v>0</v>
      </c>
      <c r="AN4">
        <f t="shared" si="20"/>
        <v>0</v>
      </c>
      <c r="AO4">
        <f t="shared" si="21"/>
        <v>0</v>
      </c>
      <c r="AP4">
        <f t="shared" si="22"/>
        <v>0</v>
      </c>
      <c r="AQ4">
        <f t="shared" si="23"/>
        <v>0</v>
      </c>
      <c r="AR4">
        <f t="shared" si="24"/>
        <v>0</v>
      </c>
      <c r="AS4">
        <f t="shared" si="25"/>
        <v>0</v>
      </c>
      <c r="AT4">
        <f t="shared" si="26"/>
        <v>0</v>
      </c>
      <c r="AU4">
        <f t="shared" si="27"/>
        <v>0</v>
      </c>
      <c r="AV4">
        <v>0</v>
      </c>
      <c r="AW4">
        <v>0</v>
      </c>
      <c r="AX4">
        <f t="shared" si="28"/>
        <v>0</v>
      </c>
      <c r="AY4">
        <f t="shared" si="29"/>
        <v>0</v>
      </c>
      <c r="AZ4">
        <f t="shared" si="30"/>
        <v>0</v>
      </c>
      <c r="BA4">
        <f t="shared" si="31"/>
        <v>0</v>
      </c>
      <c r="BB4">
        <f t="shared" si="32"/>
        <v>0</v>
      </c>
      <c r="BC4">
        <f t="shared" si="33"/>
        <v>0</v>
      </c>
      <c r="BD4">
        <f t="shared" si="34"/>
        <v>0</v>
      </c>
      <c r="BE4">
        <f t="shared" si="35"/>
        <v>0</v>
      </c>
      <c r="BF4">
        <f t="shared" si="36"/>
        <v>0</v>
      </c>
      <c r="BG4">
        <f t="shared" si="37"/>
        <v>0</v>
      </c>
      <c r="BH4">
        <f t="shared" si="38"/>
        <v>0</v>
      </c>
      <c r="BI4">
        <f t="shared" si="39"/>
        <v>0</v>
      </c>
      <c r="BJ4">
        <v>0</v>
      </c>
      <c r="BK4" t="str">
        <f t="shared" si="51"/>
        <v>Less than Stake</v>
      </c>
      <c r="BL4" s="40" t="str">
        <f t="shared" si="52"/>
        <v>Single Win</v>
      </c>
      <c r="BM4">
        <f>(D4/Frequency!$N$7-Summary!$C$7)^2*E4</f>
        <v>14336.819199999994</v>
      </c>
      <c r="BN4">
        <f t="shared" si="40"/>
        <v>0</v>
      </c>
      <c r="BO4">
        <f t="shared" si="41"/>
        <v>0</v>
      </c>
      <c r="BP4">
        <f t="shared" si="42"/>
        <v>0</v>
      </c>
      <c r="BQ4">
        <f t="shared" si="43"/>
        <v>0</v>
      </c>
      <c r="BR4">
        <f t="shared" si="44"/>
        <v>0</v>
      </c>
      <c r="BS4">
        <f t="shared" si="45"/>
        <v>0</v>
      </c>
      <c r="BT4">
        <f t="shared" si="46"/>
        <v>0</v>
      </c>
      <c r="BU4">
        <f t="shared" si="47"/>
        <v>0</v>
      </c>
      <c r="BV4">
        <f t="shared" si="48"/>
        <v>0</v>
      </c>
      <c r="BW4">
        <f t="shared" si="49"/>
        <v>0</v>
      </c>
      <c r="BX4">
        <f t="shared" si="50"/>
        <v>0</v>
      </c>
    </row>
    <row r="5" spans="1:76">
      <c r="B5" s="19">
        <f>Tiers!B6</f>
        <v>3</v>
      </c>
      <c r="C5" s="20" t="str">
        <f>Tiers!X6</f>
        <v>main-2|||||||||</v>
      </c>
      <c r="D5" s="21">
        <f>Tiers!C6</f>
        <v>0.5</v>
      </c>
      <c r="E5" s="22">
        <f>Frequency!E7</f>
        <v>20000</v>
      </c>
      <c r="F5" s="22">
        <f t="shared" si="0"/>
        <v>10000</v>
      </c>
      <c r="G5" s="20">
        <f>IF(AND(D5/Summary!$C$4&gt;0, D5/Summary!$C$4&lt;5),E5,0) * D5</f>
        <v>10000</v>
      </c>
      <c r="H5" s="20">
        <f>IF(AND(D5/Summary!$C$4&gt;= 5, D5/Summary!$C$4&lt;10),E5,0) * D5</f>
        <v>0</v>
      </c>
      <c r="I5" s="20">
        <f>IF(AND(D5/Summary!$C$4&gt;=10, D5/Summary!$C$4&lt;25),E5,0)*D5</f>
        <v>0</v>
      </c>
      <c r="J5" s="20">
        <f>IF(D5/Summary!$C$4&gt;=25,E5,0)*D5</f>
        <v>0</v>
      </c>
      <c r="K5" s="35">
        <f>IF(AND(D5/Frequency!$N$7&gt;0, D5/Frequency!$N$7&lt;1),E5,0)</f>
        <v>20000</v>
      </c>
      <c r="L5" s="35">
        <f t="shared" si="1"/>
        <v>10000</v>
      </c>
      <c r="M5" s="35">
        <f>IF(D5/Frequency!$N$7=1,1,0)*E5</f>
        <v>0</v>
      </c>
      <c r="N5" s="35">
        <f t="shared" si="2"/>
        <v>0</v>
      </c>
      <c r="O5" s="35">
        <f>IF(AND(D5/Frequency!$N$7&gt;1, D5/Frequency!$N$7&lt;=2),1,0)*E5</f>
        <v>0</v>
      </c>
      <c r="P5" s="35">
        <f t="shared" si="3"/>
        <v>0</v>
      </c>
      <c r="Q5" s="35">
        <f>IF(AND(D5/Frequency!$N$7&gt;2,D5/Frequency!$N$7&lt;=5),1,0)*E5</f>
        <v>0</v>
      </c>
      <c r="R5" s="35">
        <f t="shared" si="4"/>
        <v>0</v>
      </c>
      <c r="S5" s="35">
        <f>IF(AND(D5/Frequency!$N$7&gt;5, D5/Frequency!$N$7&lt;=10),1,0)*E5</f>
        <v>0</v>
      </c>
      <c r="T5" s="35">
        <f t="shared" si="5"/>
        <v>0</v>
      </c>
      <c r="U5" s="35">
        <f>IF(AND(D5/Frequency!$N$7&gt;10, D5/Frequency!$N$7&lt;=20),1,0)*E5</f>
        <v>0</v>
      </c>
      <c r="V5" s="35">
        <f t="shared" si="6"/>
        <v>0</v>
      </c>
      <c r="W5" s="35">
        <f>IF(AND(D5/Frequency!$N$7&gt;20, D5/Frequency!$N$7&lt;=30),1,0)*E5</f>
        <v>0</v>
      </c>
      <c r="X5" s="35">
        <f t="shared" si="7"/>
        <v>0</v>
      </c>
      <c r="Y5" s="35">
        <f>IF(AND(D5/Frequency!$N$7&gt;30, D5/Frequency!$N$7&lt;=50),1,0)*E5</f>
        <v>0</v>
      </c>
      <c r="Z5" s="35">
        <f t="shared" si="8"/>
        <v>0</v>
      </c>
      <c r="AA5" s="35">
        <f>IF(AND(D5/Frequency!$N$7&gt;50, D5/Frequency!$N$7&lt;=100),1,0)*E5</f>
        <v>0</v>
      </c>
      <c r="AB5" s="35">
        <f t="shared" si="9"/>
        <v>0</v>
      </c>
      <c r="AC5" s="35">
        <f>IF(D5/Frequency!$N$7&gt;100,1,0)*E5</f>
        <v>0</v>
      </c>
      <c r="AD5" s="35">
        <f t="shared" si="10"/>
        <v>0</v>
      </c>
      <c r="AE5" s="22">
        <f t="shared" si="11"/>
        <v>0</v>
      </c>
      <c r="AF5" s="22">
        <f t="shared" si="12"/>
        <v>0</v>
      </c>
      <c r="AG5" s="22">
        <f t="shared" si="13"/>
        <v>0</v>
      </c>
      <c r="AH5" s="22">
        <f t="shared" si="14"/>
        <v>0</v>
      </c>
      <c r="AI5" s="35">
        <f t="shared" si="15"/>
        <v>0</v>
      </c>
      <c r="AJ5" s="35">
        <f t="shared" si="16"/>
        <v>0</v>
      </c>
      <c r="AK5" s="35">
        <f t="shared" si="17"/>
        <v>0</v>
      </c>
      <c r="AL5">
        <f t="shared" si="18"/>
        <v>0</v>
      </c>
      <c r="AM5">
        <f t="shared" si="19"/>
        <v>0</v>
      </c>
      <c r="AN5">
        <f t="shared" si="20"/>
        <v>0</v>
      </c>
      <c r="AO5">
        <f t="shared" si="21"/>
        <v>0</v>
      </c>
      <c r="AP5">
        <f t="shared" si="22"/>
        <v>0</v>
      </c>
      <c r="AQ5">
        <f t="shared" si="23"/>
        <v>0</v>
      </c>
      <c r="AR5">
        <f t="shared" si="24"/>
        <v>0</v>
      </c>
      <c r="AS5">
        <f t="shared" si="25"/>
        <v>0</v>
      </c>
      <c r="AT5">
        <f t="shared" si="26"/>
        <v>0</v>
      </c>
      <c r="AU5">
        <f t="shared" si="27"/>
        <v>0</v>
      </c>
      <c r="AV5">
        <v>0</v>
      </c>
      <c r="AW5">
        <v>0</v>
      </c>
      <c r="AX5">
        <f t="shared" si="28"/>
        <v>0</v>
      </c>
      <c r="AY5">
        <f t="shared" si="29"/>
        <v>0</v>
      </c>
      <c r="AZ5">
        <f t="shared" si="30"/>
        <v>0</v>
      </c>
      <c r="BA5">
        <f t="shared" si="31"/>
        <v>0</v>
      </c>
      <c r="BB5">
        <f t="shared" si="32"/>
        <v>0</v>
      </c>
      <c r="BC5">
        <f t="shared" si="33"/>
        <v>0</v>
      </c>
      <c r="BD5">
        <f t="shared" si="34"/>
        <v>0</v>
      </c>
      <c r="BE5">
        <f t="shared" si="35"/>
        <v>0</v>
      </c>
      <c r="BF5">
        <f t="shared" si="36"/>
        <v>0</v>
      </c>
      <c r="BG5">
        <f t="shared" si="37"/>
        <v>0</v>
      </c>
      <c r="BH5">
        <f t="shared" si="38"/>
        <v>0</v>
      </c>
      <c r="BI5">
        <f t="shared" si="39"/>
        <v>0</v>
      </c>
      <c r="BJ5">
        <v>0</v>
      </c>
      <c r="BK5" t="str">
        <f t="shared" si="51"/>
        <v>Less than Stake</v>
      </c>
      <c r="BL5" s="40" t="str">
        <f t="shared" si="52"/>
        <v>Single Win</v>
      </c>
      <c r="BM5">
        <f>(D5/Frequency!$N$7-Summary!$C$7)^2*E5</f>
        <v>2311.9999999999995</v>
      </c>
      <c r="BN5">
        <f t="shared" si="40"/>
        <v>0</v>
      </c>
      <c r="BO5">
        <f t="shared" si="41"/>
        <v>0</v>
      </c>
      <c r="BP5">
        <f t="shared" si="42"/>
        <v>0</v>
      </c>
      <c r="BQ5">
        <f t="shared" si="43"/>
        <v>0</v>
      </c>
      <c r="BR5">
        <f t="shared" si="44"/>
        <v>0</v>
      </c>
      <c r="BS5">
        <f t="shared" si="45"/>
        <v>0</v>
      </c>
      <c r="BT5">
        <f t="shared" si="46"/>
        <v>0</v>
      </c>
      <c r="BU5">
        <f t="shared" si="47"/>
        <v>0</v>
      </c>
      <c r="BV5">
        <f t="shared" si="48"/>
        <v>0</v>
      </c>
      <c r="BW5">
        <f t="shared" si="49"/>
        <v>0</v>
      </c>
      <c r="BX5">
        <f t="shared" si="50"/>
        <v>0</v>
      </c>
    </row>
    <row r="6" spans="1:76">
      <c r="B6" s="19">
        <f>Tiers!B7</f>
        <v>4</v>
      </c>
      <c r="C6" s="20" t="str">
        <f>Tiers!X7</f>
        <v>main-3|||||||||</v>
      </c>
      <c r="D6" s="21">
        <f>Tiers!C7</f>
        <v>1</v>
      </c>
      <c r="E6" s="22">
        <f>Frequency!E8</f>
        <v>27000</v>
      </c>
      <c r="F6" s="22">
        <f t="shared" si="0"/>
        <v>27000</v>
      </c>
      <c r="G6" s="20">
        <f>IF(AND(D6/Summary!$C$4&gt;0, D6/Summary!$C$4&lt;5),E6,0) * D6</f>
        <v>27000</v>
      </c>
      <c r="H6" s="20">
        <f>IF(AND(D6/Summary!$C$4&gt;= 5, D6/Summary!$C$4&lt;10),E6,0) * D6</f>
        <v>0</v>
      </c>
      <c r="I6" s="20">
        <f>IF(AND(D6/Summary!$C$4&gt;=10, D6/Summary!$C$4&lt;25),E6,0)*D6</f>
        <v>0</v>
      </c>
      <c r="J6" s="20">
        <f>IF(D6/Summary!$C$4&gt;=25,E6,0)*D6</f>
        <v>0</v>
      </c>
      <c r="K6" s="35">
        <f>IF(AND(D6/Frequency!$N$7&gt;0, D6/Frequency!$N$7&lt;1),E6,0)</f>
        <v>0</v>
      </c>
      <c r="L6" s="35">
        <f t="shared" si="1"/>
        <v>0</v>
      </c>
      <c r="M6" s="35">
        <f>IF(D6/Frequency!$N$7=1,1,0)*E6</f>
        <v>27000</v>
      </c>
      <c r="N6" s="35">
        <f t="shared" si="2"/>
        <v>27000</v>
      </c>
      <c r="O6" s="35">
        <f>IF(AND(D6/Frequency!$N$7&gt;1, D6/Frequency!$N$7&lt;=2),1,0)*E6</f>
        <v>0</v>
      </c>
      <c r="P6" s="35">
        <f t="shared" si="3"/>
        <v>0</v>
      </c>
      <c r="Q6" s="35">
        <f>IF(AND(D6/Frequency!$N$7&gt;2,D6/Frequency!$N$7&lt;=5),1,0)*E6</f>
        <v>0</v>
      </c>
      <c r="R6" s="35">
        <f t="shared" si="4"/>
        <v>0</v>
      </c>
      <c r="S6" s="35">
        <f>IF(AND(D6/Frequency!$N$7&gt;5, D6/Frequency!$N$7&lt;=10),1,0)*E6</f>
        <v>0</v>
      </c>
      <c r="T6" s="35">
        <f t="shared" si="5"/>
        <v>0</v>
      </c>
      <c r="U6" s="35">
        <f>IF(AND(D6/Frequency!$N$7&gt;10, D6/Frequency!$N$7&lt;=20),1,0)*E6</f>
        <v>0</v>
      </c>
      <c r="V6" s="35">
        <f t="shared" si="6"/>
        <v>0</v>
      </c>
      <c r="W6" s="35">
        <f>IF(AND(D6/Frequency!$N$7&gt;20, D6/Frequency!$N$7&lt;=30),1,0)*E6</f>
        <v>0</v>
      </c>
      <c r="X6" s="35">
        <f t="shared" si="7"/>
        <v>0</v>
      </c>
      <c r="Y6" s="35">
        <f>IF(AND(D6/Frequency!$N$7&gt;30, D6/Frequency!$N$7&lt;=50),1,0)*E6</f>
        <v>0</v>
      </c>
      <c r="Z6" s="35">
        <f t="shared" si="8"/>
        <v>0</v>
      </c>
      <c r="AA6" s="35">
        <f>IF(AND(D6/Frequency!$N$7&gt;50, D6/Frequency!$N$7&lt;=100),1,0)*E6</f>
        <v>0</v>
      </c>
      <c r="AB6" s="35">
        <f t="shared" si="9"/>
        <v>0</v>
      </c>
      <c r="AC6" s="35">
        <f>IF(D6/Frequency!$N$7&gt;100,1,0)*E6</f>
        <v>0</v>
      </c>
      <c r="AD6" s="35">
        <f t="shared" si="10"/>
        <v>0</v>
      </c>
      <c r="AE6" s="22">
        <f t="shared" si="11"/>
        <v>0</v>
      </c>
      <c r="AF6" s="22">
        <f t="shared" si="12"/>
        <v>0</v>
      </c>
      <c r="AG6" s="22">
        <f t="shared" si="13"/>
        <v>0</v>
      </c>
      <c r="AH6" s="22">
        <f t="shared" si="14"/>
        <v>0</v>
      </c>
      <c r="AI6" s="35">
        <f t="shared" si="15"/>
        <v>0</v>
      </c>
      <c r="AJ6" s="35">
        <f t="shared" si="16"/>
        <v>0</v>
      </c>
      <c r="AK6" s="35">
        <f t="shared" si="17"/>
        <v>0</v>
      </c>
      <c r="AL6">
        <f t="shared" si="18"/>
        <v>0</v>
      </c>
      <c r="AM6">
        <f t="shared" si="19"/>
        <v>0</v>
      </c>
      <c r="AN6">
        <f t="shared" si="20"/>
        <v>0</v>
      </c>
      <c r="AO6">
        <f t="shared" si="21"/>
        <v>0</v>
      </c>
      <c r="AP6">
        <f t="shared" si="22"/>
        <v>0</v>
      </c>
      <c r="AQ6">
        <f t="shared" si="23"/>
        <v>0</v>
      </c>
      <c r="AR6">
        <f t="shared" si="24"/>
        <v>0</v>
      </c>
      <c r="AS6">
        <f t="shared" si="25"/>
        <v>0</v>
      </c>
      <c r="AT6">
        <f t="shared" si="26"/>
        <v>0</v>
      </c>
      <c r="AU6">
        <f t="shared" si="27"/>
        <v>0</v>
      </c>
      <c r="AV6">
        <v>0</v>
      </c>
      <c r="AW6">
        <v>0</v>
      </c>
      <c r="AX6">
        <f t="shared" si="28"/>
        <v>0</v>
      </c>
      <c r="AY6">
        <f t="shared" si="29"/>
        <v>0</v>
      </c>
      <c r="AZ6">
        <f t="shared" si="30"/>
        <v>0</v>
      </c>
      <c r="BA6">
        <f t="shared" si="31"/>
        <v>0</v>
      </c>
      <c r="BB6">
        <f t="shared" si="32"/>
        <v>0</v>
      </c>
      <c r="BC6">
        <f t="shared" si="33"/>
        <v>0</v>
      </c>
      <c r="BD6">
        <f t="shared" si="34"/>
        <v>0</v>
      </c>
      <c r="BE6">
        <f t="shared" si="35"/>
        <v>0</v>
      </c>
      <c r="BF6">
        <f t="shared" si="36"/>
        <v>0</v>
      </c>
      <c r="BG6">
        <f t="shared" si="37"/>
        <v>0</v>
      </c>
      <c r="BH6">
        <f t="shared" si="38"/>
        <v>0</v>
      </c>
      <c r="BI6">
        <f t="shared" si="39"/>
        <v>0</v>
      </c>
      <c r="BJ6">
        <v>0</v>
      </c>
      <c r="BK6" t="str">
        <f t="shared" si="51"/>
        <v>Stake Back</v>
      </c>
      <c r="BL6" s="40" t="str">
        <f t="shared" si="52"/>
        <v>Single Win</v>
      </c>
      <c r="BM6">
        <f>(D6/Frequency!$N$7-Summary!$C$7)^2*E6</f>
        <v>691.20000000000027</v>
      </c>
      <c r="BN6">
        <f t="shared" si="40"/>
        <v>0</v>
      </c>
      <c r="BO6">
        <f t="shared" si="41"/>
        <v>0</v>
      </c>
      <c r="BP6">
        <f t="shared" si="42"/>
        <v>0</v>
      </c>
      <c r="BQ6">
        <f t="shared" si="43"/>
        <v>0</v>
      </c>
      <c r="BR6">
        <f t="shared" si="44"/>
        <v>0</v>
      </c>
      <c r="BS6">
        <f t="shared" si="45"/>
        <v>0</v>
      </c>
      <c r="BT6">
        <f t="shared" si="46"/>
        <v>0</v>
      </c>
      <c r="BU6">
        <f t="shared" si="47"/>
        <v>0</v>
      </c>
      <c r="BV6">
        <f t="shared" si="48"/>
        <v>0</v>
      </c>
      <c r="BW6">
        <f t="shared" si="49"/>
        <v>0</v>
      </c>
      <c r="BX6">
        <f t="shared" si="50"/>
        <v>0</v>
      </c>
    </row>
    <row r="7" spans="1:76">
      <c r="B7" s="19">
        <f>Tiers!B8</f>
        <v>5</v>
      </c>
      <c r="C7" s="20" t="str">
        <f>Tiers!X8</f>
        <v>main-4|||||||||</v>
      </c>
      <c r="D7" s="21">
        <f>Tiers!C8</f>
        <v>2</v>
      </c>
      <c r="E7" s="22">
        <f>Frequency!E9</f>
        <v>5000</v>
      </c>
      <c r="F7" s="22">
        <f t="shared" si="0"/>
        <v>10000</v>
      </c>
      <c r="G7" s="20">
        <f>IF(AND(D7/Summary!$C$4&gt;0, D7/Summary!$C$4&lt;5),E7,0) * D7</f>
        <v>10000</v>
      </c>
      <c r="H7" s="20">
        <f>IF(AND(D7/Summary!$C$4&gt;= 5, D7/Summary!$C$4&lt;10),E7,0) * D7</f>
        <v>0</v>
      </c>
      <c r="I7" s="20">
        <f>IF(AND(D7/Summary!$C$4&gt;=10, D7/Summary!$C$4&lt;25),E7,0)*D7</f>
        <v>0</v>
      </c>
      <c r="J7" s="20">
        <f>IF(D7/Summary!$C$4&gt;=25,E7,0)*D7</f>
        <v>0</v>
      </c>
      <c r="K7" s="35">
        <f>IF(AND(D7/Frequency!$N$7&gt;0, D7/Frequency!$N$7&lt;1),E7,0)</f>
        <v>0</v>
      </c>
      <c r="L7" s="35">
        <f t="shared" si="1"/>
        <v>0</v>
      </c>
      <c r="M7" s="35">
        <f>IF(D7/Frequency!$N$7=1,1,0)*E7</f>
        <v>0</v>
      </c>
      <c r="N7" s="35">
        <f t="shared" si="2"/>
        <v>0</v>
      </c>
      <c r="O7" s="35">
        <f>IF(AND(D7/Frequency!$N$7&gt;1, D7/Frequency!$N$7&lt;=2),1,0)*E7</f>
        <v>5000</v>
      </c>
      <c r="P7" s="35">
        <f t="shared" si="3"/>
        <v>10000</v>
      </c>
      <c r="Q7" s="35">
        <f>IF(AND(D7/Frequency!$N$7&gt;2,D7/Frequency!$N$7&lt;=5),1,0)*E7</f>
        <v>0</v>
      </c>
      <c r="R7" s="35">
        <f t="shared" si="4"/>
        <v>0</v>
      </c>
      <c r="S7" s="35">
        <f>IF(AND(D7/Frequency!$N$7&gt;5, D7/Frequency!$N$7&lt;=10),1,0)*E7</f>
        <v>0</v>
      </c>
      <c r="T7" s="35">
        <f t="shared" si="5"/>
        <v>0</v>
      </c>
      <c r="U7" s="35">
        <f>IF(AND(D7/Frequency!$N$7&gt;10, D7/Frequency!$N$7&lt;=20),1,0)*E7</f>
        <v>0</v>
      </c>
      <c r="V7" s="35">
        <f t="shared" si="6"/>
        <v>0</v>
      </c>
      <c r="W7" s="35">
        <f>IF(AND(D7/Frequency!$N$7&gt;20, D7/Frequency!$N$7&lt;=30),1,0)*E7</f>
        <v>0</v>
      </c>
      <c r="X7" s="35">
        <f t="shared" si="7"/>
        <v>0</v>
      </c>
      <c r="Y7" s="35">
        <f>IF(AND(D7/Frequency!$N$7&gt;30, D7/Frequency!$N$7&lt;=50),1,0)*E7</f>
        <v>0</v>
      </c>
      <c r="Z7" s="35">
        <f t="shared" si="8"/>
        <v>0</v>
      </c>
      <c r="AA7" s="35">
        <f>IF(AND(D7/Frequency!$N$7&gt;50, D7/Frequency!$N$7&lt;=100),1,0)*E7</f>
        <v>0</v>
      </c>
      <c r="AB7" s="35">
        <f t="shared" si="9"/>
        <v>0</v>
      </c>
      <c r="AC7" s="35">
        <f>IF(D7/Frequency!$N$7&gt;100,1,0)*E7</f>
        <v>0</v>
      </c>
      <c r="AD7" s="35">
        <f t="shared" si="10"/>
        <v>0</v>
      </c>
      <c r="AE7" s="22">
        <f t="shared" si="11"/>
        <v>0</v>
      </c>
      <c r="AF7" s="22">
        <f t="shared" si="12"/>
        <v>0</v>
      </c>
      <c r="AG7" s="22">
        <f t="shared" si="13"/>
        <v>0</v>
      </c>
      <c r="AH7" s="22">
        <f t="shared" si="14"/>
        <v>0</v>
      </c>
      <c r="AI7" s="35">
        <f t="shared" si="15"/>
        <v>0</v>
      </c>
      <c r="AJ7" s="35">
        <f t="shared" si="16"/>
        <v>0</v>
      </c>
      <c r="AK7" s="35">
        <f t="shared" si="17"/>
        <v>0</v>
      </c>
      <c r="AL7">
        <f t="shared" si="18"/>
        <v>0</v>
      </c>
      <c r="AM7">
        <f t="shared" si="19"/>
        <v>0</v>
      </c>
      <c r="AN7">
        <f t="shared" si="20"/>
        <v>0</v>
      </c>
      <c r="AO7">
        <f t="shared" si="21"/>
        <v>0</v>
      </c>
      <c r="AP7">
        <f t="shared" si="22"/>
        <v>0</v>
      </c>
      <c r="AQ7">
        <f t="shared" si="23"/>
        <v>0</v>
      </c>
      <c r="AR7">
        <f t="shared" si="24"/>
        <v>0</v>
      </c>
      <c r="AS7">
        <f t="shared" si="25"/>
        <v>0</v>
      </c>
      <c r="AT7">
        <f t="shared" si="26"/>
        <v>0</v>
      </c>
      <c r="AU7">
        <f t="shared" si="27"/>
        <v>0</v>
      </c>
      <c r="AV7">
        <v>0</v>
      </c>
      <c r="AW7">
        <v>0</v>
      </c>
      <c r="AX7">
        <f t="shared" si="28"/>
        <v>0</v>
      </c>
      <c r="AY7">
        <f t="shared" si="29"/>
        <v>0</v>
      </c>
      <c r="AZ7">
        <f t="shared" si="30"/>
        <v>0</v>
      </c>
      <c r="BA7">
        <f t="shared" si="31"/>
        <v>0</v>
      </c>
      <c r="BB7">
        <f t="shared" si="32"/>
        <v>0</v>
      </c>
      <c r="BC7">
        <f t="shared" si="33"/>
        <v>0</v>
      </c>
      <c r="BD7">
        <f t="shared" si="34"/>
        <v>0</v>
      </c>
      <c r="BE7">
        <f t="shared" si="35"/>
        <v>0</v>
      </c>
      <c r="BF7">
        <f t="shared" si="36"/>
        <v>0</v>
      </c>
      <c r="BG7">
        <f t="shared" si="37"/>
        <v>0</v>
      </c>
      <c r="BH7">
        <f t="shared" si="38"/>
        <v>0</v>
      </c>
      <c r="BI7">
        <f t="shared" si="39"/>
        <v>0</v>
      </c>
      <c r="BJ7">
        <v>0</v>
      </c>
      <c r="BK7" t="str">
        <f t="shared" si="51"/>
        <v>Standard Win</v>
      </c>
      <c r="BL7" s="40" t="str">
        <f t="shared" si="52"/>
        <v>Single Win</v>
      </c>
      <c r="BM7">
        <f>(D7/Frequency!$N$7-Summary!$C$7)^2*E7</f>
        <v>6728.0000000000018</v>
      </c>
      <c r="BN7">
        <f t="shared" si="40"/>
        <v>0</v>
      </c>
      <c r="BO7">
        <f t="shared" si="41"/>
        <v>0</v>
      </c>
      <c r="BP7">
        <f t="shared" si="42"/>
        <v>0</v>
      </c>
      <c r="BQ7">
        <f t="shared" si="43"/>
        <v>0</v>
      </c>
      <c r="BR7">
        <f t="shared" si="44"/>
        <v>0</v>
      </c>
      <c r="BS7">
        <f t="shared" si="45"/>
        <v>0</v>
      </c>
      <c r="BT7">
        <f t="shared" si="46"/>
        <v>0</v>
      </c>
      <c r="BU7">
        <f t="shared" si="47"/>
        <v>0</v>
      </c>
      <c r="BV7">
        <f t="shared" si="48"/>
        <v>0</v>
      </c>
      <c r="BW7">
        <f t="shared" si="49"/>
        <v>0</v>
      </c>
      <c r="BX7">
        <f t="shared" si="50"/>
        <v>0</v>
      </c>
    </row>
    <row r="8" spans="1:76">
      <c r="B8" s="19">
        <f>Tiers!B9</f>
        <v>6</v>
      </c>
      <c r="C8" s="20" t="str">
        <f>Tiers!X9</f>
        <v>main-5|||||||||</v>
      </c>
      <c r="D8" s="21">
        <f>Tiers!C9</f>
        <v>5</v>
      </c>
      <c r="E8" s="22">
        <f>Frequency!E10</f>
        <v>1000</v>
      </c>
      <c r="F8" s="22">
        <f t="shared" si="0"/>
        <v>5000</v>
      </c>
      <c r="G8" s="20">
        <f>IF(AND(D8/Summary!$C$4&gt;0, D8/Summary!$C$4&lt;5),E8,0) * D8</f>
        <v>0</v>
      </c>
      <c r="H8" s="20">
        <f>IF(AND(D8/Summary!$C$4&gt;= 5, D8/Summary!$C$4&lt;10),E8,0) * D8</f>
        <v>5000</v>
      </c>
      <c r="I8" s="20">
        <f>IF(AND(D8/Summary!$C$4&gt;=10, D8/Summary!$C$4&lt;25),E8,0)*D8</f>
        <v>0</v>
      </c>
      <c r="J8" s="20">
        <f>IF(D8/Summary!$C$4&gt;=25,E8,0)*D8</f>
        <v>0</v>
      </c>
      <c r="K8" s="35">
        <f>IF(AND(D8/Frequency!$N$7&gt;0, D8/Frequency!$N$7&lt;1),E8,0)</f>
        <v>0</v>
      </c>
      <c r="L8" s="35">
        <f t="shared" si="1"/>
        <v>0</v>
      </c>
      <c r="M8" s="35">
        <f>IF(D8/Frequency!$N$7=1,1,0)*E8</f>
        <v>0</v>
      </c>
      <c r="N8" s="35">
        <f t="shared" si="2"/>
        <v>0</v>
      </c>
      <c r="O8" s="35">
        <f>IF(AND(D8/Frequency!$N$7&gt;1, D8/Frequency!$N$7&lt;=2),1,0)*E8</f>
        <v>0</v>
      </c>
      <c r="P8" s="35">
        <f t="shared" si="3"/>
        <v>0</v>
      </c>
      <c r="Q8" s="35">
        <f>IF(AND(D8/Frequency!$N$7&gt;2,D8/Frequency!$N$7&lt;=5),1,0)*E8</f>
        <v>1000</v>
      </c>
      <c r="R8" s="35">
        <f t="shared" si="4"/>
        <v>5000</v>
      </c>
      <c r="S8" s="35">
        <f>IF(AND(D8/Frequency!$N$7&gt;5, D8/Frequency!$N$7&lt;=10),1,0)*E8</f>
        <v>0</v>
      </c>
      <c r="T8" s="35">
        <f t="shared" si="5"/>
        <v>0</v>
      </c>
      <c r="U8" s="35">
        <f>IF(AND(D8/Frequency!$N$7&gt;10, D8/Frequency!$N$7&lt;=20),1,0)*E8</f>
        <v>0</v>
      </c>
      <c r="V8" s="35">
        <f t="shared" si="6"/>
        <v>0</v>
      </c>
      <c r="W8" s="35">
        <f>IF(AND(D8/Frequency!$N$7&gt;20, D8/Frequency!$N$7&lt;=30),1,0)*E8</f>
        <v>0</v>
      </c>
      <c r="X8" s="35">
        <f t="shared" si="7"/>
        <v>0</v>
      </c>
      <c r="Y8" s="35">
        <f>IF(AND(D8/Frequency!$N$7&gt;30, D8/Frequency!$N$7&lt;=50),1,0)*E8</f>
        <v>0</v>
      </c>
      <c r="Z8" s="35">
        <f t="shared" si="8"/>
        <v>0</v>
      </c>
      <c r="AA8" s="35">
        <f>IF(AND(D8/Frequency!$N$7&gt;50, D8/Frequency!$N$7&lt;=100),1,0)*E8</f>
        <v>0</v>
      </c>
      <c r="AB8" s="35">
        <f t="shared" si="9"/>
        <v>0</v>
      </c>
      <c r="AC8" s="35">
        <f>IF(D8/Frequency!$N$7&gt;100,1,0)*E8</f>
        <v>0</v>
      </c>
      <c r="AD8" s="35">
        <f t="shared" si="10"/>
        <v>0</v>
      </c>
      <c r="AE8" s="22">
        <f t="shared" si="11"/>
        <v>0</v>
      </c>
      <c r="AF8" s="22">
        <f t="shared" si="12"/>
        <v>0</v>
      </c>
      <c r="AG8" s="22">
        <f t="shared" si="13"/>
        <v>0</v>
      </c>
      <c r="AH8" s="22">
        <f t="shared" si="14"/>
        <v>0</v>
      </c>
      <c r="AI8" s="35">
        <f t="shared" si="15"/>
        <v>0</v>
      </c>
      <c r="AJ8" s="35">
        <f t="shared" si="16"/>
        <v>0</v>
      </c>
      <c r="AK8" s="35">
        <f t="shared" si="17"/>
        <v>0</v>
      </c>
      <c r="AL8">
        <f t="shared" si="18"/>
        <v>0</v>
      </c>
      <c r="AM8">
        <f t="shared" si="19"/>
        <v>0</v>
      </c>
      <c r="AN8">
        <f t="shared" si="20"/>
        <v>0</v>
      </c>
      <c r="AO8">
        <f t="shared" si="21"/>
        <v>0</v>
      </c>
      <c r="AP8">
        <f t="shared" si="22"/>
        <v>0</v>
      </c>
      <c r="AQ8">
        <f t="shared" si="23"/>
        <v>0</v>
      </c>
      <c r="AR8">
        <f t="shared" si="24"/>
        <v>0</v>
      </c>
      <c r="AS8">
        <f t="shared" si="25"/>
        <v>0</v>
      </c>
      <c r="AT8">
        <f t="shared" si="26"/>
        <v>0</v>
      </c>
      <c r="AU8">
        <f t="shared" si="27"/>
        <v>0</v>
      </c>
      <c r="AV8">
        <v>0</v>
      </c>
      <c r="AW8">
        <v>0</v>
      </c>
      <c r="AX8">
        <f t="shared" si="28"/>
        <v>0</v>
      </c>
      <c r="AY8">
        <f t="shared" si="29"/>
        <v>0</v>
      </c>
      <c r="AZ8">
        <f t="shared" si="30"/>
        <v>0</v>
      </c>
      <c r="BA8">
        <f t="shared" si="31"/>
        <v>0</v>
      </c>
      <c r="BB8">
        <f t="shared" si="32"/>
        <v>0</v>
      </c>
      <c r="BC8">
        <f t="shared" si="33"/>
        <v>0</v>
      </c>
      <c r="BD8">
        <f t="shared" si="34"/>
        <v>0</v>
      </c>
      <c r="BE8">
        <f t="shared" si="35"/>
        <v>0</v>
      </c>
      <c r="BF8">
        <f t="shared" si="36"/>
        <v>0</v>
      </c>
      <c r="BG8">
        <f t="shared" si="37"/>
        <v>0</v>
      </c>
      <c r="BH8">
        <f t="shared" si="38"/>
        <v>0</v>
      </c>
      <c r="BI8">
        <f t="shared" si="39"/>
        <v>0</v>
      </c>
      <c r="BJ8">
        <v>0</v>
      </c>
      <c r="BK8" t="str">
        <f t="shared" si="51"/>
        <v>Standard Win</v>
      </c>
      <c r="BL8" s="40" t="str">
        <f t="shared" si="52"/>
        <v>Single Win</v>
      </c>
      <c r="BM8">
        <f>(D8/Frequency!$N$7-Summary!$C$7)^2*E8</f>
        <v>17305.600000000002</v>
      </c>
      <c r="BN8">
        <f t="shared" si="40"/>
        <v>0</v>
      </c>
      <c r="BO8">
        <f t="shared" si="41"/>
        <v>0</v>
      </c>
      <c r="BP8">
        <f t="shared" si="42"/>
        <v>0</v>
      </c>
      <c r="BQ8">
        <f t="shared" si="43"/>
        <v>0</v>
      </c>
      <c r="BR8">
        <f t="shared" si="44"/>
        <v>0</v>
      </c>
      <c r="BS8">
        <f t="shared" si="45"/>
        <v>0</v>
      </c>
      <c r="BT8">
        <f t="shared" si="46"/>
        <v>0</v>
      </c>
      <c r="BU8">
        <f t="shared" si="47"/>
        <v>0</v>
      </c>
      <c r="BV8">
        <f t="shared" si="48"/>
        <v>0</v>
      </c>
      <c r="BW8">
        <f t="shared" si="49"/>
        <v>0</v>
      </c>
      <c r="BX8">
        <f t="shared" si="50"/>
        <v>0</v>
      </c>
    </row>
    <row r="9" spans="1:76">
      <c r="B9" s="19">
        <f>Tiers!B10</f>
        <v>7</v>
      </c>
      <c r="C9" s="20" t="str">
        <f>Tiers!X10</f>
        <v>main-6|||||||||</v>
      </c>
      <c r="D9" s="21">
        <f>Tiers!C10</f>
        <v>10</v>
      </c>
      <c r="E9" s="22">
        <f>Frequency!E11</f>
        <v>188</v>
      </c>
      <c r="F9" s="22">
        <f t="shared" si="0"/>
        <v>1880</v>
      </c>
      <c r="G9" s="20">
        <f>IF(AND(D9/Summary!$C$4&gt;0, D9/Summary!$C$4&lt;5),E9,0) * D9</f>
        <v>0</v>
      </c>
      <c r="H9" s="20">
        <f>IF(AND(D9/Summary!$C$4&gt;= 5, D9/Summary!$C$4&lt;10),E9,0) * D9</f>
        <v>0</v>
      </c>
      <c r="I9" s="20">
        <f>IF(AND(D9/Summary!$C$4&gt;=10, D9/Summary!$C$4&lt;25),E9,0)*D9</f>
        <v>1880</v>
      </c>
      <c r="J9" s="20">
        <f>IF(D9/Summary!$C$4&gt;=25,E9,0)*D9</f>
        <v>0</v>
      </c>
      <c r="K9" s="35">
        <f>IF(AND(D9/Frequency!$N$7&gt;0, D9/Frequency!$N$7&lt;1),E9,0)</f>
        <v>0</v>
      </c>
      <c r="L9" s="35">
        <f t="shared" si="1"/>
        <v>0</v>
      </c>
      <c r="M9" s="35">
        <f>IF(D9/Frequency!$N$7=1,1,0)*E9</f>
        <v>0</v>
      </c>
      <c r="N9" s="35">
        <f t="shared" si="2"/>
        <v>0</v>
      </c>
      <c r="O9" s="35">
        <f>IF(AND(D9/Frequency!$N$7&gt;1, D9/Frequency!$N$7&lt;=2),1,0)*E9</f>
        <v>0</v>
      </c>
      <c r="P9" s="35">
        <f t="shared" si="3"/>
        <v>0</v>
      </c>
      <c r="Q9" s="35">
        <f>IF(AND(D9/Frequency!$N$7&gt;2,D9/Frequency!$N$7&lt;=5),1,0)*E9</f>
        <v>0</v>
      </c>
      <c r="R9" s="35">
        <f t="shared" si="4"/>
        <v>0</v>
      </c>
      <c r="S9" s="35">
        <f>IF(AND(D9/Frequency!$N$7&gt;5, D9/Frequency!$N$7&lt;=10),1,0)*E9</f>
        <v>188</v>
      </c>
      <c r="T9" s="35">
        <f t="shared" si="5"/>
        <v>1880</v>
      </c>
      <c r="U9" s="35">
        <f>IF(AND(D9/Frequency!$N$7&gt;10, D9/Frequency!$N$7&lt;=20),1,0)*E9</f>
        <v>0</v>
      </c>
      <c r="V9" s="35">
        <f t="shared" si="6"/>
        <v>0</v>
      </c>
      <c r="W9" s="35">
        <f>IF(AND(D9/Frequency!$N$7&gt;20, D9/Frequency!$N$7&lt;=30),1,0)*E9</f>
        <v>0</v>
      </c>
      <c r="X9" s="35">
        <f t="shared" si="7"/>
        <v>0</v>
      </c>
      <c r="Y9" s="35">
        <f>IF(AND(D9/Frequency!$N$7&gt;30, D9/Frequency!$N$7&lt;=50),1,0)*E9</f>
        <v>0</v>
      </c>
      <c r="Z9" s="35">
        <f t="shared" si="8"/>
        <v>0</v>
      </c>
      <c r="AA9" s="35">
        <f>IF(AND(D9/Frequency!$N$7&gt;50, D9/Frequency!$N$7&lt;=100),1,0)*E9</f>
        <v>0</v>
      </c>
      <c r="AB9" s="35">
        <f t="shared" si="9"/>
        <v>0</v>
      </c>
      <c r="AC9" s="35">
        <f>IF(D9/Frequency!$N$7&gt;100,1,0)*E9</f>
        <v>0</v>
      </c>
      <c r="AD9" s="35">
        <f t="shared" si="10"/>
        <v>0</v>
      </c>
      <c r="AE9" s="22">
        <f t="shared" si="11"/>
        <v>0</v>
      </c>
      <c r="AF9" s="22">
        <f t="shared" si="12"/>
        <v>0</v>
      </c>
      <c r="AG9" s="22">
        <f t="shared" si="13"/>
        <v>0</v>
      </c>
      <c r="AH9" s="22">
        <f t="shared" si="14"/>
        <v>0</v>
      </c>
      <c r="AI9" s="35">
        <f t="shared" si="15"/>
        <v>0</v>
      </c>
      <c r="AJ9" s="35">
        <f t="shared" si="16"/>
        <v>0</v>
      </c>
      <c r="AK9" s="35">
        <f t="shared" si="17"/>
        <v>0</v>
      </c>
      <c r="AL9">
        <f t="shared" si="18"/>
        <v>0</v>
      </c>
      <c r="AM9">
        <f t="shared" si="19"/>
        <v>0</v>
      </c>
      <c r="AN9">
        <f t="shared" si="20"/>
        <v>0</v>
      </c>
      <c r="AO9">
        <f t="shared" si="21"/>
        <v>0</v>
      </c>
      <c r="AP9">
        <f t="shared" si="22"/>
        <v>0</v>
      </c>
      <c r="AQ9">
        <f t="shared" si="23"/>
        <v>0</v>
      </c>
      <c r="AR9">
        <f t="shared" si="24"/>
        <v>0</v>
      </c>
      <c r="AS9">
        <f t="shared" si="25"/>
        <v>0</v>
      </c>
      <c r="AT9">
        <f t="shared" si="26"/>
        <v>0</v>
      </c>
      <c r="AU9">
        <f t="shared" si="27"/>
        <v>0</v>
      </c>
      <c r="AV9">
        <v>0</v>
      </c>
      <c r="AW9">
        <v>0</v>
      </c>
      <c r="AX9">
        <f t="shared" si="28"/>
        <v>0</v>
      </c>
      <c r="AY9">
        <f t="shared" si="29"/>
        <v>0</v>
      </c>
      <c r="AZ9">
        <f t="shared" si="30"/>
        <v>0</v>
      </c>
      <c r="BA9">
        <f t="shared" si="31"/>
        <v>0</v>
      </c>
      <c r="BB9">
        <f t="shared" si="32"/>
        <v>0</v>
      </c>
      <c r="BC9">
        <f t="shared" si="33"/>
        <v>0</v>
      </c>
      <c r="BD9">
        <f t="shared" si="34"/>
        <v>0</v>
      </c>
      <c r="BE9">
        <f t="shared" si="35"/>
        <v>0</v>
      </c>
      <c r="BF9">
        <f t="shared" si="36"/>
        <v>0</v>
      </c>
      <c r="BG9">
        <f t="shared" si="37"/>
        <v>0</v>
      </c>
      <c r="BH9">
        <f t="shared" si="38"/>
        <v>0</v>
      </c>
      <c r="BI9">
        <f t="shared" si="39"/>
        <v>0</v>
      </c>
      <c r="BJ9">
        <v>0</v>
      </c>
      <c r="BK9" t="str">
        <f t="shared" si="51"/>
        <v>Big Win</v>
      </c>
      <c r="BL9" s="40" t="str">
        <f t="shared" si="52"/>
        <v>Single Win</v>
      </c>
      <c r="BM9">
        <f>(D9/Frequency!$N$7-Summary!$C$7)^2*E9</f>
        <v>15774.252800000002</v>
      </c>
      <c r="BN9">
        <f t="shared" si="40"/>
        <v>0</v>
      </c>
      <c r="BO9">
        <f t="shared" si="41"/>
        <v>0</v>
      </c>
      <c r="BP9">
        <f t="shared" si="42"/>
        <v>0</v>
      </c>
      <c r="BQ9">
        <f t="shared" si="43"/>
        <v>0</v>
      </c>
      <c r="BR9">
        <f t="shared" si="44"/>
        <v>0</v>
      </c>
      <c r="BS9">
        <f t="shared" si="45"/>
        <v>0</v>
      </c>
      <c r="BT9">
        <f t="shared" si="46"/>
        <v>0</v>
      </c>
      <c r="BU9">
        <f t="shared" si="47"/>
        <v>0</v>
      </c>
      <c r="BV9">
        <f t="shared" si="48"/>
        <v>0</v>
      </c>
      <c r="BW9">
        <f t="shared" si="49"/>
        <v>0</v>
      </c>
      <c r="BX9">
        <f t="shared" si="50"/>
        <v>0</v>
      </c>
    </row>
    <row r="10" spans="1:76">
      <c r="B10" s="19">
        <f>Tiers!B11</f>
        <v>8</v>
      </c>
      <c r="C10" s="20" t="str">
        <f>Tiers!X11</f>
        <v>main-7|||||||||</v>
      </c>
      <c r="D10" s="21">
        <f>Tiers!C11</f>
        <v>20</v>
      </c>
      <c r="E10" s="22">
        <f>Frequency!E12</f>
        <v>50</v>
      </c>
      <c r="F10" s="22">
        <f t="shared" si="0"/>
        <v>1000</v>
      </c>
      <c r="G10" s="20">
        <f>IF(AND(D10/Summary!$C$4&gt;0, D10/Summary!$C$4&lt;5),E10,0) * D10</f>
        <v>0</v>
      </c>
      <c r="H10" s="20">
        <f>IF(AND(D10/Summary!$C$4&gt;= 5, D10/Summary!$C$4&lt;10),E10,0) * D10</f>
        <v>0</v>
      </c>
      <c r="I10" s="20">
        <f>IF(AND(D10/Summary!$C$4&gt;=10, D10/Summary!$C$4&lt;25),E10,0)*D10</f>
        <v>1000</v>
      </c>
      <c r="J10" s="20">
        <f>IF(D10/Summary!$C$4&gt;=25,E10,0)*D10</f>
        <v>0</v>
      </c>
      <c r="K10" s="35">
        <f>IF(AND(D10/Frequency!$N$7&gt;0, D10/Frequency!$N$7&lt;1),E10,0)</f>
        <v>0</v>
      </c>
      <c r="L10" s="35">
        <f t="shared" si="1"/>
        <v>0</v>
      </c>
      <c r="M10" s="35">
        <f>IF(D10/Frequency!$N$7=1,1,0)*E10</f>
        <v>0</v>
      </c>
      <c r="N10" s="35">
        <f t="shared" si="2"/>
        <v>0</v>
      </c>
      <c r="O10" s="35">
        <f>IF(AND(D10/Frequency!$N$7&gt;1, D10/Frequency!$N$7&lt;=2),1,0)*E10</f>
        <v>0</v>
      </c>
      <c r="P10" s="35">
        <f t="shared" si="3"/>
        <v>0</v>
      </c>
      <c r="Q10" s="35">
        <f>IF(AND(D10/Frequency!$N$7&gt;2,D10/Frequency!$N$7&lt;=5),1,0)*E10</f>
        <v>0</v>
      </c>
      <c r="R10" s="35">
        <f t="shared" si="4"/>
        <v>0</v>
      </c>
      <c r="S10" s="35">
        <f>IF(AND(D10/Frequency!$N$7&gt;5, D10/Frequency!$N$7&lt;=10),1,0)*E10</f>
        <v>0</v>
      </c>
      <c r="T10" s="35">
        <f t="shared" si="5"/>
        <v>0</v>
      </c>
      <c r="U10" s="35">
        <f>IF(AND(D10/Frequency!$N$7&gt;10, D10/Frequency!$N$7&lt;=20),1,0)*E10</f>
        <v>50</v>
      </c>
      <c r="V10" s="35">
        <f t="shared" si="6"/>
        <v>1000</v>
      </c>
      <c r="W10" s="35">
        <f>IF(AND(D10/Frequency!$N$7&gt;20, D10/Frequency!$N$7&lt;=30),1,0)*E10</f>
        <v>0</v>
      </c>
      <c r="X10" s="35">
        <f t="shared" si="7"/>
        <v>0</v>
      </c>
      <c r="Y10" s="35">
        <f>IF(AND(D10/Frequency!$N$7&gt;30, D10/Frequency!$N$7&lt;=50),1,0)*E10</f>
        <v>0</v>
      </c>
      <c r="Z10" s="35">
        <f t="shared" si="8"/>
        <v>0</v>
      </c>
      <c r="AA10" s="35">
        <f>IF(AND(D10/Frequency!$N$7&gt;50, D10/Frequency!$N$7&lt;=100),1,0)*E10</f>
        <v>0</v>
      </c>
      <c r="AB10" s="35">
        <f t="shared" si="9"/>
        <v>0</v>
      </c>
      <c r="AC10" s="35">
        <f>IF(D10/Frequency!$N$7&gt;100,1,0)*E10</f>
        <v>0</v>
      </c>
      <c r="AD10" s="35">
        <f t="shared" si="10"/>
        <v>0</v>
      </c>
      <c r="AE10" s="22">
        <f t="shared" si="11"/>
        <v>0</v>
      </c>
      <c r="AF10" s="22">
        <f t="shared" si="12"/>
        <v>0</v>
      </c>
      <c r="AG10" s="22">
        <f t="shared" si="13"/>
        <v>0</v>
      </c>
      <c r="AH10" s="22">
        <f t="shared" si="14"/>
        <v>0</v>
      </c>
      <c r="AI10" s="35">
        <f t="shared" si="15"/>
        <v>0</v>
      </c>
      <c r="AJ10" s="35">
        <f t="shared" si="16"/>
        <v>0</v>
      </c>
      <c r="AK10" s="35">
        <f t="shared" si="17"/>
        <v>0</v>
      </c>
      <c r="AL10">
        <f t="shared" si="18"/>
        <v>0</v>
      </c>
      <c r="AM10">
        <f t="shared" si="19"/>
        <v>0</v>
      </c>
      <c r="AN10">
        <f t="shared" si="20"/>
        <v>0</v>
      </c>
      <c r="AO10">
        <f t="shared" si="21"/>
        <v>0</v>
      </c>
      <c r="AP10">
        <f t="shared" si="22"/>
        <v>0</v>
      </c>
      <c r="AQ10">
        <f t="shared" si="23"/>
        <v>0</v>
      </c>
      <c r="AR10">
        <f t="shared" si="24"/>
        <v>0</v>
      </c>
      <c r="AS10">
        <f t="shared" si="25"/>
        <v>0</v>
      </c>
      <c r="AT10">
        <f t="shared" si="26"/>
        <v>0</v>
      </c>
      <c r="AU10">
        <f t="shared" si="27"/>
        <v>0</v>
      </c>
      <c r="AV10">
        <v>0</v>
      </c>
      <c r="AW10">
        <v>0</v>
      </c>
      <c r="AX10">
        <f t="shared" si="28"/>
        <v>0</v>
      </c>
      <c r="AY10">
        <f t="shared" si="29"/>
        <v>0</v>
      </c>
      <c r="AZ10">
        <f t="shared" si="30"/>
        <v>0</v>
      </c>
      <c r="BA10">
        <f t="shared" si="31"/>
        <v>0</v>
      </c>
      <c r="BB10">
        <f t="shared" si="32"/>
        <v>0</v>
      </c>
      <c r="BC10">
        <f t="shared" si="33"/>
        <v>0</v>
      </c>
      <c r="BD10">
        <f t="shared" si="34"/>
        <v>0</v>
      </c>
      <c r="BE10">
        <f t="shared" si="35"/>
        <v>0</v>
      </c>
      <c r="BF10">
        <f t="shared" si="36"/>
        <v>0</v>
      </c>
      <c r="BG10">
        <f t="shared" si="37"/>
        <v>0</v>
      </c>
      <c r="BH10">
        <f t="shared" si="38"/>
        <v>0</v>
      </c>
      <c r="BI10">
        <f t="shared" si="39"/>
        <v>0</v>
      </c>
      <c r="BJ10">
        <v>0</v>
      </c>
      <c r="BK10" t="str">
        <f t="shared" si="51"/>
        <v>Big Win</v>
      </c>
      <c r="BL10" s="40" t="str">
        <f t="shared" si="52"/>
        <v>Single Win</v>
      </c>
      <c r="BM10">
        <f>(D10/Frequency!$N$7-Summary!$C$7)^2*E10</f>
        <v>18355.28</v>
      </c>
      <c r="BN10">
        <f t="shared" si="40"/>
        <v>0</v>
      </c>
      <c r="BO10">
        <f t="shared" si="41"/>
        <v>0</v>
      </c>
      <c r="BP10">
        <f t="shared" si="42"/>
        <v>0</v>
      </c>
      <c r="BQ10">
        <f t="shared" si="43"/>
        <v>0</v>
      </c>
      <c r="BR10">
        <f t="shared" si="44"/>
        <v>0</v>
      </c>
      <c r="BS10">
        <f t="shared" si="45"/>
        <v>0</v>
      </c>
      <c r="BT10">
        <f t="shared" si="46"/>
        <v>0</v>
      </c>
      <c r="BU10">
        <f t="shared" si="47"/>
        <v>0</v>
      </c>
      <c r="BV10">
        <f t="shared" si="48"/>
        <v>0</v>
      </c>
      <c r="BW10">
        <f t="shared" si="49"/>
        <v>0</v>
      </c>
      <c r="BX10">
        <f t="shared" si="50"/>
        <v>0</v>
      </c>
    </row>
    <row r="11" spans="1:76">
      <c r="B11" s="19">
        <f>Tiers!B12</f>
        <v>9</v>
      </c>
      <c r="C11" s="20" t="str">
        <f>Tiers!X12</f>
        <v>main-8|||||||||</v>
      </c>
      <c r="D11" s="21">
        <f>Tiers!C12</f>
        <v>30</v>
      </c>
      <c r="E11" s="22">
        <f>Frequency!E13</f>
        <v>10</v>
      </c>
      <c r="F11" s="22">
        <f t="shared" si="0"/>
        <v>300</v>
      </c>
      <c r="G11" s="20">
        <f>IF(AND(D11/Summary!$C$4&gt;0, D11/Summary!$C$4&lt;5),E11,0) * D11</f>
        <v>0</v>
      </c>
      <c r="H11" s="20">
        <f>IF(AND(D11/Summary!$C$4&gt;= 5, D11/Summary!$C$4&lt;10),E11,0) * D11</f>
        <v>0</v>
      </c>
      <c r="I11" s="20">
        <f>IF(AND(D11/Summary!$C$4&gt;=10, D11/Summary!$C$4&lt;25),E11,0)*D11</f>
        <v>0</v>
      </c>
      <c r="J11" s="20">
        <f>IF(D11/Summary!$C$4&gt;=25,E11,0)*D11</f>
        <v>300</v>
      </c>
      <c r="K11" s="35">
        <f>IF(AND(D11/Frequency!$N$7&gt;0, D11/Frequency!$N$7&lt;1),E11,0)</f>
        <v>0</v>
      </c>
      <c r="L11" s="35">
        <f t="shared" si="1"/>
        <v>0</v>
      </c>
      <c r="M11" s="35">
        <f>IF(D11/Frequency!$N$7=1,1,0)*E11</f>
        <v>0</v>
      </c>
      <c r="N11" s="35">
        <f t="shared" si="2"/>
        <v>0</v>
      </c>
      <c r="O11" s="35">
        <f>IF(AND(D11/Frequency!$N$7&gt;1, D11/Frequency!$N$7&lt;=2),1,0)*E11</f>
        <v>0</v>
      </c>
      <c r="P11" s="35">
        <f t="shared" si="3"/>
        <v>0</v>
      </c>
      <c r="Q11" s="35">
        <f>IF(AND(D11/Frequency!$N$7&gt;2,D11/Frequency!$N$7&lt;=5),1,0)*E11</f>
        <v>0</v>
      </c>
      <c r="R11" s="35">
        <f t="shared" si="4"/>
        <v>0</v>
      </c>
      <c r="S11" s="35">
        <f>IF(AND(D11/Frequency!$N$7&gt;5, D11/Frequency!$N$7&lt;=10),1,0)*E11</f>
        <v>0</v>
      </c>
      <c r="T11" s="35">
        <f t="shared" si="5"/>
        <v>0</v>
      </c>
      <c r="U11" s="35">
        <f>IF(AND(D11/Frequency!$N$7&gt;10, D11/Frequency!$N$7&lt;=20),1,0)*E11</f>
        <v>0</v>
      </c>
      <c r="V11" s="35">
        <f t="shared" si="6"/>
        <v>0</v>
      </c>
      <c r="W11" s="35">
        <f>IF(AND(D11/Frequency!$N$7&gt;20, D11/Frequency!$N$7&lt;=30),1,0)*E11</f>
        <v>10</v>
      </c>
      <c r="X11" s="35">
        <f t="shared" si="7"/>
        <v>300</v>
      </c>
      <c r="Y11" s="35">
        <f>IF(AND(D11/Frequency!$N$7&gt;30, D11/Frequency!$N$7&lt;=50),1,0)*E11</f>
        <v>0</v>
      </c>
      <c r="Z11" s="35">
        <f t="shared" si="8"/>
        <v>0</v>
      </c>
      <c r="AA11" s="35">
        <f>IF(AND(D11/Frequency!$N$7&gt;50, D11/Frequency!$N$7&lt;=100),1,0)*E11</f>
        <v>0</v>
      </c>
      <c r="AB11" s="35">
        <f t="shared" si="9"/>
        <v>0</v>
      </c>
      <c r="AC11" s="35">
        <f>IF(D11/Frequency!$N$7&gt;100,1,0)*E11</f>
        <v>0</v>
      </c>
      <c r="AD11" s="35">
        <f t="shared" si="10"/>
        <v>0</v>
      </c>
      <c r="AE11" s="22">
        <f t="shared" si="11"/>
        <v>0</v>
      </c>
      <c r="AF11" s="22">
        <f t="shared" si="12"/>
        <v>0</v>
      </c>
      <c r="AG11" s="22">
        <f t="shared" si="13"/>
        <v>0</v>
      </c>
      <c r="AH11" s="22">
        <f t="shared" si="14"/>
        <v>0</v>
      </c>
      <c r="AI11" s="35">
        <f t="shared" si="15"/>
        <v>0</v>
      </c>
      <c r="AJ11" s="35">
        <f t="shared" si="16"/>
        <v>0</v>
      </c>
      <c r="AK11" s="35">
        <f t="shared" si="17"/>
        <v>0</v>
      </c>
      <c r="AL11">
        <f t="shared" si="18"/>
        <v>0</v>
      </c>
      <c r="AM11">
        <f t="shared" si="19"/>
        <v>0</v>
      </c>
      <c r="AN11">
        <f t="shared" si="20"/>
        <v>0</v>
      </c>
      <c r="AO11">
        <f t="shared" si="21"/>
        <v>0</v>
      </c>
      <c r="AP11">
        <f t="shared" si="22"/>
        <v>0</v>
      </c>
      <c r="AQ11">
        <f t="shared" si="23"/>
        <v>0</v>
      </c>
      <c r="AR11">
        <f t="shared" si="24"/>
        <v>0</v>
      </c>
      <c r="AS11">
        <f t="shared" si="25"/>
        <v>0</v>
      </c>
      <c r="AT11">
        <f t="shared" si="26"/>
        <v>0</v>
      </c>
      <c r="AU11">
        <f t="shared" si="27"/>
        <v>0</v>
      </c>
      <c r="AV11">
        <v>0</v>
      </c>
      <c r="AW11">
        <v>0</v>
      </c>
      <c r="AX11">
        <f t="shared" si="28"/>
        <v>0</v>
      </c>
      <c r="AY11">
        <f t="shared" si="29"/>
        <v>0</v>
      </c>
      <c r="AZ11">
        <f t="shared" si="30"/>
        <v>0</v>
      </c>
      <c r="BA11">
        <f t="shared" si="31"/>
        <v>0</v>
      </c>
      <c r="BB11">
        <f t="shared" si="32"/>
        <v>0</v>
      </c>
      <c r="BC11">
        <f t="shared" si="33"/>
        <v>0</v>
      </c>
      <c r="BD11">
        <f t="shared" si="34"/>
        <v>0</v>
      </c>
      <c r="BE11">
        <f t="shared" si="35"/>
        <v>0</v>
      </c>
      <c r="BF11">
        <f t="shared" si="36"/>
        <v>0</v>
      </c>
      <c r="BG11">
        <f t="shared" si="37"/>
        <v>0</v>
      </c>
      <c r="BH11">
        <f t="shared" si="38"/>
        <v>0</v>
      </c>
      <c r="BI11">
        <f t="shared" si="39"/>
        <v>0</v>
      </c>
      <c r="BJ11">
        <v>0</v>
      </c>
      <c r="BK11" t="str">
        <f t="shared" si="51"/>
        <v>Big Win</v>
      </c>
      <c r="BL11" s="40" t="str">
        <f t="shared" si="52"/>
        <v>Single Win</v>
      </c>
      <c r="BM11">
        <f>(D11/Frequency!$N$7-Summary!$C$7)^2*E11</f>
        <v>8503.0560000000005</v>
      </c>
      <c r="BN11">
        <f t="shared" si="40"/>
        <v>0</v>
      </c>
      <c r="BO11">
        <f t="shared" si="41"/>
        <v>0</v>
      </c>
      <c r="BP11">
        <f t="shared" si="42"/>
        <v>0</v>
      </c>
      <c r="BQ11">
        <f t="shared" si="43"/>
        <v>0</v>
      </c>
      <c r="BR11">
        <f t="shared" si="44"/>
        <v>0</v>
      </c>
      <c r="BS11">
        <f t="shared" si="45"/>
        <v>0</v>
      </c>
      <c r="BT11">
        <f t="shared" si="46"/>
        <v>0</v>
      </c>
      <c r="BU11">
        <f t="shared" si="47"/>
        <v>0</v>
      </c>
      <c r="BV11">
        <f t="shared" si="48"/>
        <v>0</v>
      </c>
      <c r="BW11">
        <f t="shared" si="49"/>
        <v>0</v>
      </c>
      <c r="BX11">
        <f t="shared" si="50"/>
        <v>0</v>
      </c>
    </row>
    <row r="12" spans="1:76">
      <c r="B12" s="19">
        <f>Tiers!B13</f>
        <v>10</v>
      </c>
      <c r="C12" s="20" t="str">
        <f>Tiers!X13</f>
        <v>main-9|||||||||</v>
      </c>
      <c r="D12" s="21">
        <f>Tiers!C13</f>
        <v>40</v>
      </c>
      <c r="E12" s="22">
        <f>Frequency!E14</f>
        <v>5</v>
      </c>
      <c r="F12" s="22">
        <f t="shared" si="0"/>
        <v>200</v>
      </c>
      <c r="G12" s="20">
        <f>IF(AND(D12/Summary!$C$4&gt;0, D12/Summary!$C$4&lt;5),E12,0) * D12</f>
        <v>0</v>
      </c>
      <c r="H12" s="20">
        <f>IF(AND(D12/Summary!$C$4&gt;= 5, D12/Summary!$C$4&lt;10),E12,0) * D12</f>
        <v>0</v>
      </c>
      <c r="I12" s="20">
        <f>IF(AND(D12/Summary!$C$4&gt;=10, D12/Summary!$C$4&lt;25),E12,0)*D12</f>
        <v>0</v>
      </c>
      <c r="J12" s="20">
        <f>IF(D12/Summary!$C$4&gt;=25,E12,0)*D12</f>
        <v>200</v>
      </c>
      <c r="K12" s="35">
        <f>IF(AND(D12/Frequency!$N$7&gt;0, D12/Frequency!$N$7&lt;1),E12,0)</f>
        <v>0</v>
      </c>
      <c r="L12" s="35">
        <f t="shared" si="1"/>
        <v>0</v>
      </c>
      <c r="M12" s="35">
        <f>IF(D12/Frequency!$N$7=1,1,0)*E12</f>
        <v>0</v>
      </c>
      <c r="N12" s="35">
        <f t="shared" si="2"/>
        <v>0</v>
      </c>
      <c r="O12" s="35">
        <f>IF(AND(D12/Frequency!$N$7&gt;1, D12/Frequency!$N$7&lt;=2),1,0)*E12</f>
        <v>0</v>
      </c>
      <c r="P12" s="35">
        <f t="shared" si="3"/>
        <v>0</v>
      </c>
      <c r="Q12" s="35">
        <f>IF(AND(D12/Frequency!$N$7&gt;2,D12/Frequency!$N$7&lt;=5),1,0)*E12</f>
        <v>0</v>
      </c>
      <c r="R12" s="35">
        <f t="shared" si="4"/>
        <v>0</v>
      </c>
      <c r="S12" s="35">
        <f>IF(AND(D12/Frequency!$N$7&gt;5, D12/Frequency!$N$7&lt;=10),1,0)*E12</f>
        <v>0</v>
      </c>
      <c r="T12" s="35">
        <f t="shared" si="5"/>
        <v>0</v>
      </c>
      <c r="U12" s="35">
        <f>IF(AND(D12/Frequency!$N$7&gt;10, D12/Frequency!$N$7&lt;=20),1,0)*E12</f>
        <v>0</v>
      </c>
      <c r="V12" s="35">
        <f t="shared" si="6"/>
        <v>0</v>
      </c>
      <c r="W12" s="35">
        <f>IF(AND(D12/Frequency!$N$7&gt;20, D12/Frequency!$N$7&lt;=30),1,0)*E12</f>
        <v>0</v>
      </c>
      <c r="X12" s="35">
        <f t="shared" si="7"/>
        <v>0</v>
      </c>
      <c r="Y12" s="35">
        <f>IF(AND(D12/Frequency!$N$7&gt;30, D12/Frequency!$N$7&lt;=50),1,0)*E12</f>
        <v>5</v>
      </c>
      <c r="Z12" s="35">
        <f t="shared" si="8"/>
        <v>200</v>
      </c>
      <c r="AA12" s="35">
        <f>IF(AND(D12/Frequency!$N$7&gt;50, D12/Frequency!$N$7&lt;=100),1,0)*E12</f>
        <v>0</v>
      </c>
      <c r="AB12" s="35">
        <f t="shared" si="9"/>
        <v>0</v>
      </c>
      <c r="AC12" s="35">
        <f>IF(D12/Frequency!$N$7&gt;100,1,0)*E12</f>
        <v>0</v>
      </c>
      <c r="AD12" s="35">
        <f t="shared" si="10"/>
        <v>0</v>
      </c>
      <c r="AE12" s="22">
        <f t="shared" si="11"/>
        <v>0</v>
      </c>
      <c r="AF12" s="22">
        <f t="shared" si="12"/>
        <v>0</v>
      </c>
      <c r="AG12" s="22">
        <f t="shared" si="13"/>
        <v>0</v>
      </c>
      <c r="AH12" s="22">
        <f t="shared" si="14"/>
        <v>0</v>
      </c>
      <c r="AI12" s="35">
        <f t="shared" si="15"/>
        <v>0</v>
      </c>
      <c r="AJ12" s="35">
        <f t="shared" si="16"/>
        <v>0</v>
      </c>
      <c r="AK12" s="35">
        <f t="shared" si="17"/>
        <v>0</v>
      </c>
      <c r="AL12">
        <f t="shared" si="18"/>
        <v>0</v>
      </c>
      <c r="AM12">
        <f t="shared" si="19"/>
        <v>0</v>
      </c>
      <c r="AN12">
        <f t="shared" si="20"/>
        <v>0</v>
      </c>
      <c r="AO12">
        <f t="shared" si="21"/>
        <v>0</v>
      </c>
      <c r="AP12">
        <f t="shared" si="22"/>
        <v>0</v>
      </c>
      <c r="AQ12">
        <f t="shared" si="23"/>
        <v>0</v>
      </c>
      <c r="AR12">
        <f t="shared" si="24"/>
        <v>0</v>
      </c>
      <c r="AS12">
        <f t="shared" si="25"/>
        <v>0</v>
      </c>
      <c r="AT12">
        <f t="shared" si="26"/>
        <v>0</v>
      </c>
      <c r="AU12">
        <f t="shared" si="27"/>
        <v>0</v>
      </c>
      <c r="AV12">
        <v>0</v>
      </c>
      <c r="AW12">
        <v>0</v>
      </c>
      <c r="AX12">
        <f t="shared" si="28"/>
        <v>0</v>
      </c>
      <c r="AY12">
        <f t="shared" si="29"/>
        <v>0</v>
      </c>
      <c r="AZ12">
        <f t="shared" si="30"/>
        <v>0</v>
      </c>
      <c r="BA12">
        <f t="shared" si="31"/>
        <v>0</v>
      </c>
      <c r="BB12">
        <f t="shared" si="32"/>
        <v>0</v>
      </c>
      <c r="BC12">
        <f t="shared" si="33"/>
        <v>0</v>
      </c>
      <c r="BD12">
        <f t="shared" si="34"/>
        <v>0</v>
      </c>
      <c r="BE12">
        <f t="shared" si="35"/>
        <v>0</v>
      </c>
      <c r="BF12">
        <f t="shared" si="36"/>
        <v>0</v>
      </c>
      <c r="BG12">
        <f t="shared" si="37"/>
        <v>0</v>
      </c>
      <c r="BH12">
        <f t="shared" si="38"/>
        <v>0</v>
      </c>
      <c r="BI12">
        <f t="shared" si="39"/>
        <v>0</v>
      </c>
      <c r="BJ12">
        <v>0</v>
      </c>
      <c r="BK12" t="str">
        <f t="shared" si="51"/>
        <v>Big Win</v>
      </c>
      <c r="BL12" s="40" t="str">
        <f t="shared" si="52"/>
        <v>Single Win</v>
      </c>
      <c r="BM12">
        <f>(D12/Frequency!$N$7-Summary!$C$7)^2*E12</f>
        <v>7667.5279999999984</v>
      </c>
      <c r="BN12">
        <f t="shared" si="40"/>
        <v>0</v>
      </c>
      <c r="BO12">
        <f t="shared" si="41"/>
        <v>0</v>
      </c>
      <c r="BP12">
        <f t="shared" si="42"/>
        <v>0</v>
      </c>
      <c r="BQ12">
        <f t="shared" si="43"/>
        <v>0</v>
      </c>
      <c r="BR12">
        <f t="shared" si="44"/>
        <v>0</v>
      </c>
      <c r="BS12">
        <f t="shared" si="45"/>
        <v>0</v>
      </c>
      <c r="BT12">
        <f t="shared" si="46"/>
        <v>0</v>
      </c>
      <c r="BU12">
        <f t="shared" si="47"/>
        <v>0</v>
      </c>
      <c r="BV12">
        <f t="shared" si="48"/>
        <v>0</v>
      </c>
      <c r="BW12">
        <f t="shared" si="49"/>
        <v>0</v>
      </c>
      <c r="BX12">
        <f t="shared" si="50"/>
        <v>0</v>
      </c>
    </row>
    <row r="13" spans="1:76">
      <c r="B13" s="19">
        <f>Tiers!B14</f>
        <v>11</v>
      </c>
      <c r="C13" s="20" t="str">
        <f>Tiers!X14</f>
        <v>main-10|||||||||</v>
      </c>
      <c r="D13" s="21">
        <f>Tiers!C14</f>
        <v>1</v>
      </c>
      <c r="E13" s="22">
        <f>Frequency!E15</f>
        <v>30152</v>
      </c>
      <c r="F13" s="22">
        <f t="shared" si="0"/>
        <v>30152</v>
      </c>
      <c r="G13" s="20">
        <f>IF(AND(D13/Summary!$C$4&gt;0, D13/Summary!$C$4&lt;5),E13,0) * D13</f>
        <v>30152</v>
      </c>
      <c r="H13" s="20">
        <f>IF(AND(D13/Summary!$C$4&gt;= 5, D13/Summary!$C$4&lt;10),E13,0) * D13</f>
        <v>0</v>
      </c>
      <c r="I13" s="20">
        <f>IF(AND(D13/Summary!$C$4&gt;=10, D13/Summary!$C$4&lt;25),E13,0)*D13</f>
        <v>0</v>
      </c>
      <c r="J13" s="20">
        <f>IF(D13/Summary!$C$4&gt;=25,E13,0)*D13</f>
        <v>0</v>
      </c>
      <c r="K13" s="35">
        <f>IF(AND(D13/Frequency!$N$7&gt;0, D13/Frequency!$N$7&lt;1),E13,0)</f>
        <v>0</v>
      </c>
      <c r="L13" s="35">
        <f t="shared" si="1"/>
        <v>0</v>
      </c>
      <c r="M13" s="35">
        <f>IF(D13/Frequency!$N$7=1,1,0)*E13</f>
        <v>30152</v>
      </c>
      <c r="N13" s="35">
        <f t="shared" si="2"/>
        <v>30152</v>
      </c>
      <c r="O13" s="35">
        <f>IF(AND(D13/Frequency!$N$7&gt;1, D13/Frequency!$N$7&lt;=2),1,0)*E13</f>
        <v>0</v>
      </c>
      <c r="P13" s="35">
        <f t="shared" si="3"/>
        <v>0</v>
      </c>
      <c r="Q13" s="35">
        <f>IF(AND(D13/Frequency!$N$7&gt;2,D13/Frequency!$N$7&lt;=5),1,0)*E13</f>
        <v>0</v>
      </c>
      <c r="R13" s="35">
        <f t="shared" si="4"/>
        <v>0</v>
      </c>
      <c r="S13" s="35">
        <f>IF(AND(D13/Frequency!$N$7&gt;5, D13/Frequency!$N$7&lt;=10),1,0)*E13</f>
        <v>0</v>
      </c>
      <c r="T13" s="35">
        <f t="shared" si="5"/>
        <v>0</v>
      </c>
      <c r="U13" s="35">
        <f>IF(AND(D13/Frequency!$N$7&gt;10, D13/Frequency!$N$7&lt;=20),1,0)*E13</f>
        <v>0</v>
      </c>
      <c r="V13" s="35">
        <f t="shared" si="6"/>
        <v>0</v>
      </c>
      <c r="W13" s="35">
        <f>IF(AND(D13/Frequency!$N$7&gt;20, D13/Frequency!$N$7&lt;=30),1,0)*E13</f>
        <v>0</v>
      </c>
      <c r="X13" s="35">
        <f t="shared" si="7"/>
        <v>0</v>
      </c>
      <c r="Y13" s="35">
        <f>IF(AND(D13/Frequency!$N$7&gt;30, D13/Frequency!$N$7&lt;=50),1,0)*E13</f>
        <v>0</v>
      </c>
      <c r="Z13" s="35">
        <f t="shared" si="8"/>
        <v>0</v>
      </c>
      <c r="AA13" s="35">
        <f>IF(AND(D13/Frequency!$N$7&gt;50, D13/Frequency!$N$7&lt;=100),1,0)*E13</f>
        <v>0</v>
      </c>
      <c r="AB13" s="35">
        <f t="shared" si="9"/>
        <v>0</v>
      </c>
      <c r="AC13" s="35">
        <f>IF(D13/Frequency!$N$7&gt;100,1,0)*E13</f>
        <v>0</v>
      </c>
      <c r="AD13" s="35">
        <f t="shared" si="10"/>
        <v>0</v>
      </c>
      <c r="AE13" s="22">
        <f t="shared" si="11"/>
        <v>0</v>
      </c>
      <c r="AF13" s="22">
        <f t="shared" si="12"/>
        <v>0</v>
      </c>
      <c r="AG13" s="22">
        <f t="shared" si="13"/>
        <v>0</v>
      </c>
      <c r="AH13" s="22">
        <f t="shared" si="14"/>
        <v>0</v>
      </c>
      <c r="AI13" s="35">
        <f t="shared" si="15"/>
        <v>0</v>
      </c>
      <c r="AJ13" s="35">
        <f t="shared" si="16"/>
        <v>0</v>
      </c>
      <c r="AK13" s="35">
        <f t="shared" si="17"/>
        <v>0</v>
      </c>
      <c r="AL13">
        <f t="shared" si="18"/>
        <v>0</v>
      </c>
      <c r="AM13">
        <f t="shared" si="19"/>
        <v>0</v>
      </c>
      <c r="AN13">
        <f t="shared" si="20"/>
        <v>0</v>
      </c>
      <c r="AO13">
        <f t="shared" si="21"/>
        <v>0</v>
      </c>
      <c r="AP13">
        <f t="shared" si="22"/>
        <v>0</v>
      </c>
      <c r="AQ13">
        <f t="shared" si="23"/>
        <v>0</v>
      </c>
      <c r="AR13">
        <f t="shared" si="24"/>
        <v>0</v>
      </c>
      <c r="AS13">
        <f t="shared" si="25"/>
        <v>0</v>
      </c>
      <c r="AT13">
        <f t="shared" si="26"/>
        <v>0</v>
      </c>
      <c r="AU13">
        <f t="shared" si="27"/>
        <v>0</v>
      </c>
      <c r="AV13">
        <v>0</v>
      </c>
      <c r="AW13">
        <v>0</v>
      </c>
      <c r="AX13">
        <f t="shared" si="28"/>
        <v>0</v>
      </c>
      <c r="AY13">
        <f t="shared" si="29"/>
        <v>0</v>
      </c>
      <c r="AZ13">
        <f t="shared" si="30"/>
        <v>0</v>
      </c>
      <c r="BA13">
        <f t="shared" si="31"/>
        <v>0</v>
      </c>
      <c r="BB13">
        <f t="shared" si="32"/>
        <v>0</v>
      </c>
      <c r="BC13">
        <f t="shared" si="33"/>
        <v>0</v>
      </c>
      <c r="BD13">
        <f t="shared" si="34"/>
        <v>0</v>
      </c>
      <c r="BE13">
        <f t="shared" si="35"/>
        <v>0</v>
      </c>
      <c r="BF13">
        <f t="shared" si="36"/>
        <v>0</v>
      </c>
      <c r="BG13">
        <f t="shared" si="37"/>
        <v>0</v>
      </c>
      <c r="BH13">
        <f t="shared" si="38"/>
        <v>0</v>
      </c>
      <c r="BI13">
        <f t="shared" si="39"/>
        <v>0</v>
      </c>
      <c r="BJ13">
        <v>0</v>
      </c>
      <c r="BK13" t="str">
        <f t="shared" si="51"/>
        <v>Stake Back</v>
      </c>
      <c r="BL13" s="40" t="str">
        <f t="shared" si="52"/>
        <v>Single Win</v>
      </c>
      <c r="BM13">
        <f>(D13/Frequency!$N$7-Summary!$C$7)^2*E13</f>
        <v>771.89120000000037</v>
      </c>
      <c r="BN13">
        <f t="shared" si="40"/>
        <v>0</v>
      </c>
      <c r="BO13">
        <f t="shared" si="41"/>
        <v>0</v>
      </c>
      <c r="BP13">
        <f t="shared" si="42"/>
        <v>0</v>
      </c>
      <c r="BQ13">
        <f t="shared" si="43"/>
        <v>0</v>
      </c>
      <c r="BR13">
        <f t="shared" si="44"/>
        <v>0</v>
      </c>
      <c r="BS13">
        <f t="shared" si="45"/>
        <v>0</v>
      </c>
      <c r="BT13">
        <f t="shared" si="46"/>
        <v>0</v>
      </c>
      <c r="BU13">
        <f t="shared" si="47"/>
        <v>0</v>
      </c>
      <c r="BV13">
        <f t="shared" si="48"/>
        <v>0</v>
      </c>
      <c r="BW13">
        <f t="shared" si="49"/>
        <v>0</v>
      </c>
      <c r="BX13">
        <f t="shared" si="50"/>
        <v>0</v>
      </c>
    </row>
    <row r="14" spans="1:76">
      <c r="B14" s="19">
        <f>Tiers!B15</f>
        <v>12</v>
      </c>
      <c r="C14" s="20" t="str">
        <f>Tiers!X15</f>
        <v>main-11|||||||||</v>
      </c>
      <c r="D14" s="21">
        <f>Tiers!C15</f>
        <v>2</v>
      </c>
      <c r="E14" s="22">
        <f>Frequency!E16</f>
        <v>8400</v>
      </c>
      <c r="F14" s="22">
        <f t="shared" si="0"/>
        <v>16800</v>
      </c>
      <c r="G14" s="20">
        <f>IF(AND(D14/Summary!$C$4&gt;0, D14/Summary!$C$4&lt;5),E14,0) * D14</f>
        <v>16800</v>
      </c>
      <c r="H14" s="20">
        <f>IF(AND(D14/Summary!$C$4&gt;= 5, D14/Summary!$C$4&lt;10),E14,0) * D14</f>
        <v>0</v>
      </c>
      <c r="I14" s="20">
        <f>IF(AND(D14/Summary!$C$4&gt;=10, D14/Summary!$C$4&lt;25),E14,0)*D14</f>
        <v>0</v>
      </c>
      <c r="J14" s="20">
        <f>IF(D14/Summary!$C$4&gt;=25,E14,0)*D14</f>
        <v>0</v>
      </c>
      <c r="K14" s="35">
        <f>IF(AND(D14/Frequency!$N$7&gt;0, D14/Frequency!$N$7&lt;1),E14,0)</f>
        <v>0</v>
      </c>
      <c r="L14" s="35">
        <f t="shared" si="1"/>
        <v>0</v>
      </c>
      <c r="M14" s="35">
        <f>IF(D14/Frequency!$N$7=1,1,0)*E14</f>
        <v>0</v>
      </c>
      <c r="N14" s="35">
        <f t="shared" si="2"/>
        <v>0</v>
      </c>
      <c r="O14" s="35">
        <f>IF(AND(D14/Frequency!$N$7&gt;1, D14/Frequency!$N$7&lt;=2),1,0)*E14</f>
        <v>8400</v>
      </c>
      <c r="P14" s="35">
        <f t="shared" si="3"/>
        <v>16800</v>
      </c>
      <c r="Q14" s="35">
        <f>IF(AND(D14/Frequency!$N$7&gt;2,D14/Frequency!$N$7&lt;=5),1,0)*E14</f>
        <v>0</v>
      </c>
      <c r="R14" s="35">
        <f t="shared" si="4"/>
        <v>0</v>
      </c>
      <c r="S14" s="35">
        <f>IF(AND(D14/Frequency!$N$7&gt;5, D14/Frequency!$N$7&lt;=10),1,0)*E14</f>
        <v>0</v>
      </c>
      <c r="T14" s="35">
        <f t="shared" si="5"/>
        <v>0</v>
      </c>
      <c r="U14" s="35">
        <f>IF(AND(D14/Frequency!$N$7&gt;10, D14/Frequency!$N$7&lt;=20),1,0)*E14</f>
        <v>0</v>
      </c>
      <c r="V14" s="35">
        <f t="shared" si="6"/>
        <v>0</v>
      </c>
      <c r="W14" s="35">
        <f>IF(AND(D14/Frequency!$N$7&gt;20, D14/Frequency!$N$7&lt;=30),1,0)*E14</f>
        <v>0</v>
      </c>
      <c r="X14" s="35">
        <f t="shared" si="7"/>
        <v>0</v>
      </c>
      <c r="Y14" s="35">
        <f>IF(AND(D14/Frequency!$N$7&gt;30, D14/Frequency!$N$7&lt;=50),1,0)*E14</f>
        <v>0</v>
      </c>
      <c r="Z14" s="35">
        <f t="shared" si="8"/>
        <v>0</v>
      </c>
      <c r="AA14" s="35">
        <f>IF(AND(D14/Frequency!$N$7&gt;50, D14/Frequency!$N$7&lt;=100),1,0)*E14</f>
        <v>0</v>
      </c>
      <c r="AB14" s="35">
        <f t="shared" si="9"/>
        <v>0</v>
      </c>
      <c r="AC14" s="35">
        <f>IF(D14/Frequency!$N$7&gt;100,1,0)*E14</f>
        <v>0</v>
      </c>
      <c r="AD14" s="35">
        <f t="shared" si="10"/>
        <v>0</v>
      </c>
      <c r="AE14" s="22">
        <f t="shared" si="11"/>
        <v>0</v>
      </c>
      <c r="AF14" s="22">
        <f t="shared" si="12"/>
        <v>0</v>
      </c>
      <c r="AG14" s="22">
        <f t="shared" si="13"/>
        <v>0</v>
      </c>
      <c r="AH14" s="22">
        <f t="shared" si="14"/>
        <v>0</v>
      </c>
      <c r="AI14" s="35">
        <f t="shared" si="15"/>
        <v>0</v>
      </c>
      <c r="AJ14" s="35">
        <f t="shared" si="16"/>
        <v>0</v>
      </c>
      <c r="AK14" s="35">
        <f t="shared" si="17"/>
        <v>0</v>
      </c>
      <c r="AL14">
        <f t="shared" si="18"/>
        <v>0</v>
      </c>
      <c r="AM14">
        <f t="shared" si="19"/>
        <v>0</v>
      </c>
      <c r="AN14">
        <f t="shared" si="20"/>
        <v>0</v>
      </c>
      <c r="AO14">
        <f t="shared" si="21"/>
        <v>0</v>
      </c>
      <c r="AP14">
        <f t="shared" si="22"/>
        <v>0</v>
      </c>
      <c r="AQ14">
        <f t="shared" si="23"/>
        <v>0</v>
      </c>
      <c r="AR14">
        <f t="shared" si="24"/>
        <v>0</v>
      </c>
      <c r="AS14">
        <f t="shared" si="25"/>
        <v>0</v>
      </c>
      <c r="AT14">
        <f t="shared" si="26"/>
        <v>0</v>
      </c>
      <c r="AU14">
        <f t="shared" si="27"/>
        <v>0</v>
      </c>
      <c r="AV14">
        <v>0</v>
      </c>
      <c r="AW14">
        <v>0</v>
      </c>
      <c r="AX14">
        <f t="shared" si="28"/>
        <v>0</v>
      </c>
      <c r="AY14">
        <f t="shared" si="29"/>
        <v>0</v>
      </c>
      <c r="AZ14">
        <f t="shared" si="30"/>
        <v>0</v>
      </c>
      <c r="BA14">
        <f t="shared" si="31"/>
        <v>0</v>
      </c>
      <c r="BB14">
        <f t="shared" si="32"/>
        <v>0</v>
      </c>
      <c r="BC14">
        <f t="shared" si="33"/>
        <v>0</v>
      </c>
      <c r="BD14">
        <f t="shared" si="34"/>
        <v>0</v>
      </c>
      <c r="BE14">
        <f t="shared" si="35"/>
        <v>0</v>
      </c>
      <c r="BF14">
        <f t="shared" si="36"/>
        <v>0</v>
      </c>
      <c r="BG14">
        <f t="shared" si="37"/>
        <v>0</v>
      </c>
      <c r="BH14">
        <f t="shared" si="38"/>
        <v>0</v>
      </c>
      <c r="BI14">
        <f t="shared" si="39"/>
        <v>0</v>
      </c>
      <c r="BJ14">
        <v>0</v>
      </c>
      <c r="BK14" t="str">
        <f t="shared" si="51"/>
        <v>Standard Win</v>
      </c>
      <c r="BL14" s="40" t="str">
        <f t="shared" si="52"/>
        <v>Single Win</v>
      </c>
      <c r="BM14">
        <f>(D14/Frequency!$N$7-Summary!$C$7)^2*E14</f>
        <v>11303.040000000003</v>
      </c>
      <c r="BN14">
        <f t="shared" si="40"/>
        <v>0</v>
      </c>
      <c r="BO14">
        <f t="shared" si="41"/>
        <v>0</v>
      </c>
      <c r="BP14">
        <f t="shared" si="42"/>
        <v>0</v>
      </c>
      <c r="BQ14">
        <f t="shared" si="43"/>
        <v>0</v>
      </c>
      <c r="BR14">
        <f t="shared" si="44"/>
        <v>0</v>
      </c>
      <c r="BS14">
        <f t="shared" si="45"/>
        <v>0</v>
      </c>
      <c r="BT14">
        <f t="shared" si="46"/>
        <v>0</v>
      </c>
      <c r="BU14">
        <f t="shared" si="47"/>
        <v>0</v>
      </c>
      <c r="BV14">
        <f t="shared" si="48"/>
        <v>0</v>
      </c>
      <c r="BW14">
        <f t="shared" si="49"/>
        <v>0</v>
      </c>
      <c r="BX14">
        <f t="shared" si="50"/>
        <v>0</v>
      </c>
    </row>
    <row r="15" spans="1:76">
      <c r="B15" s="19">
        <f>Tiers!B16</f>
        <v>13</v>
      </c>
      <c r="C15" s="20" t="str">
        <f>Tiers!X16</f>
        <v>main-12|||||||||</v>
      </c>
      <c r="D15" s="21">
        <f>Tiers!C16</f>
        <v>3</v>
      </c>
      <c r="E15" s="22">
        <f>Frequency!E17</f>
        <v>1000</v>
      </c>
      <c r="F15" s="22">
        <f t="shared" si="0"/>
        <v>3000</v>
      </c>
      <c r="G15" s="20">
        <f>IF(AND(D15/Summary!$C$4&gt;0, D15/Summary!$C$4&lt;5),E15,0) * D15</f>
        <v>3000</v>
      </c>
      <c r="H15" s="20">
        <f>IF(AND(D15/Summary!$C$4&gt;= 5, D15/Summary!$C$4&lt;10),E15,0) * D15</f>
        <v>0</v>
      </c>
      <c r="I15" s="20">
        <f>IF(AND(D15/Summary!$C$4&gt;=10, D15/Summary!$C$4&lt;25),E15,0)*D15</f>
        <v>0</v>
      </c>
      <c r="J15" s="20">
        <f>IF(D15/Summary!$C$4&gt;=25,E15,0)*D15</f>
        <v>0</v>
      </c>
      <c r="K15" s="35">
        <f>IF(AND(D15/Frequency!$N$7&gt;0, D15/Frequency!$N$7&lt;1),E15,0)</f>
        <v>0</v>
      </c>
      <c r="L15" s="35">
        <f t="shared" si="1"/>
        <v>0</v>
      </c>
      <c r="M15" s="35">
        <f>IF(D15/Frequency!$N$7=1,1,0)*E15</f>
        <v>0</v>
      </c>
      <c r="N15" s="35">
        <f t="shared" si="2"/>
        <v>0</v>
      </c>
      <c r="O15" s="35">
        <f>IF(AND(D15/Frequency!$N$7&gt;1, D15/Frequency!$N$7&lt;=2),1,0)*E15</f>
        <v>0</v>
      </c>
      <c r="P15" s="35">
        <f t="shared" si="3"/>
        <v>0</v>
      </c>
      <c r="Q15" s="35">
        <f>IF(AND(D15/Frequency!$N$7&gt;2,D15/Frequency!$N$7&lt;=5),1,0)*E15</f>
        <v>1000</v>
      </c>
      <c r="R15" s="35">
        <f t="shared" si="4"/>
        <v>3000</v>
      </c>
      <c r="S15" s="35">
        <f>IF(AND(D15/Frequency!$N$7&gt;5, D15/Frequency!$N$7&lt;=10),1,0)*E15</f>
        <v>0</v>
      </c>
      <c r="T15" s="35">
        <f t="shared" si="5"/>
        <v>0</v>
      </c>
      <c r="U15" s="35">
        <f>IF(AND(D15/Frequency!$N$7&gt;10, D15/Frequency!$N$7&lt;=20),1,0)*E15</f>
        <v>0</v>
      </c>
      <c r="V15" s="35">
        <f t="shared" si="6"/>
        <v>0</v>
      </c>
      <c r="W15" s="35">
        <f>IF(AND(D15/Frequency!$N$7&gt;20, D15/Frequency!$N$7&lt;=30),1,0)*E15</f>
        <v>0</v>
      </c>
      <c r="X15" s="35">
        <f t="shared" si="7"/>
        <v>0</v>
      </c>
      <c r="Y15" s="35">
        <f>IF(AND(D15/Frequency!$N$7&gt;30, D15/Frequency!$N$7&lt;=50),1,0)*E15</f>
        <v>0</v>
      </c>
      <c r="Z15" s="35">
        <f t="shared" si="8"/>
        <v>0</v>
      </c>
      <c r="AA15" s="35">
        <f>IF(AND(D15/Frequency!$N$7&gt;50, D15/Frequency!$N$7&lt;=100),1,0)*E15</f>
        <v>0</v>
      </c>
      <c r="AB15" s="35">
        <f t="shared" si="9"/>
        <v>0</v>
      </c>
      <c r="AC15" s="35">
        <f>IF(D15/Frequency!$N$7&gt;100,1,0)*E15</f>
        <v>0</v>
      </c>
      <c r="AD15" s="35">
        <f t="shared" si="10"/>
        <v>0</v>
      </c>
      <c r="AE15" s="22">
        <f t="shared" si="11"/>
        <v>0</v>
      </c>
      <c r="AF15" s="22">
        <f t="shared" si="12"/>
        <v>0</v>
      </c>
      <c r="AG15" s="22">
        <f t="shared" si="13"/>
        <v>0</v>
      </c>
      <c r="AH15" s="22">
        <f t="shared" si="14"/>
        <v>0</v>
      </c>
      <c r="AI15" s="35">
        <f t="shared" si="15"/>
        <v>0</v>
      </c>
      <c r="AJ15" s="35">
        <f t="shared" si="16"/>
        <v>0</v>
      </c>
      <c r="AK15" s="35">
        <f t="shared" si="17"/>
        <v>0</v>
      </c>
      <c r="AL15">
        <f t="shared" si="18"/>
        <v>0</v>
      </c>
      <c r="AM15">
        <f t="shared" si="19"/>
        <v>0</v>
      </c>
      <c r="AN15">
        <f t="shared" si="20"/>
        <v>0</v>
      </c>
      <c r="AO15">
        <f t="shared" si="21"/>
        <v>0</v>
      </c>
      <c r="AP15">
        <f t="shared" si="22"/>
        <v>0</v>
      </c>
      <c r="AQ15">
        <f t="shared" si="23"/>
        <v>0</v>
      </c>
      <c r="AR15">
        <f t="shared" si="24"/>
        <v>0</v>
      </c>
      <c r="AS15">
        <f t="shared" si="25"/>
        <v>0</v>
      </c>
      <c r="AT15">
        <f t="shared" si="26"/>
        <v>0</v>
      </c>
      <c r="AU15">
        <f t="shared" si="27"/>
        <v>0</v>
      </c>
      <c r="AV15">
        <v>0</v>
      </c>
      <c r="AW15">
        <v>0</v>
      </c>
      <c r="AX15">
        <f t="shared" si="28"/>
        <v>0</v>
      </c>
      <c r="AY15">
        <f t="shared" si="29"/>
        <v>0</v>
      </c>
      <c r="AZ15">
        <f t="shared" si="30"/>
        <v>0</v>
      </c>
      <c r="BA15">
        <f t="shared" si="31"/>
        <v>0</v>
      </c>
      <c r="BB15">
        <f t="shared" si="32"/>
        <v>0</v>
      </c>
      <c r="BC15">
        <f t="shared" si="33"/>
        <v>0</v>
      </c>
      <c r="BD15">
        <f t="shared" si="34"/>
        <v>0</v>
      </c>
      <c r="BE15">
        <f t="shared" si="35"/>
        <v>0</v>
      </c>
      <c r="BF15">
        <f t="shared" si="36"/>
        <v>0</v>
      </c>
      <c r="BG15">
        <f t="shared" si="37"/>
        <v>0</v>
      </c>
      <c r="BH15">
        <f t="shared" si="38"/>
        <v>0</v>
      </c>
      <c r="BI15">
        <f t="shared" si="39"/>
        <v>0</v>
      </c>
      <c r="BJ15">
        <v>0</v>
      </c>
      <c r="BK15" t="str">
        <f t="shared" si="51"/>
        <v>Standard Win</v>
      </c>
      <c r="BL15" s="40" t="str">
        <f t="shared" si="52"/>
        <v>Single Win</v>
      </c>
      <c r="BM15">
        <f>(D15/Frequency!$N$7-Summary!$C$7)^2*E15</f>
        <v>4665.6000000000004</v>
      </c>
      <c r="BN15">
        <f t="shared" si="40"/>
        <v>0</v>
      </c>
      <c r="BO15">
        <f t="shared" si="41"/>
        <v>0</v>
      </c>
      <c r="BP15">
        <f t="shared" si="42"/>
        <v>0</v>
      </c>
      <c r="BQ15">
        <f t="shared" si="43"/>
        <v>0</v>
      </c>
      <c r="BR15">
        <f t="shared" si="44"/>
        <v>0</v>
      </c>
      <c r="BS15">
        <f t="shared" si="45"/>
        <v>0</v>
      </c>
      <c r="BT15">
        <f t="shared" si="46"/>
        <v>0</v>
      </c>
      <c r="BU15">
        <f t="shared" si="47"/>
        <v>0</v>
      </c>
      <c r="BV15">
        <f t="shared" si="48"/>
        <v>0</v>
      </c>
      <c r="BW15">
        <f t="shared" si="49"/>
        <v>0</v>
      </c>
      <c r="BX15">
        <f t="shared" si="50"/>
        <v>0</v>
      </c>
    </row>
    <row r="16" spans="1:76">
      <c r="B16" s="19">
        <f>Tiers!B17</f>
        <v>14</v>
      </c>
      <c r="C16" s="20" t="str">
        <f>Tiers!X17</f>
        <v>main-13|||||||||</v>
      </c>
      <c r="D16" s="21">
        <f>Tiers!C17</f>
        <v>5</v>
      </c>
      <c r="E16" s="22">
        <f>Frequency!E18</f>
        <v>941</v>
      </c>
      <c r="F16" s="22">
        <f t="shared" si="0"/>
        <v>4705</v>
      </c>
      <c r="G16" s="20">
        <f>IF(AND(D16/Summary!$C$4&gt;0, D16/Summary!$C$4&lt;5),E16,0) * D16</f>
        <v>0</v>
      </c>
      <c r="H16" s="20">
        <f>IF(AND(D16/Summary!$C$4&gt;= 5, D16/Summary!$C$4&lt;10),E16,0) * D16</f>
        <v>4705</v>
      </c>
      <c r="I16" s="20">
        <f>IF(AND(D16/Summary!$C$4&gt;=10, D16/Summary!$C$4&lt;25),E16,0)*D16</f>
        <v>0</v>
      </c>
      <c r="J16" s="20">
        <f>IF(D16/Summary!$C$4&gt;=25,E16,0)*D16</f>
        <v>0</v>
      </c>
      <c r="K16" s="35">
        <f>IF(AND(D16/Frequency!$N$7&gt;0, D16/Frequency!$N$7&lt;1),E16,0)</f>
        <v>0</v>
      </c>
      <c r="L16" s="35">
        <f t="shared" si="1"/>
        <v>0</v>
      </c>
      <c r="M16" s="35">
        <f>IF(D16/Frequency!$N$7=1,1,0)*E16</f>
        <v>0</v>
      </c>
      <c r="N16" s="35">
        <f t="shared" si="2"/>
        <v>0</v>
      </c>
      <c r="O16" s="35">
        <f>IF(AND(D16/Frequency!$N$7&gt;1, D16/Frequency!$N$7&lt;=2),1,0)*E16</f>
        <v>0</v>
      </c>
      <c r="P16" s="35">
        <f t="shared" si="3"/>
        <v>0</v>
      </c>
      <c r="Q16" s="35">
        <f>IF(AND(D16/Frequency!$N$7&gt;2,D16/Frequency!$N$7&lt;=5),1,0)*E16</f>
        <v>941</v>
      </c>
      <c r="R16" s="35">
        <f t="shared" si="4"/>
        <v>4705</v>
      </c>
      <c r="S16" s="35">
        <f>IF(AND(D16/Frequency!$N$7&gt;5, D16/Frequency!$N$7&lt;=10),1,0)*E16</f>
        <v>0</v>
      </c>
      <c r="T16" s="35">
        <f t="shared" si="5"/>
        <v>0</v>
      </c>
      <c r="U16" s="35">
        <f>IF(AND(D16/Frequency!$N$7&gt;10, D16/Frequency!$N$7&lt;=20),1,0)*E16</f>
        <v>0</v>
      </c>
      <c r="V16" s="35">
        <f t="shared" si="6"/>
        <v>0</v>
      </c>
      <c r="W16" s="35">
        <f>IF(AND(D16/Frequency!$N$7&gt;20, D16/Frequency!$N$7&lt;=30),1,0)*E16</f>
        <v>0</v>
      </c>
      <c r="X16" s="35">
        <f t="shared" si="7"/>
        <v>0</v>
      </c>
      <c r="Y16" s="35">
        <f>IF(AND(D16/Frequency!$N$7&gt;30, D16/Frequency!$N$7&lt;=50),1,0)*E16</f>
        <v>0</v>
      </c>
      <c r="Z16" s="35">
        <f t="shared" si="8"/>
        <v>0</v>
      </c>
      <c r="AA16" s="35">
        <f>IF(AND(D16/Frequency!$N$7&gt;50, D16/Frequency!$N$7&lt;=100),1,0)*E16</f>
        <v>0</v>
      </c>
      <c r="AB16" s="35">
        <f t="shared" si="9"/>
        <v>0</v>
      </c>
      <c r="AC16" s="35">
        <f>IF(D16/Frequency!$N$7&gt;100,1,0)*E16</f>
        <v>0</v>
      </c>
      <c r="AD16" s="35">
        <f t="shared" si="10"/>
        <v>0</v>
      </c>
      <c r="AE16" s="22">
        <f t="shared" si="11"/>
        <v>0</v>
      </c>
      <c r="AF16" s="22">
        <f t="shared" si="12"/>
        <v>0</v>
      </c>
      <c r="AG16" s="22">
        <f t="shared" si="13"/>
        <v>0</v>
      </c>
      <c r="AH16" s="22">
        <f t="shared" si="14"/>
        <v>0</v>
      </c>
      <c r="AI16" s="35">
        <f t="shared" si="15"/>
        <v>0</v>
      </c>
      <c r="AJ16" s="35">
        <f t="shared" si="16"/>
        <v>0</v>
      </c>
      <c r="AK16" s="35">
        <f t="shared" si="17"/>
        <v>0</v>
      </c>
      <c r="AL16">
        <f t="shared" si="18"/>
        <v>0</v>
      </c>
      <c r="AM16">
        <f t="shared" si="19"/>
        <v>0</v>
      </c>
      <c r="AN16">
        <f t="shared" si="20"/>
        <v>0</v>
      </c>
      <c r="AO16">
        <f t="shared" si="21"/>
        <v>0</v>
      </c>
      <c r="AP16">
        <f t="shared" si="22"/>
        <v>0</v>
      </c>
      <c r="AQ16">
        <f t="shared" si="23"/>
        <v>0</v>
      </c>
      <c r="AR16">
        <f t="shared" si="24"/>
        <v>0</v>
      </c>
      <c r="AS16">
        <f t="shared" si="25"/>
        <v>0</v>
      </c>
      <c r="AT16">
        <f t="shared" si="26"/>
        <v>0</v>
      </c>
      <c r="AU16">
        <f t="shared" si="27"/>
        <v>0</v>
      </c>
      <c r="AV16">
        <v>0</v>
      </c>
      <c r="AW16">
        <v>0</v>
      </c>
      <c r="AX16">
        <f t="shared" si="28"/>
        <v>0</v>
      </c>
      <c r="AY16">
        <f t="shared" si="29"/>
        <v>0</v>
      </c>
      <c r="AZ16">
        <f t="shared" si="30"/>
        <v>0</v>
      </c>
      <c r="BA16">
        <f t="shared" si="31"/>
        <v>0</v>
      </c>
      <c r="BB16">
        <f t="shared" si="32"/>
        <v>0</v>
      </c>
      <c r="BC16">
        <f t="shared" si="33"/>
        <v>0</v>
      </c>
      <c r="BD16">
        <f t="shared" si="34"/>
        <v>0</v>
      </c>
      <c r="BE16">
        <f t="shared" si="35"/>
        <v>0</v>
      </c>
      <c r="BF16">
        <f t="shared" si="36"/>
        <v>0</v>
      </c>
      <c r="BG16">
        <f t="shared" si="37"/>
        <v>0</v>
      </c>
      <c r="BH16">
        <f t="shared" si="38"/>
        <v>0</v>
      </c>
      <c r="BI16">
        <f t="shared" si="39"/>
        <v>0</v>
      </c>
      <c r="BJ16">
        <v>0</v>
      </c>
      <c r="BK16" t="str">
        <f t="shared" si="51"/>
        <v>Standard Win</v>
      </c>
      <c r="BL16" s="40" t="str">
        <f t="shared" si="52"/>
        <v>Single Win</v>
      </c>
      <c r="BM16">
        <f>(D16/Frequency!$N$7-Summary!$C$7)^2*E16</f>
        <v>16284.569600000003</v>
      </c>
      <c r="BN16">
        <f t="shared" si="40"/>
        <v>0</v>
      </c>
      <c r="BO16">
        <f t="shared" si="41"/>
        <v>0</v>
      </c>
      <c r="BP16">
        <f t="shared" si="42"/>
        <v>0</v>
      </c>
      <c r="BQ16">
        <f t="shared" si="43"/>
        <v>0</v>
      </c>
      <c r="BR16">
        <f t="shared" si="44"/>
        <v>0</v>
      </c>
      <c r="BS16">
        <f t="shared" si="45"/>
        <v>0</v>
      </c>
      <c r="BT16">
        <f t="shared" si="46"/>
        <v>0</v>
      </c>
      <c r="BU16">
        <f t="shared" si="47"/>
        <v>0</v>
      </c>
      <c r="BV16">
        <f t="shared" si="48"/>
        <v>0</v>
      </c>
      <c r="BW16">
        <f t="shared" si="49"/>
        <v>0</v>
      </c>
      <c r="BX16">
        <f t="shared" si="50"/>
        <v>0</v>
      </c>
    </row>
    <row r="17" spans="2:76">
      <c r="B17" s="19">
        <f>Tiers!B18</f>
        <v>15</v>
      </c>
      <c r="C17" s="20" t="str">
        <f>Tiers!X18</f>
        <v>main-14|||||||||</v>
      </c>
      <c r="D17" s="21">
        <f>Tiers!C18</f>
        <v>10</v>
      </c>
      <c r="E17" s="22">
        <f>Frequency!E19</f>
        <v>10</v>
      </c>
      <c r="F17" s="22">
        <f t="shared" si="0"/>
        <v>100</v>
      </c>
      <c r="G17" s="20">
        <f>IF(AND(D17/Summary!$C$4&gt;0, D17/Summary!$C$4&lt;5),E17,0) * D17</f>
        <v>0</v>
      </c>
      <c r="H17" s="20">
        <f>IF(AND(D17/Summary!$C$4&gt;= 5, D17/Summary!$C$4&lt;10),E17,0) * D17</f>
        <v>0</v>
      </c>
      <c r="I17" s="20">
        <f>IF(AND(D17/Summary!$C$4&gt;=10, D17/Summary!$C$4&lt;25),E17,0)*D17</f>
        <v>100</v>
      </c>
      <c r="J17" s="20">
        <f>IF(D17/Summary!$C$4&gt;=25,E17,0)*D17</f>
        <v>0</v>
      </c>
      <c r="K17" s="35">
        <f>IF(AND(D17/Frequency!$N$7&gt;0, D17/Frequency!$N$7&lt;1),E17,0)</f>
        <v>0</v>
      </c>
      <c r="L17" s="35">
        <f t="shared" si="1"/>
        <v>0</v>
      </c>
      <c r="M17" s="35">
        <f>IF(D17/Frequency!$N$7=1,1,0)*E17</f>
        <v>0</v>
      </c>
      <c r="N17" s="35">
        <f t="shared" si="2"/>
        <v>0</v>
      </c>
      <c r="O17" s="35">
        <f>IF(AND(D17/Frequency!$N$7&gt;1, D17/Frequency!$N$7&lt;=2),1,0)*E17</f>
        <v>0</v>
      </c>
      <c r="P17" s="35">
        <f t="shared" si="3"/>
        <v>0</v>
      </c>
      <c r="Q17" s="35">
        <f>IF(AND(D17/Frequency!$N$7&gt;2,D17/Frequency!$N$7&lt;=5),1,0)*E17</f>
        <v>0</v>
      </c>
      <c r="R17" s="35">
        <f t="shared" si="4"/>
        <v>0</v>
      </c>
      <c r="S17" s="35">
        <f>IF(AND(D17/Frequency!$N$7&gt;5, D17/Frequency!$N$7&lt;=10),1,0)*E17</f>
        <v>10</v>
      </c>
      <c r="T17" s="35">
        <f t="shared" si="5"/>
        <v>100</v>
      </c>
      <c r="U17" s="35">
        <f>IF(AND(D17/Frequency!$N$7&gt;10, D17/Frequency!$N$7&lt;=20),1,0)*E17</f>
        <v>0</v>
      </c>
      <c r="V17" s="35">
        <f t="shared" si="6"/>
        <v>0</v>
      </c>
      <c r="W17" s="35">
        <f>IF(AND(D17/Frequency!$N$7&gt;20, D17/Frequency!$N$7&lt;=30),1,0)*E17</f>
        <v>0</v>
      </c>
      <c r="X17" s="35">
        <f t="shared" si="7"/>
        <v>0</v>
      </c>
      <c r="Y17" s="35">
        <f>IF(AND(D17/Frequency!$N$7&gt;30, D17/Frequency!$N$7&lt;=50),1,0)*E17</f>
        <v>0</v>
      </c>
      <c r="Z17" s="35">
        <f t="shared" si="8"/>
        <v>0</v>
      </c>
      <c r="AA17" s="35">
        <f>IF(AND(D17/Frequency!$N$7&gt;50, D17/Frequency!$N$7&lt;=100),1,0)*E17</f>
        <v>0</v>
      </c>
      <c r="AB17" s="35">
        <f t="shared" si="9"/>
        <v>0</v>
      </c>
      <c r="AC17" s="35">
        <f>IF(D17/Frequency!$N$7&gt;100,1,0)*E17</f>
        <v>0</v>
      </c>
      <c r="AD17" s="35">
        <f t="shared" si="10"/>
        <v>0</v>
      </c>
      <c r="AE17" s="22">
        <f t="shared" si="11"/>
        <v>0</v>
      </c>
      <c r="AF17" s="22">
        <f t="shared" si="12"/>
        <v>0</v>
      </c>
      <c r="AG17" s="22">
        <f t="shared" si="13"/>
        <v>0</v>
      </c>
      <c r="AH17" s="22">
        <f t="shared" si="14"/>
        <v>0</v>
      </c>
      <c r="AI17" s="35">
        <f t="shared" si="15"/>
        <v>0</v>
      </c>
      <c r="AJ17" s="35">
        <f t="shared" si="16"/>
        <v>0</v>
      </c>
      <c r="AK17" s="35">
        <f t="shared" si="17"/>
        <v>0</v>
      </c>
      <c r="AL17">
        <f t="shared" si="18"/>
        <v>0</v>
      </c>
      <c r="AM17">
        <f t="shared" si="19"/>
        <v>0</v>
      </c>
      <c r="AN17">
        <f t="shared" si="20"/>
        <v>0</v>
      </c>
      <c r="AO17">
        <f t="shared" si="21"/>
        <v>0</v>
      </c>
      <c r="AP17">
        <f t="shared" si="22"/>
        <v>0</v>
      </c>
      <c r="AQ17">
        <f t="shared" si="23"/>
        <v>0</v>
      </c>
      <c r="AR17">
        <f t="shared" si="24"/>
        <v>0</v>
      </c>
      <c r="AS17">
        <f t="shared" si="25"/>
        <v>0</v>
      </c>
      <c r="AT17">
        <f t="shared" si="26"/>
        <v>0</v>
      </c>
      <c r="AU17">
        <f t="shared" si="27"/>
        <v>0</v>
      </c>
      <c r="AV17">
        <v>0</v>
      </c>
      <c r="AW17">
        <v>0</v>
      </c>
      <c r="AX17">
        <f t="shared" si="28"/>
        <v>0</v>
      </c>
      <c r="AY17">
        <f t="shared" si="29"/>
        <v>0</v>
      </c>
      <c r="AZ17">
        <f t="shared" si="30"/>
        <v>0</v>
      </c>
      <c r="BA17">
        <f t="shared" si="31"/>
        <v>0</v>
      </c>
      <c r="BB17">
        <f t="shared" si="32"/>
        <v>0</v>
      </c>
      <c r="BC17">
        <f t="shared" si="33"/>
        <v>0</v>
      </c>
      <c r="BD17">
        <f t="shared" si="34"/>
        <v>0</v>
      </c>
      <c r="BE17">
        <f t="shared" si="35"/>
        <v>0</v>
      </c>
      <c r="BF17">
        <f t="shared" si="36"/>
        <v>0</v>
      </c>
      <c r="BG17">
        <f t="shared" si="37"/>
        <v>0</v>
      </c>
      <c r="BH17">
        <f t="shared" si="38"/>
        <v>0</v>
      </c>
      <c r="BI17">
        <f t="shared" si="39"/>
        <v>0</v>
      </c>
      <c r="BJ17">
        <v>0</v>
      </c>
      <c r="BK17" t="str">
        <f t="shared" si="51"/>
        <v>Big Win</v>
      </c>
      <c r="BL17" s="40" t="str">
        <f t="shared" si="52"/>
        <v>Single Win</v>
      </c>
      <c r="BM17">
        <f>(D17/Frequency!$N$7-Summary!$C$7)^2*E17</f>
        <v>839.05600000000004</v>
      </c>
      <c r="BN17">
        <f t="shared" si="40"/>
        <v>0</v>
      </c>
      <c r="BO17">
        <f t="shared" si="41"/>
        <v>0</v>
      </c>
      <c r="BP17">
        <f t="shared" si="42"/>
        <v>0</v>
      </c>
      <c r="BQ17">
        <f t="shared" si="43"/>
        <v>0</v>
      </c>
      <c r="BR17">
        <f t="shared" si="44"/>
        <v>0</v>
      </c>
      <c r="BS17">
        <f t="shared" si="45"/>
        <v>0</v>
      </c>
      <c r="BT17">
        <f t="shared" si="46"/>
        <v>0</v>
      </c>
      <c r="BU17">
        <f t="shared" si="47"/>
        <v>0</v>
      </c>
      <c r="BV17">
        <f t="shared" si="48"/>
        <v>0</v>
      </c>
      <c r="BW17">
        <f t="shared" si="49"/>
        <v>0</v>
      </c>
      <c r="BX17">
        <f t="shared" si="50"/>
        <v>0</v>
      </c>
    </row>
    <row r="18" spans="2:76">
      <c r="B18" s="19">
        <f>Tiers!B19</f>
        <v>16</v>
      </c>
      <c r="C18" s="20" t="str">
        <f>Tiers!X19</f>
        <v>main-15|||||||||</v>
      </c>
      <c r="D18" s="21">
        <f>Tiers!C19</f>
        <v>20</v>
      </c>
      <c r="E18" s="22">
        <f>Frequency!E20</f>
        <v>5</v>
      </c>
      <c r="F18" s="22">
        <f t="shared" si="0"/>
        <v>100</v>
      </c>
      <c r="G18" s="20">
        <f>IF(AND(D18/Summary!$C$4&gt;0, D18/Summary!$C$4&lt;5),E18,0) * D18</f>
        <v>0</v>
      </c>
      <c r="H18" s="20">
        <f>IF(AND(D18/Summary!$C$4&gt;= 5, D18/Summary!$C$4&lt;10),E18,0) * D18</f>
        <v>0</v>
      </c>
      <c r="I18" s="20">
        <f>IF(AND(D18/Summary!$C$4&gt;=10, D18/Summary!$C$4&lt;25),E18,0)*D18</f>
        <v>100</v>
      </c>
      <c r="J18" s="20">
        <f>IF(D18/Summary!$C$4&gt;=25,E18,0)*D18</f>
        <v>0</v>
      </c>
      <c r="K18" s="35">
        <f>IF(AND(D18/Frequency!$N$7&gt;0, D18/Frequency!$N$7&lt;1),E18,0)</f>
        <v>0</v>
      </c>
      <c r="L18" s="35">
        <f t="shared" si="1"/>
        <v>0</v>
      </c>
      <c r="M18" s="35">
        <f>IF(D18/Frequency!$N$7=1,1,0)*E18</f>
        <v>0</v>
      </c>
      <c r="N18" s="35">
        <f t="shared" si="2"/>
        <v>0</v>
      </c>
      <c r="O18" s="35">
        <f>IF(AND(D18/Frequency!$N$7&gt;1, D18/Frequency!$N$7&lt;=2),1,0)*E18</f>
        <v>0</v>
      </c>
      <c r="P18" s="35">
        <f t="shared" si="3"/>
        <v>0</v>
      </c>
      <c r="Q18" s="35">
        <f>IF(AND(D18/Frequency!$N$7&gt;2,D18/Frequency!$N$7&lt;=5),1,0)*E18</f>
        <v>0</v>
      </c>
      <c r="R18" s="35">
        <f t="shared" si="4"/>
        <v>0</v>
      </c>
      <c r="S18" s="35">
        <f>IF(AND(D18/Frequency!$N$7&gt;5, D18/Frequency!$N$7&lt;=10),1,0)*E18</f>
        <v>0</v>
      </c>
      <c r="T18" s="35">
        <f t="shared" si="5"/>
        <v>0</v>
      </c>
      <c r="U18" s="35">
        <f>IF(AND(D18/Frequency!$N$7&gt;10, D18/Frequency!$N$7&lt;=20),1,0)*E18</f>
        <v>5</v>
      </c>
      <c r="V18" s="35">
        <f t="shared" si="6"/>
        <v>100</v>
      </c>
      <c r="W18" s="35">
        <f>IF(AND(D18/Frequency!$N$7&gt;20, D18/Frequency!$N$7&lt;=30),1,0)*E18</f>
        <v>0</v>
      </c>
      <c r="X18" s="35">
        <f t="shared" si="7"/>
        <v>0</v>
      </c>
      <c r="Y18" s="35">
        <f>IF(AND(D18/Frequency!$N$7&gt;30, D18/Frequency!$N$7&lt;=50),1,0)*E18</f>
        <v>0</v>
      </c>
      <c r="Z18" s="35">
        <f t="shared" si="8"/>
        <v>0</v>
      </c>
      <c r="AA18" s="35">
        <f>IF(AND(D18/Frequency!$N$7&gt;50, D18/Frequency!$N$7&lt;=100),1,0)*E18</f>
        <v>0</v>
      </c>
      <c r="AB18" s="35">
        <f t="shared" si="9"/>
        <v>0</v>
      </c>
      <c r="AC18" s="35">
        <f>IF(D18/Frequency!$N$7&gt;100,1,0)*E18</f>
        <v>0</v>
      </c>
      <c r="AD18" s="35">
        <f t="shared" si="10"/>
        <v>0</v>
      </c>
      <c r="AE18" s="22">
        <f t="shared" si="11"/>
        <v>0</v>
      </c>
      <c r="AF18" s="22">
        <f t="shared" si="12"/>
        <v>0</v>
      </c>
      <c r="AG18" s="22">
        <f t="shared" si="13"/>
        <v>0</v>
      </c>
      <c r="AH18" s="22">
        <f t="shared" si="14"/>
        <v>0</v>
      </c>
      <c r="AI18" s="35">
        <f t="shared" si="15"/>
        <v>0</v>
      </c>
      <c r="AJ18" s="35">
        <f t="shared" si="16"/>
        <v>0</v>
      </c>
      <c r="AK18" s="35">
        <f t="shared" si="17"/>
        <v>0</v>
      </c>
      <c r="AL18">
        <f t="shared" si="18"/>
        <v>0</v>
      </c>
      <c r="AM18">
        <f t="shared" si="19"/>
        <v>0</v>
      </c>
      <c r="AN18">
        <f t="shared" si="20"/>
        <v>0</v>
      </c>
      <c r="AO18">
        <f t="shared" si="21"/>
        <v>0</v>
      </c>
      <c r="AP18">
        <f t="shared" si="22"/>
        <v>0</v>
      </c>
      <c r="AQ18">
        <f t="shared" si="23"/>
        <v>0</v>
      </c>
      <c r="AR18">
        <f t="shared" si="24"/>
        <v>0</v>
      </c>
      <c r="AS18">
        <f t="shared" si="25"/>
        <v>0</v>
      </c>
      <c r="AT18">
        <f t="shared" si="26"/>
        <v>0</v>
      </c>
      <c r="AU18">
        <f t="shared" si="27"/>
        <v>0</v>
      </c>
      <c r="AV18">
        <v>0</v>
      </c>
      <c r="AW18">
        <v>0</v>
      </c>
      <c r="AX18">
        <f t="shared" si="28"/>
        <v>0</v>
      </c>
      <c r="AY18">
        <f t="shared" si="29"/>
        <v>0</v>
      </c>
      <c r="AZ18">
        <f t="shared" si="30"/>
        <v>0</v>
      </c>
      <c r="BA18">
        <f t="shared" si="31"/>
        <v>0</v>
      </c>
      <c r="BB18">
        <f t="shared" si="32"/>
        <v>0</v>
      </c>
      <c r="BC18">
        <f t="shared" si="33"/>
        <v>0</v>
      </c>
      <c r="BD18">
        <f t="shared" si="34"/>
        <v>0</v>
      </c>
      <c r="BE18">
        <f t="shared" si="35"/>
        <v>0</v>
      </c>
      <c r="BF18">
        <f t="shared" si="36"/>
        <v>0</v>
      </c>
      <c r="BG18">
        <f t="shared" si="37"/>
        <v>0</v>
      </c>
      <c r="BH18">
        <f t="shared" si="38"/>
        <v>0</v>
      </c>
      <c r="BI18">
        <f t="shared" si="39"/>
        <v>0</v>
      </c>
      <c r="BJ18">
        <v>0</v>
      </c>
      <c r="BK18" t="str">
        <f t="shared" si="51"/>
        <v>Big Win</v>
      </c>
      <c r="BL18" s="40" t="str">
        <f t="shared" si="52"/>
        <v>Single Win</v>
      </c>
      <c r="BM18">
        <f>(D18/Frequency!$N$7-Summary!$C$7)^2*E18</f>
        <v>1835.5279999999998</v>
      </c>
      <c r="BN18">
        <f t="shared" si="40"/>
        <v>0</v>
      </c>
      <c r="BO18">
        <f t="shared" si="41"/>
        <v>0</v>
      </c>
      <c r="BP18">
        <f t="shared" si="42"/>
        <v>0</v>
      </c>
      <c r="BQ18">
        <f t="shared" si="43"/>
        <v>0</v>
      </c>
      <c r="BR18">
        <f t="shared" si="44"/>
        <v>0</v>
      </c>
      <c r="BS18">
        <f t="shared" si="45"/>
        <v>0</v>
      </c>
      <c r="BT18">
        <f t="shared" si="46"/>
        <v>0</v>
      </c>
      <c r="BU18">
        <f t="shared" si="47"/>
        <v>0</v>
      </c>
      <c r="BV18">
        <f t="shared" si="48"/>
        <v>0</v>
      </c>
      <c r="BW18">
        <f t="shared" si="49"/>
        <v>0</v>
      </c>
      <c r="BX18">
        <f t="shared" si="50"/>
        <v>0</v>
      </c>
    </row>
    <row r="19" spans="2:76">
      <c r="B19" s="19">
        <f>Tiers!B20</f>
        <v>17</v>
      </c>
      <c r="C19" s="20" t="str">
        <f>Tiers!X20</f>
        <v>main-16|||||||||</v>
      </c>
      <c r="D19" s="21">
        <f>Tiers!C20</f>
        <v>100</v>
      </c>
      <c r="E19" s="22">
        <f>Frequency!E21</f>
        <v>2</v>
      </c>
      <c r="F19" s="22">
        <f t="shared" si="0"/>
        <v>200</v>
      </c>
      <c r="G19" s="20">
        <f>IF(AND(D19/Summary!$C$4&gt;0, D19/Summary!$C$4&lt;5),E19,0) * D19</f>
        <v>0</v>
      </c>
      <c r="H19" s="20">
        <f>IF(AND(D19/Summary!$C$4&gt;= 5, D19/Summary!$C$4&lt;10),E19,0) * D19</f>
        <v>0</v>
      </c>
      <c r="I19" s="20">
        <f>IF(AND(D19/Summary!$C$4&gt;=10, D19/Summary!$C$4&lt;25),E19,0)*D19</f>
        <v>0</v>
      </c>
      <c r="J19" s="20">
        <f>IF(D19/Summary!$C$4&gt;=25,E19,0)*D19</f>
        <v>200</v>
      </c>
      <c r="K19" s="35">
        <f>IF(AND(D19/Frequency!$N$7&gt;0, D19/Frequency!$N$7&lt;1),E19,0)</f>
        <v>0</v>
      </c>
      <c r="L19" s="35">
        <f t="shared" si="1"/>
        <v>0</v>
      </c>
      <c r="M19" s="35">
        <f>IF(D19/Frequency!$N$7=1,1,0)*E19</f>
        <v>0</v>
      </c>
      <c r="N19" s="35">
        <f t="shared" si="2"/>
        <v>0</v>
      </c>
      <c r="O19" s="35">
        <f>IF(AND(D19/Frequency!$N$7&gt;1, D19/Frequency!$N$7&lt;=2),1,0)*E19</f>
        <v>0</v>
      </c>
      <c r="P19" s="35">
        <f t="shared" si="3"/>
        <v>0</v>
      </c>
      <c r="Q19" s="35">
        <f>IF(AND(D19/Frequency!$N$7&gt;2,D19/Frequency!$N$7&lt;=5),1,0)*E19</f>
        <v>0</v>
      </c>
      <c r="R19" s="35">
        <f t="shared" si="4"/>
        <v>0</v>
      </c>
      <c r="S19" s="35">
        <f>IF(AND(D19/Frequency!$N$7&gt;5, D19/Frequency!$N$7&lt;=10),1,0)*E19</f>
        <v>0</v>
      </c>
      <c r="T19" s="35">
        <f t="shared" si="5"/>
        <v>0</v>
      </c>
      <c r="U19" s="35">
        <f>IF(AND(D19/Frequency!$N$7&gt;10, D19/Frequency!$N$7&lt;=20),1,0)*E19</f>
        <v>0</v>
      </c>
      <c r="V19" s="35">
        <f t="shared" si="6"/>
        <v>0</v>
      </c>
      <c r="W19" s="35">
        <f>IF(AND(D19/Frequency!$N$7&gt;20, D19/Frequency!$N$7&lt;=30),1,0)*E19</f>
        <v>0</v>
      </c>
      <c r="X19" s="35">
        <f t="shared" si="7"/>
        <v>0</v>
      </c>
      <c r="Y19" s="35">
        <f>IF(AND(D19/Frequency!$N$7&gt;30, D19/Frequency!$N$7&lt;=50),1,0)*E19</f>
        <v>0</v>
      </c>
      <c r="Z19" s="35">
        <f t="shared" si="8"/>
        <v>0</v>
      </c>
      <c r="AA19" s="35">
        <f>IF(AND(D19/Frequency!$N$7&gt;50, D19/Frequency!$N$7&lt;=100),1,0)*E19</f>
        <v>2</v>
      </c>
      <c r="AB19" s="35">
        <f t="shared" si="9"/>
        <v>200</v>
      </c>
      <c r="AC19" s="35">
        <f>IF(D19/Frequency!$N$7&gt;100,1,0)*E19</f>
        <v>0</v>
      </c>
      <c r="AD19" s="35">
        <f t="shared" si="10"/>
        <v>0</v>
      </c>
      <c r="AE19" s="22">
        <f t="shared" si="11"/>
        <v>0</v>
      </c>
      <c r="AF19" s="22">
        <f t="shared" si="12"/>
        <v>0</v>
      </c>
      <c r="AG19" s="22">
        <f t="shared" si="13"/>
        <v>0</v>
      </c>
      <c r="AH19" s="22">
        <f t="shared" si="14"/>
        <v>0</v>
      </c>
      <c r="AI19" s="35">
        <f t="shared" si="15"/>
        <v>0</v>
      </c>
      <c r="AJ19" s="35">
        <f t="shared" si="16"/>
        <v>0</v>
      </c>
      <c r="AK19" s="35">
        <f t="shared" si="17"/>
        <v>0</v>
      </c>
      <c r="AL19">
        <f t="shared" si="18"/>
        <v>0</v>
      </c>
      <c r="AM19">
        <f t="shared" si="19"/>
        <v>0</v>
      </c>
      <c r="AN19">
        <f t="shared" si="20"/>
        <v>0</v>
      </c>
      <c r="AO19">
        <f t="shared" si="21"/>
        <v>0</v>
      </c>
      <c r="AP19">
        <f t="shared" si="22"/>
        <v>0</v>
      </c>
      <c r="AQ19">
        <f t="shared" si="23"/>
        <v>0</v>
      </c>
      <c r="AR19">
        <f t="shared" si="24"/>
        <v>0</v>
      </c>
      <c r="AS19">
        <f t="shared" si="25"/>
        <v>0</v>
      </c>
      <c r="AT19">
        <f t="shared" si="26"/>
        <v>0</v>
      </c>
      <c r="AU19">
        <f t="shared" si="27"/>
        <v>0</v>
      </c>
      <c r="AV19">
        <v>0</v>
      </c>
      <c r="AW19">
        <v>0</v>
      </c>
      <c r="AX19">
        <f t="shared" si="28"/>
        <v>0</v>
      </c>
      <c r="AY19">
        <f t="shared" si="29"/>
        <v>0</v>
      </c>
      <c r="AZ19">
        <f t="shared" si="30"/>
        <v>0</v>
      </c>
      <c r="BA19">
        <f t="shared" si="31"/>
        <v>0</v>
      </c>
      <c r="BB19">
        <f t="shared" si="32"/>
        <v>0</v>
      </c>
      <c r="BC19">
        <f t="shared" si="33"/>
        <v>0</v>
      </c>
      <c r="BD19">
        <f t="shared" si="34"/>
        <v>0</v>
      </c>
      <c r="BE19">
        <f t="shared" si="35"/>
        <v>0</v>
      </c>
      <c r="BF19">
        <f t="shared" si="36"/>
        <v>0</v>
      </c>
      <c r="BG19">
        <f t="shared" si="37"/>
        <v>0</v>
      </c>
      <c r="BH19">
        <f t="shared" si="38"/>
        <v>0</v>
      </c>
      <c r="BI19">
        <f t="shared" si="39"/>
        <v>0</v>
      </c>
      <c r="BJ19">
        <v>0</v>
      </c>
      <c r="BK19" t="str">
        <f t="shared" si="51"/>
        <v>Huge Win</v>
      </c>
      <c r="BL19" s="40" t="str">
        <f t="shared" si="52"/>
        <v>Single Win</v>
      </c>
      <c r="BM19">
        <f>(D19/Frequency!$N$7-Summary!$C$7)^2*E19</f>
        <v>19665.411199999999</v>
      </c>
      <c r="BN19">
        <f t="shared" si="40"/>
        <v>0</v>
      </c>
      <c r="BO19">
        <f t="shared" si="41"/>
        <v>0</v>
      </c>
      <c r="BP19">
        <f t="shared" si="42"/>
        <v>0</v>
      </c>
      <c r="BQ19">
        <f t="shared" si="43"/>
        <v>0</v>
      </c>
      <c r="BR19">
        <f t="shared" si="44"/>
        <v>0</v>
      </c>
      <c r="BS19">
        <f t="shared" si="45"/>
        <v>0</v>
      </c>
      <c r="BT19">
        <f t="shared" si="46"/>
        <v>0</v>
      </c>
      <c r="BU19">
        <f t="shared" si="47"/>
        <v>0</v>
      </c>
      <c r="BV19">
        <f t="shared" si="48"/>
        <v>0</v>
      </c>
      <c r="BW19">
        <f t="shared" si="49"/>
        <v>0</v>
      </c>
      <c r="BX19">
        <f t="shared" si="50"/>
        <v>0</v>
      </c>
    </row>
    <row r="20" spans="2:76">
      <c r="B20" s="19">
        <f>Tiers!B21</f>
        <v>18</v>
      </c>
      <c r="C20" s="20" t="str">
        <f>Tiers!X21</f>
        <v>main-17|||||||||</v>
      </c>
      <c r="D20" s="21">
        <f>Tiers!C21</f>
        <v>2</v>
      </c>
      <c r="E20" s="22">
        <f>Frequency!E22</f>
        <v>20000</v>
      </c>
      <c r="F20" s="22">
        <f t="shared" si="0"/>
        <v>40000</v>
      </c>
      <c r="G20" s="20">
        <f>IF(AND(D20/Summary!$C$4&gt;0, D20/Summary!$C$4&lt;5),E20,0) * D20</f>
        <v>40000</v>
      </c>
      <c r="H20" s="20">
        <f>IF(AND(D20/Summary!$C$4&gt;= 5, D20/Summary!$C$4&lt;10),E20,0) * D20</f>
        <v>0</v>
      </c>
      <c r="I20" s="20">
        <f>IF(AND(D20/Summary!$C$4&gt;=10, D20/Summary!$C$4&lt;25),E20,0)*D20</f>
        <v>0</v>
      </c>
      <c r="J20" s="20">
        <f>IF(D20/Summary!$C$4&gt;=25,E20,0)*D20</f>
        <v>0</v>
      </c>
      <c r="K20" s="35">
        <f>IF(AND(D20/Frequency!$N$7&gt;0, D20/Frequency!$N$7&lt;1),E20,0)</f>
        <v>0</v>
      </c>
      <c r="L20" s="35">
        <f t="shared" si="1"/>
        <v>0</v>
      </c>
      <c r="M20" s="35">
        <f>IF(D20/Frequency!$N$7=1,1,0)*E20</f>
        <v>0</v>
      </c>
      <c r="N20" s="35">
        <f t="shared" si="2"/>
        <v>0</v>
      </c>
      <c r="O20" s="35">
        <f>IF(AND(D20/Frequency!$N$7&gt;1, D20/Frequency!$N$7&lt;=2),1,0)*E20</f>
        <v>20000</v>
      </c>
      <c r="P20" s="35">
        <f t="shared" si="3"/>
        <v>40000</v>
      </c>
      <c r="Q20" s="35">
        <f>IF(AND(D20/Frequency!$N$7&gt;2,D20/Frequency!$N$7&lt;=5),1,0)*E20</f>
        <v>0</v>
      </c>
      <c r="R20" s="35">
        <f t="shared" si="4"/>
        <v>0</v>
      </c>
      <c r="S20" s="35">
        <f>IF(AND(D20/Frequency!$N$7&gt;5, D20/Frequency!$N$7&lt;=10),1,0)*E20</f>
        <v>0</v>
      </c>
      <c r="T20" s="35">
        <f t="shared" si="5"/>
        <v>0</v>
      </c>
      <c r="U20" s="35">
        <f>IF(AND(D20/Frequency!$N$7&gt;10, D20/Frequency!$N$7&lt;=20),1,0)*E20</f>
        <v>0</v>
      </c>
      <c r="V20" s="35">
        <f t="shared" si="6"/>
        <v>0</v>
      </c>
      <c r="W20" s="35">
        <f>IF(AND(D20/Frequency!$N$7&gt;20, D20/Frequency!$N$7&lt;=30),1,0)*E20</f>
        <v>0</v>
      </c>
      <c r="X20" s="35">
        <f t="shared" si="7"/>
        <v>0</v>
      </c>
      <c r="Y20" s="35">
        <f>IF(AND(D20/Frequency!$N$7&gt;30, D20/Frequency!$N$7&lt;=50),1,0)*E20</f>
        <v>0</v>
      </c>
      <c r="Z20" s="35">
        <f t="shared" si="8"/>
        <v>0</v>
      </c>
      <c r="AA20" s="35">
        <f>IF(AND(D20/Frequency!$N$7&gt;50, D20/Frequency!$N$7&lt;=100),1,0)*E20</f>
        <v>0</v>
      </c>
      <c r="AB20" s="35">
        <f t="shared" si="9"/>
        <v>0</v>
      </c>
      <c r="AC20" s="35">
        <f>IF(D20/Frequency!$N$7&gt;100,1,0)*E20</f>
        <v>0</v>
      </c>
      <c r="AD20" s="35">
        <f t="shared" si="10"/>
        <v>0</v>
      </c>
      <c r="AE20" s="22">
        <f t="shared" si="11"/>
        <v>0</v>
      </c>
      <c r="AF20" s="22">
        <f t="shared" si="12"/>
        <v>0</v>
      </c>
      <c r="AG20" s="22">
        <f t="shared" si="13"/>
        <v>0</v>
      </c>
      <c r="AH20" s="22">
        <f t="shared" si="14"/>
        <v>0</v>
      </c>
      <c r="AI20" s="35">
        <f t="shared" si="15"/>
        <v>0</v>
      </c>
      <c r="AJ20" s="35">
        <f t="shared" si="16"/>
        <v>0</v>
      </c>
      <c r="AK20" s="35">
        <f t="shared" si="17"/>
        <v>0</v>
      </c>
      <c r="AL20">
        <f t="shared" si="18"/>
        <v>0</v>
      </c>
      <c r="AM20">
        <f t="shared" si="19"/>
        <v>0</v>
      </c>
      <c r="AN20">
        <f t="shared" si="20"/>
        <v>0</v>
      </c>
      <c r="AO20">
        <f t="shared" si="21"/>
        <v>0</v>
      </c>
      <c r="AP20">
        <f t="shared" si="22"/>
        <v>0</v>
      </c>
      <c r="AQ20">
        <f t="shared" si="23"/>
        <v>0</v>
      </c>
      <c r="AR20">
        <f t="shared" si="24"/>
        <v>0</v>
      </c>
      <c r="AS20">
        <f t="shared" si="25"/>
        <v>0</v>
      </c>
      <c r="AT20">
        <f t="shared" si="26"/>
        <v>0</v>
      </c>
      <c r="AU20">
        <f t="shared" si="27"/>
        <v>0</v>
      </c>
      <c r="AV20">
        <v>0</v>
      </c>
      <c r="AW20">
        <v>0</v>
      </c>
      <c r="AX20">
        <f t="shared" si="28"/>
        <v>0</v>
      </c>
      <c r="AY20">
        <f t="shared" si="29"/>
        <v>0</v>
      </c>
      <c r="AZ20">
        <f t="shared" si="30"/>
        <v>0</v>
      </c>
      <c r="BA20">
        <f t="shared" si="31"/>
        <v>0</v>
      </c>
      <c r="BB20">
        <f t="shared" si="32"/>
        <v>0</v>
      </c>
      <c r="BC20">
        <f t="shared" si="33"/>
        <v>0</v>
      </c>
      <c r="BD20">
        <f t="shared" si="34"/>
        <v>0</v>
      </c>
      <c r="BE20">
        <f t="shared" si="35"/>
        <v>0</v>
      </c>
      <c r="BF20">
        <f t="shared" si="36"/>
        <v>0</v>
      </c>
      <c r="BG20">
        <f t="shared" si="37"/>
        <v>0</v>
      </c>
      <c r="BH20">
        <f t="shared" si="38"/>
        <v>0</v>
      </c>
      <c r="BI20">
        <f t="shared" si="39"/>
        <v>0</v>
      </c>
      <c r="BJ20">
        <v>0</v>
      </c>
      <c r="BK20" t="str">
        <f t="shared" si="51"/>
        <v>Standard Win</v>
      </c>
      <c r="BL20" s="40" t="str">
        <f t="shared" si="52"/>
        <v>Single Win</v>
      </c>
      <c r="BM20">
        <f>(D20/Frequency!$N$7-Summary!$C$7)^2*E20</f>
        <v>26912.000000000007</v>
      </c>
      <c r="BN20">
        <f t="shared" si="40"/>
        <v>0</v>
      </c>
      <c r="BO20">
        <f t="shared" si="41"/>
        <v>0</v>
      </c>
      <c r="BP20">
        <f t="shared" si="42"/>
        <v>0</v>
      </c>
      <c r="BQ20">
        <f t="shared" si="43"/>
        <v>0</v>
      </c>
      <c r="BR20">
        <f t="shared" si="44"/>
        <v>0</v>
      </c>
      <c r="BS20">
        <f t="shared" si="45"/>
        <v>0</v>
      </c>
      <c r="BT20">
        <f t="shared" si="46"/>
        <v>0</v>
      </c>
      <c r="BU20">
        <f t="shared" si="47"/>
        <v>0</v>
      </c>
      <c r="BV20">
        <f t="shared" si="48"/>
        <v>0</v>
      </c>
      <c r="BW20">
        <f t="shared" si="49"/>
        <v>0</v>
      </c>
      <c r="BX20">
        <f t="shared" si="50"/>
        <v>0</v>
      </c>
    </row>
    <row r="21" spans="2:76">
      <c r="B21" s="19">
        <f>Tiers!B22</f>
        <v>19</v>
      </c>
      <c r="C21" s="20" t="str">
        <f>Tiers!X22</f>
        <v>main-18|||||||||</v>
      </c>
      <c r="D21" s="21">
        <f>Tiers!C22</f>
        <v>3</v>
      </c>
      <c r="E21" s="22">
        <f>Frequency!E23</f>
        <v>1000</v>
      </c>
      <c r="F21" s="22">
        <f t="shared" si="0"/>
        <v>3000</v>
      </c>
      <c r="G21" s="20">
        <f>IF(AND(D21/Summary!$C$4&gt;0, D21/Summary!$C$4&lt;5),E21,0) * D21</f>
        <v>3000</v>
      </c>
      <c r="H21" s="20">
        <f>IF(AND(D21/Summary!$C$4&gt;= 5, D21/Summary!$C$4&lt;10),E21,0) * D21</f>
        <v>0</v>
      </c>
      <c r="I21" s="20">
        <f>IF(AND(D21/Summary!$C$4&gt;=10, D21/Summary!$C$4&lt;25),E21,0)*D21</f>
        <v>0</v>
      </c>
      <c r="J21" s="20">
        <f>IF(D21/Summary!$C$4&gt;=25,E21,0)*D21</f>
        <v>0</v>
      </c>
      <c r="K21" s="35">
        <f>IF(AND(D21/Frequency!$N$7&gt;0, D21/Frequency!$N$7&lt;1),E21,0)</f>
        <v>0</v>
      </c>
      <c r="L21" s="35">
        <f t="shared" si="1"/>
        <v>0</v>
      </c>
      <c r="M21" s="35">
        <f>IF(D21/Frequency!$N$7=1,1,0)*E21</f>
        <v>0</v>
      </c>
      <c r="N21" s="35">
        <f t="shared" si="2"/>
        <v>0</v>
      </c>
      <c r="O21" s="35">
        <f>IF(AND(D21/Frequency!$N$7&gt;1, D21/Frequency!$N$7&lt;=2),1,0)*E21</f>
        <v>0</v>
      </c>
      <c r="P21" s="35">
        <f t="shared" si="3"/>
        <v>0</v>
      </c>
      <c r="Q21" s="35">
        <f>IF(AND(D21/Frequency!$N$7&gt;2,D21/Frequency!$N$7&lt;=5),1,0)*E21</f>
        <v>1000</v>
      </c>
      <c r="R21" s="35">
        <f t="shared" si="4"/>
        <v>3000</v>
      </c>
      <c r="S21" s="35">
        <f>IF(AND(D21/Frequency!$N$7&gt;5, D21/Frequency!$N$7&lt;=10),1,0)*E21</f>
        <v>0</v>
      </c>
      <c r="T21" s="35">
        <f t="shared" si="5"/>
        <v>0</v>
      </c>
      <c r="U21" s="35">
        <f>IF(AND(D21/Frequency!$N$7&gt;10, D21/Frequency!$N$7&lt;=20),1,0)*E21</f>
        <v>0</v>
      </c>
      <c r="V21" s="35">
        <f t="shared" si="6"/>
        <v>0</v>
      </c>
      <c r="W21" s="35">
        <f>IF(AND(D21/Frequency!$N$7&gt;20, D21/Frequency!$N$7&lt;=30),1,0)*E21</f>
        <v>0</v>
      </c>
      <c r="X21" s="35">
        <f t="shared" si="7"/>
        <v>0</v>
      </c>
      <c r="Y21" s="35">
        <f>IF(AND(D21/Frequency!$N$7&gt;30, D21/Frequency!$N$7&lt;=50),1,0)*E21</f>
        <v>0</v>
      </c>
      <c r="Z21" s="35">
        <f t="shared" si="8"/>
        <v>0</v>
      </c>
      <c r="AA21" s="35">
        <f>IF(AND(D21/Frequency!$N$7&gt;50, D21/Frequency!$N$7&lt;=100),1,0)*E21</f>
        <v>0</v>
      </c>
      <c r="AB21" s="35">
        <f t="shared" si="9"/>
        <v>0</v>
      </c>
      <c r="AC21" s="35">
        <f>IF(D21/Frequency!$N$7&gt;100,1,0)*E21</f>
        <v>0</v>
      </c>
      <c r="AD21" s="35">
        <f t="shared" si="10"/>
        <v>0</v>
      </c>
      <c r="AE21" s="22">
        <f t="shared" si="11"/>
        <v>0</v>
      </c>
      <c r="AF21" s="22">
        <f t="shared" si="12"/>
        <v>0</v>
      </c>
      <c r="AG21" s="22">
        <f t="shared" si="13"/>
        <v>0</v>
      </c>
      <c r="AH21" s="22">
        <f t="shared" si="14"/>
        <v>0</v>
      </c>
      <c r="AI21" s="35">
        <f t="shared" si="15"/>
        <v>0</v>
      </c>
      <c r="AJ21" s="35">
        <f t="shared" si="16"/>
        <v>0</v>
      </c>
      <c r="AK21" s="35">
        <f t="shared" si="17"/>
        <v>0</v>
      </c>
      <c r="AL21">
        <f t="shared" si="18"/>
        <v>0</v>
      </c>
      <c r="AM21">
        <f t="shared" si="19"/>
        <v>0</v>
      </c>
      <c r="AN21">
        <f t="shared" si="20"/>
        <v>0</v>
      </c>
      <c r="AO21">
        <f t="shared" si="21"/>
        <v>0</v>
      </c>
      <c r="AP21">
        <f t="shared" si="22"/>
        <v>0</v>
      </c>
      <c r="AQ21">
        <f t="shared" si="23"/>
        <v>0</v>
      </c>
      <c r="AR21">
        <f t="shared" si="24"/>
        <v>0</v>
      </c>
      <c r="AS21">
        <f t="shared" si="25"/>
        <v>0</v>
      </c>
      <c r="AT21">
        <f t="shared" si="26"/>
        <v>0</v>
      </c>
      <c r="AU21">
        <f t="shared" si="27"/>
        <v>0</v>
      </c>
      <c r="AV21">
        <v>0</v>
      </c>
      <c r="AW21">
        <v>0</v>
      </c>
      <c r="AX21">
        <f t="shared" si="28"/>
        <v>0</v>
      </c>
      <c r="AY21">
        <f t="shared" si="29"/>
        <v>0</v>
      </c>
      <c r="AZ21">
        <f t="shared" si="30"/>
        <v>0</v>
      </c>
      <c r="BA21">
        <f t="shared" si="31"/>
        <v>0</v>
      </c>
      <c r="BB21">
        <f t="shared" si="32"/>
        <v>0</v>
      </c>
      <c r="BC21">
        <f t="shared" si="33"/>
        <v>0</v>
      </c>
      <c r="BD21">
        <f t="shared" si="34"/>
        <v>0</v>
      </c>
      <c r="BE21">
        <f t="shared" si="35"/>
        <v>0</v>
      </c>
      <c r="BF21">
        <f t="shared" si="36"/>
        <v>0</v>
      </c>
      <c r="BG21">
        <f t="shared" si="37"/>
        <v>0</v>
      </c>
      <c r="BH21">
        <f t="shared" si="38"/>
        <v>0</v>
      </c>
      <c r="BI21">
        <f t="shared" si="39"/>
        <v>0</v>
      </c>
      <c r="BJ21">
        <v>0</v>
      </c>
      <c r="BK21" t="str">
        <f t="shared" si="51"/>
        <v>Standard Win</v>
      </c>
      <c r="BL21" s="40" t="str">
        <f t="shared" si="52"/>
        <v>Single Win</v>
      </c>
      <c r="BM21">
        <f>(D21/Frequency!$N$7-Summary!$C$7)^2*E21</f>
        <v>4665.6000000000004</v>
      </c>
      <c r="BN21">
        <f t="shared" si="40"/>
        <v>0</v>
      </c>
      <c r="BO21">
        <f t="shared" si="41"/>
        <v>0</v>
      </c>
      <c r="BP21">
        <f t="shared" si="42"/>
        <v>0</v>
      </c>
      <c r="BQ21">
        <f t="shared" si="43"/>
        <v>0</v>
      </c>
      <c r="BR21">
        <f t="shared" si="44"/>
        <v>0</v>
      </c>
      <c r="BS21">
        <f t="shared" si="45"/>
        <v>0</v>
      </c>
      <c r="BT21">
        <f t="shared" si="46"/>
        <v>0</v>
      </c>
      <c r="BU21">
        <f t="shared" si="47"/>
        <v>0</v>
      </c>
      <c r="BV21">
        <f t="shared" si="48"/>
        <v>0</v>
      </c>
      <c r="BW21">
        <f t="shared" si="49"/>
        <v>0</v>
      </c>
      <c r="BX21">
        <f t="shared" si="50"/>
        <v>0</v>
      </c>
    </row>
    <row r="22" spans="2:76">
      <c r="B22" s="19">
        <f>Tiers!B23</f>
        <v>20</v>
      </c>
      <c r="C22" s="20" t="str">
        <f>Tiers!X23</f>
        <v>main-19|||||||||</v>
      </c>
      <c r="D22" s="21">
        <f>Tiers!C23</f>
        <v>5</v>
      </c>
      <c r="E22" s="22">
        <f>Frequency!E24</f>
        <v>500</v>
      </c>
      <c r="F22" s="22">
        <f t="shared" si="0"/>
        <v>2500</v>
      </c>
      <c r="G22" s="20">
        <f>IF(AND(D22/Summary!$C$4&gt;0, D22/Summary!$C$4&lt;5),E22,0) * D22</f>
        <v>0</v>
      </c>
      <c r="H22" s="20">
        <f>IF(AND(D22/Summary!$C$4&gt;= 5, D22/Summary!$C$4&lt;10),E22,0) * D22</f>
        <v>2500</v>
      </c>
      <c r="I22" s="20">
        <f>IF(AND(D22/Summary!$C$4&gt;=10, D22/Summary!$C$4&lt;25),E22,0)*D22</f>
        <v>0</v>
      </c>
      <c r="J22" s="20">
        <f>IF(D22/Summary!$C$4&gt;=25,E22,0)*D22</f>
        <v>0</v>
      </c>
      <c r="K22" s="35">
        <f>IF(AND(D22/Frequency!$N$7&gt;0, D22/Frequency!$N$7&lt;1),E22,0)</f>
        <v>0</v>
      </c>
      <c r="L22" s="35">
        <f t="shared" si="1"/>
        <v>0</v>
      </c>
      <c r="M22" s="35">
        <f>IF(D22/Frequency!$N$7=1,1,0)*E22</f>
        <v>0</v>
      </c>
      <c r="N22" s="35">
        <f t="shared" si="2"/>
        <v>0</v>
      </c>
      <c r="O22" s="35">
        <f>IF(AND(D22/Frequency!$N$7&gt;1, D22/Frequency!$N$7&lt;=2),1,0)*E22</f>
        <v>0</v>
      </c>
      <c r="P22" s="35">
        <f t="shared" si="3"/>
        <v>0</v>
      </c>
      <c r="Q22" s="35">
        <f>IF(AND(D22/Frequency!$N$7&gt;2,D22/Frequency!$N$7&lt;=5),1,0)*E22</f>
        <v>500</v>
      </c>
      <c r="R22" s="35">
        <f t="shared" si="4"/>
        <v>2500</v>
      </c>
      <c r="S22" s="35">
        <f>IF(AND(D22/Frequency!$N$7&gt;5, D22/Frequency!$N$7&lt;=10),1,0)*E22</f>
        <v>0</v>
      </c>
      <c r="T22" s="35">
        <f t="shared" si="5"/>
        <v>0</v>
      </c>
      <c r="U22" s="35">
        <f>IF(AND(D22/Frequency!$N$7&gt;10, D22/Frequency!$N$7&lt;=20),1,0)*E22</f>
        <v>0</v>
      </c>
      <c r="V22" s="35">
        <f t="shared" si="6"/>
        <v>0</v>
      </c>
      <c r="W22" s="35">
        <f>IF(AND(D22/Frequency!$N$7&gt;20, D22/Frequency!$N$7&lt;=30),1,0)*E22</f>
        <v>0</v>
      </c>
      <c r="X22" s="35">
        <f t="shared" si="7"/>
        <v>0</v>
      </c>
      <c r="Y22" s="35">
        <f>IF(AND(D22/Frequency!$N$7&gt;30, D22/Frequency!$N$7&lt;=50),1,0)*E22</f>
        <v>0</v>
      </c>
      <c r="Z22" s="35">
        <f t="shared" si="8"/>
        <v>0</v>
      </c>
      <c r="AA22" s="35">
        <f>IF(AND(D22/Frequency!$N$7&gt;50, D22/Frequency!$N$7&lt;=100),1,0)*E22</f>
        <v>0</v>
      </c>
      <c r="AB22" s="35">
        <f t="shared" si="9"/>
        <v>0</v>
      </c>
      <c r="AC22" s="35">
        <f>IF(D22/Frequency!$N$7&gt;100,1,0)*E22</f>
        <v>0</v>
      </c>
      <c r="AD22" s="35">
        <f t="shared" si="10"/>
        <v>0</v>
      </c>
      <c r="AE22" s="22">
        <f t="shared" si="11"/>
        <v>0</v>
      </c>
      <c r="AF22" s="22">
        <f t="shared" si="12"/>
        <v>0</v>
      </c>
      <c r="AG22" s="22">
        <f t="shared" si="13"/>
        <v>0</v>
      </c>
      <c r="AH22" s="22">
        <f t="shared" si="14"/>
        <v>0</v>
      </c>
      <c r="AI22" s="35">
        <f t="shared" si="15"/>
        <v>0</v>
      </c>
      <c r="AJ22" s="35">
        <f t="shared" si="16"/>
        <v>0</v>
      </c>
      <c r="AK22" s="35">
        <f t="shared" si="17"/>
        <v>0</v>
      </c>
      <c r="AL22">
        <f t="shared" si="18"/>
        <v>0</v>
      </c>
      <c r="AM22">
        <f t="shared" si="19"/>
        <v>0</v>
      </c>
      <c r="AN22">
        <f t="shared" si="20"/>
        <v>0</v>
      </c>
      <c r="AO22">
        <f t="shared" si="21"/>
        <v>0</v>
      </c>
      <c r="AP22">
        <f t="shared" si="22"/>
        <v>0</v>
      </c>
      <c r="AQ22">
        <f t="shared" si="23"/>
        <v>0</v>
      </c>
      <c r="AR22">
        <f t="shared" si="24"/>
        <v>0</v>
      </c>
      <c r="AS22">
        <f t="shared" si="25"/>
        <v>0</v>
      </c>
      <c r="AT22">
        <f t="shared" si="26"/>
        <v>0</v>
      </c>
      <c r="AU22">
        <f t="shared" si="27"/>
        <v>0</v>
      </c>
      <c r="AV22">
        <v>0</v>
      </c>
      <c r="AW22">
        <v>0</v>
      </c>
      <c r="AX22">
        <f t="shared" si="28"/>
        <v>0</v>
      </c>
      <c r="AY22">
        <f t="shared" si="29"/>
        <v>0</v>
      </c>
      <c r="AZ22">
        <f t="shared" si="30"/>
        <v>0</v>
      </c>
      <c r="BA22">
        <f t="shared" si="31"/>
        <v>0</v>
      </c>
      <c r="BB22">
        <f t="shared" si="32"/>
        <v>0</v>
      </c>
      <c r="BC22">
        <f t="shared" si="33"/>
        <v>0</v>
      </c>
      <c r="BD22">
        <f t="shared" si="34"/>
        <v>0</v>
      </c>
      <c r="BE22">
        <f t="shared" si="35"/>
        <v>0</v>
      </c>
      <c r="BF22">
        <f t="shared" si="36"/>
        <v>0</v>
      </c>
      <c r="BG22">
        <f t="shared" si="37"/>
        <v>0</v>
      </c>
      <c r="BH22">
        <f t="shared" si="38"/>
        <v>0</v>
      </c>
      <c r="BI22">
        <f t="shared" si="39"/>
        <v>0</v>
      </c>
      <c r="BJ22">
        <v>0</v>
      </c>
      <c r="BK22" t="str">
        <f t="shared" si="51"/>
        <v>Standard Win</v>
      </c>
      <c r="BL22" s="40" t="str">
        <f t="shared" si="52"/>
        <v>Single Win</v>
      </c>
      <c r="BM22">
        <f>(D22/Frequency!$N$7-Summary!$C$7)^2*E22</f>
        <v>8652.8000000000011</v>
      </c>
      <c r="BN22">
        <f t="shared" si="40"/>
        <v>0</v>
      </c>
      <c r="BO22">
        <f t="shared" si="41"/>
        <v>0</v>
      </c>
      <c r="BP22">
        <f t="shared" si="42"/>
        <v>0</v>
      </c>
      <c r="BQ22">
        <f t="shared" si="43"/>
        <v>0</v>
      </c>
      <c r="BR22">
        <f t="shared" si="44"/>
        <v>0</v>
      </c>
      <c r="BS22">
        <f t="shared" si="45"/>
        <v>0</v>
      </c>
      <c r="BT22">
        <f t="shared" si="46"/>
        <v>0</v>
      </c>
      <c r="BU22">
        <f t="shared" si="47"/>
        <v>0</v>
      </c>
      <c r="BV22">
        <f t="shared" si="48"/>
        <v>0</v>
      </c>
      <c r="BW22">
        <f t="shared" si="49"/>
        <v>0</v>
      </c>
      <c r="BX22">
        <f t="shared" si="50"/>
        <v>0</v>
      </c>
    </row>
    <row r="23" spans="2:76">
      <c r="B23" s="19">
        <f>Tiers!B24</f>
        <v>21</v>
      </c>
      <c r="C23" s="20" t="str">
        <f>Tiers!X24</f>
        <v>main-20|||||||||</v>
      </c>
      <c r="D23" s="21">
        <f>Tiers!C24</f>
        <v>10</v>
      </c>
      <c r="E23" s="22">
        <f>Frequency!E25</f>
        <v>100</v>
      </c>
      <c r="F23" s="22">
        <f t="shared" si="0"/>
        <v>1000</v>
      </c>
      <c r="G23" s="20">
        <f>IF(AND(D23/Summary!$C$4&gt;0, D23/Summary!$C$4&lt;5),E23,0) * D23</f>
        <v>0</v>
      </c>
      <c r="H23" s="20">
        <f>IF(AND(D23/Summary!$C$4&gt;= 5, D23/Summary!$C$4&lt;10),E23,0) * D23</f>
        <v>0</v>
      </c>
      <c r="I23" s="20">
        <f>IF(AND(D23/Summary!$C$4&gt;=10, D23/Summary!$C$4&lt;25),E23,0)*D23</f>
        <v>1000</v>
      </c>
      <c r="J23" s="20">
        <f>IF(D23/Summary!$C$4&gt;=25,E23,0)*D23</f>
        <v>0</v>
      </c>
      <c r="K23" s="35">
        <f>IF(AND(D23/Frequency!$N$7&gt;0, D23/Frequency!$N$7&lt;1),E23,0)</f>
        <v>0</v>
      </c>
      <c r="L23" s="35">
        <f t="shared" si="1"/>
        <v>0</v>
      </c>
      <c r="M23" s="35">
        <f>IF(D23/Frequency!$N$7=1,1,0)*E23</f>
        <v>0</v>
      </c>
      <c r="N23" s="35">
        <f t="shared" si="2"/>
        <v>0</v>
      </c>
      <c r="O23" s="35">
        <f>IF(AND(D23/Frequency!$N$7&gt;1, D23/Frequency!$N$7&lt;=2),1,0)*E23</f>
        <v>0</v>
      </c>
      <c r="P23" s="35">
        <f t="shared" si="3"/>
        <v>0</v>
      </c>
      <c r="Q23" s="35">
        <f>IF(AND(D23/Frequency!$N$7&gt;2,D23/Frequency!$N$7&lt;=5),1,0)*E23</f>
        <v>0</v>
      </c>
      <c r="R23" s="35">
        <f t="shared" si="4"/>
        <v>0</v>
      </c>
      <c r="S23" s="35">
        <f>IF(AND(D23/Frequency!$N$7&gt;5, D23/Frequency!$N$7&lt;=10),1,0)*E23</f>
        <v>100</v>
      </c>
      <c r="T23" s="35">
        <f t="shared" si="5"/>
        <v>1000</v>
      </c>
      <c r="U23" s="35">
        <f>IF(AND(D23/Frequency!$N$7&gt;10, D23/Frequency!$N$7&lt;=20),1,0)*E23</f>
        <v>0</v>
      </c>
      <c r="V23" s="35">
        <f t="shared" si="6"/>
        <v>0</v>
      </c>
      <c r="W23" s="35">
        <f>IF(AND(D23/Frequency!$N$7&gt;20, D23/Frequency!$N$7&lt;=30),1,0)*E23</f>
        <v>0</v>
      </c>
      <c r="X23" s="35">
        <f t="shared" si="7"/>
        <v>0</v>
      </c>
      <c r="Y23" s="35">
        <f>IF(AND(D23/Frequency!$N$7&gt;30, D23/Frequency!$N$7&lt;=50),1,0)*E23</f>
        <v>0</v>
      </c>
      <c r="Z23" s="35">
        <f t="shared" si="8"/>
        <v>0</v>
      </c>
      <c r="AA23" s="35">
        <f>IF(AND(D23/Frequency!$N$7&gt;50, D23/Frequency!$N$7&lt;=100),1,0)*E23</f>
        <v>0</v>
      </c>
      <c r="AB23" s="35">
        <f t="shared" si="9"/>
        <v>0</v>
      </c>
      <c r="AC23" s="35">
        <f>IF(D23/Frequency!$N$7&gt;100,1,0)*E23</f>
        <v>0</v>
      </c>
      <c r="AD23" s="35">
        <f t="shared" si="10"/>
        <v>0</v>
      </c>
      <c r="AE23" s="22">
        <f t="shared" si="11"/>
        <v>0</v>
      </c>
      <c r="AF23" s="22">
        <f t="shared" si="12"/>
        <v>0</v>
      </c>
      <c r="AG23" s="22">
        <f t="shared" si="13"/>
        <v>0</v>
      </c>
      <c r="AH23" s="22">
        <f t="shared" si="14"/>
        <v>0</v>
      </c>
      <c r="AI23" s="35">
        <f t="shared" si="15"/>
        <v>0</v>
      </c>
      <c r="AJ23" s="35">
        <f t="shared" si="16"/>
        <v>0</v>
      </c>
      <c r="AK23" s="35">
        <f t="shared" si="17"/>
        <v>0</v>
      </c>
      <c r="AL23">
        <f t="shared" si="18"/>
        <v>0</v>
      </c>
      <c r="AM23">
        <f t="shared" si="19"/>
        <v>0</v>
      </c>
      <c r="AN23">
        <f t="shared" si="20"/>
        <v>0</v>
      </c>
      <c r="AO23">
        <f t="shared" si="21"/>
        <v>0</v>
      </c>
      <c r="AP23">
        <f t="shared" si="22"/>
        <v>0</v>
      </c>
      <c r="AQ23">
        <f t="shared" si="23"/>
        <v>0</v>
      </c>
      <c r="AR23">
        <f t="shared" si="24"/>
        <v>0</v>
      </c>
      <c r="AS23">
        <f t="shared" si="25"/>
        <v>0</v>
      </c>
      <c r="AT23">
        <f t="shared" si="26"/>
        <v>0</v>
      </c>
      <c r="AU23">
        <f t="shared" si="27"/>
        <v>0</v>
      </c>
      <c r="AV23">
        <v>0</v>
      </c>
      <c r="AW23">
        <v>0</v>
      </c>
      <c r="AX23">
        <f t="shared" si="28"/>
        <v>0</v>
      </c>
      <c r="AY23">
        <f t="shared" si="29"/>
        <v>0</v>
      </c>
      <c r="AZ23">
        <f t="shared" si="30"/>
        <v>0</v>
      </c>
      <c r="BA23">
        <f t="shared" si="31"/>
        <v>0</v>
      </c>
      <c r="BB23">
        <f t="shared" si="32"/>
        <v>0</v>
      </c>
      <c r="BC23">
        <f t="shared" si="33"/>
        <v>0</v>
      </c>
      <c r="BD23">
        <f t="shared" si="34"/>
        <v>0</v>
      </c>
      <c r="BE23">
        <f t="shared" si="35"/>
        <v>0</v>
      </c>
      <c r="BF23">
        <f t="shared" si="36"/>
        <v>0</v>
      </c>
      <c r="BG23">
        <f t="shared" si="37"/>
        <v>0</v>
      </c>
      <c r="BH23">
        <f t="shared" si="38"/>
        <v>0</v>
      </c>
      <c r="BI23">
        <f t="shared" si="39"/>
        <v>0</v>
      </c>
      <c r="BJ23">
        <v>0</v>
      </c>
      <c r="BK23" t="str">
        <f t="shared" si="51"/>
        <v>Big Win</v>
      </c>
      <c r="BL23" s="40" t="str">
        <f t="shared" si="52"/>
        <v>Single Win</v>
      </c>
      <c r="BM23">
        <f>(D23/Frequency!$N$7-Summary!$C$7)^2*E23</f>
        <v>8390.5600000000013</v>
      </c>
      <c r="BN23">
        <f t="shared" si="40"/>
        <v>0</v>
      </c>
      <c r="BO23">
        <f t="shared" si="41"/>
        <v>0</v>
      </c>
      <c r="BP23">
        <f t="shared" si="42"/>
        <v>0</v>
      </c>
      <c r="BQ23">
        <f t="shared" si="43"/>
        <v>0</v>
      </c>
      <c r="BR23">
        <f t="shared" si="44"/>
        <v>0</v>
      </c>
      <c r="BS23">
        <f t="shared" si="45"/>
        <v>0</v>
      </c>
      <c r="BT23">
        <f t="shared" si="46"/>
        <v>0</v>
      </c>
      <c r="BU23">
        <f t="shared" si="47"/>
        <v>0</v>
      </c>
      <c r="BV23">
        <f t="shared" si="48"/>
        <v>0</v>
      </c>
      <c r="BW23">
        <f t="shared" si="49"/>
        <v>0</v>
      </c>
      <c r="BX23">
        <f t="shared" si="50"/>
        <v>0</v>
      </c>
    </row>
    <row r="24" spans="2:76">
      <c r="B24" s="19">
        <f>Tiers!B25</f>
        <v>22</v>
      </c>
      <c r="C24" s="20" t="str">
        <f>Tiers!X25</f>
        <v>main-21|||||||||</v>
      </c>
      <c r="D24" s="21">
        <f>Tiers!C25</f>
        <v>20</v>
      </c>
      <c r="E24" s="22">
        <f>Frequency!E26</f>
        <v>10</v>
      </c>
      <c r="F24" s="22">
        <f t="shared" si="0"/>
        <v>200</v>
      </c>
      <c r="G24" s="20">
        <f>IF(AND(D24/Summary!$C$4&gt;0, D24/Summary!$C$4&lt;5),E24,0) * D24</f>
        <v>0</v>
      </c>
      <c r="H24" s="20">
        <f>IF(AND(D24/Summary!$C$4&gt;= 5, D24/Summary!$C$4&lt;10),E24,0) * D24</f>
        <v>0</v>
      </c>
      <c r="I24" s="20">
        <f>IF(AND(D24/Summary!$C$4&gt;=10, D24/Summary!$C$4&lt;25),E24,0)*D24</f>
        <v>200</v>
      </c>
      <c r="J24" s="20">
        <f>IF(D24/Summary!$C$4&gt;=25,E24,0)*D24</f>
        <v>0</v>
      </c>
      <c r="K24" s="35">
        <f>IF(AND(D24/Frequency!$N$7&gt;0, D24/Frequency!$N$7&lt;1),E24,0)</f>
        <v>0</v>
      </c>
      <c r="L24" s="35">
        <f t="shared" si="1"/>
        <v>0</v>
      </c>
      <c r="M24" s="35">
        <f>IF(D24/Frequency!$N$7=1,1,0)*E24</f>
        <v>0</v>
      </c>
      <c r="N24" s="35">
        <f t="shared" si="2"/>
        <v>0</v>
      </c>
      <c r="O24" s="35">
        <f>IF(AND(D24/Frequency!$N$7&gt;1, D24/Frequency!$N$7&lt;=2),1,0)*E24</f>
        <v>0</v>
      </c>
      <c r="P24" s="35">
        <f t="shared" si="3"/>
        <v>0</v>
      </c>
      <c r="Q24" s="35">
        <f>IF(AND(D24/Frequency!$N$7&gt;2,D24/Frequency!$N$7&lt;=5),1,0)*E24</f>
        <v>0</v>
      </c>
      <c r="R24" s="35">
        <f t="shared" si="4"/>
        <v>0</v>
      </c>
      <c r="S24" s="35">
        <f>IF(AND(D24/Frequency!$N$7&gt;5, D24/Frequency!$N$7&lt;=10),1,0)*E24</f>
        <v>0</v>
      </c>
      <c r="T24" s="35">
        <f t="shared" si="5"/>
        <v>0</v>
      </c>
      <c r="U24" s="35">
        <f>IF(AND(D24/Frequency!$N$7&gt;10, D24/Frequency!$N$7&lt;=20),1,0)*E24</f>
        <v>10</v>
      </c>
      <c r="V24" s="35">
        <f t="shared" si="6"/>
        <v>200</v>
      </c>
      <c r="W24" s="35">
        <f>IF(AND(D24/Frequency!$N$7&gt;20, D24/Frequency!$N$7&lt;=30),1,0)*E24</f>
        <v>0</v>
      </c>
      <c r="X24" s="35">
        <f t="shared" si="7"/>
        <v>0</v>
      </c>
      <c r="Y24" s="35">
        <f>IF(AND(D24/Frequency!$N$7&gt;30, D24/Frequency!$N$7&lt;=50),1,0)*E24</f>
        <v>0</v>
      </c>
      <c r="Z24" s="35">
        <f t="shared" si="8"/>
        <v>0</v>
      </c>
      <c r="AA24" s="35">
        <f>IF(AND(D24/Frequency!$N$7&gt;50, D24/Frequency!$N$7&lt;=100),1,0)*E24</f>
        <v>0</v>
      </c>
      <c r="AB24" s="35">
        <f t="shared" si="9"/>
        <v>0</v>
      </c>
      <c r="AC24" s="35">
        <f>IF(D24/Frequency!$N$7&gt;100,1,0)*E24</f>
        <v>0</v>
      </c>
      <c r="AD24" s="35">
        <f t="shared" si="10"/>
        <v>0</v>
      </c>
      <c r="AE24" s="22">
        <f t="shared" si="11"/>
        <v>0</v>
      </c>
      <c r="AF24" s="22">
        <f t="shared" si="12"/>
        <v>0</v>
      </c>
      <c r="AG24" s="22">
        <f t="shared" si="13"/>
        <v>0</v>
      </c>
      <c r="AH24" s="22">
        <f t="shared" si="14"/>
        <v>0</v>
      </c>
      <c r="AI24" s="35">
        <f t="shared" si="15"/>
        <v>0</v>
      </c>
      <c r="AJ24" s="35">
        <f t="shared" si="16"/>
        <v>0</v>
      </c>
      <c r="AK24" s="35">
        <f t="shared" si="17"/>
        <v>0</v>
      </c>
      <c r="AL24">
        <f t="shared" si="18"/>
        <v>0</v>
      </c>
      <c r="AM24">
        <f t="shared" si="19"/>
        <v>0</v>
      </c>
      <c r="AN24">
        <f t="shared" si="20"/>
        <v>0</v>
      </c>
      <c r="AO24">
        <f t="shared" si="21"/>
        <v>0</v>
      </c>
      <c r="AP24">
        <f t="shared" si="22"/>
        <v>0</v>
      </c>
      <c r="AQ24">
        <f t="shared" si="23"/>
        <v>0</v>
      </c>
      <c r="AR24">
        <f t="shared" si="24"/>
        <v>0</v>
      </c>
      <c r="AS24">
        <f t="shared" si="25"/>
        <v>0</v>
      </c>
      <c r="AT24">
        <f t="shared" si="26"/>
        <v>0</v>
      </c>
      <c r="AU24">
        <f t="shared" si="27"/>
        <v>0</v>
      </c>
      <c r="AV24">
        <v>0</v>
      </c>
      <c r="AW24">
        <v>0</v>
      </c>
      <c r="AX24">
        <f t="shared" si="28"/>
        <v>0</v>
      </c>
      <c r="AY24">
        <f t="shared" si="29"/>
        <v>0</v>
      </c>
      <c r="AZ24">
        <f t="shared" si="30"/>
        <v>0</v>
      </c>
      <c r="BA24">
        <f t="shared" si="31"/>
        <v>0</v>
      </c>
      <c r="BB24">
        <f t="shared" si="32"/>
        <v>0</v>
      </c>
      <c r="BC24">
        <f t="shared" si="33"/>
        <v>0</v>
      </c>
      <c r="BD24">
        <f t="shared" si="34"/>
        <v>0</v>
      </c>
      <c r="BE24">
        <f t="shared" si="35"/>
        <v>0</v>
      </c>
      <c r="BF24">
        <f t="shared" si="36"/>
        <v>0</v>
      </c>
      <c r="BG24">
        <f t="shared" si="37"/>
        <v>0</v>
      </c>
      <c r="BH24">
        <f t="shared" si="38"/>
        <v>0</v>
      </c>
      <c r="BI24">
        <f t="shared" si="39"/>
        <v>0</v>
      </c>
      <c r="BJ24">
        <v>0</v>
      </c>
      <c r="BK24" t="str">
        <f t="shared" si="51"/>
        <v>Big Win</v>
      </c>
      <c r="BL24" s="40" t="str">
        <f t="shared" si="52"/>
        <v>Single Win</v>
      </c>
      <c r="BM24">
        <f>(D24/Frequency!$N$7-Summary!$C$7)^2*E24</f>
        <v>3671.0559999999996</v>
      </c>
      <c r="BN24">
        <f t="shared" si="40"/>
        <v>0</v>
      </c>
      <c r="BO24">
        <f t="shared" si="41"/>
        <v>0</v>
      </c>
      <c r="BP24">
        <f t="shared" si="42"/>
        <v>0</v>
      </c>
      <c r="BQ24">
        <f t="shared" si="43"/>
        <v>0</v>
      </c>
      <c r="BR24">
        <f t="shared" si="44"/>
        <v>0</v>
      </c>
      <c r="BS24">
        <f t="shared" si="45"/>
        <v>0</v>
      </c>
      <c r="BT24">
        <f t="shared" si="46"/>
        <v>0</v>
      </c>
      <c r="BU24">
        <f t="shared" si="47"/>
        <v>0</v>
      </c>
      <c r="BV24">
        <f t="shared" si="48"/>
        <v>0</v>
      </c>
      <c r="BW24">
        <f t="shared" si="49"/>
        <v>0</v>
      </c>
      <c r="BX24">
        <f t="shared" si="50"/>
        <v>0</v>
      </c>
    </row>
    <row r="25" spans="2:76">
      <c r="B25" s="19">
        <f>Tiers!B26</f>
        <v>23</v>
      </c>
      <c r="C25" s="20" t="str">
        <f>Tiers!X26</f>
        <v>main-22|||||||||</v>
      </c>
      <c r="D25" s="21">
        <f>Tiers!C26</f>
        <v>100</v>
      </c>
      <c r="E25" s="22">
        <f>Frequency!E27</f>
        <v>2</v>
      </c>
      <c r="F25" s="22">
        <f t="shared" si="0"/>
        <v>200</v>
      </c>
      <c r="G25" s="20">
        <f>IF(AND(D25/Summary!$C$4&gt;0, D25/Summary!$C$4&lt;5),E25,0) * D25</f>
        <v>0</v>
      </c>
      <c r="H25" s="20">
        <f>IF(AND(D25/Summary!$C$4&gt;= 5, D25/Summary!$C$4&lt;10),E25,0) * D25</f>
        <v>0</v>
      </c>
      <c r="I25" s="20">
        <f>IF(AND(D25/Summary!$C$4&gt;=10, D25/Summary!$C$4&lt;25),E25,0)*D25</f>
        <v>0</v>
      </c>
      <c r="J25" s="20">
        <f>IF(D25/Summary!$C$4&gt;=25,E25,0)*D25</f>
        <v>200</v>
      </c>
      <c r="K25" s="35">
        <f>IF(AND(D25/Frequency!$N$7&gt;0, D25/Frequency!$N$7&lt;1),E25,0)</f>
        <v>0</v>
      </c>
      <c r="L25" s="35">
        <f t="shared" si="1"/>
        <v>0</v>
      </c>
      <c r="M25" s="35">
        <f>IF(D25/Frequency!$N$7=1,1,0)*E25</f>
        <v>0</v>
      </c>
      <c r="N25" s="35">
        <f t="shared" si="2"/>
        <v>0</v>
      </c>
      <c r="O25" s="35">
        <f>IF(AND(D25/Frequency!$N$7&gt;1, D25/Frequency!$N$7&lt;=2),1,0)*E25</f>
        <v>0</v>
      </c>
      <c r="P25" s="35">
        <f t="shared" si="3"/>
        <v>0</v>
      </c>
      <c r="Q25" s="35">
        <f>IF(AND(D25/Frequency!$N$7&gt;2,D25/Frequency!$N$7&lt;=5),1,0)*E25</f>
        <v>0</v>
      </c>
      <c r="R25" s="35">
        <f t="shared" si="4"/>
        <v>0</v>
      </c>
      <c r="S25" s="35">
        <f>IF(AND(D25/Frequency!$N$7&gt;5, D25/Frequency!$N$7&lt;=10),1,0)*E25</f>
        <v>0</v>
      </c>
      <c r="T25" s="35">
        <f t="shared" si="5"/>
        <v>0</v>
      </c>
      <c r="U25" s="35">
        <f>IF(AND(D25/Frequency!$N$7&gt;10, D25/Frequency!$N$7&lt;=20),1,0)*E25</f>
        <v>0</v>
      </c>
      <c r="V25" s="35">
        <f t="shared" si="6"/>
        <v>0</v>
      </c>
      <c r="W25" s="35">
        <f>IF(AND(D25/Frequency!$N$7&gt;20, D25/Frequency!$N$7&lt;=30),1,0)*E25</f>
        <v>0</v>
      </c>
      <c r="X25" s="35">
        <f t="shared" si="7"/>
        <v>0</v>
      </c>
      <c r="Y25" s="35">
        <f>IF(AND(D25/Frequency!$N$7&gt;30, D25/Frequency!$N$7&lt;=50),1,0)*E25</f>
        <v>0</v>
      </c>
      <c r="Z25" s="35">
        <f t="shared" si="8"/>
        <v>0</v>
      </c>
      <c r="AA25" s="35">
        <f>IF(AND(D25/Frequency!$N$7&gt;50, D25/Frequency!$N$7&lt;=100),1,0)*E25</f>
        <v>2</v>
      </c>
      <c r="AB25" s="35">
        <f t="shared" si="9"/>
        <v>200</v>
      </c>
      <c r="AC25" s="35">
        <f>IF(D25/Frequency!$N$7&gt;100,1,0)*E25</f>
        <v>0</v>
      </c>
      <c r="AD25" s="35">
        <f t="shared" si="10"/>
        <v>0</v>
      </c>
      <c r="AE25" s="22">
        <f t="shared" si="11"/>
        <v>0</v>
      </c>
      <c r="AF25" s="22">
        <f t="shared" si="12"/>
        <v>0</v>
      </c>
      <c r="AG25" s="22">
        <f t="shared" si="13"/>
        <v>0</v>
      </c>
      <c r="AH25" s="22">
        <f t="shared" si="14"/>
        <v>0</v>
      </c>
      <c r="AI25" s="35">
        <f t="shared" si="15"/>
        <v>0</v>
      </c>
      <c r="AJ25" s="35">
        <f t="shared" si="16"/>
        <v>0</v>
      </c>
      <c r="AK25" s="35">
        <f t="shared" si="17"/>
        <v>0</v>
      </c>
      <c r="AL25">
        <f t="shared" si="18"/>
        <v>0</v>
      </c>
      <c r="AM25">
        <f t="shared" si="19"/>
        <v>0</v>
      </c>
      <c r="AN25">
        <f t="shared" si="20"/>
        <v>0</v>
      </c>
      <c r="AO25">
        <f t="shared" si="21"/>
        <v>0</v>
      </c>
      <c r="AP25">
        <f t="shared" si="22"/>
        <v>0</v>
      </c>
      <c r="AQ25">
        <f t="shared" si="23"/>
        <v>0</v>
      </c>
      <c r="AR25">
        <f t="shared" si="24"/>
        <v>0</v>
      </c>
      <c r="AS25">
        <f t="shared" si="25"/>
        <v>0</v>
      </c>
      <c r="AT25">
        <f t="shared" si="26"/>
        <v>0</v>
      </c>
      <c r="AU25">
        <f t="shared" si="27"/>
        <v>0</v>
      </c>
      <c r="AV25">
        <v>0</v>
      </c>
      <c r="AW25">
        <v>0</v>
      </c>
      <c r="AX25">
        <f t="shared" si="28"/>
        <v>0</v>
      </c>
      <c r="AY25">
        <f t="shared" si="29"/>
        <v>0</v>
      </c>
      <c r="AZ25">
        <f t="shared" si="30"/>
        <v>0</v>
      </c>
      <c r="BA25">
        <f t="shared" si="31"/>
        <v>0</v>
      </c>
      <c r="BB25">
        <f t="shared" si="32"/>
        <v>0</v>
      </c>
      <c r="BC25">
        <f t="shared" si="33"/>
        <v>0</v>
      </c>
      <c r="BD25">
        <f t="shared" si="34"/>
        <v>0</v>
      </c>
      <c r="BE25">
        <f t="shared" si="35"/>
        <v>0</v>
      </c>
      <c r="BF25">
        <f t="shared" si="36"/>
        <v>0</v>
      </c>
      <c r="BG25">
        <f t="shared" si="37"/>
        <v>0</v>
      </c>
      <c r="BH25">
        <f t="shared" si="38"/>
        <v>0</v>
      </c>
      <c r="BI25">
        <f t="shared" si="39"/>
        <v>0</v>
      </c>
      <c r="BJ25">
        <v>0</v>
      </c>
      <c r="BK25" t="str">
        <f t="shared" si="51"/>
        <v>Huge Win</v>
      </c>
      <c r="BL25" s="40" t="str">
        <f t="shared" si="52"/>
        <v>Single Win</v>
      </c>
      <c r="BM25">
        <f>(D25/Frequency!$N$7-Summary!$C$7)^2*E25</f>
        <v>19665.411199999999</v>
      </c>
      <c r="BN25">
        <f t="shared" si="40"/>
        <v>0</v>
      </c>
      <c r="BO25">
        <f t="shared" si="41"/>
        <v>0</v>
      </c>
      <c r="BP25">
        <f t="shared" si="42"/>
        <v>0</v>
      </c>
      <c r="BQ25">
        <f t="shared" si="43"/>
        <v>0</v>
      </c>
      <c r="BR25">
        <f t="shared" si="44"/>
        <v>0</v>
      </c>
      <c r="BS25">
        <f t="shared" si="45"/>
        <v>0</v>
      </c>
      <c r="BT25">
        <f t="shared" si="46"/>
        <v>0</v>
      </c>
      <c r="BU25">
        <f t="shared" si="47"/>
        <v>0</v>
      </c>
      <c r="BV25">
        <f t="shared" si="48"/>
        <v>0</v>
      </c>
      <c r="BW25">
        <f t="shared" si="49"/>
        <v>0</v>
      </c>
      <c r="BX25">
        <f t="shared" si="50"/>
        <v>0</v>
      </c>
    </row>
    <row r="26" spans="2:76">
      <c r="B26" s="19">
        <f>Tiers!B27</f>
        <v>24</v>
      </c>
      <c r="C26" s="20" t="str">
        <f>Tiers!X27</f>
        <v>main-23|||||||||</v>
      </c>
      <c r="D26" s="21">
        <f>Tiers!C27</f>
        <v>200</v>
      </c>
      <c r="E26" s="22">
        <f>Frequency!E28</f>
        <v>1</v>
      </c>
      <c r="F26" s="22">
        <f t="shared" si="0"/>
        <v>200</v>
      </c>
      <c r="G26" s="20">
        <f>IF(AND(D26/Summary!$C$4&gt;0, D26/Summary!$C$4&lt;5),E26,0) * D26</f>
        <v>0</v>
      </c>
      <c r="H26" s="20">
        <f>IF(AND(D26/Summary!$C$4&gt;= 5, D26/Summary!$C$4&lt;10),E26,0) * D26</f>
        <v>0</v>
      </c>
      <c r="I26" s="20">
        <f>IF(AND(D26/Summary!$C$4&gt;=10, D26/Summary!$C$4&lt;25),E26,0)*D26</f>
        <v>0</v>
      </c>
      <c r="J26" s="20">
        <f>IF(D26/Summary!$C$4&gt;=25,E26,0)*D26</f>
        <v>200</v>
      </c>
      <c r="K26" s="35">
        <f>IF(AND(D26/Frequency!$N$7&gt;0, D26/Frequency!$N$7&lt;1),E26,0)</f>
        <v>0</v>
      </c>
      <c r="L26" s="35">
        <f t="shared" si="1"/>
        <v>0</v>
      </c>
      <c r="M26" s="35">
        <f>IF(D26/Frequency!$N$7=1,1,0)*E26</f>
        <v>0</v>
      </c>
      <c r="N26" s="35">
        <f t="shared" si="2"/>
        <v>0</v>
      </c>
      <c r="O26" s="35">
        <f>IF(AND(D26/Frequency!$N$7&gt;1, D26/Frequency!$N$7&lt;=2),1,0)*E26</f>
        <v>0</v>
      </c>
      <c r="P26" s="35">
        <f t="shared" si="3"/>
        <v>0</v>
      </c>
      <c r="Q26" s="35">
        <f>IF(AND(D26/Frequency!$N$7&gt;2,D26/Frequency!$N$7&lt;=5),1,0)*E26</f>
        <v>0</v>
      </c>
      <c r="R26" s="35">
        <f t="shared" si="4"/>
        <v>0</v>
      </c>
      <c r="S26" s="35">
        <f>IF(AND(D26/Frequency!$N$7&gt;5, D26/Frequency!$N$7&lt;=10),1,0)*E26</f>
        <v>0</v>
      </c>
      <c r="T26" s="35">
        <f t="shared" si="5"/>
        <v>0</v>
      </c>
      <c r="U26" s="35">
        <f>IF(AND(D26/Frequency!$N$7&gt;10, D26/Frequency!$N$7&lt;=20),1,0)*E26</f>
        <v>0</v>
      </c>
      <c r="V26" s="35">
        <f t="shared" si="6"/>
        <v>0</v>
      </c>
      <c r="W26" s="35">
        <f>IF(AND(D26/Frequency!$N$7&gt;20, D26/Frequency!$N$7&lt;=30),1,0)*E26</f>
        <v>0</v>
      </c>
      <c r="X26" s="35">
        <f t="shared" si="7"/>
        <v>0</v>
      </c>
      <c r="Y26" s="35">
        <f>IF(AND(D26/Frequency!$N$7&gt;30, D26/Frequency!$N$7&lt;=50),1,0)*E26</f>
        <v>0</v>
      </c>
      <c r="Z26" s="35">
        <f t="shared" si="8"/>
        <v>0</v>
      </c>
      <c r="AA26" s="35">
        <f>IF(AND(D26/Frequency!$N$7&gt;50, D26/Frequency!$N$7&lt;=100),1,0)*E26</f>
        <v>0</v>
      </c>
      <c r="AB26" s="35">
        <f t="shared" si="9"/>
        <v>0</v>
      </c>
      <c r="AC26" s="35">
        <f>IF(D26/Frequency!$N$7&gt;100,1,0)*E26</f>
        <v>1</v>
      </c>
      <c r="AD26" s="35">
        <f t="shared" si="10"/>
        <v>200</v>
      </c>
      <c r="AE26" s="22">
        <f t="shared" si="11"/>
        <v>0</v>
      </c>
      <c r="AF26" s="22">
        <f t="shared" si="12"/>
        <v>0</v>
      </c>
      <c r="AG26" s="22">
        <f t="shared" si="13"/>
        <v>0</v>
      </c>
      <c r="AH26" s="22">
        <f t="shared" si="14"/>
        <v>0</v>
      </c>
      <c r="AI26" s="35">
        <f t="shared" si="15"/>
        <v>0</v>
      </c>
      <c r="AJ26" s="35">
        <f t="shared" si="16"/>
        <v>0</v>
      </c>
      <c r="AK26" s="35">
        <f t="shared" si="17"/>
        <v>0</v>
      </c>
      <c r="AL26">
        <f t="shared" si="18"/>
        <v>0</v>
      </c>
      <c r="AM26">
        <f t="shared" si="19"/>
        <v>0</v>
      </c>
      <c r="AN26">
        <f t="shared" si="20"/>
        <v>0</v>
      </c>
      <c r="AO26">
        <f t="shared" si="21"/>
        <v>0</v>
      </c>
      <c r="AP26">
        <f t="shared" si="22"/>
        <v>0</v>
      </c>
      <c r="AQ26">
        <f t="shared" si="23"/>
        <v>0</v>
      </c>
      <c r="AR26">
        <f t="shared" si="24"/>
        <v>0</v>
      </c>
      <c r="AS26">
        <f t="shared" si="25"/>
        <v>0</v>
      </c>
      <c r="AT26">
        <f t="shared" si="26"/>
        <v>0</v>
      </c>
      <c r="AU26">
        <f t="shared" si="27"/>
        <v>0</v>
      </c>
      <c r="AV26">
        <v>0</v>
      </c>
      <c r="AW26">
        <v>0</v>
      </c>
      <c r="AX26">
        <f t="shared" si="28"/>
        <v>0</v>
      </c>
      <c r="AY26">
        <f t="shared" si="29"/>
        <v>0</v>
      </c>
      <c r="AZ26">
        <f t="shared" si="30"/>
        <v>0</v>
      </c>
      <c r="BA26">
        <f t="shared" si="31"/>
        <v>0</v>
      </c>
      <c r="BB26">
        <f t="shared" si="32"/>
        <v>0</v>
      </c>
      <c r="BC26">
        <f t="shared" si="33"/>
        <v>0</v>
      </c>
      <c r="BD26">
        <f t="shared" si="34"/>
        <v>0</v>
      </c>
      <c r="BE26">
        <f t="shared" si="35"/>
        <v>0</v>
      </c>
      <c r="BF26">
        <f t="shared" si="36"/>
        <v>0</v>
      </c>
      <c r="BG26">
        <f t="shared" si="37"/>
        <v>0</v>
      </c>
      <c r="BH26">
        <f t="shared" si="38"/>
        <v>0</v>
      </c>
      <c r="BI26">
        <f t="shared" si="39"/>
        <v>0</v>
      </c>
      <c r="BJ26">
        <v>0</v>
      </c>
      <c r="BK26" t="str">
        <f t="shared" si="51"/>
        <v>Huge Win</v>
      </c>
      <c r="BL26" s="40" t="str">
        <f t="shared" si="52"/>
        <v>Single Win</v>
      </c>
      <c r="BM26">
        <f>(D26/Frequency!$N$7-Summary!$C$7)^2*E26</f>
        <v>39664.705600000001</v>
      </c>
      <c r="BN26">
        <f t="shared" si="40"/>
        <v>0</v>
      </c>
      <c r="BO26">
        <f t="shared" si="41"/>
        <v>0</v>
      </c>
      <c r="BP26">
        <f t="shared" si="42"/>
        <v>0</v>
      </c>
      <c r="BQ26">
        <f t="shared" si="43"/>
        <v>0</v>
      </c>
      <c r="BR26">
        <f t="shared" si="44"/>
        <v>0</v>
      </c>
      <c r="BS26">
        <f t="shared" si="45"/>
        <v>0</v>
      </c>
      <c r="BT26">
        <f t="shared" si="46"/>
        <v>0</v>
      </c>
      <c r="BU26">
        <f t="shared" si="47"/>
        <v>0</v>
      </c>
      <c r="BV26">
        <f t="shared" si="48"/>
        <v>0</v>
      </c>
      <c r="BW26">
        <f t="shared" si="49"/>
        <v>0</v>
      </c>
      <c r="BX26">
        <f t="shared" si="50"/>
        <v>0</v>
      </c>
    </row>
    <row r="27" spans="2:76">
      <c r="B27" s="19">
        <f>Tiers!B28</f>
        <v>25</v>
      </c>
      <c r="C27" s="20" t="str">
        <f>Tiers!X28</f>
        <v>main-24|||||||||</v>
      </c>
      <c r="D27" s="21">
        <f>Tiers!C28</f>
        <v>3</v>
      </c>
      <c r="E27" s="22">
        <f>Frequency!E29</f>
        <v>2800</v>
      </c>
      <c r="F27" s="22">
        <f t="shared" si="0"/>
        <v>8400</v>
      </c>
      <c r="G27" s="20">
        <f>IF(AND(D27/Summary!$C$4&gt;0, D27/Summary!$C$4&lt;5),E27,0) * D27</f>
        <v>8400</v>
      </c>
      <c r="H27" s="20">
        <f>IF(AND(D27/Summary!$C$4&gt;= 5, D27/Summary!$C$4&lt;10),E27,0) * D27</f>
        <v>0</v>
      </c>
      <c r="I27" s="20">
        <f>IF(AND(D27/Summary!$C$4&gt;=10, D27/Summary!$C$4&lt;25),E27,0)*D27</f>
        <v>0</v>
      </c>
      <c r="J27" s="20">
        <f>IF(D27/Summary!$C$4&gt;=25,E27,0)*D27</f>
        <v>0</v>
      </c>
      <c r="K27" s="35">
        <f>IF(AND(D27/Frequency!$N$7&gt;0, D27/Frequency!$N$7&lt;1),E27,0)</f>
        <v>0</v>
      </c>
      <c r="L27" s="35">
        <f t="shared" si="1"/>
        <v>0</v>
      </c>
      <c r="M27" s="35">
        <f>IF(D27/Frequency!$N$7=1,1,0)*E27</f>
        <v>0</v>
      </c>
      <c r="N27" s="35">
        <f t="shared" si="2"/>
        <v>0</v>
      </c>
      <c r="O27" s="35">
        <f>IF(AND(D27/Frequency!$N$7&gt;1, D27/Frequency!$N$7&lt;=2),1,0)*E27</f>
        <v>0</v>
      </c>
      <c r="P27" s="35">
        <f t="shared" si="3"/>
        <v>0</v>
      </c>
      <c r="Q27" s="35">
        <f>IF(AND(D27/Frequency!$N$7&gt;2,D27/Frequency!$N$7&lt;=5),1,0)*E27</f>
        <v>2800</v>
      </c>
      <c r="R27" s="35">
        <f t="shared" si="4"/>
        <v>8400</v>
      </c>
      <c r="S27" s="35">
        <f>IF(AND(D27/Frequency!$N$7&gt;5, D27/Frequency!$N$7&lt;=10),1,0)*E27</f>
        <v>0</v>
      </c>
      <c r="T27" s="35">
        <f t="shared" si="5"/>
        <v>0</v>
      </c>
      <c r="U27" s="35">
        <f>IF(AND(D27/Frequency!$N$7&gt;10, D27/Frequency!$N$7&lt;=20),1,0)*E27</f>
        <v>0</v>
      </c>
      <c r="V27" s="35">
        <f t="shared" si="6"/>
        <v>0</v>
      </c>
      <c r="W27" s="35">
        <f>IF(AND(D27/Frequency!$N$7&gt;20, D27/Frequency!$N$7&lt;=30),1,0)*E27</f>
        <v>0</v>
      </c>
      <c r="X27" s="35">
        <f t="shared" si="7"/>
        <v>0</v>
      </c>
      <c r="Y27" s="35">
        <f>IF(AND(D27/Frequency!$N$7&gt;30, D27/Frequency!$N$7&lt;=50),1,0)*E27</f>
        <v>0</v>
      </c>
      <c r="Z27" s="35">
        <f t="shared" si="8"/>
        <v>0</v>
      </c>
      <c r="AA27" s="35">
        <f>IF(AND(D27/Frequency!$N$7&gt;50, D27/Frequency!$N$7&lt;=100),1,0)*E27</f>
        <v>0</v>
      </c>
      <c r="AB27" s="35">
        <f t="shared" si="9"/>
        <v>0</v>
      </c>
      <c r="AC27" s="35">
        <f>IF(D27/Frequency!$N$7&gt;100,1,0)*E27</f>
        <v>0</v>
      </c>
      <c r="AD27" s="35">
        <f t="shared" si="10"/>
        <v>0</v>
      </c>
      <c r="AE27" s="22">
        <f t="shared" si="11"/>
        <v>0</v>
      </c>
      <c r="AF27" s="22">
        <f t="shared" si="12"/>
        <v>0</v>
      </c>
      <c r="AG27" s="22">
        <f t="shared" si="13"/>
        <v>0</v>
      </c>
      <c r="AH27" s="22">
        <f t="shared" si="14"/>
        <v>0</v>
      </c>
      <c r="AI27" s="35">
        <f t="shared" si="15"/>
        <v>0</v>
      </c>
      <c r="AJ27" s="35">
        <f t="shared" si="16"/>
        <v>0</v>
      </c>
      <c r="AK27" s="35">
        <f t="shared" si="17"/>
        <v>0</v>
      </c>
      <c r="AL27">
        <f t="shared" si="18"/>
        <v>0</v>
      </c>
      <c r="AM27">
        <f t="shared" si="19"/>
        <v>0</v>
      </c>
      <c r="AN27">
        <f t="shared" si="20"/>
        <v>0</v>
      </c>
      <c r="AO27">
        <f t="shared" si="21"/>
        <v>0</v>
      </c>
      <c r="AP27">
        <f t="shared" si="22"/>
        <v>0</v>
      </c>
      <c r="AQ27">
        <f t="shared" si="23"/>
        <v>0</v>
      </c>
      <c r="AR27">
        <f t="shared" si="24"/>
        <v>0</v>
      </c>
      <c r="AS27">
        <f t="shared" si="25"/>
        <v>0</v>
      </c>
      <c r="AT27">
        <f t="shared" si="26"/>
        <v>0</v>
      </c>
      <c r="AU27">
        <f t="shared" si="27"/>
        <v>0</v>
      </c>
      <c r="AV27">
        <v>0</v>
      </c>
      <c r="AW27">
        <v>0</v>
      </c>
      <c r="AX27">
        <f t="shared" si="28"/>
        <v>0</v>
      </c>
      <c r="AY27">
        <f t="shared" si="29"/>
        <v>0</v>
      </c>
      <c r="AZ27">
        <f t="shared" si="30"/>
        <v>0</v>
      </c>
      <c r="BA27">
        <f t="shared" si="31"/>
        <v>0</v>
      </c>
      <c r="BB27">
        <f t="shared" si="32"/>
        <v>0</v>
      </c>
      <c r="BC27">
        <f t="shared" si="33"/>
        <v>0</v>
      </c>
      <c r="BD27">
        <f t="shared" si="34"/>
        <v>0</v>
      </c>
      <c r="BE27">
        <f t="shared" si="35"/>
        <v>0</v>
      </c>
      <c r="BF27">
        <f t="shared" si="36"/>
        <v>0</v>
      </c>
      <c r="BG27">
        <f t="shared" si="37"/>
        <v>0</v>
      </c>
      <c r="BH27">
        <f t="shared" si="38"/>
        <v>0</v>
      </c>
      <c r="BI27">
        <f t="shared" si="39"/>
        <v>0</v>
      </c>
      <c r="BJ27">
        <v>0</v>
      </c>
      <c r="BK27" t="str">
        <f t="shared" si="51"/>
        <v>Standard Win</v>
      </c>
      <c r="BL27" s="40" t="str">
        <f t="shared" si="52"/>
        <v>Single Win</v>
      </c>
      <c r="BM27">
        <f>(D27/Frequency!$N$7-Summary!$C$7)^2*E27</f>
        <v>13063.68</v>
      </c>
      <c r="BN27">
        <f t="shared" si="40"/>
        <v>0</v>
      </c>
      <c r="BO27">
        <f t="shared" si="41"/>
        <v>0</v>
      </c>
      <c r="BP27">
        <f t="shared" si="42"/>
        <v>0</v>
      </c>
      <c r="BQ27">
        <f t="shared" si="43"/>
        <v>0</v>
      </c>
      <c r="BR27">
        <f t="shared" si="44"/>
        <v>0</v>
      </c>
      <c r="BS27">
        <f t="shared" si="45"/>
        <v>0</v>
      </c>
      <c r="BT27">
        <f t="shared" si="46"/>
        <v>0</v>
      </c>
      <c r="BU27">
        <f t="shared" si="47"/>
        <v>0</v>
      </c>
      <c r="BV27">
        <f t="shared" si="48"/>
        <v>0</v>
      </c>
      <c r="BW27">
        <f t="shared" si="49"/>
        <v>0</v>
      </c>
      <c r="BX27">
        <f t="shared" si="50"/>
        <v>0</v>
      </c>
    </row>
    <row r="28" spans="2:76">
      <c r="B28" s="19">
        <f>Tiers!B29</f>
        <v>26</v>
      </c>
      <c r="C28" s="20" t="str">
        <f>Tiers!X29</f>
        <v>main-25|||||||||</v>
      </c>
      <c r="D28" s="21">
        <f>Tiers!C29</f>
        <v>5</v>
      </c>
      <c r="E28" s="22">
        <f>Frequency!E30</f>
        <v>941</v>
      </c>
      <c r="F28" s="22">
        <f t="shared" si="0"/>
        <v>4705</v>
      </c>
      <c r="G28" s="20">
        <f>IF(AND(D28/Summary!$C$4&gt;0, D28/Summary!$C$4&lt;5),E28,0) * D28</f>
        <v>0</v>
      </c>
      <c r="H28" s="20">
        <f>IF(AND(D28/Summary!$C$4&gt;= 5, D28/Summary!$C$4&lt;10),E28,0) * D28</f>
        <v>4705</v>
      </c>
      <c r="I28" s="20">
        <f>IF(AND(D28/Summary!$C$4&gt;=10, D28/Summary!$C$4&lt;25),E28,0)*D28</f>
        <v>0</v>
      </c>
      <c r="J28" s="20">
        <f>IF(D28/Summary!$C$4&gt;=25,E28,0)*D28</f>
        <v>0</v>
      </c>
      <c r="K28" s="35">
        <f>IF(AND(D28/Frequency!$N$7&gt;0, D28/Frequency!$N$7&lt;1),E28,0)</f>
        <v>0</v>
      </c>
      <c r="L28" s="35">
        <f t="shared" si="1"/>
        <v>0</v>
      </c>
      <c r="M28" s="35">
        <f>IF(D28/Frequency!$N$7=1,1,0)*E28</f>
        <v>0</v>
      </c>
      <c r="N28" s="35">
        <f t="shared" si="2"/>
        <v>0</v>
      </c>
      <c r="O28" s="35">
        <f>IF(AND(D28/Frequency!$N$7&gt;1, D28/Frequency!$N$7&lt;=2),1,0)*E28</f>
        <v>0</v>
      </c>
      <c r="P28" s="35">
        <f t="shared" si="3"/>
        <v>0</v>
      </c>
      <c r="Q28" s="35">
        <f>IF(AND(D28/Frequency!$N$7&gt;2,D28/Frequency!$N$7&lt;=5),1,0)*E28</f>
        <v>941</v>
      </c>
      <c r="R28" s="35">
        <f t="shared" si="4"/>
        <v>4705</v>
      </c>
      <c r="S28" s="35">
        <f>IF(AND(D28/Frequency!$N$7&gt;5, D28/Frequency!$N$7&lt;=10),1,0)*E28</f>
        <v>0</v>
      </c>
      <c r="T28" s="35">
        <f t="shared" si="5"/>
        <v>0</v>
      </c>
      <c r="U28" s="35">
        <f>IF(AND(D28/Frequency!$N$7&gt;10, D28/Frequency!$N$7&lt;=20),1,0)*E28</f>
        <v>0</v>
      </c>
      <c r="V28" s="35">
        <f t="shared" si="6"/>
        <v>0</v>
      </c>
      <c r="W28" s="35">
        <f>IF(AND(D28/Frequency!$N$7&gt;20, D28/Frequency!$N$7&lt;=30),1,0)*E28</f>
        <v>0</v>
      </c>
      <c r="X28" s="35">
        <f t="shared" si="7"/>
        <v>0</v>
      </c>
      <c r="Y28" s="35">
        <f>IF(AND(D28/Frequency!$N$7&gt;30, D28/Frequency!$N$7&lt;=50),1,0)*E28</f>
        <v>0</v>
      </c>
      <c r="Z28" s="35">
        <f t="shared" si="8"/>
        <v>0</v>
      </c>
      <c r="AA28" s="35">
        <f>IF(AND(D28/Frequency!$N$7&gt;50, D28/Frequency!$N$7&lt;=100),1,0)*E28</f>
        <v>0</v>
      </c>
      <c r="AB28" s="35">
        <f t="shared" si="9"/>
        <v>0</v>
      </c>
      <c r="AC28" s="35">
        <f>IF(D28/Frequency!$N$7&gt;100,1,0)*E28</f>
        <v>0</v>
      </c>
      <c r="AD28" s="35">
        <f t="shared" si="10"/>
        <v>0</v>
      </c>
      <c r="AE28" s="22">
        <f t="shared" si="11"/>
        <v>0</v>
      </c>
      <c r="AF28" s="22">
        <f t="shared" si="12"/>
        <v>0</v>
      </c>
      <c r="AG28" s="22">
        <f t="shared" si="13"/>
        <v>0</v>
      </c>
      <c r="AH28" s="22">
        <f t="shared" si="14"/>
        <v>0</v>
      </c>
      <c r="AI28" s="35">
        <f t="shared" si="15"/>
        <v>0</v>
      </c>
      <c r="AJ28" s="35">
        <f t="shared" si="16"/>
        <v>0</v>
      </c>
      <c r="AK28" s="35">
        <f t="shared" si="17"/>
        <v>0</v>
      </c>
      <c r="AL28">
        <f t="shared" si="18"/>
        <v>0</v>
      </c>
      <c r="AM28">
        <f t="shared" si="19"/>
        <v>0</v>
      </c>
      <c r="AN28">
        <f t="shared" si="20"/>
        <v>0</v>
      </c>
      <c r="AO28">
        <f t="shared" si="21"/>
        <v>0</v>
      </c>
      <c r="AP28">
        <f t="shared" si="22"/>
        <v>0</v>
      </c>
      <c r="AQ28">
        <f t="shared" si="23"/>
        <v>0</v>
      </c>
      <c r="AR28">
        <f t="shared" si="24"/>
        <v>0</v>
      </c>
      <c r="AS28">
        <f t="shared" si="25"/>
        <v>0</v>
      </c>
      <c r="AT28">
        <f t="shared" si="26"/>
        <v>0</v>
      </c>
      <c r="AU28">
        <f t="shared" si="27"/>
        <v>0</v>
      </c>
      <c r="AV28">
        <v>0</v>
      </c>
      <c r="AW28">
        <v>0</v>
      </c>
      <c r="AX28">
        <f t="shared" si="28"/>
        <v>0</v>
      </c>
      <c r="AY28">
        <f t="shared" si="29"/>
        <v>0</v>
      </c>
      <c r="AZ28">
        <f t="shared" si="30"/>
        <v>0</v>
      </c>
      <c r="BA28">
        <f t="shared" si="31"/>
        <v>0</v>
      </c>
      <c r="BB28">
        <f t="shared" si="32"/>
        <v>0</v>
      </c>
      <c r="BC28">
        <f t="shared" si="33"/>
        <v>0</v>
      </c>
      <c r="BD28">
        <f t="shared" si="34"/>
        <v>0</v>
      </c>
      <c r="BE28">
        <f t="shared" si="35"/>
        <v>0</v>
      </c>
      <c r="BF28">
        <f t="shared" si="36"/>
        <v>0</v>
      </c>
      <c r="BG28">
        <f t="shared" si="37"/>
        <v>0</v>
      </c>
      <c r="BH28">
        <f t="shared" si="38"/>
        <v>0</v>
      </c>
      <c r="BI28">
        <f t="shared" si="39"/>
        <v>0</v>
      </c>
      <c r="BJ28">
        <v>0</v>
      </c>
      <c r="BK28" t="str">
        <f t="shared" si="51"/>
        <v>Standard Win</v>
      </c>
      <c r="BL28" s="40" t="str">
        <f t="shared" si="52"/>
        <v>Single Win</v>
      </c>
      <c r="BM28">
        <f>(D28/Frequency!$N$7-Summary!$C$7)^2*E28</f>
        <v>16284.569600000003</v>
      </c>
      <c r="BN28">
        <f t="shared" si="40"/>
        <v>0</v>
      </c>
      <c r="BO28">
        <f t="shared" si="41"/>
        <v>0</v>
      </c>
      <c r="BP28">
        <f t="shared" si="42"/>
        <v>0</v>
      </c>
      <c r="BQ28">
        <f t="shared" si="43"/>
        <v>0</v>
      </c>
      <c r="BR28">
        <f t="shared" si="44"/>
        <v>0</v>
      </c>
      <c r="BS28">
        <f t="shared" si="45"/>
        <v>0</v>
      </c>
      <c r="BT28">
        <f t="shared" si="46"/>
        <v>0</v>
      </c>
      <c r="BU28">
        <f t="shared" si="47"/>
        <v>0</v>
      </c>
      <c r="BV28">
        <f t="shared" si="48"/>
        <v>0</v>
      </c>
      <c r="BW28">
        <f t="shared" si="49"/>
        <v>0</v>
      </c>
      <c r="BX28">
        <f t="shared" si="50"/>
        <v>0</v>
      </c>
    </row>
    <row r="29" spans="2:76">
      <c r="B29" s="19">
        <f>Tiers!B30</f>
        <v>27</v>
      </c>
      <c r="C29" s="20" t="str">
        <f>Tiers!X30</f>
        <v>main-26|||||||||</v>
      </c>
      <c r="D29" s="21">
        <f>Tiers!C30</f>
        <v>10</v>
      </c>
      <c r="E29" s="22">
        <f>Frequency!E31</f>
        <v>110</v>
      </c>
      <c r="F29" s="22">
        <f t="shared" si="0"/>
        <v>1100</v>
      </c>
      <c r="G29" s="20">
        <f>IF(AND(D29/Summary!$C$4&gt;0, D29/Summary!$C$4&lt;5),E29,0) * D29</f>
        <v>0</v>
      </c>
      <c r="H29" s="20">
        <f>IF(AND(D29/Summary!$C$4&gt;= 5, D29/Summary!$C$4&lt;10),E29,0) * D29</f>
        <v>0</v>
      </c>
      <c r="I29" s="20">
        <f>IF(AND(D29/Summary!$C$4&gt;=10, D29/Summary!$C$4&lt;25),E29,0)*D29</f>
        <v>1100</v>
      </c>
      <c r="J29" s="20">
        <f>IF(D29/Summary!$C$4&gt;=25,E29,0)*D29</f>
        <v>0</v>
      </c>
      <c r="K29" s="35">
        <f>IF(AND(D29/Frequency!$N$7&gt;0, D29/Frequency!$N$7&lt;1),E29,0)</f>
        <v>0</v>
      </c>
      <c r="L29" s="35">
        <f t="shared" si="1"/>
        <v>0</v>
      </c>
      <c r="M29" s="35">
        <f>IF(D29/Frequency!$N$7=1,1,0)*E29</f>
        <v>0</v>
      </c>
      <c r="N29" s="35">
        <f t="shared" si="2"/>
        <v>0</v>
      </c>
      <c r="O29" s="35">
        <f>IF(AND(D29/Frequency!$N$7&gt;1, D29/Frequency!$N$7&lt;=2),1,0)*E29</f>
        <v>0</v>
      </c>
      <c r="P29" s="35">
        <f t="shared" si="3"/>
        <v>0</v>
      </c>
      <c r="Q29" s="35">
        <f>IF(AND(D29/Frequency!$N$7&gt;2,D29/Frequency!$N$7&lt;=5),1,0)*E29</f>
        <v>0</v>
      </c>
      <c r="R29" s="35">
        <f t="shared" si="4"/>
        <v>0</v>
      </c>
      <c r="S29" s="35">
        <f>IF(AND(D29/Frequency!$N$7&gt;5, D29/Frequency!$N$7&lt;=10),1,0)*E29</f>
        <v>110</v>
      </c>
      <c r="T29" s="35">
        <f t="shared" si="5"/>
        <v>1100</v>
      </c>
      <c r="U29" s="35">
        <f>IF(AND(D29/Frequency!$N$7&gt;10, D29/Frequency!$N$7&lt;=20),1,0)*E29</f>
        <v>0</v>
      </c>
      <c r="V29" s="35">
        <f t="shared" si="6"/>
        <v>0</v>
      </c>
      <c r="W29" s="35">
        <f>IF(AND(D29/Frequency!$N$7&gt;20, D29/Frequency!$N$7&lt;=30),1,0)*E29</f>
        <v>0</v>
      </c>
      <c r="X29" s="35">
        <f t="shared" si="7"/>
        <v>0</v>
      </c>
      <c r="Y29" s="35">
        <f>IF(AND(D29/Frequency!$N$7&gt;30, D29/Frequency!$N$7&lt;=50),1,0)*E29</f>
        <v>0</v>
      </c>
      <c r="Z29" s="35">
        <f t="shared" si="8"/>
        <v>0</v>
      </c>
      <c r="AA29" s="35">
        <f>IF(AND(D29/Frequency!$N$7&gt;50, D29/Frequency!$N$7&lt;=100),1,0)*E29</f>
        <v>0</v>
      </c>
      <c r="AB29" s="35">
        <f t="shared" si="9"/>
        <v>0</v>
      </c>
      <c r="AC29" s="35">
        <f>IF(D29/Frequency!$N$7&gt;100,1,0)*E29</f>
        <v>0</v>
      </c>
      <c r="AD29" s="35">
        <f t="shared" si="10"/>
        <v>0</v>
      </c>
      <c r="AE29" s="22">
        <f t="shared" si="11"/>
        <v>0</v>
      </c>
      <c r="AF29" s="22">
        <f t="shared" si="12"/>
        <v>0</v>
      </c>
      <c r="AG29" s="22">
        <f t="shared" si="13"/>
        <v>0</v>
      </c>
      <c r="AH29" s="22">
        <f t="shared" si="14"/>
        <v>0</v>
      </c>
      <c r="AI29" s="35">
        <f t="shared" si="15"/>
        <v>0</v>
      </c>
      <c r="AJ29" s="35">
        <f t="shared" si="16"/>
        <v>0</v>
      </c>
      <c r="AK29" s="35">
        <f t="shared" si="17"/>
        <v>0</v>
      </c>
      <c r="AL29">
        <f t="shared" si="18"/>
        <v>0</v>
      </c>
      <c r="AM29">
        <f t="shared" si="19"/>
        <v>0</v>
      </c>
      <c r="AN29">
        <f t="shared" si="20"/>
        <v>0</v>
      </c>
      <c r="AO29">
        <f t="shared" si="21"/>
        <v>0</v>
      </c>
      <c r="AP29">
        <f t="shared" si="22"/>
        <v>0</v>
      </c>
      <c r="AQ29">
        <f t="shared" si="23"/>
        <v>0</v>
      </c>
      <c r="AR29">
        <f t="shared" si="24"/>
        <v>0</v>
      </c>
      <c r="AS29">
        <f t="shared" si="25"/>
        <v>0</v>
      </c>
      <c r="AT29">
        <f t="shared" si="26"/>
        <v>0</v>
      </c>
      <c r="AU29">
        <f t="shared" si="27"/>
        <v>0</v>
      </c>
      <c r="AV29">
        <v>0</v>
      </c>
      <c r="AW29">
        <v>0</v>
      </c>
      <c r="AX29">
        <f t="shared" si="28"/>
        <v>0</v>
      </c>
      <c r="AY29">
        <f t="shared" si="29"/>
        <v>0</v>
      </c>
      <c r="AZ29">
        <f t="shared" si="30"/>
        <v>0</v>
      </c>
      <c r="BA29">
        <f t="shared" si="31"/>
        <v>0</v>
      </c>
      <c r="BB29">
        <f t="shared" si="32"/>
        <v>0</v>
      </c>
      <c r="BC29">
        <f t="shared" si="33"/>
        <v>0</v>
      </c>
      <c r="BD29">
        <f t="shared" si="34"/>
        <v>0</v>
      </c>
      <c r="BE29">
        <f t="shared" si="35"/>
        <v>0</v>
      </c>
      <c r="BF29">
        <f t="shared" si="36"/>
        <v>0</v>
      </c>
      <c r="BG29">
        <f t="shared" si="37"/>
        <v>0</v>
      </c>
      <c r="BH29">
        <f t="shared" si="38"/>
        <v>0</v>
      </c>
      <c r="BI29">
        <f t="shared" si="39"/>
        <v>0</v>
      </c>
      <c r="BJ29">
        <v>0</v>
      </c>
      <c r="BK29" t="str">
        <f t="shared" si="51"/>
        <v>Big Win</v>
      </c>
      <c r="BL29" s="40" t="str">
        <f t="shared" si="52"/>
        <v>Single Win</v>
      </c>
      <c r="BM29">
        <f>(D29/Frequency!$N$7-Summary!$C$7)^2*E29</f>
        <v>9229.616</v>
      </c>
      <c r="BN29">
        <f t="shared" si="40"/>
        <v>0</v>
      </c>
      <c r="BO29">
        <f t="shared" si="41"/>
        <v>0</v>
      </c>
      <c r="BP29">
        <f t="shared" si="42"/>
        <v>0</v>
      </c>
      <c r="BQ29">
        <f t="shared" si="43"/>
        <v>0</v>
      </c>
      <c r="BR29">
        <f t="shared" si="44"/>
        <v>0</v>
      </c>
      <c r="BS29">
        <f t="shared" si="45"/>
        <v>0</v>
      </c>
      <c r="BT29">
        <f t="shared" si="46"/>
        <v>0</v>
      </c>
      <c r="BU29">
        <f t="shared" si="47"/>
        <v>0</v>
      </c>
      <c r="BV29">
        <f t="shared" si="48"/>
        <v>0</v>
      </c>
      <c r="BW29">
        <f t="shared" si="49"/>
        <v>0</v>
      </c>
      <c r="BX29">
        <f t="shared" si="50"/>
        <v>0</v>
      </c>
    </row>
    <row r="30" spans="2:76">
      <c r="B30" s="19">
        <f>Tiers!B31</f>
        <v>28</v>
      </c>
      <c r="C30" s="20" t="str">
        <f>Tiers!X31</f>
        <v>main-27|||||||||</v>
      </c>
      <c r="D30" s="21">
        <f>Tiers!C31</f>
        <v>20</v>
      </c>
      <c r="E30" s="22">
        <f>Frequency!E32</f>
        <v>10</v>
      </c>
      <c r="F30" s="22">
        <f t="shared" si="0"/>
        <v>200</v>
      </c>
      <c r="G30" s="20">
        <f>IF(AND(D30/Summary!$C$4&gt;0, D30/Summary!$C$4&lt;5),E30,0) * D30</f>
        <v>0</v>
      </c>
      <c r="H30" s="20">
        <f>IF(AND(D30/Summary!$C$4&gt;= 5, D30/Summary!$C$4&lt;10),E30,0) * D30</f>
        <v>0</v>
      </c>
      <c r="I30" s="20">
        <f>IF(AND(D30/Summary!$C$4&gt;=10, D30/Summary!$C$4&lt;25),E30,0)*D30</f>
        <v>200</v>
      </c>
      <c r="J30" s="20">
        <f>IF(D30/Summary!$C$4&gt;=25,E30,0)*D30</f>
        <v>0</v>
      </c>
      <c r="K30" s="35">
        <f>IF(AND(D30/Frequency!$N$7&gt;0, D30/Frequency!$N$7&lt;1),E30,0)</f>
        <v>0</v>
      </c>
      <c r="L30" s="35">
        <f t="shared" si="1"/>
        <v>0</v>
      </c>
      <c r="M30" s="35">
        <f>IF(D30/Frequency!$N$7=1,1,0)*E30</f>
        <v>0</v>
      </c>
      <c r="N30" s="35">
        <f t="shared" si="2"/>
        <v>0</v>
      </c>
      <c r="O30" s="35">
        <f>IF(AND(D30/Frequency!$N$7&gt;1, D30/Frequency!$N$7&lt;=2),1,0)*E30</f>
        <v>0</v>
      </c>
      <c r="P30" s="35">
        <f t="shared" si="3"/>
        <v>0</v>
      </c>
      <c r="Q30" s="35">
        <f>IF(AND(D30/Frequency!$N$7&gt;2,D30/Frequency!$N$7&lt;=5),1,0)*E30</f>
        <v>0</v>
      </c>
      <c r="R30" s="35">
        <f t="shared" si="4"/>
        <v>0</v>
      </c>
      <c r="S30" s="35">
        <f>IF(AND(D30/Frequency!$N$7&gt;5, D30/Frequency!$N$7&lt;=10),1,0)*E30</f>
        <v>0</v>
      </c>
      <c r="T30" s="35">
        <f t="shared" si="5"/>
        <v>0</v>
      </c>
      <c r="U30" s="35">
        <f>IF(AND(D30/Frequency!$N$7&gt;10, D30/Frequency!$N$7&lt;=20),1,0)*E30</f>
        <v>10</v>
      </c>
      <c r="V30" s="35">
        <f t="shared" si="6"/>
        <v>200</v>
      </c>
      <c r="W30" s="35">
        <f>IF(AND(D30/Frequency!$N$7&gt;20, D30/Frequency!$N$7&lt;=30),1,0)*E30</f>
        <v>0</v>
      </c>
      <c r="X30" s="35">
        <f t="shared" si="7"/>
        <v>0</v>
      </c>
      <c r="Y30" s="35">
        <f>IF(AND(D30/Frequency!$N$7&gt;30, D30/Frequency!$N$7&lt;=50),1,0)*E30</f>
        <v>0</v>
      </c>
      <c r="Z30" s="35">
        <f t="shared" si="8"/>
        <v>0</v>
      </c>
      <c r="AA30" s="35">
        <f>IF(AND(D30/Frequency!$N$7&gt;50, D30/Frequency!$N$7&lt;=100),1,0)*E30</f>
        <v>0</v>
      </c>
      <c r="AB30" s="35">
        <f t="shared" si="9"/>
        <v>0</v>
      </c>
      <c r="AC30" s="35">
        <f>IF(D30/Frequency!$N$7&gt;100,1,0)*E30</f>
        <v>0</v>
      </c>
      <c r="AD30" s="35">
        <f t="shared" si="10"/>
        <v>0</v>
      </c>
      <c r="AE30" s="22">
        <f t="shared" si="11"/>
        <v>0</v>
      </c>
      <c r="AF30" s="22">
        <f t="shared" si="12"/>
        <v>0</v>
      </c>
      <c r="AG30" s="22">
        <f t="shared" si="13"/>
        <v>0</v>
      </c>
      <c r="AH30" s="22">
        <f t="shared" si="14"/>
        <v>0</v>
      </c>
      <c r="AI30" s="35">
        <f t="shared" si="15"/>
        <v>0</v>
      </c>
      <c r="AJ30" s="35">
        <f t="shared" si="16"/>
        <v>0</v>
      </c>
      <c r="AK30" s="35">
        <f t="shared" si="17"/>
        <v>0</v>
      </c>
      <c r="AL30">
        <f t="shared" si="18"/>
        <v>0</v>
      </c>
      <c r="AM30">
        <f t="shared" si="19"/>
        <v>0</v>
      </c>
      <c r="AN30">
        <f t="shared" si="20"/>
        <v>0</v>
      </c>
      <c r="AO30">
        <f t="shared" si="21"/>
        <v>0</v>
      </c>
      <c r="AP30">
        <f t="shared" si="22"/>
        <v>0</v>
      </c>
      <c r="AQ30">
        <f t="shared" si="23"/>
        <v>0</v>
      </c>
      <c r="AR30">
        <f t="shared" si="24"/>
        <v>0</v>
      </c>
      <c r="AS30">
        <f t="shared" si="25"/>
        <v>0</v>
      </c>
      <c r="AT30">
        <f t="shared" si="26"/>
        <v>0</v>
      </c>
      <c r="AU30">
        <f t="shared" si="27"/>
        <v>0</v>
      </c>
      <c r="AV30">
        <v>0</v>
      </c>
      <c r="AW30">
        <v>0</v>
      </c>
      <c r="AX30">
        <f t="shared" si="28"/>
        <v>0</v>
      </c>
      <c r="AY30">
        <f t="shared" si="29"/>
        <v>0</v>
      </c>
      <c r="AZ30">
        <f t="shared" si="30"/>
        <v>0</v>
      </c>
      <c r="BA30">
        <f t="shared" si="31"/>
        <v>0</v>
      </c>
      <c r="BB30">
        <f t="shared" si="32"/>
        <v>0</v>
      </c>
      <c r="BC30">
        <f t="shared" si="33"/>
        <v>0</v>
      </c>
      <c r="BD30">
        <f t="shared" si="34"/>
        <v>0</v>
      </c>
      <c r="BE30">
        <f t="shared" si="35"/>
        <v>0</v>
      </c>
      <c r="BF30">
        <f t="shared" si="36"/>
        <v>0</v>
      </c>
      <c r="BG30">
        <f t="shared" si="37"/>
        <v>0</v>
      </c>
      <c r="BH30">
        <f t="shared" si="38"/>
        <v>0</v>
      </c>
      <c r="BI30">
        <f t="shared" si="39"/>
        <v>0</v>
      </c>
      <c r="BJ30">
        <v>0</v>
      </c>
      <c r="BK30" t="str">
        <f t="shared" si="51"/>
        <v>Big Win</v>
      </c>
      <c r="BL30" s="40" t="str">
        <f t="shared" si="52"/>
        <v>Single Win</v>
      </c>
      <c r="BM30">
        <f>(D30/Frequency!$N$7-Summary!$C$7)^2*E30</f>
        <v>3671.0559999999996</v>
      </c>
      <c r="BN30">
        <f t="shared" si="40"/>
        <v>0</v>
      </c>
      <c r="BO30">
        <f t="shared" si="41"/>
        <v>0</v>
      </c>
      <c r="BP30">
        <f t="shared" si="42"/>
        <v>0</v>
      </c>
      <c r="BQ30">
        <f t="shared" si="43"/>
        <v>0</v>
      </c>
      <c r="BR30">
        <f t="shared" si="44"/>
        <v>0</v>
      </c>
      <c r="BS30">
        <f t="shared" si="45"/>
        <v>0</v>
      </c>
      <c r="BT30">
        <f t="shared" si="46"/>
        <v>0</v>
      </c>
      <c r="BU30">
        <f t="shared" si="47"/>
        <v>0</v>
      </c>
      <c r="BV30">
        <f t="shared" si="48"/>
        <v>0</v>
      </c>
      <c r="BW30">
        <f t="shared" si="49"/>
        <v>0</v>
      </c>
      <c r="BX30">
        <f t="shared" si="50"/>
        <v>0</v>
      </c>
    </row>
    <row r="31" spans="2:76">
      <c r="B31" s="19">
        <f>Tiers!B32</f>
        <v>29</v>
      </c>
      <c r="C31" s="20" t="str">
        <f>Tiers!X32</f>
        <v>main-28|||||||||</v>
      </c>
      <c r="D31" s="21">
        <f>Tiers!C32</f>
        <v>100</v>
      </c>
      <c r="E31" s="22">
        <f>Frequency!E33</f>
        <v>5</v>
      </c>
      <c r="F31" s="22">
        <f t="shared" si="0"/>
        <v>500</v>
      </c>
      <c r="G31" s="20">
        <f>IF(AND(D31/Summary!$C$4&gt;0, D31/Summary!$C$4&lt;5),E31,0) * D31</f>
        <v>0</v>
      </c>
      <c r="H31" s="20">
        <f>IF(AND(D31/Summary!$C$4&gt;= 5, D31/Summary!$C$4&lt;10),E31,0) * D31</f>
        <v>0</v>
      </c>
      <c r="I31" s="20">
        <f>IF(AND(D31/Summary!$C$4&gt;=10, D31/Summary!$C$4&lt;25),E31,0)*D31</f>
        <v>0</v>
      </c>
      <c r="J31" s="20">
        <f>IF(D31/Summary!$C$4&gt;=25,E31,0)*D31</f>
        <v>500</v>
      </c>
      <c r="K31" s="35">
        <f>IF(AND(D31/Frequency!$N$7&gt;0, D31/Frequency!$N$7&lt;1),E31,0)</f>
        <v>0</v>
      </c>
      <c r="L31" s="35">
        <f t="shared" si="1"/>
        <v>0</v>
      </c>
      <c r="M31" s="35">
        <f>IF(D31/Frequency!$N$7=1,1,0)*E31</f>
        <v>0</v>
      </c>
      <c r="N31" s="35">
        <f t="shared" si="2"/>
        <v>0</v>
      </c>
      <c r="O31" s="35">
        <f>IF(AND(D31/Frequency!$N$7&gt;1, D31/Frequency!$N$7&lt;=2),1,0)*E31</f>
        <v>0</v>
      </c>
      <c r="P31" s="35">
        <f t="shared" si="3"/>
        <v>0</v>
      </c>
      <c r="Q31" s="35">
        <f>IF(AND(D31/Frequency!$N$7&gt;2,D31/Frequency!$N$7&lt;=5),1,0)*E31</f>
        <v>0</v>
      </c>
      <c r="R31" s="35">
        <f t="shared" si="4"/>
        <v>0</v>
      </c>
      <c r="S31" s="35">
        <f>IF(AND(D31/Frequency!$N$7&gt;5, D31/Frequency!$N$7&lt;=10),1,0)*E31</f>
        <v>0</v>
      </c>
      <c r="T31" s="35">
        <f t="shared" si="5"/>
        <v>0</v>
      </c>
      <c r="U31" s="35">
        <f>IF(AND(D31/Frequency!$N$7&gt;10, D31/Frequency!$N$7&lt;=20),1,0)*E31</f>
        <v>0</v>
      </c>
      <c r="V31" s="35">
        <f t="shared" si="6"/>
        <v>0</v>
      </c>
      <c r="W31" s="35">
        <f>IF(AND(D31/Frequency!$N$7&gt;20, D31/Frequency!$N$7&lt;=30),1,0)*E31</f>
        <v>0</v>
      </c>
      <c r="X31" s="35">
        <f t="shared" si="7"/>
        <v>0</v>
      </c>
      <c r="Y31" s="35">
        <f>IF(AND(D31/Frequency!$N$7&gt;30, D31/Frequency!$N$7&lt;=50),1,0)*E31</f>
        <v>0</v>
      </c>
      <c r="Z31" s="35">
        <f t="shared" si="8"/>
        <v>0</v>
      </c>
      <c r="AA31" s="35">
        <f>IF(AND(D31/Frequency!$N$7&gt;50, D31/Frequency!$N$7&lt;=100),1,0)*E31</f>
        <v>5</v>
      </c>
      <c r="AB31" s="35">
        <f t="shared" si="9"/>
        <v>500</v>
      </c>
      <c r="AC31" s="35">
        <f>IF(D31/Frequency!$N$7&gt;100,1,0)*E31</f>
        <v>0</v>
      </c>
      <c r="AD31" s="35">
        <f t="shared" si="10"/>
        <v>0</v>
      </c>
      <c r="AE31" s="22">
        <f t="shared" si="11"/>
        <v>0</v>
      </c>
      <c r="AF31" s="22">
        <f t="shared" si="12"/>
        <v>0</v>
      </c>
      <c r="AG31" s="22">
        <f t="shared" si="13"/>
        <v>0</v>
      </c>
      <c r="AH31" s="22">
        <f t="shared" si="14"/>
        <v>0</v>
      </c>
      <c r="AI31" s="35">
        <f t="shared" si="15"/>
        <v>0</v>
      </c>
      <c r="AJ31" s="35">
        <f t="shared" si="16"/>
        <v>0</v>
      </c>
      <c r="AK31" s="35">
        <f t="shared" si="17"/>
        <v>0</v>
      </c>
      <c r="AL31">
        <f t="shared" si="18"/>
        <v>0</v>
      </c>
      <c r="AM31">
        <f t="shared" si="19"/>
        <v>0</v>
      </c>
      <c r="AN31">
        <f t="shared" si="20"/>
        <v>0</v>
      </c>
      <c r="AO31">
        <f t="shared" si="21"/>
        <v>0</v>
      </c>
      <c r="AP31">
        <f t="shared" si="22"/>
        <v>0</v>
      </c>
      <c r="AQ31">
        <f t="shared" si="23"/>
        <v>0</v>
      </c>
      <c r="AR31">
        <f t="shared" si="24"/>
        <v>0</v>
      </c>
      <c r="AS31">
        <f t="shared" si="25"/>
        <v>0</v>
      </c>
      <c r="AT31">
        <f t="shared" si="26"/>
        <v>0</v>
      </c>
      <c r="AU31">
        <f t="shared" si="27"/>
        <v>0</v>
      </c>
      <c r="AV31">
        <v>0</v>
      </c>
      <c r="AW31">
        <v>0</v>
      </c>
      <c r="AX31">
        <f t="shared" si="28"/>
        <v>0</v>
      </c>
      <c r="AY31">
        <f t="shared" si="29"/>
        <v>0</v>
      </c>
      <c r="AZ31">
        <f t="shared" si="30"/>
        <v>0</v>
      </c>
      <c r="BA31">
        <f t="shared" si="31"/>
        <v>0</v>
      </c>
      <c r="BB31">
        <f t="shared" si="32"/>
        <v>0</v>
      </c>
      <c r="BC31">
        <f t="shared" si="33"/>
        <v>0</v>
      </c>
      <c r="BD31">
        <f t="shared" si="34"/>
        <v>0</v>
      </c>
      <c r="BE31">
        <f t="shared" si="35"/>
        <v>0</v>
      </c>
      <c r="BF31">
        <f t="shared" si="36"/>
        <v>0</v>
      </c>
      <c r="BG31">
        <f t="shared" si="37"/>
        <v>0</v>
      </c>
      <c r="BH31">
        <f t="shared" si="38"/>
        <v>0</v>
      </c>
      <c r="BI31">
        <f t="shared" si="39"/>
        <v>0</v>
      </c>
      <c r="BJ31">
        <v>0</v>
      </c>
      <c r="BK31" t="str">
        <f t="shared" si="51"/>
        <v>Huge Win</v>
      </c>
      <c r="BL31" s="40" t="str">
        <f t="shared" si="52"/>
        <v>Single Win</v>
      </c>
      <c r="BM31">
        <f>(D31/Frequency!$N$7-Summary!$C$7)^2*E31</f>
        <v>49163.527999999998</v>
      </c>
      <c r="BN31">
        <f t="shared" si="40"/>
        <v>0</v>
      </c>
      <c r="BO31">
        <f t="shared" si="41"/>
        <v>0</v>
      </c>
      <c r="BP31">
        <f t="shared" si="42"/>
        <v>0</v>
      </c>
      <c r="BQ31">
        <f t="shared" si="43"/>
        <v>0</v>
      </c>
      <c r="BR31">
        <f t="shared" si="44"/>
        <v>0</v>
      </c>
      <c r="BS31">
        <f t="shared" si="45"/>
        <v>0</v>
      </c>
      <c r="BT31">
        <f t="shared" si="46"/>
        <v>0</v>
      </c>
      <c r="BU31">
        <f t="shared" si="47"/>
        <v>0</v>
      </c>
      <c r="BV31">
        <f t="shared" si="48"/>
        <v>0</v>
      </c>
      <c r="BW31">
        <f t="shared" si="49"/>
        <v>0</v>
      </c>
      <c r="BX31">
        <f t="shared" si="50"/>
        <v>0</v>
      </c>
    </row>
    <row r="32" spans="2:76">
      <c r="B32" s="19">
        <f>Tiers!B33</f>
        <v>30</v>
      </c>
      <c r="C32" s="20" t="str">
        <f>Tiers!X33</f>
        <v>main-29|||||||||</v>
      </c>
      <c r="D32" s="21">
        <f>Tiers!C33</f>
        <v>200</v>
      </c>
      <c r="E32" s="22">
        <f>Frequency!E34</f>
        <v>2</v>
      </c>
      <c r="F32" s="22">
        <f t="shared" si="0"/>
        <v>400</v>
      </c>
      <c r="G32" s="20">
        <f>IF(AND(D32/Summary!$C$4&gt;0, D32/Summary!$C$4&lt;5),E32,0) * D32</f>
        <v>0</v>
      </c>
      <c r="H32" s="20">
        <f>IF(AND(D32/Summary!$C$4&gt;= 5, D32/Summary!$C$4&lt;10),E32,0) * D32</f>
        <v>0</v>
      </c>
      <c r="I32" s="20">
        <f>IF(AND(D32/Summary!$C$4&gt;=10, D32/Summary!$C$4&lt;25),E32,0)*D32</f>
        <v>0</v>
      </c>
      <c r="J32" s="20">
        <f>IF(D32/Summary!$C$4&gt;=25,E32,0)*D32</f>
        <v>400</v>
      </c>
      <c r="K32" s="35">
        <f>IF(AND(D32/Frequency!$N$7&gt;0, D32/Frequency!$N$7&lt;1),E32,0)</f>
        <v>0</v>
      </c>
      <c r="L32" s="35">
        <f t="shared" si="1"/>
        <v>0</v>
      </c>
      <c r="M32" s="35">
        <f>IF(D32/Frequency!$N$7=1,1,0)*E32</f>
        <v>0</v>
      </c>
      <c r="N32" s="35">
        <f t="shared" si="2"/>
        <v>0</v>
      </c>
      <c r="O32" s="35">
        <f>IF(AND(D32/Frequency!$N$7&gt;1, D32/Frequency!$N$7&lt;=2),1,0)*E32</f>
        <v>0</v>
      </c>
      <c r="P32" s="35">
        <f t="shared" si="3"/>
        <v>0</v>
      </c>
      <c r="Q32" s="35">
        <f>IF(AND(D32/Frequency!$N$7&gt;2,D32/Frequency!$N$7&lt;=5),1,0)*E32</f>
        <v>0</v>
      </c>
      <c r="R32" s="35">
        <f t="shared" si="4"/>
        <v>0</v>
      </c>
      <c r="S32" s="35">
        <f>IF(AND(D32/Frequency!$N$7&gt;5, D32/Frequency!$N$7&lt;=10),1,0)*E32</f>
        <v>0</v>
      </c>
      <c r="T32" s="35">
        <f t="shared" si="5"/>
        <v>0</v>
      </c>
      <c r="U32" s="35">
        <f>IF(AND(D32/Frequency!$N$7&gt;10, D32/Frequency!$N$7&lt;=20),1,0)*E32</f>
        <v>0</v>
      </c>
      <c r="V32" s="35">
        <f t="shared" si="6"/>
        <v>0</v>
      </c>
      <c r="W32" s="35">
        <f>IF(AND(D32/Frequency!$N$7&gt;20, D32/Frequency!$N$7&lt;=30),1,0)*E32</f>
        <v>0</v>
      </c>
      <c r="X32" s="35">
        <f t="shared" si="7"/>
        <v>0</v>
      </c>
      <c r="Y32" s="35">
        <f>IF(AND(D32/Frequency!$N$7&gt;30, D32/Frequency!$N$7&lt;=50),1,0)*E32</f>
        <v>0</v>
      </c>
      <c r="Z32" s="35">
        <f t="shared" si="8"/>
        <v>0</v>
      </c>
      <c r="AA32" s="35">
        <f>IF(AND(D32/Frequency!$N$7&gt;50, D32/Frequency!$N$7&lt;=100),1,0)*E32</f>
        <v>0</v>
      </c>
      <c r="AB32" s="35">
        <f t="shared" si="9"/>
        <v>0</v>
      </c>
      <c r="AC32" s="35">
        <f>IF(D32/Frequency!$N$7&gt;100,1,0)*E32</f>
        <v>2</v>
      </c>
      <c r="AD32" s="35">
        <f t="shared" si="10"/>
        <v>400</v>
      </c>
      <c r="AE32" s="22">
        <f t="shared" si="11"/>
        <v>0</v>
      </c>
      <c r="AF32" s="22">
        <f t="shared" si="12"/>
        <v>0</v>
      </c>
      <c r="AG32" s="22">
        <f t="shared" si="13"/>
        <v>0</v>
      </c>
      <c r="AH32" s="22">
        <f t="shared" si="14"/>
        <v>0</v>
      </c>
      <c r="AI32" s="35">
        <f t="shared" si="15"/>
        <v>0</v>
      </c>
      <c r="AJ32" s="35">
        <f t="shared" si="16"/>
        <v>0</v>
      </c>
      <c r="AK32" s="35">
        <f t="shared" si="17"/>
        <v>0</v>
      </c>
      <c r="AL32">
        <f t="shared" si="18"/>
        <v>0</v>
      </c>
      <c r="AM32">
        <f t="shared" si="19"/>
        <v>0</v>
      </c>
      <c r="AN32">
        <f t="shared" si="20"/>
        <v>0</v>
      </c>
      <c r="AO32">
        <f t="shared" si="21"/>
        <v>0</v>
      </c>
      <c r="AP32">
        <f t="shared" si="22"/>
        <v>0</v>
      </c>
      <c r="AQ32">
        <f t="shared" si="23"/>
        <v>0</v>
      </c>
      <c r="AR32">
        <f t="shared" si="24"/>
        <v>0</v>
      </c>
      <c r="AS32">
        <f t="shared" si="25"/>
        <v>0</v>
      </c>
      <c r="AT32">
        <f t="shared" si="26"/>
        <v>0</v>
      </c>
      <c r="AU32">
        <f t="shared" si="27"/>
        <v>0</v>
      </c>
      <c r="AV32">
        <v>0</v>
      </c>
      <c r="AW32">
        <v>0</v>
      </c>
      <c r="AX32">
        <f t="shared" si="28"/>
        <v>0</v>
      </c>
      <c r="AY32">
        <f t="shared" si="29"/>
        <v>0</v>
      </c>
      <c r="AZ32">
        <f t="shared" si="30"/>
        <v>0</v>
      </c>
      <c r="BA32">
        <f t="shared" si="31"/>
        <v>0</v>
      </c>
      <c r="BB32">
        <f t="shared" si="32"/>
        <v>0</v>
      </c>
      <c r="BC32">
        <f t="shared" si="33"/>
        <v>0</v>
      </c>
      <c r="BD32">
        <f t="shared" si="34"/>
        <v>0</v>
      </c>
      <c r="BE32">
        <f t="shared" si="35"/>
        <v>0</v>
      </c>
      <c r="BF32">
        <f t="shared" si="36"/>
        <v>0</v>
      </c>
      <c r="BG32">
        <f t="shared" si="37"/>
        <v>0</v>
      </c>
      <c r="BH32">
        <f t="shared" si="38"/>
        <v>0</v>
      </c>
      <c r="BI32">
        <f t="shared" si="39"/>
        <v>0</v>
      </c>
      <c r="BJ32">
        <v>0</v>
      </c>
      <c r="BK32" t="str">
        <f t="shared" si="51"/>
        <v>Huge Win</v>
      </c>
      <c r="BL32" s="40" t="str">
        <f t="shared" si="52"/>
        <v>Single Win</v>
      </c>
      <c r="BM32">
        <f>(D32/Frequency!$N$7-Summary!$C$7)^2*E32</f>
        <v>79329.411200000002</v>
      </c>
      <c r="BN32">
        <f t="shared" si="40"/>
        <v>0</v>
      </c>
      <c r="BO32">
        <f t="shared" si="41"/>
        <v>0</v>
      </c>
      <c r="BP32">
        <f t="shared" si="42"/>
        <v>0</v>
      </c>
      <c r="BQ32">
        <f t="shared" si="43"/>
        <v>0</v>
      </c>
      <c r="BR32">
        <f t="shared" si="44"/>
        <v>0</v>
      </c>
      <c r="BS32">
        <f t="shared" si="45"/>
        <v>0</v>
      </c>
      <c r="BT32">
        <f t="shared" si="46"/>
        <v>0</v>
      </c>
      <c r="BU32">
        <f t="shared" si="47"/>
        <v>0</v>
      </c>
      <c r="BV32">
        <f t="shared" si="48"/>
        <v>0</v>
      </c>
      <c r="BW32">
        <f t="shared" si="49"/>
        <v>0</v>
      </c>
      <c r="BX32">
        <f t="shared" si="50"/>
        <v>0</v>
      </c>
    </row>
    <row r="33" spans="2:76">
      <c r="B33" s="19">
        <f>Tiers!B34</f>
        <v>31</v>
      </c>
      <c r="C33" s="20" t="str">
        <f>Tiers!X34</f>
        <v>main-30|||||||||</v>
      </c>
      <c r="D33" s="21">
        <f>Tiers!C34</f>
        <v>1000</v>
      </c>
      <c r="E33" s="22">
        <f>Frequency!E35</f>
        <v>1</v>
      </c>
      <c r="F33" s="22">
        <f t="shared" si="0"/>
        <v>1000</v>
      </c>
      <c r="G33" s="20">
        <f>IF(AND(D33/Summary!$C$4&gt;0, D33/Summary!$C$4&lt;5),E33,0) * D33</f>
        <v>0</v>
      </c>
      <c r="H33" s="20">
        <f>IF(AND(D33/Summary!$C$4&gt;= 5, D33/Summary!$C$4&lt;10),E33,0) * D33</f>
        <v>0</v>
      </c>
      <c r="I33" s="20">
        <f>IF(AND(D33/Summary!$C$4&gt;=10, D33/Summary!$C$4&lt;25),E33,0)*D33</f>
        <v>0</v>
      </c>
      <c r="J33" s="20">
        <f>IF(D33/Summary!$C$4&gt;=25,E33,0)*D33</f>
        <v>1000</v>
      </c>
      <c r="K33" s="35">
        <f>IF(AND(D33/Frequency!$N$7&gt;0, D33/Frequency!$N$7&lt;1),E33,0)</f>
        <v>0</v>
      </c>
      <c r="L33" s="35">
        <f t="shared" si="1"/>
        <v>0</v>
      </c>
      <c r="M33" s="35">
        <f>IF(D33/Frequency!$N$7=1,1,0)*E33</f>
        <v>0</v>
      </c>
      <c r="N33" s="35">
        <f t="shared" si="2"/>
        <v>0</v>
      </c>
      <c r="O33" s="35">
        <f>IF(AND(D33/Frequency!$N$7&gt;1, D33/Frequency!$N$7&lt;=2),1,0)*E33</f>
        <v>0</v>
      </c>
      <c r="P33" s="35">
        <f t="shared" si="3"/>
        <v>0</v>
      </c>
      <c r="Q33" s="35">
        <f>IF(AND(D33/Frequency!$N$7&gt;2,D33/Frequency!$N$7&lt;=5),1,0)*E33</f>
        <v>0</v>
      </c>
      <c r="R33" s="35">
        <f t="shared" si="4"/>
        <v>0</v>
      </c>
      <c r="S33" s="35">
        <f>IF(AND(D33/Frequency!$N$7&gt;5, D33/Frequency!$N$7&lt;=10),1,0)*E33</f>
        <v>0</v>
      </c>
      <c r="T33" s="35">
        <f t="shared" si="5"/>
        <v>0</v>
      </c>
      <c r="U33" s="35">
        <f>IF(AND(D33/Frequency!$N$7&gt;10, D33/Frequency!$N$7&lt;=20),1,0)*E33</f>
        <v>0</v>
      </c>
      <c r="V33" s="35">
        <f t="shared" si="6"/>
        <v>0</v>
      </c>
      <c r="W33" s="35">
        <f>IF(AND(D33/Frequency!$N$7&gt;20, D33/Frequency!$N$7&lt;=30),1,0)*E33</f>
        <v>0</v>
      </c>
      <c r="X33" s="35">
        <f t="shared" si="7"/>
        <v>0</v>
      </c>
      <c r="Y33" s="35">
        <f>IF(AND(D33/Frequency!$N$7&gt;30, D33/Frequency!$N$7&lt;=50),1,0)*E33</f>
        <v>0</v>
      </c>
      <c r="Z33" s="35">
        <f t="shared" si="8"/>
        <v>0</v>
      </c>
      <c r="AA33" s="35">
        <f>IF(AND(D33/Frequency!$N$7&gt;50, D33/Frequency!$N$7&lt;=100),1,0)*E33</f>
        <v>0</v>
      </c>
      <c r="AB33" s="35">
        <f t="shared" si="9"/>
        <v>0</v>
      </c>
      <c r="AC33" s="35">
        <f>IF(D33/Frequency!$N$7&gt;100,1,0)*E33</f>
        <v>1</v>
      </c>
      <c r="AD33" s="35">
        <f t="shared" si="10"/>
        <v>1000</v>
      </c>
      <c r="AE33" s="22">
        <f t="shared" si="11"/>
        <v>0</v>
      </c>
      <c r="AF33" s="22">
        <f t="shared" si="12"/>
        <v>0</v>
      </c>
      <c r="AG33" s="22">
        <f t="shared" si="13"/>
        <v>0</v>
      </c>
      <c r="AH33" s="22">
        <f t="shared" si="14"/>
        <v>0</v>
      </c>
      <c r="AI33" s="35">
        <f t="shared" si="15"/>
        <v>0</v>
      </c>
      <c r="AJ33" s="35">
        <f t="shared" si="16"/>
        <v>0</v>
      </c>
      <c r="AK33" s="35">
        <f t="shared" si="17"/>
        <v>0</v>
      </c>
      <c r="AL33">
        <f t="shared" si="18"/>
        <v>0</v>
      </c>
      <c r="AM33">
        <f t="shared" si="19"/>
        <v>0</v>
      </c>
      <c r="AN33">
        <f t="shared" si="20"/>
        <v>0</v>
      </c>
      <c r="AO33">
        <f t="shared" si="21"/>
        <v>0</v>
      </c>
      <c r="AP33">
        <f t="shared" si="22"/>
        <v>0</v>
      </c>
      <c r="AQ33">
        <f t="shared" si="23"/>
        <v>0</v>
      </c>
      <c r="AR33">
        <f t="shared" si="24"/>
        <v>0</v>
      </c>
      <c r="AS33">
        <f t="shared" si="25"/>
        <v>0</v>
      </c>
      <c r="AT33">
        <f t="shared" si="26"/>
        <v>0</v>
      </c>
      <c r="AU33">
        <f t="shared" si="27"/>
        <v>0</v>
      </c>
      <c r="AV33">
        <v>0</v>
      </c>
      <c r="AW33">
        <v>0</v>
      </c>
      <c r="AX33">
        <f t="shared" si="28"/>
        <v>0</v>
      </c>
      <c r="AY33">
        <f t="shared" si="29"/>
        <v>0</v>
      </c>
      <c r="AZ33">
        <f t="shared" si="30"/>
        <v>0</v>
      </c>
      <c r="BA33">
        <f t="shared" si="31"/>
        <v>0</v>
      </c>
      <c r="BB33">
        <f t="shared" si="32"/>
        <v>0</v>
      </c>
      <c r="BC33">
        <f t="shared" si="33"/>
        <v>0</v>
      </c>
      <c r="BD33">
        <f t="shared" si="34"/>
        <v>0</v>
      </c>
      <c r="BE33">
        <f t="shared" si="35"/>
        <v>0</v>
      </c>
      <c r="BF33">
        <f t="shared" si="36"/>
        <v>0</v>
      </c>
      <c r="BG33">
        <f t="shared" si="37"/>
        <v>0</v>
      </c>
      <c r="BH33">
        <f t="shared" si="38"/>
        <v>0</v>
      </c>
      <c r="BI33">
        <f t="shared" si="39"/>
        <v>0</v>
      </c>
      <c r="BJ33">
        <v>0</v>
      </c>
      <c r="BK33" t="str">
        <f t="shared" si="51"/>
        <v>Top Prize</v>
      </c>
      <c r="BL33" s="40" t="str">
        <f t="shared" si="52"/>
        <v>Single Win</v>
      </c>
      <c r="BM33">
        <f>(D33/Frequency!$N$7-Summary!$C$7)^2*E33</f>
        <v>998320.70559999999</v>
      </c>
      <c r="BN33">
        <f t="shared" si="40"/>
        <v>0</v>
      </c>
      <c r="BO33">
        <f t="shared" si="41"/>
        <v>0</v>
      </c>
      <c r="BP33">
        <f t="shared" si="42"/>
        <v>0</v>
      </c>
      <c r="BQ33">
        <f t="shared" si="43"/>
        <v>0</v>
      </c>
      <c r="BR33">
        <f t="shared" si="44"/>
        <v>0</v>
      </c>
      <c r="BS33">
        <f t="shared" si="45"/>
        <v>0</v>
      </c>
      <c r="BT33">
        <f t="shared" si="46"/>
        <v>0</v>
      </c>
      <c r="BU33">
        <f t="shared" si="47"/>
        <v>0</v>
      </c>
      <c r="BV33">
        <f t="shared" si="48"/>
        <v>0</v>
      </c>
      <c r="BW33">
        <f t="shared" si="49"/>
        <v>0</v>
      </c>
      <c r="BX33">
        <f t="shared" si="50"/>
        <v>0</v>
      </c>
    </row>
    <row r="34" spans="2:76">
      <c r="B34" s="19">
        <f>Tiers!B35</f>
        <v>32</v>
      </c>
      <c r="C34" s="20" t="str">
        <f>Tiers!X35</f>
        <v>wild-0|||||||||</v>
      </c>
      <c r="D34" s="21">
        <f>Tiers!C35</f>
        <v>0.1</v>
      </c>
      <c r="E34" s="22">
        <f>Frequency!E36</f>
        <v>25000</v>
      </c>
      <c r="F34" s="22">
        <f t="shared" si="0"/>
        <v>2500</v>
      </c>
      <c r="G34" s="20">
        <f>IF(AND(D34/Summary!$C$4&gt;0, D34/Summary!$C$4&lt;5),E34,0) * D34</f>
        <v>2500</v>
      </c>
      <c r="H34" s="20">
        <f>IF(AND(D34/Summary!$C$4&gt;= 5, D34/Summary!$C$4&lt;10),E34,0) * D34</f>
        <v>0</v>
      </c>
      <c r="I34" s="20">
        <f>IF(AND(D34/Summary!$C$4&gt;=10, D34/Summary!$C$4&lt;25),E34,0)*D34</f>
        <v>0</v>
      </c>
      <c r="J34" s="20">
        <f>IF(D34/Summary!$C$4&gt;=25,E34,0)*D34</f>
        <v>0</v>
      </c>
      <c r="K34" s="35">
        <f>IF(AND(D34/Frequency!$N$7&gt;0, D34/Frequency!$N$7&lt;1),E34,0)</f>
        <v>25000</v>
      </c>
      <c r="L34" s="35">
        <f t="shared" si="1"/>
        <v>2500</v>
      </c>
      <c r="M34" s="35">
        <f>IF(D34/Frequency!$N$7=1,1,0)*E34</f>
        <v>0</v>
      </c>
      <c r="N34" s="35">
        <f t="shared" si="2"/>
        <v>0</v>
      </c>
      <c r="O34" s="35">
        <f>IF(AND(D34/Frequency!$N$7&gt;1, D34/Frequency!$N$7&lt;=2),1,0)*E34</f>
        <v>0</v>
      </c>
      <c r="P34" s="35">
        <f t="shared" si="3"/>
        <v>0</v>
      </c>
      <c r="Q34" s="35">
        <f>IF(AND(D34/Frequency!$N$7&gt;2,D34/Frequency!$N$7&lt;=5),1,0)*E34</f>
        <v>0</v>
      </c>
      <c r="R34" s="35">
        <f t="shared" si="4"/>
        <v>0</v>
      </c>
      <c r="S34" s="35">
        <f>IF(AND(D34/Frequency!$N$7&gt;5, D34/Frequency!$N$7&lt;=10),1,0)*E34</f>
        <v>0</v>
      </c>
      <c r="T34" s="35">
        <f t="shared" si="5"/>
        <v>0</v>
      </c>
      <c r="U34" s="35">
        <f>IF(AND(D34/Frequency!$N$7&gt;10, D34/Frequency!$N$7&lt;=20),1,0)*E34</f>
        <v>0</v>
      </c>
      <c r="V34" s="35">
        <f t="shared" si="6"/>
        <v>0</v>
      </c>
      <c r="W34" s="35">
        <f>IF(AND(D34/Frequency!$N$7&gt;20, D34/Frequency!$N$7&lt;=30),1,0)*E34</f>
        <v>0</v>
      </c>
      <c r="X34" s="35">
        <f t="shared" si="7"/>
        <v>0</v>
      </c>
      <c r="Y34" s="35">
        <f>IF(AND(D34/Frequency!$N$7&gt;30, D34/Frequency!$N$7&lt;=50),1,0)*E34</f>
        <v>0</v>
      </c>
      <c r="Z34" s="35">
        <f t="shared" si="8"/>
        <v>0</v>
      </c>
      <c r="AA34" s="35">
        <f>IF(AND(D34/Frequency!$N$7&gt;50, D34/Frequency!$N$7&lt;=100),1,0)*E34</f>
        <v>0</v>
      </c>
      <c r="AB34" s="35">
        <f t="shared" si="9"/>
        <v>0</v>
      </c>
      <c r="AC34" s="35">
        <f>IF(D34/Frequency!$N$7&gt;100,1,0)*E34</f>
        <v>0</v>
      </c>
      <c r="AD34" s="35">
        <f t="shared" si="10"/>
        <v>0</v>
      </c>
      <c r="AE34" s="22">
        <f t="shared" si="11"/>
        <v>0</v>
      </c>
      <c r="AF34" s="22">
        <f t="shared" si="12"/>
        <v>0</v>
      </c>
      <c r="AG34" s="22">
        <f t="shared" si="13"/>
        <v>0</v>
      </c>
      <c r="AH34" s="22">
        <f t="shared" si="14"/>
        <v>0</v>
      </c>
      <c r="AI34" s="35">
        <f t="shared" si="15"/>
        <v>0</v>
      </c>
      <c r="AJ34" s="35">
        <f t="shared" si="16"/>
        <v>0</v>
      </c>
      <c r="AK34" s="35">
        <f t="shared" si="17"/>
        <v>0</v>
      </c>
      <c r="AL34">
        <f t="shared" si="18"/>
        <v>1</v>
      </c>
      <c r="AM34">
        <f t="shared" si="19"/>
        <v>25000</v>
      </c>
      <c r="AN34">
        <f t="shared" si="20"/>
        <v>2500</v>
      </c>
      <c r="AO34">
        <f t="shared" si="21"/>
        <v>1</v>
      </c>
      <c r="AP34">
        <f t="shared" si="22"/>
        <v>25000</v>
      </c>
      <c r="AQ34">
        <f t="shared" si="23"/>
        <v>2500</v>
      </c>
      <c r="AR34">
        <f t="shared" si="24"/>
        <v>0</v>
      </c>
      <c r="AS34">
        <f t="shared" si="25"/>
        <v>0</v>
      </c>
      <c r="AT34">
        <f t="shared" si="26"/>
        <v>0</v>
      </c>
      <c r="AU34">
        <f t="shared" si="27"/>
        <v>0</v>
      </c>
      <c r="AV34">
        <v>0</v>
      </c>
      <c r="AW34">
        <v>0</v>
      </c>
      <c r="AX34">
        <f t="shared" si="28"/>
        <v>0</v>
      </c>
      <c r="AY34">
        <f t="shared" si="29"/>
        <v>0</v>
      </c>
      <c r="AZ34">
        <f t="shared" si="30"/>
        <v>0</v>
      </c>
      <c r="BA34">
        <f t="shared" si="31"/>
        <v>0</v>
      </c>
      <c r="BB34">
        <f t="shared" si="32"/>
        <v>0</v>
      </c>
      <c r="BC34">
        <f t="shared" si="33"/>
        <v>0</v>
      </c>
      <c r="BD34">
        <f t="shared" si="34"/>
        <v>0</v>
      </c>
      <c r="BE34">
        <f t="shared" si="35"/>
        <v>0</v>
      </c>
      <c r="BF34">
        <f t="shared" si="36"/>
        <v>0</v>
      </c>
      <c r="BG34">
        <f t="shared" si="37"/>
        <v>0</v>
      </c>
      <c r="BH34">
        <f t="shared" si="38"/>
        <v>0</v>
      </c>
      <c r="BI34">
        <f t="shared" si="39"/>
        <v>0</v>
      </c>
      <c r="BJ34">
        <v>0</v>
      </c>
      <c r="BK34" t="str">
        <f t="shared" si="51"/>
        <v>Less than Stake</v>
      </c>
      <c r="BL34" s="40" t="str">
        <f t="shared" si="52"/>
        <v>Single Win</v>
      </c>
      <c r="BM34">
        <f>(D34/Frequency!$N$7-Summary!$C$7)^2*E34</f>
        <v>13690</v>
      </c>
      <c r="BN34">
        <f t="shared" si="40"/>
        <v>0</v>
      </c>
      <c r="BO34">
        <f t="shared" si="41"/>
        <v>0</v>
      </c>
      <c r="BP34">
        <f t="shared" si="42"/>
        <v>0</v>
      </c>
      <c r="BQ34">
        <f t="shared" si="43"/>
        <v>0</v>
      </c>
      <c r="BR34">
        <f t="shared" si="44"/>
        <v>0</v>
      </c>
      <c r="BS34">
        <f t="shared" si="45"/>
        <v>0</v>
      </c>
      <c r="BT34">
        <f t="shared" si="46"/>
        <v>0</v>
      </c>
      <c r="BU34">
        <f t="shared" si="47"/>
        <v>0</v>
      </c>
      <c r="BV34">
        <f t="shared" si="48"/>
        <v>0</v>
      </c>
      <c r="BW34">
        <f t="shared" si="49"/>
        <v>0</v>
      </c>
      <c r="BX34">
        <f t="shared" si="50"/>
        <v>0</v>
      </c>
    </row>
    <row r="35" spans="2:76">
      <c r="B35" s="19">
        <f>Tiers!B36</f>
        <v>33</v>
      </c>
      <c r="C35" s="20" t="str">
        <f>Tiers!X36</f>
        <v>wild-1|||||||||</v>
      </c>
      <c r="D35" s="21">
        <f>Tiers!C36</f>
        <v>0.2</v>
      </c>
      <c r="E35" s="22">
        <f>Frequency!E37</f>
        <v>20000</v>
      </c>
      <c r="F35" s="22">
        <f t="shared" si="0"/>
        <v>4000</v>
      </c>
      <c r="G35" s="20">
        <f>IF(AND(D35/Summary!$C$4&gt;0, D35/Summary!$C$4&lt;5),E35,0) * D35</f>
        <v>4000</v>
      </c>
      <c r="H35" s="20">
        <f>IF(AND(D35/Summary!$C$4&gt;= 5, D35/Summary!$C$4&lt;10),E35,0) * D35</f>
        <v>0</v>
      </c>
      <c r="I35" s="20">
        <f>IF(AND(D35/Summary!$C$4&gt;=10, D35/Summary!$C$4&lt;25),E35,0)*D35</f>
        <v>0</v>
      </c>
      <c r="J35" s="20">
        <f>IF(D35/Summary!$C$4&gt;=25,E35,0)*D35</f>
        <v>0</v>
      </c>
      <c r="K35" s="35">
        <f>IF(AND(D35/Frequency!$N$7&gt;0, D35/Frequency!$N$7&lt;1),E35,0)</f>
        <v>20000</v>
      </c>
      <c r="L35" s="35">
        <f t="shared" si="1"/>
        <v>4000</v>
      </c>
      <c r="M35" s="35">
        <f>IF(D35/Frequency!$N$7=1,1,0)*E35</f>
        <v>0</v>
      </c>
      <c r="N35" s="35">
        <f t="shared" si="2"/>
        <v>0</v>
      </c>
      <c r="O35" s="35">
        <f>IF(AND(D35/Frequency!$N$7&gt;1, D35/Frequency!$N$7&lt;=2),1,0)*E35</f>
        <v>0</v>
      </c>
      <c r="P35" s="35">
        <f t="shared" si="3"/>
        <v>0</v>
      </c>
      <c r="Q35" s="35">
        <f>IF(AND(D35/Frequency!$N$7&gt;2,D35/Frequency!$N$7&lt;=5),1,0)*E35</f>
        <v>0</v>
      </c>
      <c r="R35" s="35">
        <f t="shared" si="4"/>
        <v>0</v>
      </c>
      <c r="S35" s="35">
        <f>IF(AND(D35/Frequency!$N$7&gt;5, D35/Frequency!$N$7&lt;=10),1,0)*E35</f>
        <v>0</v>
      </c>
      <c r="T35" s="35">
        <f t="shared" si="5"/>
        <v>0</v>
      </c>
      <c r="U35" s="35">
        <f>IF(AND(D35/Frequency!$N$7&gt;10, D35/Frequency!$N$7&lt;=20),1,0)*E35</f>
        <v>0</v>
      </c>
      <c r="V35" s="35">
        <f t="shared" si="6"/>
        <v>0</v>
      </c>
      <c r="W35" s="35">
        <f>IF(AND(D35/Frequency!$N$7&gt;20, D35/Frequency!$N$7&lt;=30),1,0)*E35</f>
        <v>0</v>
      </c>
      <c r="X35" s="35">
        <f t="shared" si="7"/>
        <v>0</v>
      </c>
      <c r="Y35" s="35">
        <f>IF(AND(D35/Frequency!$N$7&gt;30, D35/Frequency!$N$7&lt;=50),1,0)*E35</f>
        <v>0</v>
      </c>
      <c r="Z35" s="35">
        <f t="shared" si="8"/>
        <v>0</v>
      </c>
      <c r="AA35" s="35">
        <f>IF(AND(D35/Frequency!$N$7&gt;50, D35/Frequency!$N$7&lt;=100),1,0)*E35</f>
        <v>0</v>
      </c>
      <c r="AB35" s="35">
        <f t="shared" si="9"/>
        <v>0</v>
      </c>
      <c r="AC35" s="35">
        <f>IF(D35/Frequency!$N$7&gt;100,1,0)*E35</f>
        <v>0</v>
      </c>
      <c r="AD35" s="35">
        <f t="shared" si="10"/>
        <v>0</v>
      </c>
      <c r="AE35" s="22">
        <f t="shared" si="11"/>
        <v>0</v>
      </c>
      <c r="AF35" s="22">
        <f t="shared" si="12"/>
        <v>0</v>
      </c>
      <c r="AG35" s="22">
        <f t="shared" si="13"/>
        <v>0</v>
      </c>
      <c r="AH35" s="22">
        <f t="shared" si="14"/>
        <v>0</v>
      </c>
      <c r="AI35" s="35">
        <f t="shared" si="15"/>
        <v>0</v>
      </c>
      <c r="AJ35" s="35">
        <f t="shared" si="16"/>
        <v>0</v>
      </c>
      <c r="AK35" s="35">
        <f t="shared" si="17"/>
        <v>0</v>
      </c>
      <c r="AL35">
        <f t="shared" si="18"/>
        <v>1</v>
      </c>
      <c r="AM35">
        <f t="shared" si="19"/>
        <v>20000</v>
      </c>
      <c r="AN35">
        <f t="shared" si="20"/>
        <v>4000</v>
      </c>
      <c r="AO35">
        <f t="shared" si="21"/>
        <v>1</v>
      </c>
      <c r="AP35">
        <f t="shared" si="22"/>
        <v>20000</v>
      </c>
      <c r="AQ35">
        <f t="shared" si="23"/>
        <v>4000</v>
      </c>
      <c r="AR35">
        <f t="shared" si="24"/>
        <v>0</v>
      </c>
      <c r="AS35">
        <f t="shared" si="25"/>
        <v>0</v>
      </c>
      <c r="AT35">
        <f t="shared" si="26"/>
        <v>0</v>
      </c>
      <c r="AU35">
        <f t="shared" si="27"/>
        <v>0</v>
      </c>
      <c r="AV35">
        <v>0</v>
      </c>
      <c r="AW35">
        <v>0</v>
      </c>
      <c r="AX35">
        <f t="shared" si="28"/>
        <v>0</v>
      </c>
      <c r="AY35">
        <f t="shared" si="29"/>
        <v>0</v>
      </c>
      <c r="AZ35">
        <f t="shared" si="30"/>
        <v>0</v>
      </c>
      <c r="BA35">
        <f t="shared" si="31"/>
        <v>0</v>
      </c>
      <c r="BB35">
        <f t="shared" si="32"/>
        <v>0</v>
      </c>
      <c r="BC35">
        <f t="shared" si="33"/>
        <v>0</v>
      </c>
      <c r="BD35">
        <f t="shared" si="34"/>
        <v>0</v>
      </c>
      <c r="BE35">
        <f t="shared" si="35"/>
        <v>0</v>
      </c>
      <c r="BF35">
        <f t="shared" si="36"/>
        <v>0</v>
      </c>
      <c r="BG35">
        <f t="shared" si="37"/>
        <v>0</v>
      </c>
      <c r="BH35">
        <f t="shared" si="38"/>
        <v>0</v>
      </c>
      <c r="BI35">
        <f t="shared" si="39"/>
        <v>0</v>
      </c>
      <c r="BJ35">
        <v>0</v>
      </c>
      <c r="BK35" t="str">
        <f t="shared" ref="BK35:BK65" si="53">IF(D35 &lt; $D$417, $C$417,
IF(D35 = $D$418, $C$418,
IF(D35 &lt; $D$419, $C$419,
IF(D35 &lt; $D$420, $C$420,
IF(D35 &lt; $D$421, $C$421, $C$422)))))</f>
        <v>Less than Stake</v>
      </c>
      <c r="BL35" s="40" t="str">
        <f t="shared" ref="BL35:BL65" si="54">IF(AU35 = 1,$C$426,
IF(AV35 = 1,$C$427,
IF(AW35 = 1,$C$428,
IF(AX35 = 1,$C$429,
IF(BA35 = 1,$C$430,
IF(BD35 = 1,$C$431,
IF(BG35 = 1,$C$432,
IF(ISNUMBER(SEARCH("|||||||||",C35)), $C$433,$C$434))))))))</f>
        <v>Single Win</v>
      </c>
      <c r="BM35">
        <f>(D35/Frequency!$N$7-Summary!$C$7)^2*E35</f>
        <v>8191.9999999999973</v>
      </c>
      <c r="BN35">
        <f t="shared" si="40"/>
        <v>0</v>
      </c>
      <c r="BO35">
        <f t="shared" si="41"/>
        <v>0</v>
      </c>
      <c r="BP35">
        <f t="shared" si="42"/>
        <v>0</v>
      </c>
      <c r="BQ35">
        <f t="shared" si="43"/>
        <v>0</v>
      </c>
      <c r="BR35">
        <f t="shared" si="44"/>
        <v>0</v>
      </c>
      <c r="BS35">
        <f t="shared" si="45"/>
        <v>0</v>
      </c>
      <c r="BT35">
        <f t="shared" si="46"/>
        <v>0</v>
      </c>
      <c r="BU35">
        <f t="shared" si="47"/>
        <v>0</v>
      </c>
      <c r="BV35">
        <f t="shared" si="48"/>
        <v>0</v>
      </c>
      <c r="BW35">
        <f t="shared" si="49"/>
        <v>0</v>
      </c>
      <c r="BX35">
        <f t="shared" si="50"/>
        <v>0</v>
      </c>
    </row>
    <row r="36" spans="2:76">
      <c r="B36" s="19">
        <f>Tiers!B37</f>
        <v>34</v>
      </c>
      <c r="C36" s="20" t="str">
        <f>Tiers!X37</f>
        <v>wild-2|||||||||</v>
      </c>
      <c r="D36" s="21">
        <f>Tiers!C37</f>
        <v>0.5</v>
      </c>
      <c r="E36" s="22">
        <f>Frequency!E38</f>
        <v>15000</v>
      </c>
      <c r="F36" s="22">
        <f t="shared" si="0"/>
        <v>7500</v>
      </c>
      <c r="G36" s="20">
        <f>IF(AND(D36/Summary!$C$4&gt;0, D36/Summary!$C$4&lt;5),E36,0) * D36</f>
        <v>7500</v>
      </c>
      <c r="H36" s="20">
        <f>IF(AND(D36/Summary!$C$4&gt;= 5, D36/Summary!$C$4&lt;10),E36,0) * D36</f>
        <v>0</v>
      </c>
      <c r="I36" s="20">
        <f>IF(AND(D36/Summary!$C$4&gt;=10, D36/Summary!$C$4&lt;25),E36,0)*D36</f>
        <v>0</v>
      </c>
      <c r="J36" s="20">
        <f>IF(D36/Summary!$C$4&gt;=25,E36,0)*D36</f>
        <v>0</v>
      </c>
      <c r="K36" s="35">
        <f>IF(AND(D36/Frequency!$N$7&gt;0, D36/Frequency!$N$7&lt;1),E36,0)</f>
        <v>15000</v>
      </c>
      <c r="L36" s="35">
        <f t="shared" si="1"/>
        <v>7500</v>
      </c>
      <c r="M36" s="35">
        <f>IF(D36/Frequency!$N$7=1,1,0)*E36</f>
        <v>0</v>
      </c>
      <c r="N36" s="35">
        <f t="shared" si="2"/>
        <v>0</v>
      </c>
      <c r="O36" s="35">
        <f>IF(AND(D36/Frequency!$N$7&gt;1, D36/Frequency!$N$7&lt;=2),1,0)*E36</f>
        <v>0</v>
      </c>
      <c r="P36" s="35">
        <f t="shared" si="3"/>
        <v>0</v>
      </c>
      <c r="Q36" s="35">
        <f>IF(AND(D36/Frequency!$N$7&gt;2,D36/Frequency!$N$7&lt;=5),1,0)*E36</f>
        <v>0</v>
      </c>
      <c r="R36" s="35">
        <f t="shared" si="4"/>
        <v>0</v>
      </c>
      <c r="S36" s="35">
        <f>IF(AND(D36/Frequency!$N$7&gt;5, D36/Frequency!$N$7&lt;=10),1,0)*E36</f>
        <v>0</v>
      </c>
      <c r="T36" s="35">
        <f t="shared" si="5"/>
        <v>0</v>
      </c>
      <c r="U36" s="35">
        <f>IF(AND(D36/Frequency!$N$7&gt;10, D36/Frequency!$N$7&lt;=20),1,0)*E36</f>
        <v>0</v>
      </c>
      <c r="V36" s="35">
        <f t="shared" si="6"/>
        <v>0</v>
      </c>
      <c r="W36" s="35">
        <f>IF(AND(D36/Frequency!$N$7&gt;20, D36/Frequency!$N$7&lt;=30),1,0)*E36</f>
        <v>0</v>
      </c>
      <c r="X36" s="35">
        <f t="shared" si="7"/>
        <v>0</v>
      </c>
      <c r="Y36" s="35">
        <f>IF(AND(D36/Frequency!$N$7&gt;30, D36/Frequency!$N$7&lt;=50),1,0)*E36</f>
        <v>0</v>
      </c>
      <c r="Z36" s="35">
        <f t="shared" si="8"/>
        <v>0</v>
      </c>
      <c r="AA36" s="35">
        <f>IF(AND(D36/Frequency!$N$7&gt;50, D36/Frequency!$N$7&lt;=100),1,0)*E36</f>
        <v>0</v>
      </c>
      <c r="AB36" s="35">
        <f t="shared" si="9"/>
        <v>0</v>
      </c>
      <c r="AC36" s="35">
        <f>IF(D36/Frequency!$N$7&gt;100,1,0)*E36</f>
        <v>0</v>
      </c>
      <c r="AD36" s="35">
        <f t="shared" si="10"/>
        <v>0</v>
      </c>
      <c r="AE36" s="22">
        <f t="shared" si="11"/>
        <v>0</v>
      </c>
      <c r="AF36" s="22">
        <f t="shared" si="12"/>
        <v>0</v>
      </c>
      <c r="AG36" s="22">
        <f t="shared" si="13"/>
        <v>0</v>
      </c>
      <c r="AH36" s="22">
        <f t="shared" si="14"/>
        <v>0</v>
      </c>
      <c r="AI36" s="35">
        <f t="shared" si="15"/>
        <v>0</v>
      </c>
      <c r="AJ36" s="35">
        <f t="shared" si="16"/>
        <v>0</v>
      </c>
      <c r="AK36" s="35">
        <f t="shared" si="17"/>
        <v>0</v>
      </c>
      <c r="AL36">
        <f t="shared" si="18"/>
        <v>1</v>
      </c>
      <c r="AM36">
        <f t="shared" si="19"/>
        <v>15000</v>
      </c>
      <c r="AN36">
        <f t="shared" si="20"/>
        <v>7500</v>
      </c>
      <c r="AO36">
        <f t="shared" si="21"/>
        <v>1</v>
      </c>
      <c r="AP36">
        <f t="shared" si="22"/>
        <v>15000</v>
      </c>
      <c r="AQ36">
        <f t="shared" si="23"/>
        <v>7500</v>
      </c>
      <c r="AR36">
        <f t="shared" si="24"/>
        <v>0</v>
      </c>
      <c r="AS36">
        <f t="shared" si="25"/>
        <v>0</v>
      </c>
      <c r="AT36">
        <f t="shared" si="26"/>
        <v>0</v>
      </c>
      <c r="AU36">
        <f t="shared" si="27"/>
        <v>0</v>
      </c>
      <c r="AV36">
        <v>0</v>
      </c>
      <c r="AW36">
        <v>0</v>
      </c>
      <c r="AX36">
        <f t="shared" si="28"/>
        <v>0</v>
      </c>
      <c r="AY36">
        <f t="shared" si="29"/>
        <v>0</v>
      </c>
      <c r="AZ36">
        <f t="shared" si="30"/>
        <v>0</v>
      </c>
      <c r="BA36">
        <f t="shared" si="31"/>
        <v>0</v>
      </c>
      <c r="BB36">
        <f t="shared" si="32"/>
        <v>0</v>
      </c>
      <c r="BC36">
        <f t="shared" si="33"/>
        <v>0</v>
      </c>
      <c r="BD36">
        <f t="shared" si="34"/>
        <v>0</v>
      </c>
      <c r="BE36">
        <f t="shared" si="35"/>
        <v>0</v>
      </c>
      <c r="BF36">
        <f t="shared" si="36"/>
        <v>0</v>
      </c>
      <c r="BG36">
        <f t="shared" si="37"/>
        <v>0</v>
      </c>
      <c r="BH36">
        <f t="shared" si="38"/>
        <v>0</v>
      </c>
      <c r="BI36">
        <f t="shared" si="39"/>
        <v>0</v>
      </c>
      <c r="BJ36">
        <v>0</v>
      </c>
      <c r="BK36" t="str">
        <f t="shared" si="53"/>
        <v>Less than Stake</v>
      </c>
      <c r="BL36" s="40" t="str">
        <f t="shared" si="54"/>
        <v>Single Win</v>
      </c>
      <c r="BM36">
        <f>(D36/Frequency!$N$7-Summary!$C$7)^2*E36</f>
        <v>1733.9999999999998</v>
      </c>
      <c r="BN36">
        <f t="shared" si="40"/>
        <v>0</v>
      </c>
      <c r="BO36">
        <f t="shared" si="41"/>
        <v>0</v>
      </c>
      <c r="BP36">
        <f t="shared" si="42"/>
        <v>0</v>
      </c>
      <c r="BQ36">
        <f t="shared" si="43"/>
        <v>0</v>
      </c>
      <c r="BR36">
        <f t="shared" si="44"/>
        <v>0</v>
      </c>
      <c r="BS36">
        <f t="shared" si="45"/>
        <v>0</v>
      </c>
      <c r="BT36">
        <f t="shared" si="46"/>
        <v>0</v>
      </c>
      <c r="BU36">
        <f t="shared" si="47"/>
        <v>0</v>
      </c>
      <c r="BV36">
        <f t="shared" si="48"/>
        <v>0</v>
      </c>
      <c r="BW36">
        <f t="shared" si="49"/>
        <v>0</v>
      </c>
      <c r="BX36">
        <f t="shared" si="50"/>
        <v>0</v>
      </c>
    </row>
    <row r="37" spans="2:76">
      <c r="B37" s="19">
        <f>Tiers!B38</f>
        <v>35</v>
      </c>
      <c r="C37" s="20" t="str">
        <f>Tiers!X38</f>
        <v>wild-3|||||||||</v>
      </c>
      <c r="D37" s="21">
        <f>Tiers!C38</f>
        <v>1</v>
      </c>
      <c r="E37" s="22">
        <f>Frequency!E39</f>
        <v>20000</v>
      </c>
      <c r="F37" s="22">
        <f t="shared" si="0"/>
        <v>20000</v>
      </c>
      <c r="G37" s="20">
        <f>IF(AND(D37/Summary!$C$4&gt;0, D37/Summary!$C$4&lt;5),E37,0) * D37</f>
        <v>20000</v>
      </c>
      <c r="H37" s="20">
        <f>IF(AND(D37/Summary!$C$4&gt;= 5, D37/Summary!$C$4&lt;10),E37,0) * D37</f>
        <v>0</v>
      </c>
      <c r="I37" s="20">
        <f>IF(AND(D37/Summary!$C$4&gt;=10, D37/Summary!$C$4&lt;25),E37,0)*D37</f>
        <v>0</v>
      </c>
      <c r="J37" s="20">
        <f>IF(D37/Summary!$C$4&gt;=25,E37,0)*D37</f>
        <v>0</v>
      </c>
      <c r="K37" s="35">
        <f>IF(AND(D37/Frequency!$N$7&gt;0, D37/Frequency!$N$7&lt;1),E37,0)</f>
        <v>0</v>
      </c>
      <c r="L37" s="35">
        <f t="shared" si="1"/>
        <v>0</v>
      </c>
      <c r="M37" s="35">
        <f>IF(D37/Frequency!$N$7=1,1,0)*E37</f>
        <v>20000</v>
      </c>
      <c r="N37" s="35">
        <f t="shared" si="2"/>
        <v>20000</v>
      </c>
      <c r="O37" s="35">
        <f>IF(AND(D37/Frequency!$N$7&gt;1, D37/Frequency!$N$7&lt;=2),1,0)*E37</f>
        <v>0</v>
      </c>
      <c r="P37" s="35">
        <f t="shared" si="3"/>
        <v>0</v>
      </c>
      <c r="Q37" s="35">
        <f>IF(AND(D37/Frequency!$N$7&gt;2,D37/Frequency!$N$7&lt;=5),1,0)*E37</f>
        <v>0</v>
      </c>
      <c r="R37" s="35">
        <f t="shared" si="4"/>
        <v>0</v>
      </c>
      <c r="S37" s="35">
        <f>IF(AND(D37/Frequency!$N$7&gt;5, D37/Frequency!$N$7&lt;=10),1,0)*E37</f>
        <v>0</v>
      </c>
      <c r="T37" s="35">
        <f t="shared" si="5"/>
        <v>0</v>
      </c>
      <c r="U37" s="35">
        <f>IF(AND(D37/Frequency!$N$7&gt;10, D37/Frequency!$N$7&lt;=20),1,0)*E37</f>
        <v>0</v>
      </c>
      <c r="V37" s="35">
        <f t="shared" si="6"/>
        <v>0</v>
      </c>
      <c r="W37" s="35">
        <f>IF(AND(D37/Frequency!$N$7&gt;20, D37/Frequency!$N$7&lt;=30),1,0)*E37</f>
        <v>0</v>
      </c>
      <c r="X37" s="35">
        <f t="shared" si="7"/>
        <v>0</v>
      </c>
      <c r="Y37" s="35">
        <f>IF(AND(D37/Frequency!$N$7&gt;30, D37/Frequency!$N$7&lt;=50),1,0)*E37</f>
        <v>0</v>
      </c>
      <c r="Z37" s="35">
        <f t="shared" si="8"/>
        <v>0</v>
      </c>
      <c r="AA37" s="35">
        <f>IF(AND(D37/Frequency!$N$7&gt;50, D37/Frequency!$N$7&lt;=100),1,0)*E37</f>
        <v>0</v>
      </c>
      <c r="AB37" s="35">
        <f t="shared" si="9"/>
        <v>0</v>
      </c>
      <c r="AC37" s="35">
        <f>IF(D37/Frequency!$N$7&gt;100,1,0)*E37</f>
        <v>0</v>
      </c>
      <c r="AD37" s="35">
        <f t="shared" si="10"/>
        <v>0</v>
      </c>
      <c r="AE37" s="22">
        <f t="shared" si="11"/>
        <v>0</v>
      </c>
      <c r="AF37" s="22">
        <f t="shared" si="12"/>
        <v>0</v>
      </c>
      <c r="AG37" s="22">
        <f t="shared" si="13"/>
        <v>0</v>
      </c>
      <c r="AH37" s="22">
        <f t="shared" si="14"/>
        <v>0</v>
      </c>
      <c r="AI37" s="35">
        <f t="shared" si="15"/>
        <v>0</v>
      </c>
      <c r="AJ37" s="35">
        <f t="shared" si="16"/>
        <v>0</v>
      </c>
      <c r="AK37" s="35">
        <f t="shared" si="17"/>
        <v>0</v>
      </c>
      <c r="AL37">
        <f t="shared" si="18"/>
        <v>1</v>
      </c>
      <c r="AM37">
        <f t="shared" si="19"/>
        <v>20000</v>
      </c>
      <c r="AN37">
        <f t="shared" si="20"/>
        <v>20000</v>
      </c>
      <c r="AO37">
        <f t="shared" si="21"/>
        <v>1</v>
      </c>
      <c r="AP37">
        <f t="shared" si="22"/>
        <v>20000</v>
      </c>
      <c r="AQ37">
        <f t="shared" si="23"/>
        <v>20000</v>
      </c>
      <c r="AR37">
        <f t="shared" si="24"/>
        <v>0</v>
      </c>
      <c r="AS37">
        <f t="shared" si="25"/>
        <v>0</v>
      </c>
      <c r="AT37">
        <f t="shared" si="26"/>
        <v>0</v>
      </c>
      <c r="AU37">
        <f t="shared" si="27"/>
        <v>0</v>
      </c>
      <c r="AV37">
        <v>0</v>
      </c>
      <c r="AW37">
        <v>0</v>
      </c>
      <c r="AX37">
        <f t="shared" si="28"/>
        <v>0</v>
      </c>
      <c r="AY37">
        <f t="shared" si="29"/>
        <v>0</v>
      </c>
      <c r="AZ37">
        <f t="shared" si="30"/>
        <v>0</v>
      </c>
      <c r="BA37">
        <f t="shared" si="31"/>
        <v>0</v>
      </c>
      <c r="BB37">
        <f t="shared" si="32"/>
        <v>0</v>
      </c>
      <c r="BC37">
        <f t="shared" si="33"/>
        <v>0</v>
      </c>
      <c r="BD37">
        <f t="shared" si="34"/>
        <v>0</v>
      </c>
      <c r="BE37">
        <f t="shared" si="35"/>
        <v>0</v>
      </c>
      <c r="BF37">
        <f t="shared" si="36"/>
        <v>0</v>
      </c>
      <c r="BG37">
        <f t="shared" si="37"/>
        <v>0</v>
      </c>
      <c r="BH37">
        <f t="shared" si="38"/>
        <v>0</v>
      </c>
      <c r="BI37">
        <f t="shared" si="39"/>
        <v>0</v>
      </c>
      <c r="BJ37">
        <v>0</v>
      </c>
      <c r="BK37" t="str">
        <f t="shared" si="53"/>
        <v>Stake Back</v>
      </c>
      <c r="BL37" s="40" t="str">
        <f t="shared" si="54"/>
        <v>Single Win</v>
      </c>
      <c r="BM37">
        <f>(D37/Frequency!$N$7-Summary!$C$7)^2*E37</f>
        <v>512.00000000000023</v>
      </c>
      <c r="BN37">
        <f t="shared" si="40"/>
        <v>0</v>
      </c>
      <c r="BO37">
        <f t="shared" si="41"/>
        <v>0</v>
      </c>
      <c r="BP37">
        <f t="shared" si="42"/>
        <v>0</v>
      </c>
      <c r="BQ37">
        <f t="shared" si="43"/>
        <v>0</v>
      </c>
      <c r="BR37">
        <f t="shared" si="44"/>
        <v>0</v>
      </c>
      <c r="BS37">
        <f t="shared" si="45"/>
        <v>0</v>
      </c>
      <c r="BT37">
        <f t="shared" si="46"/>
        <v>0</v>
      </c>
      <c r="BU37">
        <f t="shared" si="47"/>
        <v>0</v>
      </c>
      <c r="BV37">
        <f t="shared" si="48"/>
        <v>0</v>
      </c>
      <c r="BW37">
        <f t="shared" si="49"/>
        <v>0</v>
      </c>
      <c r="BX37">
        <f t="shared" si="50"/>
        <v>0</v>
      </c>
    </row>
    <row r="38" spans="2:76">
      <c r="B38" s="19">
        <f>Tiers!B39</f>
        <v>36</v>
      </c>
      <c r="C38" s="20" t="str">
        <f>Tiers!X39</f>
        <v>wild-4|||||||||</v>
      </c>
      <c r="D38" s="21">
        <f>Tiers!C39</f>
        <v>2</v>
      </c>
      <c r="E38" s="22">
        <f>Frequency!E40</f>
        <v>10000</v>
      </c>
      <c r="F38" s="22">
        <f t="shared" si="0"/>
        <v>20000</v>
      </c>
      <c r="G38" s="20">
        <f>IF(AND(D38/Summary!$C$4&gt;0, D38/Summary!$C$4&lt;5),E38,0) * D38</f>
        <v>20000</v>
      </c>
      <c r="H38" s="20">
        <f>IF(AND(D38/Summary!$C$4&gt;= 5, D38/Summary!$C$4&lt;10),E38,0) * D38</f>
        <v>0</v>
      </c>
      <c r="I38" s="20">
        <f>IF(AND(D38/Summary!$C$4&gt;=10, D38/Summary!$C$4&lt;25),E38,0)*D38</f>
        <v>0</v>
      </c>
      <c r="J38" s="20">
        <f>IF(D38/Summary!$C$4&gt;=25,E38,0)*D38</f>
        <v>0</v>
      </c>
      <c r="K38" s="35">
        <f>IF(AND(D38/Frequency!$N$7&gt;0, D38/Frequency!$N$7&lt;1),E38,0)</f>
        <v>0</v>
      </c>
      <c r="L38" s="35">
        <f t="shared" si="1"/>
        <v>0</v>
      </c>
      <c r="M38" s="35">
        <f>IF(D38/Frequency!$N$7=1,1,0)*E38</f>
        <v>0</v>
      </c>
      <c r="N38" s="35">
        <f t="shared" si="2"/>
        <v>0</v>
      </c>
      <c r="O38" s="35">
        <f>IF(AND(D38/Frequency!$N$7&gt;1, D38/Frequency!$N$7&lt;=2),1,0)*E38</f>
        <v>10000</v>
      </c>
      <c r="P38" s="35">
        <f t="shared" si="3"/>
        <v>20000</v>
      </c>
      <c r="Q38" s="35">
        <f>IF(AND(D38/Frequency!$N$7&gt;2,D38/Frequency!$N$7&lt;=5),1,0)*E38</f>
        <v>0</v>
      </c>
      <c r="R38" s="35">
        <f t="shared" si="4"/>
        <v>0</v>
      </c>
      <c r="S38" s="35">
        <f>IF(AND(D38/Frequency!$N$7&gt;5, D38/Frequency!$N$7&lt;=10),1,0)*E38</f>
        <v>0</v>
      </c>
      <c r="T38" s="35">
        <f t="shared" si="5"/>
        <v>0</v>
      </c>
      <c r="U38" s="35">
        <f>IF(AND(D38/Frequency!$N$7&gt;10, D38/Frequency!$N$7&lt;=20),1,0)*E38</f>
        <v>0</v>
      </c>
      <c r="V38" s="35">
        <f t="shared" si="6"/>
        <v>0</v>
      </c>
      <c r="W38" s="35">
        <f>IF(AND(D38/Frequency!$N$7&gt;20, D38/Frequency!$N$7&lt;=30),1,0)*E38</f>
        <v>0</v>
      </c>
      <c r="X38" s="35">
        <f t="shared" si="7"/>
        <v>0</v>
      </c>
      <c r="Y38" s="35">
        <f>IF(AND(D38/Frequency!$N$7&gt;30, D38/Frequency!$N$7&lt;=50),1,0)*E38</f>
        <v>0</v>
      </c>
      <c r="Z38" s="35">
        <f t="shared" si="8"/>
        <v>0</v>
      </c>
      <c r="AA38" s="35">
        <f>IF(AND(D38/Frequency!$N$7&gt;50, D38/Frequency!$N$7&lt;=100),1,0)*E38</f>
        <v>0</v>
      </c>
      <c r="AB38" s="35">
        <f t="shared" si="9"/>
        <v>0</v>
      </c>
      <c r="AC38" s="35">
        <f>IF(D38/Frequency!$N$7&gt;100,1,0)*E38</f>
        <v>0</v>
      </c>
      <c r="AD38" s="35">
        <f t="shared" si="10"/>
        <v>0</v>
      </c>
      <c r="AE38" s="22">
        <f t="shared" si="11"/>
        <v>0</v>
      </c>
      <c r="AF38" s="22">
        <f t="shared" si="12"/>
        <v>0</v>
      </c>
      <c r="AG38" s="22">
        <f t="shared" si="13"/>
        <v>0</v>
      </c>
      <c r="AH38" s="22">
        <f t="shared" si="14"/>
        <v>0</v>
      </c>
      <c r="AI38" s="35">
        <f t="shared" si="15"/>
        <v>0</v>
      </c>
      <c r="AJ38" s="35">
        <f t="shared" si="16"/>
        <v>0</v>
      </c>
      <c r="AK38" s="35">
        <f t="shared" si="17"/>
        <v>0</v>
      </c>
      <c r="AL38">
        <f t="shared" si="18"/>
        <v>1</v>
      </c>
      <c r="AM38">
        <f t="shared" si="19"/>
        <v>10000</v>
      </c>
      <c r="AN38">
        <f t="shared" si="20"/>
        <v>20000</v>
      </c>
      <c r="AO38">
        <f t="shared" si="21"/>
        <v>1</v>
      </c>
      <c r="AP38">
        <f t="shared" si="22"/>
        <v>10000</v>
      </c>
      <c r="AQ38">
        <f t="shared" si="23"/>
        <v>20000</v>
      </c>
      <c r="AR38">
        <f t="shared" si="24"/>
        <v>0</v>
      </c>
      <c r="AS38">
        <f t="shared" si="25"/>
        <v>0</v>
      </c>
      <c r="AT38">
        <f t="shared" si="26"/>
        <v>0</v>
      </c>
      <c r="AU38">
        <f t="shared" si="27"/>
        <v>0</v>
      </c>
      <c r="AV38">
        <v>0</v>
      </c>
      <c r="AW38">
        <v>0</v>
      </c>
      <c r="AX38">
        <f t="shared" si="28"/>
        <v>0</v>
      </c>
      <c r="AY38">
        <f t="shared" si="29"/>
        <v>0</v>
      </c>
      <c r="AZ38">
        <f t="shared" si="30"/>
        <v>0</v>
      </c>
      <c r="BA38">
        <f t="shared" si="31"/>
        <v>0</v>
      </c>
      <c r="BB38">
        <f t="shared" si="32"/>
        <v>0</v>
      </c>
      <c r="BC38">
        <f t="shared" si="33"/>
        <v>0</v>
      </c>
      <c r="BD38">
        <f t="shared" si="34"/>
        <v>0</v>
      </c>
      <c r="BE38">
        <f t="shared" si="35"/>
        <v>0</v>
      </c>
      <c r="BF38">
        <f t="shared" si="36"/>
        <v>0</v>
      </c>
      <c r="BG38">
        <f t="shared" si="37"/>
        <v>0</v>
      </c>
      <c r="BH38">
        <f t="shared" si="38"/>
        <v>0</v>
      </c>
      <c r="BI38">
        <f t="shared" si="39"/>
        <v>0</v>
      </c>
      <c r="BJ38">
        <v>0</v>
      </c>
      <c r="BK38" t="str">
        <f t="shared" si="53"/>
        <v>Standard Win</v>
      </c>
      <c r="BL38" s="40" t="str">
        <f t="shared" si="54"/>
        <v>Single Win</v>
      </c>
      <c r="BM38">
        <f>(D38/Frequency!$N$7-Summary!$C$7)^2*E38</f>
        <v>13456.000000000004</v>
      </c>
      <c r="BN38">
        <f t="shared" si="40"/>
        <v>0</v>
      </c>
      <c r="BO38">
        <f t="shared" si="41"/>
        <v>0</v>
      </c>
      <c r="BP38">
        <f t="shared" si="42"/>
        <v>0</v>
      </c>
      <c r="BQ38">
        <f t="shared" si="43"/>
        <v>0</v>
      </c>
      <c r="BR38">
        <f t="shared" si="44"/>
        <v>0</v>
      </c>
      <c r="BS38">
        <f t="shared" si="45"/>
        <v>0</v>
      </c>
      <c r="BT38">
        <f t="shared" si="46"/>
        <v>0</v>
      </c>
      <c r="BU38">
        <f t="shared" si="47"/>
        <v>0</v>
      </c>
      <c r="BV38">
        <f t="shared" si="48"/>
        <v>0</v>
      </c>
      <c r="BW38">
        <f t="shared" si="49"/>
        <v>0</v>
      </c>
      <c r="BX38">
        <f t="shared" si="50"/>
        <v>0</v>
      </c>
    </row>
    <row r="39" spans="2:76">
      <c r="B39" s="19">
        <f>Tiers!B40</f>
        <v>37</v>
      </c>
      <c r="C39" s="20" t="str">
        <f>Tiers!X40</f>
        <v>wild-5|||||||||</v>
      </c>
      <c r="D39" s="21">
        <f>Tiers!C40</f>
        <v>5</v>
      </c>
      <c r="E39" s="22">
        <f>Frequency!E41</f>
        <v>1037</v>
      </c>
      <c r="F39" s="22">
        <f t="shared" si="0"/>
        <v>5185</v>
      </c>
      <c r="G39" s="20">
        <f>IF(AND(D39/Summary!$C$4&gt;0, D39/Summary!$C$4&lt;5),E39,0) * D39</f>
        <v>0</v>
      </c>
      <c r="H39" s="20">
        <f>IF(AND(D39/Summary!$C$4&gt;= 5, D39/Summary!$C$4&lt;10),E39,0) * D39</f>
        <v>5185</v>
      </c>
      <c r="I39" s="20">
        <f>IF(AND(D39/Summary!$C$4&gt;=10, D39/Summary!$C$4&lt;25),E39,0)*D39</f>
        <v>0</v>
      </c>
      <c r="J39" s="20">
        <f>IF(D39/Summary!$C$4&gt;=25,E39,0)*D39</f>
        <v>0</v>
      </c>
      <c r="K39" s="35">
        <f>IF(AND(D39/Frequency!$N$7&gt;0, D39/Frequency!$N$7&lt;1),E39,0)</f>
        <v>0</v>
      </c>
      <c r="L39" s="35">
        <f t="shared" si="1"/>
        <v>0</v>
      </c>
      <c r="M39" s="35">
        <f>IF(D39/Frequency!$N$7=1,1,0)*E39</f>
        <v>0</v>
      </c>
      <c r="N39" s="35">
        <f t="shared" si="2"/>
        <v>0</v>
      </c>
      <c r="O39" s="35">
        <f>IF(AND(D39/Frequency!$N$7&gt;1, D39/Frequency!$N$7&lt;=2),1,0)*E39</f>
        <v>0</v>
      </c>
      <c r="P39" s="35">
        <f t="shared" si="3"/>
        <v>0</v>
      </c>
      <c r="Q39" s="35">
        <f>IF(AND(D39/Frequency!$N$7&gt;2,D39/Frequency!$N$7&lt;=5),1,0)*E39</f>
        <v>1037</v>
      </c>
      <c r="R39" s="35">
        <f t="shared" si="4"/>
        <v>5185</v>
      </c>
      <c r="S39" s="35">
        <f>IF(AND(D39/Frequency!$N$7&gt;5, D39/Frequency!$N$7&lt;=10),1,0)*E39</f>
        <v>0</v>
      </c>
      <c r="T39" s="35">
        <f t="shared" si="5"/>
        <v>0</v>
      </c>
      <c r="U39" s="35">
        <f>IF(AND(D39/Frequency!$N$7&gt;10, D39/Frequency!$N$7&lt;=20),1,0)*E39</f>
        <v>0</v>
      </c>
      <c r="V39" s="35">
        <f t="shared" si="6"/>
        <v>0</v>
      </c>
      <c r="W39" s="35">
        <f>IF(AND(D39/Frequency!$N$7&gt;20, D39/Frequency!$N$7&lt;=30),1,0)*E39</f>
        <v>0</v>
      </c>
      <c r="X39" s="35">
        <f t="shared" si="7"/>
        <v>0</v>
      </c>
      <c r="Y39" s="35">
        <f>IF(AND(D39/Frequency!$N$7&gt;30, D39/Frequency!$N$7&lt;=50),1,0)*E39</f>
        <v>0</v>
      </c>
      <c r="Z39" s="35">
        <f t="shared" si="8"/>
        <v>0</v>
      </c>
      <c r="AA39" s="35">
        <f>IF(AND(D39/Frequency!$N$7&gt;50, D39/Frequency!$N$7&lt;=100),1,0)*E39</f>
        <v>0</v>
      </c>
      <c r="AB39" s="35">
        <f t="shared" si="9"/>
        <v>0</v>
      </c>
      <c r="AC39" s="35">
        <f>IF(D39/Frequency!$N$7&gt;100,1,0)*E39</f>
        <v>0</v>
      </c>
      <c r="AD39" s="35">
        <f t="shared" si="10"/>
        <v>0</v>
      </c>
      <c r="AE39" s="22">
        <f t="shared" si="11"/>
        <v>0</v>
      </c>
      <c r="AF39" s="22">
        <f t="shared" si="12"/>
        <v>0</v>
      </c>
      <c r="AG39" s="22">
        <f t="shared" si="13"/>
        <v>0</v>
      </c>
      <c r="AH39" s="22">
        <f t="shared" si="14"/>
        <v>0</v>
      </c>
      <c r="AI39" s="35">
        <f t="shared" si="15"/>
        <v>0</v>
      </c>
      <c r="AJ39" s="35">
        <f t="shared" si="16"/>
        <v>0</v>
      </c>
      <c r="AK39" s="35">
        <f t="shared" si="17"/>
        <v>0</v>
      </c>
      <c r="AL39">
        <f t="shared" si="18"/>
        <v>1</v>
      </c>
      <c r="AM39">
        <f t="shared" si="19"/>
        <v>1037</v>
      </c>
      <c r="AN39">
        <f t="shared" si="20"/>
        <v>5185</v>
      </c>
      <c r="AO39">
        <f t="shared" si="21"/>
        <v>1</v>
      </c>
      <c r="AP39">
        <f t="shared" si="22"/>
        <v>1037</v>
      </c>
      <c r="AQ39">
        <f t="shared" si="23"/>
        <v>5185</v>
      </c>
      <c r="AR39">
        <f t="shared" si="24"/>
        <v>0</v>
      </c>
      <c r="AS39">
        <f t="shared" si="25"/>
        <v>0</v>
      </c>
      <c r="AT39">
        <f t="shared" si="26"/>
        <v>0</v>
      </c>
      <c r="AU39">
        <f t="shared" si="27"/>
        <v>0</v>
      </c>
      <c r="AV39">
        <v>0</v>
      </c>
      <c r="AW39">
        <v>0</v>
      </c>
      <c r="AX39">
        <f t="shared" si="28"/>
        <v>0</v>
      </c>
      <c r="AY39">
        <f t="shared" si="29"/>
        <v>0</v>
      </c>
      <c r="AZ39">
        <f t="shared" si="30"/>
        <v>0</v>
      </c>
      <c r="BA39">
        <f t="shared" si="31"/>
        <v>0</v>
      </c>
      <c r="BB39">
        <f t="shared" si="32"/>
        <v>0</v>
      </c>
      <c r="BC39">
        <f t="shared" si="33"/>
        <v>0</v>
      </c>
      <c r="BD39">
        <f t="shared" si="34"/>
        <v>0</v>
      </c>
      <c r="BE39">
        <f t="shared" si="35"/>
        <v>0</v>
      </c>
      <c r="BF39">
        <f t="shared" si="36"/>
        <v>0</v>
      </c>
      <c r="BG39">
        <f t="shared" si="37"/>
        <v>0</v>
      </c>
      <c r="BH39">
        <f t="shared" si="38"/>
        <v>0</v>
      </c>
      <c r="BI39">
        <f t="shared" si="39"/>
        <v>0</v>
      </c>
      <c r="BJ39">
        <v>0</v>
      </c>
      <c r="BK39" t="str">
        <f t="shared" si="53"/>
        <v>Standard Win</v>
      </c>
      <c r="BL39" s="40" t="str">
        <f t="shared" si="54"/>
        <v>Single Win</v>
      </c>
      <c r="BM39">
        <f>(D39/Frequency!$N$7-Summary!$C$7)^2*E39</f>
        <v>17945.907200000001</v>
      </c>
      <c r="BN39">
        <f t="shared" si="40"/>
        <v>0</v>
      </c>
      <c r="BO39">
        <f t="shared" si="41"/>
        <v>0</v>
      </c>
      <c r="BP39">
        <f t="shared" si="42"/>
        <v>0</v>
      </c>
      <c r="BQ39">
        <f t="shared" si="43"/>
        <v>0</v>
      </c>
      <c r="BR39">
        <f t="shared" si="44"/>
        <v>0</v>
      </c>
      <c r="BS39">
        <f t="shared" si="45"/>
        <v>0</v>
      </c>
      <c r="BT39">
        <f t="shared" si="46"/>
        <v>0</v>
      </c>
      <c r="BU39">
        <f t="shared" si="47"/>
        <v>0</v>
      </c>
      <c r="BV39">
        <f t="shared" si="48"/>
        <v>0</v>
      </c>
      <c r="BW39">
        <f t="shared" si="49"/>
        <v>0</v>
      </c>
      <c r="BX39">
        <f t="shared" si="50"/>
        <v>0</v>
      </c>
    </row>
    <row r="40" spans="2:76">
      <c r="B40" s="19">
        <f>Tiers!B41</f>
        <v>38</v>
      </c>
      <c r="C40" s="20" t="str">
        <f>Tiers!X41</f>
        <v>wild-6|||||||||</v>
      </c>
      <c r="D40" s="21">
        <f>Tiers!C41</f>
        <v>10</v>
      </c>
      <c r="E40" s="22">
        <f>Frequency!E42</f>
        <v>150</v>
      </c>
      <c r="F40" s="22">
        <f t="shared" si="0"/>
        <v>1500</v>
      </c>
      <c r="G40" s="20">
        <f>IF(AND(D40/Summary!$C$4&gt;0, D40/Summary!$C$4&lt;5),E40,0) * D40</f>
        <v>0</v>
      </c>
      <c r="H40" s="20">
        <f>IF(AND(D40/Summary!$C$4&gt;= 5, D40/Summary!$C$4&lt;10),E40,0) * D40</f>
        <v>0</v>
      </c>
      <c r="I40" s="20">
        <f>IF(AND(D40/Summary!$C$4&gt;=10, D40/Summary!$C$4&lt;25),E40,0)*D40</f>
        <v>1500</v>
      </c>
      <c r="J40" s="20">
        <f>IF(D40/Summary!$C$4&gt;=25,E40,0)*D40</f>
        <v>0</v>
      </c>
      <c r="K40" s="35">
        <f>IF(AND(D40/Frequency!$N$7&gt;0, D40/Frequency!$N$7&lt;1),E40,0)</f>
        <v>0</v>
      </c>
      <c r="L40" s="35">
        <f t="shared" si="1"/>
        <v>0</v>
      </c>
      <c r="M40" s="35">
        <f>IF(D40/Frequency!$N$7=1,1,0)*E40</f>
        <v>0</v>
      </c>
      <c r="N40" s="35">
        <f t="shared" si="2"/>
        <v>0</v>
      </c>
      <c r="O40" s="35">
        <f>IF(AND(D40/Frequency!$N$7&gt;1, D40/Frequency!$N$7&lt;=2),1,0)*E40</f>
        <v>0</v>
      </c>
      <c r="P40" s="35">
        <f t="shared" si="3"/>
        <v>0</v>
      </c>
      <c r="Q40" s="35">
        <f>IF(AND(D40/Frequency!$N$7&gt;2,D40/Frequency!$N$7&lt;=5),1,0)*E40</f>
        <v>0</v>
      </c>
      <c r="R40" s="35">
        <f t="shared" si="4"/>
        <v>0</v>
      </c>
      <c r="S40" s="35">
        <f>IF(AND(D40/Frequency!$N$7&gt;5, D40/Frequency!$N$7&lt;=10),1,0)*E40</f>
        <v>150</v>
      </c>
      <c r="T40" s="35">
        <f t="shared" si="5"/>
        <v>1500</v>
      </c>
      <c r="U40" s="35">
        <f>IF(AND(D40/Frequency!$N$7&gt;10, D40/Frequency!$N$7&lt;=20),1,0)*E40</f>
        <v>0</v>
      </c>
      <c r="V40" s="35">
        <f t="shared" si="6"/>
        <v>0</v>
      </c>
      <c r="W40" s="35">
        <f>IF(AND(D40/Frequency!$N$7&gt;20, D40/Frequency!$N$7&lt;=30),1,0)*E40</f>
        <v>0</v>
      </c>
      <c r="X40" s="35">
        <f t="shared" si="7"/>
        <v>0</v>
      </c>
      <c r="Y40" s="35">
        <f>IF(AND(D40/Frequency!$N$7&gt;30, D40/Frequency!$N$7&lt;=50),1,0)*E40</f>
        <v>0</v>
      </c>
      <c r="Z40" s="35">
        <f t="shared" si="8"/>
        <v>0</v>
      </c>
      <c r="AA40" s="35">
        <f>IF(AND(D40/Frequency!$N$7&gt;50, D40/Frequency!$N$7&lt;=100),1,0)*E40</f>
        <v>0</v>
      </c>
      <c r="AB40" s="35">
        <f t="shared" si="9"/>
        <v>0</v>
      </c>
      <c r="AC40" s="35">
        <f>IF(D40/Frequency!$N$7&gt;100,1,0)*E40</f>
        <v>0</v>
      </c>
      <c r="AD40" s="35">
        <f t="shared" si="10"/>
        <v>0</v>
      </c>
      <c r="AE40" s="22">
        <f t="shared" si="11"/>
        <v>0</v>
      </c>
      <c r="AF40" s="22">
        <f t="shared" si="12"/>
        <v>0</v>
      </c>
      <c r="AG40" s="22">
        <f t="shared" si="13"/>
        <v>0</v>
      </c>
      <c r="AH40" s="22">
        <f t="shared" si="14"/>
        <v>0</v>
      </c>
      <c r="AI40" s="35">
        <f t="shared" si="15"/>
        <v>0</v>
      </c>
      <c r="AJ40" s="35">
        <f t="shared" si="16"/>
        <v>0</v>
      </c>
      <c r="AK40" s="35">
        <f t="shared" si="17"/>
        <v>0</v>
      </c>
      <c r="AL40">
        <f t="shared" si="18"/>
        <v>1</v>
      </c>
      <c r="AM40">
        <f t="shared" si="19"/>
        <v>150</v>
      </c>
      <c r="AN40">
        <f t="shared" si="20"/>
        <v>1500</v>
      </c>
      <c r="AO40">
        <f t="shared" si="21"/>
        <v>1</v>
      </c>
      <c r="AP40">
        <f t="shared" si="22"/>
        <v>150</v>
      </c>
      <c r="AQ40">
        <f t="shared" si="23"/>
        <v>1500</v>
      </c>
      <c r="AR40">
        <f t="shared" si="24"/>
        <v>0</v>
      </c>
      <c r="AS40">
        <f t="shared" si="25"/>
        <v>0</v>
      </c>
      <c r="AT40">
        <f t="shared" si="26"/>
        <v>0</v>
      </c>
      <c r="AU40">
        <f t="shared" si="27"/>
        <v>0</v>
      </c>
      <c r="AV40">
        <v>0</v>
      </c>
      <c r="AW40">
        <v>0</v>
      </c>
      <c r="AX40">
        <f t="shared" si="28"/>
        <v>0</v>
      </c>
      <c r="AY40">
        <f t="shared" si="29"/>
        <v>0</v>
      </c>
      <c r="AZ40">
        <f t="shared" si="30"/>
        <v>0</v>
      </c>
      <c r="BA40">
        <f t="shared" si="31"/>
        <v>0</v>
      </c>
      <c r="BB40">
        <f t="shared" si="32"/>
        <v>0</v>
      </c>
      <c r="BC40">
        <f t="shared" si="33"/>
        <v>0</v>
      </c>
      <c r="BD40">
        <f t="shared" si="34"/>
        <v>0</v>
      </c>
      <c r="BE40">
        <f t="shared" si="35"/>
        <v>0</v>
      </c>
      <c r="BF40">
        <f t="shared" si="36"/>
        <v>0</v>
      </c>
      <c r="BG40">
        <f t="shared" si="37"/>
        <v>0</v>
      </c>
      <c r="BH40">
        <f t="shared" si="38"/>
        <v>0</v>
      </c>
      <c r="BI40">
        <f t="shared" si="39"/>
        <v>0</v>
      </c>
      <c r="BJ40">
        <v>0</v>
      </c>
      <c r="BK40" t="str">
        <f t="shared" si="53"/>
        <v>Big Win</v>
      </c>
      <c r="BL40" s="40" t="str">
        <f t="shared" si="54"/>
        <v>Single Win</v>
      </c>
      <c r="BM40">
        <f>(D40/Frequency!$N$7-Summary!$C$7)^2*E40</f>
        <v>12585.84</v>
      </c>
      <c r="BN40">
        <f t="shared" si="40"/>
        <v>0</v>
      </c>
      <c r="BO40">
        <f t="shared" si="41"/>
        <v>0</v>
      </c>
      <c r="BP40">
        <f t="shared" si="42"/>
        <v>0</v>
      </c>
      <c r="BQ40">
        <f t="shared" si="43"/>
        <v>0</v>
      </c>
      <c r="BR40">
        <f t="shared" si="44"/>
        <v>0</v>
      </c>
      <c r="BS40">
        <f t="shared" si="45"/>
        <v>0</v>
      </c>
      <c r="BT40">
        <f t="shared" si="46"/>
        <v>0</v>
      </c>
      <c r="BU40">
        <f t="shared" si="47"/>
        <v>0</v>
      </c>
      <c r="BV40">
        <f t="shared" si="48"/>
        <v>0</v>
      </c>
      <c r="BW40">
        <f t="shared" si="49"/>
        <v>0</v>
      </c>
      <c r="BX40">
        <f t="shared" si="50"/>
        <v>0</v>
      </c>
    </row>
    <row r="41" spans="2:76">
      <c r="B41" s="19">
        <f>Tiers!B42</f>
        <v>39</v>
      </c>
      <c r="C41" s="20" t="str">
        <f>Tiers!X42</f>
        <v>wild-7|||||||||</v>
      </c>
      <c r="D41" s="21">
        <f>Tiers!C42</f>
        <v>20</v>
      </c>
      <c r="E41" s="22">
        <f>Frequency!E43</f>
        <v>50</v>
      </c>
      <c r="F41" s="22">
        <f t="shared" si="0"/>
        <v>1000</v>
      </c>
      <c r="G41" s="20">
        <f>IF(AND(D41/Summary!$C$4&gt;0, D41/Summary!$C$4&lt;5),E41,0) * D41</f>
        <v>0</v>
      </c>
      <c r="H41" s="20">
        <f>IF(AND(D41/Summary!$C$4&gt;= 5, D41/Summary!$C$4&lt;10),E41,0) * D41</f>
        <v>0</v>
      </c>
      <c r="I41" s="20">
        <f>IF(AND(D41/Summary!$C$4&gt;=10, D41/Summary!$C$4&lt;25),E41,0)*D41</f>
        <v>1000</v>
      </c>
      <c r="J41" s="20">
        <f>IF(D41/Summary!$C$4&gt;=25,E41,0)*D41</f>
        <v>0</v>
      </c>
      <c r="K41" s="35">
        <f>IF(AND(D41/Frequency!$N$7&gt;0, D41/Frequency!$N$7&lt;1),E41,0)</f>
        <v>0</v>
      </c>
      <c r="L41" s="35">
        <f t="shared" si="1"/>
        <v>0</v>
      </c>
      <c r="M41" s="35">
        <f>IF(D41/Frequency!$N$7=1,1,0)*E41</f>
        <v>0</v>
      </c>
      <c r="N41" s="35">
        <f t="shared" si="2"/>
        <v>0</v>
      </c>
      <c r="O41" s="35">
        <f>IF(AND(D41/Frequency!$N$7&gt;1, D41/Frequency!$N$7&lt;=2),1,0)*E41</f>
        <v>0</v>
      </c>
      <c r="P41" s="35">
        <f t="shared" si="3"/>
        <v>0</v>
      </c>
      <c r="Q41" s="35">
        <f>IF(AND(D41/Frequency!$N$7&gt;2,D41/Frequency!$N$7&lt;=5),1,0)*E41</f>
        <v>0</v>
      </c>
      <c r="R41" s="35">
        <f t="shared" si="4"/>
        <v>0</v>
      </c>
      <c r="S41" s="35">
        <f>IF(AND(D41/Frequency!$N$7&gt;5, D41/Frequency!$N$7&lt;=10),1,0)*E41</f>
        <v>0</v>
      </c>
      <c r="T41" s="35">
        <f t="shared" si="5"/>
        <v>0</v>
      </c>
      <c r="U41" s="35">
        <f>IF(AND(D41/Frequency!$N$7&gt;10, D41/Frequency!$N$7&lt;=20),1,0)*E41</f>
        <v>50</v>
      </c>
      <c r="V41" s="35">
        <f t="shared" si="6"/>
        <v>1000</v>
      </c>
      <c r="W41" s="35">
        <f>IF(AND(D41/Frequency!$N$7&gt;20, D41/Frequency!$N$7&lt;=30),1,0)*E41</f>
        <v>0</v>
      </c>
      <c r="X41" s="35">
        <f t="shared" si="7"/>
        <v>0</v>
      </c>
      <c r="Y41" s="35">
        <f>IF(AND(D41/Frequency!$N$7&gt;30, D41/Frequency!$N$7&lt;=50),1,0)*E41</f>
        <v>0</v>
      </c>
      <c r="Z41" s="35">
        <f t="shared" si="8"/>
        <v>0</v>
      </c>
      <c r="AA41" s="35">
        <f>IF(AND(D41/Frequency!$N$7&gt;50, D41/Frequency!$N$7&lt;=100),1,0)*E41</f>
        <v>0</v>
      </c>
      <c r="AB41" s="35">
        <f t="shared" si="9"/>
        <v>0</v>
      </c>
      <c r="AC41" s="35">
        <f>IF(D41/Frequency!$N$7&gt;100,1,0)*E41</f>
        <v>0</v>
      </c>
      <c r="AD41" s="35">
        <f t="shared" si="10"/>
        <v>0</v>
      </c>
      <c r="AE41" s="22">
        <f t="shared" si="11"/>
        <v>0</v>
      </c>
      <c r="AF41" s="22">
        <f t="shared" si="12"/>
        <v>0</v>
      </c>
      <c r="AG41" s="22">
        <f t="shared" si="13"/>
        <v>0</v>
      </c>
      <c r="AH41" s="22">
        <f t="shared" si="14"/>
        <v>0</v>
      </c>
      <c r="AI41" s="35">
        <f t="shared" si="15"/>
        <v>0</v>
      </c>
      <c r="AJ41" s="35">
        <f t="shared" si="16"/>
        <v>0</v>
      </c>
      <c r="AK41" s="35">
        <f t="shared" si="17"/>
        <v>0</v>
      </c>
      <c r="AL41">
        <f t="shared" si="18"/>
        <v>1</v>
      </c>
      <c r="AM41">
        <f t="shared" si="19"/>
        <v>50</v>
      </c>
      <c r="AN41">
        <f t="shared" si="20"/>
        <v>1000</v>
      </c>
      <c r="AO41">
        <f t="shared" si="21"/>
        <v>1</v>
      </c>
      <c r="AP41">
        <f t="shared" si="22"/>
        <v>50</v>
      </c>
      <c r="AQ41">
        <f t="shared" si="23"/>
        <v>1000</v>
      </c>
      <c r="AR41">
        <f t="shared" si="24"/>
        <v>0</v>
      </c>
      <c r="AS41">
        <f t="shared" si="25"/>
        <v>0</v>
      </c>
      <c r="AT41">
        <f t="shared" si="26"/>
        <v>0</v>
      </c>
      <c r="AU41">
        <f t="shared" si="27"/>
        <v>0</v>
      </c>
      <c r="AV41">
        <v>0</v>
      </c>
      <c r="AW41">
        <v>0</v>
      </c>
      <c r="AX41">
        <f t="shared" si="28"/>
        <v>0</v>
      </c>
      <c r="AY41">
        <f t="shared" si="29"/>
        <v>0</v>
      </c>
      <c r="AZ41">
        <f t="shared" si="30"/>
        <v>0</v>
      </c>
      <c r="BA41">
        <f t="shared" si="31"/>
        <v>0</v>
      </c>
      <c r="BB41">
        <f t="shared" si="32"/>
        <v>0</v>
      </c>
      <c r="BC41">
        <f t="shared" si="33"/>
        <v>0</v>
      </c>
      <c r="BD41">
        <f t="shared" si="34"/>
        <v>0</v>
      </c>
      <c r="BE41">
        <f t="shared" si="35"/>
        <v>0</v>
      </c>
      <c r="BF41">
        <f t="shared" si="36"/>
        <v>0</v>
      </c>
      <c r="BG41">
        <f t="shared" si="37"/>
        <v>0</v>
      </c>
      <c r="BH41">
        <f t="shared" si="38"/>
        <v>0</v>
      </c>
      <c r="BI41">
        <f t="shared" si="39"/>
        <v>0</v>
      </c>
      <c r="BJ41">
        <v>0</v>
      </c>
      <c r="BK41" t="str">
        <f t="shared" si="53"/>
        <v>Big Win</v>
      </c>
      <c r="BL41" s="40" t="str">
        <f t="shared" si="54"/>
        <v>Single Win</v>
      </c>
      <c r="BM41">
        <f>(D41/Frequency!$N$7-Summary!$C$7)^2*E41</f>
        <v>18355.28</v>
      </c>
      <c r="BN41">
        <f t="shared" si="40"/>
        <v>0</v>
      </c>
      <c r="BO41">
        <f t="shared" si="41"/>
        <v>0</v>
      </c>
      <c r="BP41">
        <f t="shared" si="42"/>
        <v>0</v>
      </c>
      <c r="BQ41">
        <f t="shared" si="43"/>
        <v>0</v>
      </c>
      <c r="BR41">
        <f t="shared" si="44"/>
        <v>0</v>
      </c>
      <c r="BS41">
        <f t="shared" si="45"/>
        <v>0</v>
      </c>
      <c r="BT41">
        <f t="shared" si="46"/>
        <v>0</v>
      </c>
      <c r="BU41">
        <f t="shared" si="47"/>
        <v>0</v>
      </c>
      <c r="BV41">
        <f t="shared" si="48"/>
        <v>0</v>
      </c>
      <c r="BW41">
        <f t="shared" si="49"/>
        <v>0</v>
      </c>
      <c r="BX41">
        <f t="shared" si="50"/>
        <v>0</v>
      </c>
    </row>
    <row r="42" spans="2:76">
      <c r="B42" s="19">
        <f>Tiers!B43</f>
        <v>40</v>
      </c>
      <c r="C42" s="20" t="str">
        <f>Tiers!X43</f>
        <v>wild-8|||||||||</v>
      </c>
      <c r="D42" s="21">
        <f>Tiers!C43</f>
        <v>30</v>
      </c>
      <c r="E42" s="22">
        <f>Frequency!E44</f>
        <v>30</v>
      </c>
      <c r="F42" s="22">
        <f t="shared" si="0"/>
        <v>900</v>
      </c>
      <c r="G42" s="20">
        <f>IF(AND(D42/Summary!$C$4&gt;0, D42/Summary!$C$4&lt;5),E42,0) * D42</f>
        <v>0</v>
      </c>
      <c r="H42" s="20">
        <f>IF(AND(D42/Summary!$C$4&gt;= 5, D42/Summary!$C$4&lt;10),E42,0) * D42</f>
        <v>0</v>
      </c>
      <c r="I42" s="20">
        <f>IF(AND(D42/Summary!$C$4&gt;=10, D42/Summary!$C$4&lt;25),E42,0)*D42</f>
        <v>0</v>
      </c>
      <c r="J42" s="20">
        <f>IF(D42/Summary!$C$4&gt;=25,E42,0)*D42</f>
        <v>900</v>
      </c>
      <c r="K42" s="35">
        <f>IF(AND(D42/Frequency!$N$7&gt;0, D42/Frequency!$N$7&lt;1),E42,0)</f>
        <v>0</v>
      </c>
      <c r="L42" s="35">
        <f t="shared" si="1"/>
        <v>0</v>
      </c>
      <c r="M42" s="35">
        <f>IF(D42/Frequency!$N$7=1,1,0)*E42</f>
        <v>0</v>
      </c>
      <c r="N42" s="35">
        <f t="shared" si="2"/>
        <v>0</v>
      </c>
      <c r="O42" s="35">
        <f>IF(AND(D42/Frequency!$N$7&gt;1, D42/Frequency!$N$7&lt;=2),1,0)*E42</f>
        <v>0</v>
      </c>
      <c r="P42" s="35">
        <f t="shared" si="3"/>
        <v>0</v>
      </c>
      <c r="Q42" s="35">
        <f>IF(AND(D42/Frequency!$N$7&gt;2,D42/Frequency!$N$7&lt;=5),1,0)*E42</f>
        <v>0</v>
      </c>
      <c r="R42" s="35">
        <f t="shared" si="4"/>
        <v>0</v>
      </c>
      <c r="S42" s="35">
        <f>IF(AND(D42/Frequency!$N$7&gt;5, D42/Frequency!$N$7&lt;=10),1,0)*E42</f>
        <v>0</v>
      </c>
      <c r="T42" s="35">
        <f t="shared" si="5"/>
        <v>0</v>
      </c>
      <c r="U42" s="35">
        <f>IF(AND(D42/Frequency!$N$7&gt;10, D42/Frequency!$N$7&lt;=20),1,0)*E42</f>
        <v>0</v>
      </c>
      <c r="V42" s="35">
        <f t="shared" si="6"/>
        <v>0</v>
      </c>
      <c r="W42" s="35">
        <f>IF(AND(D42/Frequency!$N$7&gt;20, D42/Frequency!$N$7&lt;=30),1,0)*E42</f>
        <v>30</v>
      </c>
      <c r="X42" s="35">
        <f t="shared" si="7"/>
        <v>900</v>
      </c>
      <c r="Y42" s="35">
        <f>IF(AND(D42/Frequency!$N$7&gt;30, D42/Frequency!$N$7&lt;=50),1,0)*E42</f>
        <v>0</v>
      </c>
      <c r="Z42" s="35">
        <f t="shared" si="8"/>
        <v>0</v>
      </c>
      <c r="AA42" s="35">
        <f>IF(AND(D42/Frequency!$N$7&gt;50, D42/Frequency!$N$7&lt;=100),1,0)*E42</f>
        <v>0</v>
      </c>
      <c r="AB42" s="35">
        <f t="shared" si="9"/>
        <v>0</v>
      </c>
      <c r="AC42" s="35">
        <f>IF(D42/Frequency!$N$7&gt;100,1,0)*E42</f>
        <v>0</v>
      </c>
      <c r="AD42" s="35">
        <f t="shared" si="10"/>
        <v>0</v>
      </c>
      <c r="AE42" s="22">
        <f t="shared" si="11"/>
        <v>0</v>
      </c>
      <c r="AF42" s="22">
        <f t="shared" si="12"/>
        <v>0</v>
      </c>
      <c r="AG42" s="22">
        <f t="shared" si="13"/>
        <v>0</v>
      </c>
      <c r="AH42" s="22">
        <f t="shared" si="14"/>
        <v>0</v>
      </c>
      <c r="AI42" s="35">
        <f t="shared" si="15"/>
        <v>0</v>
      </c>
      <c r="AJ42" s="35">
        <f t="shared" si="16"/>
        <v>0</v>
      </c>
      <c r="AK42" s="35">
        <f t="shared" si="17"/>
        <v>0</v>
      </c>
      <c r="AL42">
        <f t="shared" si="18"/>
        <v>1</v>
      </c>
      <c r="AM42">
        <f t="shared" si="19"/>
        <v>30</v>
      </c>
      <c r="AN42">
        <f t="shared" si="20"/>
        <v>900</v>
      </c>
      <c r="AO42">
        <f t="shared" si="21"/>
        <v>1</v>
      </c>
      <c r="AP42">
        <f t="shared" si="22"/>
        <v>30</v>
      </c>
      <c r="AQ42">
        <f t="shared" si="23"/>
        <v>900</v>
      </c>
      <c r="AR42">
        <f t="shared" si="24"/>
        <v>0</v>
      </c>
      <c r="AS42">
        <f t="shared" si="25"/>
        <v>0</v>
      </c>
      <c r="AT42">
        <f t="shared" si="26"/>
        <v>0</v>
      </c>
      <c r="AU42">
        <f t="shared" si="27"/>
        <v>0</v>
      </c>
      <c r="AV42">
        <v>0</v>
      </c>
      <c r="AW42">
        <v>0</v>
      </c>
      <c r="AX42">
        <f t="shared" si="28"/>
        <v>0</v>
      </c>
      <c r="AY42">
        <f t="shared" si="29"/>
        <v>0</v>
      </c>
      <c r="AZ42">
        <f t="shared" si="30"/>
        <v>0</v>
      </c>
      <c r="BA42">
        <f t="shared" si="31"/>
        <v>0</v>
      </c>
      <c r="BB42">
        <f t="shared" si="32"/>
        <v>0</v>
      </c>
      <c r="BC42">
        <f t="shared" si="33"/>
        <v>0</v>
      </c>
      <c r="BD42">
        <f t="shared" si="34"/>
        <v>0</v>
      </c>
      <c r="BE42">
        <f t="shared" si="35"/>
        <v>0</v>
      </c>
      <c r="BF42">
        <f t="shared" si="36"/>
        <v>0</v>
      </c>
      <c r="BG42">
        <f t="shared" si="37"/>
        <v>0</v>
      </c>
      <c r="BH42">
        <f t="shared" si="38"/>
        <v>0</v>
      </c>
      <c r="BI42">
        <f t="shared" si="39"/>
        <v>0</v>
      </c>
      <c r="BJ42">
        <v>0</v>
      </c>
      <c r="BK42" t="str">
        <f t="shared" si="53"/>
        <v>Big Win</v>
      </c>
      <c r="BL42" s="40" t="str">
        <f t="shared" si="54"/>
        <v>Single Win</v>
      </c>
      <c r="BM42">
        <f>(D42/Frequency!$N$7-Summary!$C$7)^2*E42</f>
        <v>25509.168000000001</v>
      </c>
      <c r="BN42">
        <f t="shared" si="40"/>
        <v>0</v>
      </c>
      <c r="BO42">
        <f t="shared" si="41"/>
        <v>0</v>
      </c>
      <c r="BP42">
        <f t="shared" si="42"/>
        <v>0</v>
      </c>
      <c r="BQ42">
        <f t="shared" si="43"/>
        <v>0</v>
      </c>
      <c r="BR42">
        <f t="shared" si="44"/>
        <v>0</v>
      </c>
      <c r="BS42">
        <f t="shared" si="45"/>
        <v>0</v>
      </c>
      <c r="BT42">
        <f t="shared" si="46"/>
        <v>0</v>
      </c>
      <c r="BU42">
        <f t="shared" si="47"/>
        <v>0</v>
      </c>
      <c r="BV42">
        <f t="shared" si="48"/>
        <v>0</v>
      </c>
      <c r="BW42">
        <f t="shared" si="49"/>
        <v>0</v>
      </c>
      <c r="BX42">
        <f t="shared" si="50"/>
        <v>0</v>
      </c>
    </row>
    <row r="43" spans="2:76">
      <c r="B43" s="19">
        <f>Tiers!B44</f>
        <v>41</v>
      </c>
      <c r="C43" s="20" t="str">
        <f>Tiers!X44</f>
        <v>wild-9|||||||||</v>
      </c>
      <c r="D43" s="21">
        <f>Tiers!C44</f>
        <v>40</v>
      </c>
      <c r="E43" s="22">
        <f>Frequency!E45</f>
        <v>20</v>
      </c>
      <c r="F43" s="22">
        <f t="shared" si="0"/>
        <v>800</v>
      </c>
      <c r="G43" s="20">
        <f>IF(AND(D43/Summary!$C$4&gt;0, D43/Summary!$C$4&lt;5),E43,0) * D43</f>
        <v>0</v>
      </c>
      <c r="H43" s="20">
        <f>IF(AND(D43/Summary!$C$4&gt;= 5, D43/Summary!$C$4&lt;10),E43,0) * D43</f>
        <v>0</v>
      </c>
      <c r="I43" s="20">
        <f>IF(AND(D43/Summary!$C$4&gt;=10, D43/Summary!$C$4&lt;25),E43,0)*D43</f>
        <v>0</v>
      </c>
      <c r="J43" s="20">
        <f>IF(D43/Summary!$C$4&gt;=25,E43,0)*D43</f>
        <v>800</v>
      </c>
      <c r="K43" s="35">
        <f>IF(AND(D43/Frequency!$N$7&gt;0, D43/Frequency!$N$7&lt;1),E43,0)</f>
        <v>0</v>
      </c>
      <c r="L43" s="35">
        <f t="shared" si="1"/>
        <v>0</v>
      </c>
      <c r="M43" s="35">
        <f>IF(D43/Frequency!$N$7=1,1,0)*E43</f>
        <v>0</v>
      </c>
      <c r="N43" s="35">
        <f t="shared" si="2"/>
        <v>0</v>
      </c>
      <c r="O43" s="35">
        <f>IF(AND(D43/Frequency!$N$7&gt;1, D43/Frequency!$N$7&lt;=2),1,0)*E43</f>
        <v>0</v>
      </c>
      <c r="P43" s="35">
        <f t="shared" si="3"/>
        <v>0</v>
      </c>
      <c r="Q43" s="35">
        <f>IF(AND(D43/Frequency!$N$7&gt;2,D43/Frequency!$N$7&lt;=5),1,0)*E43</f>
        <v>0</v>
      </c>
      <c r="R43" s="35">
        <f t="shared" si="4"/>
        <v>0</v>
      </c>
      <c r="S43" s="35">
        <f>IF(AND(D43/Frequency!$N$7&gt;5, D43/Frequency!$N$7&lt;=10),1,0)*E43</f>
        <v>0</v>
      </c>
      <c r="T43" s="35">
        <f t="shared" si="5"/>
        <v>0</v>
      </c>
      <c r="U43" s="35">
        <f>IF(AND(D43/Frequency!$N$7&gt;10, D43/Frequency!$N$7&lt;=20),1,0)*E43</f>
        <v>0</v>
      </c>
      <c r="V43" s="35">
        <f t="shared" si="6"/>
        <v>0</v>
      </c>
      <c r="W43" s="35">
        <f>IF(AND(D43/Frequency!$N$7&gt;20, D43/Frequency!$N$7&lt;=30),1,0)*E43</f>
        <v>0</v>
      </c>
      <c r="X43" s="35">
        <f t="shared" si="7"/>
        <v>0</v>
      </c>
      <c r="Y43" s="35">
        <f>IF(AND(D43/Frequency!$N$7&gt;30, D43/Frequency!$N$7&lt;=50),1,0)*E43</f>
        <v>20</v>
      </c>
      <c r="Z43" s="35">
        <f t="shared" si="8"/>
        <v>800</v>
      </c>
      <c r="AA43" s="35">
        <f>IF(AND(D43/Frequency!$N$7&gt;50, D43/Frequency!$N$7&lt;=100),1,0)*E43</f>
        <v>0</v>
      </c>
      <c r="AB43" s="35">
        <f t="shared" si="9"/>
        <v>0</v>
      </c>
      <c r="AC43" s="35">
        <f>IF(D43/Frequency!$N$7&gt;100,1,0)*E43</f>
        <v>0</v>
      </c>
      <c r="AD43" s="35">
        <f t="shared" si="10"/>
        <v>0</v>
      </c>
      <c r="AE43" s="22">
        <f t="shared" si="11"/>
        <v>0</v>
      </c>
      <c r="AF43" s="22">
        <f t="shared" si="12"/>
        <v>0</v>
      </c>
      <c r="AG43" s="22">
        <f t="shared" si="13"/>
        <v>0</v>
      </c>
      <c r="AH43" s="22">
        <f t="shared" si="14"/>
        <v>0</v>
      </c>
      <c r="AI43" s="35">
        <f t="shared" si="15"/>
        <v>0</v>
      </c>
      <c r="AJ43" s="35">
        <f t="shared" si="16"/>
        <v>0</v>
      </c>
      <c r="AK43" s="35">
        <f t="shared" si="17"/>
        <v>0</v>
      </c>
      <c r="AL43">
        <f t="shared" si="18"/>
        <v>1</v>
      </c>
      <c r="AM43">
        <f t="shared" si="19"/>
        <v>20</v>
      </c>
      <c r="AN43">
        <f t="shared" si="20"/>
        <v>800</v>
      </c>
      <c r="AO43">
        <f t="shared" si="21"/>
        <v>1</v>
      </c>
      <c r="AP43">
        <f t="shared" si="22"/>
        <v>20</v>
      </c>
      <c r="AQ43">
        <f t="shared" si="23"/>
        <v>800</v>
      </c>
      <c r="AR43">
        <f t="shared" si="24"/>
        <v>0</v>
      </c>
      <c r="AS43">
        <f t="shared" si="25"/>
        <v>0</v>
      </c>
      <c r="AT43">
        <f t="shared" si="26"/>
        <v>0</v>
      </c>
      <c r="AU43">
        <f t="shared" si="27"/>
        <v>0</v>
      </c>
      <c r="AV43">
        <v>0</v>
      </c>
      <c r="AW43">
        <v>0</v>
      </c>
      <c r="AX43">
        <f t="shared" si="28"/>
        <v>0</v>
      </c>
      <c r="AY43">
        <f t="shared" si="29"/>
        <v>0</v>
      </c>
      <c r="AZ43">
        <f t="shared" si="30"/>
        <v>0</v>
      </c>
      <c r="BA43">
        <f t="shared" si="31"/>
        <v>0</v>
      </c>
      <c r="BB43">
        <f t="shared" si="32"/>
        <v>0</v>
      </c>
      <c r="BC43">
        <f t="shared" si="33"/>
        <v>0</v>
      </c>
      <c r="BD43">
        <f t="shared" si="34"/>
        <v>0</v>
      </c>
      <c r="BE43">
        <f t="shared" si="35"/>
        <v>0</v>
      </c>
      <c r="BF43">
        <f t="shared" si="36"/>
        <v>0</v>
      </c>
      <c r="BG43">
        <f t="shared" si="37"/>
        <v>0</v>
      </c>
      <c r="BH43">
        <f t="shared" si="38"/>
        <v>0</v>
      </c>
      <c r="BI43">
        <f t="shared" si="39"/>
        <v>0</v>
      </c>
      <c r="BJ43">
        <v>0</v>
      </c>
      <c r="BK43" t="str">
        <f t="shared" si="53"/>
        <v>Big Win</v>
      </c>
      <c r="BL43" s="40" t="str">
        <f t="shared" si="54"/>
        <v>Single Win</v>
      </c>
      <c r="BM43">
        <f>(D43/Frequency!$N$7-Summary!$C$7)^2*E43</f>
        <v>30670.111999999994</v>
      </c>
      <c r="BN43">
        <f t="shared" si="40"/>
        <v>0</v>
      </c>
      <c r="BO43">
        <f t="shared" si="41"/>
        <v>0</v>
      </c>
      <c r="BP43">
        <f t="shared" si="42"/>
        <v>0</v>
      </c>
      <c r="BQ43">
        <f t="shared" si="43"/>
        <v>0</v>
      </c>
      <c r="BR43">
        <f t="shared" si="44"/>
        <v>0</v>
      </c>
      <c r="BS43">
        <f t="shared" si="45"/>
        <v>0</v>
      </c>
      <c r="BT43">
        <f t="shared" si="46"/>
        <v>0</v>
      </c>
      <c r="BU43">
        <f t="shared" si="47"/>
        <v>0</v>
      </c>
      <c r="BV43">
        <f t="shared" si="48"/>
        <v>0</v>
      </c>
      <c r="BW43">
        <f t="shared" si="49"/>
        <v>0</v>
      </c>
      <c r="BX43">
        <f t="shared" si="50"/>
        <v>0</v>
      </c>
    </row>
    <row r="44" spans="2:76">
      <c r="B44" s="19">
        <f>Tiers!B45</f>
        <v>42</v>
      </c>
      <c r="C44" s="20" t="str">
        <f>Tiers!X45</f>
        <v>wild-10|||||||||</v>
      </c>
      <c r="D44" s="21">
        <f>Tiers!C45</f>
        <v>1</v>
      </c>
      <c r="E44" s="22">
        <f>Frequency!E46</f>
        <v>18000</v>
      </c>
      <c r="F44" s="22">
        <f t="shared" si="0"/>
        <v>18000</v>
      </c>
      <c r="G44" s="20">
        <f>IF(AND(D44/Summary!$C$4&gt;0, D44/Summary!$C$4&lt;5),E44,0) * D44</f>
        <v>18000</v>
      </c>
      <c r="H44" s="20">
        <f>IF(AND(D44/Summary!$C$4&gt;= 5, D44/Summary!$C$4&lt;10),E44,0) * D44</f>
        <v>0</v>
      </c>
      <c r="I44" s="20">
        <f>IF(AND(D44/Summary!$C$4&gt;=10, D44/Summary!$C$4&lt;25),E44,0)*D44</f>
        <v>0</v>
      </c>
      <c r="J44" s="20">
        <f>IF(D44/Summary!$C$4&gt;=25,E44,0)*D44</f>
        <v>0</v>
      </c>
      <c r="K44" s="35">
        <f>IF(AND(D44/Frequency!$N$7&gt;0, D44/Frequency!$N$7&lt;1),E44,0)</f>
        <v>0</v>
      </c>
      <c r="L44" s="35">
        <f t="shared" si="1"/>
        <v>0</v>
      </c>
      <c r="M44" s="35">
        <f>IF(D44/Frequency!$N$7=1,1,0)*E44</f>
        <v>18000</v>
      </c>
      <c r="N44" s="35">
        <f t="shared" si="2"/>
        <v>18000</v>
      </c>
      <c r="O44" s="35">
        <f>IF(AND(D44/Frequency!$N$7&gt;1, D44/Frequency!$N$7&lt;=2),1,0)*E44</f>
        <v>0</v>
      </c>
      <c r="P44" s="35">
        <f t="shared" si="3"/>
        <v>0</v>
      </c>
      <c r="Q44" s="35">
        <f>IF(AND(D44/Frequency!$N$7&gt;2,D44/Frequency!$N$7&lt;=5),1,0)*E44</f>
        <v>0</v>
      </c>
      <c r="R44" s="35">
        <f t="shared" si="4"/>
        <v>0</v>
      </c>
      <c r="S44" s="35">
        <f>IF(AND(D44/Frequency!$N$7&gt;5, D44/Frequency!$N$7&lt;=10),1,0)*E44</f>
        <v>0</v>
      </c>
      <c r="T44" s="35">
        <f t="shared" si="5"/>
        <v>0</v>
      </c>
      <c r="U44" s="35">
        <f>IF(AND(D44/Frequency!$N$7&gt;10, D44/Frequency!$N$7&lt;=20),1,0)*E44</f>
        <v>0</v>
      </c>
      <c r="V44" s="35">
        <f t="shared" si="6"/>
        <v>0</v>
      </c>
      <c r="W44" s="35">
        <f>IF(AND(D44/Frequency!$N$7&gt;20, D44/Frequency!$N$7&lt;=30),1,0)*E44</f>
        <v>0</v>
      </c>
      <c r="X44" s="35">
        <f t="shared" si="7"/>
        <v>0</v>
      </c>
      <c r="Y44" s="35">
        <f>IF(AND(D44/Frequency!$N$7&gt;30, D44/Frequency!$N$7&lt;=50),1,0)*E44</f>
        <v>0</v>
      </c>
      <c r="Z44" s="35">
        <f t="shared" si="8"/>
        <v>0</v>
      </c>
      <c r="AA44" s="35">
        <f>IF(AND(D44/Frequency!$N$7&gt;50, D44/Frequency!$N$7&lt;=100),1,0)*E44</f>
        <v>0</v>
      </c>
      <c r="AB44" s="35">
        <f t="shared" si="9"/>
        <v>0</v>
      </c>
      <c r="AC44" s="35">
        <f>IF(D44/Frequency!$N$7&gt;100,1,0)*E44</f>
        <v>0</v>
      </c>
      <c r="AD44" s="35">
        <f t="shared" si="10"/>
        <v>0</v>
      </c>
      <c r="AE44" s="22">
        <f t="shared" si="11"/>
        <v>0</v>
      </c>
      <c r="AF44" s="22">
        <f t="shared" si="12"/>
        <v>0</v>
      </c>
      <c r="AG44" s="22">
        <f t="shared" si="13"/>
        <v>0</v>
      </c>
      <c r="AH44" s="22">
        <f t="shared" si="14"/>
        <v>0</v>
      </c>
      <c r="AI44" s="35">
        <f t="shared" si="15"/>
        <v>0</v>
      </c>
      <c r="AJ44" s="35">
        <f t="shared" si="16"/>
        <v>0</v>
      </c>
      <c r="AK44" s="35">
        <f t="shared" si="17"/>
        <v>0</v>
      </c>
      <c r="AL44">
        <f t="shared" si="18"/>
        <v>1</v>
      </c>
      <c r="AM44">
        <f t="shared" si="19"/>
        <v>18000</v>
      </c>
      <c r="AN44">
        <f t="shared" si="20"/>
        <v>18000</v>
      </c>
      <c r="AO44">
        <f t="shared" si="21"/>
        <v>1</v>
      </c>
      <c r="AP44">
        <f t="shared" si="22"/>
        <v>18000</v>
      </c>
      <c r="AQ44">
        <f t="shared" si="23"/>
        <v>18000</v>
      </c>
      <c r="AR44">
        <f t="shared" si="24"/>
        <v>0</v>
      </c>
      <c r="AS44">
        <f t="shared" si="25"/>
        <v>0</v>
      </c>
      <c r="AT44">
        <f t="shared" si="26"/>
        <v>0</v>
      </c>
      <c r="AU44">
        <f t="shared" si="27"/>
        <v>0</v>
      </c>
      <c r="AV44">
        <v>0</v>
      </c>
      <c r="AW44">
        <v>0</v>
      </c>
      <c r="AX44">
        <f t="shared" si="28"/>
        <v>0</v>
      </c>
      <c r="AY44">
        <f t="shared" si="29"/>
        <v>0</v>
      </c>
      <c r="AZ44">
        <f t="shared" si="30"/>
        <v>0</v>
      </c>
      <c r="BA44">
        <f t="shared" si="31"/>
        <v>0</v>
      </c>
      <c r="BB44">
        <f t="shared" si="32"/>
        <v>0</v>
      </c>
      <c r="BC44">
        <f t="shared" si="33"/>
        <v>0</v>
      </c>
      <c r="BD44">
        <f t="shared" si="34"/>
        <v>0</v>
      </c>
      <c r="BE44">
        <f t="shared" si="35"/>
        <v>0</v>
      </c>
      <c r="BF44">
        <f t="shared" si="36"/>
        <v>0</v>
      </c>
      <c r="BG44">
        <f t="shared" si="37"/>
        <v>0</v>
      </c>
      <c r="BH44">
        <f t="shared" si="38"/>
        <v>0</v>
      </c>
      <c r="BI44">
        <f t="shared" si="39"/>
        <v>0</v>
      </c>
      <c r="BJ44">
        <v>0</v>
      </c>
      <c r="BK44" t="str">
        <f t="shared" si="53"/>
        <v>Stake Back</v>
      </c>
      <c r="BL44" s="40" t="str">
        <f t="shared" si="54"/>
        <v>Single Win</v>
      </c>
      <c r="BM44">
        <f>(D44/Frequency!$N$7-Summary!$C$7)^2*E44</f>
        <v>460.80000000000018</v>
      </c>
      <c r="BN44">
        <f t="shared" si="40"/>
        <v>0</v>
      </c>
      <c r="BO44">
        <f t="shared" si="41"/>
        <v>0</v>
      </c>
      <c r="BP44">
        <f t="shared" si="42"/>
        <v>0</v>
      </c>
      <c r="BQ44">
        <f t="shared" si="43"/>
        <v>0</v>
      </c>
      <c r="BR44">
        <f t="shared" si="44"/>
        <v>0</v>
      </c>
      <c r="BS44">
        <f t="shared" si="45"/>
        <v>0</v>
      </c>
      <c r="BT44">
        <f t="shared" si="46"/>
        <v>0</v>
      </c>
      <c r="BU44">
        <f t="shared" si="47"/>
        <v>0</v>
      </c>
      <c r="BV44">
        <f t="shared" si="48"/>
        <v>0</v>
      </c>
      <c r="BW44">
        <f t="shared" si="49"/>
        <v>0</v>
      </c>
      <c r="BX44">
        <f t="shared" si="50"/>
        <v>0</v>
      </c>
    </row>
    <row r="45" spans="2:76">
      <c r="B45" s="19">
        <f>Tiers!B46</f>
        <v>43</v>
      </c>
      <c r="C45" s="20" t="str">
        <f>Tiers!X46</f>
        <v>wild-11|||||||||</v>
      </c>
      <c r="D45" s="21">
        <f>Tiers!C46</f>
        <v>2</v>
      </c>
      <c r="E45" s="22">
        <f>Frequency!E47</f>
        <v>12000</v>
      </c>
      <c r="F45" s="22">
        <f t="shared" si="0"/>
        <v>24000</v>
      </c>
      <c r="G45" s="20">
        <f>IF(AND(D45/Summary!$C$4&gt;0, D45/Summary!$C$4&lt;5),E45,0) * D45</f>
        <v>24000</v>
      </c>
      <c r="H45" s="20">
        <f>IF(AND(D45/Summary!$C$4&gt;= 5, D45/Summary!$C$4&lt;10),E45,0) * D45</f>
        <v>0</v>
      </c>
      <c r="I45" s="20">
        <f>IF(AND(D45/Summary!$C$4&gt;=10, D45/Summary!$C$4&lt;25),E45,0)*D45</f>
        <v>0</v>
      </c>
      <c r="J45" s="20">
        <f>IF(D45/Summary!$C$4&gt;=25,E45,0)*D45</f>
        <v>0</v>
      </c>
      <c r="K45" s="35">
        <f>IF(AND(D45/Frequency!$N$7&gt;0, D45/Frequency!$N$7&lt;1),E45,0)</f>
        <v>0</v>
      </c>
      <c r="L45" s="35">
        <f t="shared" si="1"/>
        <v>0</v>
      </c>
      <c r="M45" s="35">
        <f>IF(D45/Frequency!$N$7=1,1,0)*E45</f>
        <v>0</v>
      </c>
      <c r="N45" s="35">
        <f t="shared" si="2"/>
        <v>0</v>
      </c>
      <c r="O45" s="35">
        <f>IF(AND(D45/Frequency!$N$7&gt;1, D45/Frequency!$N$7&lt;=2),1,0)*E45</f>
        <v>12000</v>
      </c>
      <c r="P45" s="35">
        <f t="shared" si="3"/>
        <v>24000</v>
      </c>
      <c r="Q45" s="35">
        <f>IF(AND(D45/Frequency!$N$7&gt;2,D45/Frequency!$N$7&lt;=5),1,0)*E45</f>
        <v>0</v>
      </c>
      <c r="R45" s="35">
        <f t="shared" si="4"/>
        <v>0</v>
      </c>
      <c r="S45" s="35">
        <f>IF(AND(D45/Frequency!$N$7&gt;5, D45/Frequency!$N$7&lt;=10),1,0)*E45</f>
        <v>0</v>
      </c>
      <c r="T45" s="35">
        <f t="shared" si="5"/>
        <v>0</v>
      </c>
      <c r="U45" s="35">
        <f>IF(AND(D45/Frequency!$N$7&gt;10, D45/Frequency!$N$7&lt;=20),1,0)*E45</f>
        <v>0</v>
      </c>
      <c r="V45" s="35">
        <f t="shared" si="6"/>
        <v>0</v>
      </c>
      <c r="W45" s="35">
        <f>IF(AND(D45/Frequency!$N$7&gt;20, D45/Frequency!$N$7&lt;=30),1,0)*E45</f>
        <v>0</v>
      </c>
      <c r="X45" s="35">
        <f t="shared" si="7"/>
        <v>0</v>
      </c>
      <c r="Y45" s="35">
        <f>IF(AND(D45/Frequency!$N$7&gt;30, D45/Frequency!$N$7&lt;=50),1,0)*E45</f>
        <v>0</v>
      </c>
      <c r="Z45" s="35">
        <f t="shared" si="8"/>
        <v>0</v>
      </c>
      <c r="AA45" s="35">
        <f>IF(AND(D45/Frequency!$N$7&gt;50, D45/Frequency!$N$7&lt;=100),1,0)*E45</f>
        <v>0</v>
      </c>
      <c r="AB45" s="35">
        <f t="shared" si="9"/>
        <v>0</v>
      </c>
      <c r="AC45" s="35">
        <f>IF(D45/Frequency!$N$7&gt;100,1,0)*E45</f>
        <v>0</v>
      </c>
      <c r="AD45" s="35">
        <f t="shared" si="10"/>
        <v>0</v>
      </c>
      <c r="AE45" s="22">
        <f t="shared" si="11"/>
        <v>0</v>
      </c>
      <c r="AF45" s="22">
        <f t="shared" si="12"/>
        <v>0</v>
      </c>
      <c r="AG45" s="22">
        <f t="shared" si="13"/>
        <v>0</v>
      </c>
      <c r="AH45" s="22">
        <f t="shared" si="14"/>
        <v>0</v>
      </c>
      <c r="AI45" s="35">
        <f t="shared" si="15"/>
        <v>0</v>
      </c>
      <c r="AJ45" s="35">
        <f t="shared" si="16"/>
        <v>0</v>
      </c>
      <c r="AK45" s="35">
        <f t="shared" si="17"/>
        <v>0</v>
      </c>
      <c r="AL45">
        <f t="shared" si="18"/>
        <v>1</v>
      </c>
      <c r="AM45">
        <f t="shared" si="19"/>
        <v>12000</v>
      </c>
      <c r="AN45">
        <f t="shared" si="20"/>
        <v>24000</v>
      </c>
      <c r="AO45">
        <f t="shared" si="21"/>
        <v>1</v>
      </c>
      <c r="AP45">
        <f t="shared" si="22"/>
        <v>12000</v>
      </c>
      <c r="AQ45">
        <f t="shared" si="23"/>
        <v>24000</v>
      </c>
      <c r="AR45">
        <f t="shared" si="24"/>
        <v>0</v>
      </c>
      <c r="AS45">
        <f t="shared" si="25"/>
        <v>0</v>
      </c>
      <c r="AT45">
        <f t="shared" si="26"/>
        <v>0</v>
      </c>
      <c r="AU45">
        <f t="shared" si="27"/>
        <v>0</v>
      </c>
      <c r="AV45">
        <v>0</v>
      </c>
      <c r="AW45">
        <v>0</v>
      </c>
      <c r="AX45">
        <f t="shared" si="28"/>
        <v>0</v>
      </c>
      <c r="AY45">
        <f t="shared" si="29"/>
        <v>0</v>
      </c>
      <c r="AZ45">
        <f t="shared" si="30"/>
        <v>0</v>
      </c>
      <c r="BA45">
        <f t="shared" si="31"/>
        <v>0</v>
      </c>
      <c r="BB45">
        <f t="shared" si="32"/>
        <v>0</v>
      </c>
      <c r="BC45">
        <f t="shared" si="33"/>
        <v>0</v>
      </c>
      <c r="BD45">
        <f t="shared" si="34"/>
        <v>0</v>
      </c>
      <c r="BE45">
        <f t="shared" si="35"/>
        <v>0</v>
      </c>
      <c r="BF45">
        <f t="shared" si="36"/>
        <v>0</v>
      </c>
      <c r="BG45">
        <f t="shared" si="37"/>
        <v>0</v>
      </c>
      <c r="BH45">
        <f t="shared" si="38"/>
        <v>0</v>
      </c>
      <c r="BI45">
        <f t="shared" si="39"/>
        <v>0</v>
      </c>
      <c r="BJ45">
        <v>0</v>
      </c>
      <c r="BK45" t="str">
        <f t="shared" si="53"/>
        <v>Standard Win</v>
      </c>
      <c r="BL45" s="40" t="str">
        <f t="shared" si="54"/>
        <v>Single Win</v>
      </c>
      <c r="BM45">
        <f>(D45/Frequency!$N$7-Summary!$C$7)^2*E45</f>
        <v>16147.200000000004</v>
      </c>
      <c r="BN45">
        <f t="shared" si="40"/>
        <v>0</v>
      </c>
      <c r="BO45">
        <f t="shared" si="41"/>
        <v>0</v>
      </c>
      <c r="BP45">
        <f t="shared" si="42"/>
        <v>0</v>
      </c>
      <c r="BQ45">
        <f t="shared" si="43"/>
        <v>0</v>
      </c>
      <c r="BR45">
        <f t="shared" si="44"/>
        <v>0</v>
      </c>
      <c r="BS45">
        <f t="shared" si="45"/>
        <v>0</v>
      </c>
      <c r="BT45">
        <f t="shared" si="46"/>
        <v>0</v>
      </c>
      <c r="BU45">
        <f t="shared" si="47"/>
        <v>0</v>
      </c>
      <c r="BV45">
        <f t="shared" si="48"/>
        <v>0</v>
      </c>
      <c r="BW45">
        <f t="shared" si="49"/>
        <v>0</v>
      </c>
      <c r="BX45">
        <f t="shared" si="50"/>
        <v>0</v>
      </c>
    </row>
    <row r="46" spans="2:76">
      <c r="B46" s="19">
        <f>Tiers!B47</f>
        <v>44</v>
      </c>
      <c r="C46" s="20" t="str">
        <f>Tiers!X47</f>
        <v>wild-12|||||||||</v>
      </c>
      <c r="D46" s="21">
        <f>Tiers!C47</f>
        <v>3</v>
      </c>
      <c r="E46" s="22">
        <f>Frequency!E48</f>
        <v>2000</v>
      </c>
      <c r="F46" s="22">
        <f t="shared" si="0"/>
        <v>6000</v>
      </c>
      <c r="G46" s="20">
        <f>IF(AND(D46/Summary!$C$4&gt;0, D46/Summary!$C$4&lt;5),E46,0) * D46</f>
        <v>6000</v>
      </c>
      <c r="H46" s="20">
        <f>IF(AND(D46/Summary!$C$4&gt;= 5, D46/Summary!$C$4&lt;10),E46,0) * D46</f>
        <v>0</v>
      </c>
      <c r="I46" s="20">
        <f>IF(AND(D46/Summary!$C$4&gt;=10, D46/Summary!$C$4&lt;25),E46,0)*D46</f>
        <v>0</v>
      </c>
      <c r="J46" s="20">
        <f>IF(D46/Summary!$C$4&gt;=25,E46,0)*D46</f>
        <v>0</v>
      </c>
      <c r="K46" s="35">
        <f>IF(AND(D46/Frequency!$N$7&gt;0, D46/Frequency!$N$7&lt;1),E46,0)</f>
        <v>0</v>
      </c>
      <c r="L46" s="35">
        <f t="shared" si="1"/>
        <v>0</v>
      </c>
      <c r="M46" s="35">
        <f>IF(D46/Frequency!$N$7=1,1,0)*E46</f>
        <v>0</v>
      </c>
      <c r="N46" s="35">
        <f t="shared" si="2"/>
        <v>0</v>
      </c>
      <c r="O46" s="35">
        <f>IF(AND(D46/Frequency!$N$7&gt;1, D46/Frequency!$N$7&lt;=2),1,0)*E46</f>
        <v>0</v>
      </c>
      <c r="P46" s="35">
        <f t="shared" si="3"/>
        <v>0</v>
      </c>
      <c r="Q46" s="35">
        <f>IF(AND(D46/Frequency!$N$7&gt;2,D46/Frequency!$N$7&lt;=5),1,0)*E46</f>
        <v>2000</v>
      </c>
      <c r="R46" s="35">
        <f t="shared" si="4"/>
        <v>6000</v>
      </c>
      <c r="S46" s="35">
        <f>IF(AND(D46/Frequency!$N$7&gt;5, D46/Frequency!$N$7&lt;=10),1,0)*E46</f>
        <v>0</v>
      </c>
      <c r="T46" s="35">
        <f t="shared" si="5"/>
        <v>0</v>
      </c>
      <c r="U46" s="35">
        <f>IF(AND(D46/Frequency!$N$7&gt;10, D46/Frequency!$N$7&lt;=20),1,0)*E46</f>
        <v>0</v>
      </c>
      <c r="V46" s="35">
        <f t="shared" si="6"/>
        <v>0</v>
      </c>
      <c r="W46" s="35">
        <f>IF(AND(D46/Frequency!$N$7&gt;20, D46/Frequency!$N$7&lt;=30),1,0)*E46</f>
        <v>0</v>
      </c>
      <c r="X46" s="35">
        <f t="shared" si="7"/>
        <v>0</v>
      </c>
      <c r="Y46" s="35">
        <f>IF(AND(D46/Frequency!$N$7&gt;30, D46/Frequency!$N$7&lt;=50),1,0)*E46</f>
        <v>0</v>
      </c>
      <c r="Z46" s="35">
        <f t="shared" si="8"/>
        <v>0</v>
      </c>
      <c r="AA46" s="35">
        <f>IF(AND(D46/Frequency!$N$7&gt;50, D46/Frequency!$N$7&lt;=100),1,0)*E46</f>
        <v>0</v>
      </c>
      <c r="AB46" s="35">
        <f t="shared" si="9"/>
        <v>0</v>
      </c>
      <c r="AC46" s="35">
        <f>IF(D46/Frequency!$N$7&gt;100,1,0)*E46</f>
        <v>0</v>
      </c>
      <c r="AD46" s="35">
        <f t="shared" si="10"/>
        <v>0</v>
      </c>
      <c r="AE46" s="22">
        <f t="shared" si="11"/>
        <v>0</v>
      </c>
      <c r="AF46" s="22">
        <f t="shared" si="12"/>
        <v>0</v>
      </c>
      <c r="AG46" s="22">
        <f t="shared" si="13"/>
        <v>0</v>
      </c>
      <c r="AH46" s="22">
        <f t="shared" si="14"/>
        <v>0</v>
      </c>
      <c r="AI46" s="35">
        <f t="shared" si="15"/>
        <v>0</v>
      </c>
      <c r="AJ46" s="35">
        <f t="shared" si="16"/>
        <v>0</v>
      </c>
      <c r="AK46" s="35">
        <f t="shared" si="17"/>
        <v>0</v>
      </c>
      <c r="AL46">
        <f t="shared" si="18"/>
        <v>1</v>
      </c>
      <c r="AM46">
        <f t="shared" si="19"/>
        <v>2000</v>
      </c>
      <c r="AN46">
        <f t="shared" si="20"/>
        <v>6000</v>
      </c>
      <c r="AO46">
        <f t="shared" si="21"/>
        <v>1</v>
      </c>
      <c r="AP46">
        <f t="shared" si="22"/>
        <v>2000</v>
      </c>
      <c r="AQ46">
        <f t="shared" si="23"/>
        <v>6000</v>
      </c>
      <c r="AR46">
        <f t="shared" si="24"/>
        <v>0</v>
      </c>
      <c r="AS46">
        <f t="shared" si="25"/>
        <v>0</v>
      </c>
      <c r="AT46">
        <f t="shared" si="26"/>
        <v>0</v>
      </c>
      <c r="AU46">
        <f t="shared" si="27"/>
        <v>0</v>
      </c>
      <c r="AV46">
        <v>0</v>
      </c>
      <c r="AW46">
        <v>0</v>
      </c>
      <c r="AX46">
        <f t="shared" si="28"/>
        <v>0</v>
      </c>
      <c r="AY46">
        <f t="shared" si="29"/>
        <v>0</v>
      </c>
      <c r="AZ46">
        <f t="shared" si="30"/>
        <v>0</v>
      </c>
      <c r="BA46">
        <f t="shared" si="31"/>
        <v>0</v>
      </c>
      <c r="BB46">
        <f t="shared" si="32"/>
        <v>0</v>
      </c>
      <c r="BC46">
        <f t="shared" si="33"/>
        <v>0</v>
      </c>
      <c r="BD46">
        <f t="shared" si="34"/>
        <v>0</v>
      </c>
      <c r="BE46">
        <f t="shared" si="35"/>
        <v>0</v>
      </c>
      <c r="BF46">
        <f t="shared" si="36"/>
        <v>0</v>
      </c>
      <c r="BG46">
        <f t="shared" si="37"/>
        <v>0</v>
      </c>
      <c r="BH46">
        <f t="shared" si="38"/>
        <v>0</v>
      </c>
      <c r="BI46">
        <f t="shared" si="39"/>
        <v>0</v>
      </c>
      <c r="BJ46">
        <v>0</v>
      </c>
      <c r="BK46" t="str">
        <f t="shared" si="53"/>
        <v>Standard Win</v>
      </c>
      <c r="BL46" s="40" t="str">
        <f t="shared" si="54"/>
        <v>Single Win</v>
      </c>
      <c r="BM46">
        <f>(D46/Frequency!$N$7-Summary!$C$7)^2*E46</f>
        <v>9331.2000000000007</v>
      </c>
      <c r="BN46">
        <f t="shared" si="40"/>
        <v>0</v>
      </c>
      <c r="BO46">
        <f t="shared" si="41"/>
        <v>0</v>
      </c>
      <c r="BP46">
        <f t="shared" si="42"/>
        <v>0</v>
      </c>
      <c r="BQ46">
        <f t="shared" si="43"/>
        <v>0</v>
      </c>
      <c r="BR46">
        <f t="shared" si="44"/>
        <v>0</v>
      </c>
      <c r="BS46">
        <f t="shared" si="45"/>
        <v>0</v>
      </c>
      <c r="BT46">
        <f t="shared" si="46"/>
        <v>0</v>
      </c>
      <c r="BU46">
        <f t="shared" si="47"/>
        <v>0</v>
      </c>
      <c r="BV46">
        <f t="shared" si="48"/>
        <v>0</v>
      </c>
      <c r="BW46">
        <f t="shared" si="49"/>
        <v>0</v>
      </c>
      <c r="BX46">
        <f t="shared" si="50"/>
        <v>0</v>
      </c>
    </row>
    <row r="47" spans="2:76">
      <c r="B47" s="19">
        <f>Tiers!B48</f>
        <v>45</v>
      </c>
      <c r="C47" s="20" t="str">
        <f>Tiers!X48</f>
        <v>wild-13|||||||||</v>
      </c>
      <c r="D47" s="21">
        <f>Tiers!C48</f>
        <v>5</v>
      </c>
      <c r="E47" s="22">
        <f>Frequency!E49</f>
        <v>941</v>
      </c>
      <c r="F47" s="22">
        <f t="shared" si="0"/>
        <v>4705</v>
      </c>
      <c r="G47" s="20">
        <f>IF(AND(D47/Summary!$C$4&gt;0, D47/Summary!$C$4&lt;5),E47,0) * D47</f>
        <v>0</v>
      </c>
      <c r="H47" s="20">
        <f>IF(AND(D47/Summary!$C$4&gt;= 5, D47/Summary!$C$4&lt;10),E47,0) * D47</f>
        <v>4705</v>
      </c>
      <c r="I47" s="20">
        <f>IF(AND(D47/Summary!$C$4&gt;=10, D47/Summary!$C$4&lt;25),E47,0)*D47</f>
        <v>0</v>
      </c>
      <c r="J47" s="20">
        <f>IF(D47/Summary!$C$4&gt;=25,E47,0)*D47</f>
        <v>0</v>
      </c>
      <c r="K47" s="35">
        <f>IF(AND(D47/Frequency!$N$7&gt;0, D47/Frequency!$N$7&lt;1),E47,0)</f>
        <v>0</v>
      </c>
      <c r="L47" s="35">
        <f t="shared" si="1"/>
        <v>0</v>
      </c>
      <c r="M47" s="35">
        <f>IF(D47/Frequency!$N$7=1,1,0)*E47</f>
        <v>0</v>
      </c>
      <c r="N47" s="35">
        <f t="shared" si="2"/>
        <v>0</v>
      </c>
      <c r="O47" s="35">
        <f>IF(AND(D47/Frequency!$N$7&gt;1, D47/Frequency!$N$7&lt;=2),1,0)*E47</f>
        <v>0</v>
      </c>
      <c r="P47" s="35">
        <f t="shared" si="3"/>
        <v>0</v>
      </c>
      <c r="Q47" s="35">
        <f>IF(AND(D47/Frequency!$N$7&gt;2,D47/Frequency!$N$7&lt;=5),1,0)*E47</f>
        <v>941</v>
      </c>
      <c r="R47" s="35">
        <f t="shared" si="4"/>
        <v>4705</v>
      </c>
      <c r="S47" s="35">
        <f>IF(AND(D47/Frequency!$N$7&gt;5, D47/Frequency!$N$7&lt;=10),1,0)*E47</f>
        <v>0</v>
      </c>
      <c r="T47" s="35">
        <f t="shared" si="5"/>
        <v>0</v>
      </c>
      <c r="U47" s="35">
        <f>IF(AND(D47/Frequency!$N$7&gt;10, D47/Frequency!$N$7&lt;=20),1,0)*E47</f>
        <v>0</v>
      </c>
      <c r="V47" s="35">
        <f t="shared" si="6"/>
        <v>0</v>
      </c>
      <c r="W47" s="35">
        <f>IF(AND(D47/Frequency!$N$7&gt;20, D47/Frequency!$N$7&lt;=30),1,0)*E47</f>
        <v>0</v>
      </c>
      <c r="X47" s="35">
        <f t="shared" si="7"/>
        <v>0</v>
      </c>
      <c r="Y47" s="35">
        <f>IF(AND(D47/Frequency!$N$7&gt;30, D47/Frequency!$N$7&lt;=50),1,0)*E47</f>
        <v>0</v>
      </c>
      <c r="Z47" s="35">
        <f t="shared" si="8"/>
        <v>0</v>
      </c>
      <c r="AA47" s="35">
        <f>IF(AND(D47/Frequency!$N$7&gt;50, D47/Frequency!$N$7&lt;=100),1,0)*E47</f>
        <v>0</v>
      </c>
      <c r="AB47" s="35">
        <f t="shared" si="9"/>
        <v>0</v>
      </c>
      <c r="AC47" s="35">
        <f>IF(D47/Frequency!$N$7&gt;100,1,0)*E47</f>
        <v>0</v>
      </c>
      <c r="AD47" s="35">
        <f t="shared" si="10"/>
        <v>0</v>
      </c>
      <c r="AE47" s="22">
        <f t="shared" si="11"/>
        <v>0</v>
      </c>
      <c r="AF47" s="22">
        <f t="shared" si="12"/>
        <v>0</v>
      </c>
      <c r="AG47" s="22">
        <f t="shared" si="13"/>
        <v>0</v>
      </c>
      <c r="AH47" s="22">
        <f t="shared" si="14"/>
        <v>0</v>
      </c>
      <c r="AI47" s="35">
        <f t="shared" si="15"/>
        <v>0</v>
      </c>
      <c r="AJ47" s="35">
        <f t="shared" si="16"/>
        <v>0</v>
      </c>
      <c r="AK47" s="35">
        <f t="shared" si="17"/>
        <v>0</v>
      </c>
      <c r="AL47">
        <f t="shared" si="18"/>
        <v>1</v>
      </c>
      <c r="AM47">
        <f t="shared" si="19"/>
        <v>941</v>
      </c>
      <c r="AN47">
        <f t="shared" si="20"/>
        <v>4705</v>
      </c>
      <c r="AO47">
        <f t="shared" si="21"/>
        <v>1</v>
      </c>
      <c r="AP47">
        <f t="shared" si="22"/>
        <v>941</v>
      </c>
      <c r="AQ47">
        <f t="shared" si="23"/>
        <v>4705</v>
      </c>
      <c r="AR47">
        <f t="shared" si="24"/>
        <v>0</v>
      </c>
      <c r="AS47">
        <f t="shared" si="25"/>
        <v>0</v>
      </c>
      <c r="AT47">
        <f t="shared" si="26"/>
        <v>0</v>
      </c>
      <c r="AU47">
        <f t="shared" si="27"/>
        <v>0</v>
      </c>
      <c r="AV47">
        <v>0</v>
      </c>
      <c r="AW47">
        <v>0</v>
      </c>
      <c r="AX47">
        <f t="shared" si="28"/>
        <v>0</v>
      </c>
      <c r="AY47">
        <f t="shared" si="29"/>
        <v>0</v>
      </c>
      <c r="AZ47">
        <f t="shared" si="30"/>
        <v>0</v>
      </c>
      <c r="BA47">
        <f t="shared" si="31"/>
        <v>0</v>
      </c>
      <c r="BB47">
        <f t="shared" si="32"/>
        <v>0</v>
      </c>
      <c r="BC47">
        <f t="shared" si="33"/>
        <v>0</v>
      </c>
      <c r="BD47">
        <f t="shared" si="34"/>
        <v>0</v>
      </c>
      <c r="BE47">
        <f t="shared" si="35"/>
        <v>0</v>
      </c>
      <c r="BF47">
        <f t="shared" si="36"/>
        <v>0</v>
      </c>
      <c r="BG47">
        <f t="shared" si="37"/>
        <v>0</v>
      </c>
      <c r="BH47">
        <f t="shared" si="38"/>
        <v>0</v>
      </c>
      <c r="BI47">
        <f t="shared" si="39"/>
        <v>0</v>
      </c>
      <c r="BJ47">
        <v>0</v>
      </c>
      <c r="BK47" t="str">
        <f t="shared" si="53"/>
        <v>Standard Win</v>
      </c>
      <c r="BL47" s="40" t="str">
        <f t="shared" si="54"/>
        <v>Single Win</v>
      </c>
      <c r="BM47">
        <f>(D47/Frequency!$N$7-Summary!$C$7)^2*E47</f>
        <v>16284.569600000003</v>
      </c>
      <c r="BN47">
        <f t="shared" si="40"/>
        <v>0</v>
      </c>
      <c r="BO47">
        <f t="shared" si="41"/>
        <v>0</v>
      </c>
      <c r="BP47">
        <f t="shared" si="42"/>
        <v>0</v>
      </c>
      <c r="BQ47">
        <f t="shared" si="43"/>
        <v>0</v>
      </c>
      <c r="BR47">
        <f t="shared" si="44"/>
        <v>0</v>
      </c>
      <c r="BS47">
        <f t="shared" si="45"/>
        <v>0</v>
      </c>
      <c r="BT47">
        <f t="shared" si="46"/>
        <v>0</v>
      </c>
      <c r="BU47">
        <f t="shared" si="47"/>
        <v>0</v>
      </c>
      <c r="BV47">
        <f t="shared" si="48"/>
        <v>0</v>
      </c>
      <c r="BW47">
        <f t="shared" si="49"/>
        <v>0</v>
      </c>
      <c r="BX47">
        <f t="shared" si="50"/>
        <v>0</v>
      </c>
    </row>
    <row r="48" spans="2:76">
      <c r="B48" s="19">
        <f>Tiers!B49</f>
        <v>46</v>
      </c>
      <c r="C48" s="20" t="str">
        <f>Tiers!X49</f>
        <v>wild-14|||||||||</v>
      </c>
      <c r="D48" s="21">
        <f>Tiers!C49</f>
        <v>2</v>
      </c>
      <c r="E48" s="22">
        <f>Frequency!E50</f>
        <v>7250</v>
      </c>
      <c r="F48" s="22">
        <f t="shared" si="0"/>
        <v>14500</v>
      </c>
      <c r="G48" s="20">
        <f>IF(AND(D48/Summary!$C$4&gt;0, D48/Summary!$C$4&lt;5),E48,0) * D48</f>
        <v>14500</v>
      </c>
      <c r="H48" s="20">
        <f>IF(AND(D48/Summary!$C$4&gt;= 5, D48/Summary!$C$4&lt;10),E48,0) * D48</f>
        <v>0</v>
      </c>
      <c r="I48" s="20">
        <f>IF(AND(D48/Summary!$C$4&gt;=10, D48/Summary!$C$4&lt;25),E48,0)*D48</f>
        <v>0</v>
      </c>
      <c r="J48" s="20">
        <f>IF(D48/Summary!$C$4&gt;=25,E48,0)*D48</f>
        <v>0</v>
      </c>
      <c r="K48" s="35">
        <f>IF(AND(D48/Frequency!$N$7&gt;0, D48/Frequency!$N$7&lt;1),E48,0)</f>
        <v>0</v>
      </c>
      <c r="L48" s="35">
        <f t="shared" si="1"/>
        <v>0</v>
      </c>
      <c r="M48" s="35">
        <f>IF(D48/Frequency!$N$7=1,1,0)*E48</f>
        <v>0</v>
      </c>
      <c r="N48" s="35">
        <f t="shared" si="2"/>
        <v>0</v>
      </c>
      <c r="O48" s="35">
        <f>IF(AND(D48/Frequency!$N$7&gt;1, D48/Frequency!$N$7&lt;=2),1,0)*E48</f>
        <v>7250</v>
      </c>
      <c r="P48" s="35">
        <f t="shared" si="3"/>
        <v>14500</v>
      </c>
      <c r="Q48" s="35">
        <f>IF(AND(D48/Frequency!$N$7&gt;2,D48/Frequency!$N$7&lt;=5),1,0)*E48</f>
        <v>0</v>
      </c>
      <c r="R48" s="35">
        <f t="shared" si="4"/>
        <v>0</v>
      </c>
      <c r="S48" s="35">
        <f>IF(AND(D48/Frequency!$N$7&gt;5, D48/Frequency!$N$7&lt;=10),1,0)*E48</f>
        <v>0</v>
      </c>
      <c r="T48" s="35">
        <f t="shared" si="5"/>
        <v>0</v>
      </c>
      <c r="U48" s="35">
        <f>IF(AND(D48/Frequency!$N$7&gt;10, D48/Frequency!$N$7&lt;=20),1,0)*E48</f>
        <v>0</v>
      </c>
      <c r="V48" s="35">
        <f t="shared" si="6"/>
        <v>0</v>
      </c>
      <c r="W48" s="35">
        <f>IF(AND(D48/Frequency!$N$7&gt;20, D48/Frequency!$N$7&lt;=30),1,0)*E48</f>
        <v>0</v>
      </c>
      <c r="X48" s="35">
        <f t="shared" si="7"/>
        <v>0</v>
      </c>
      <c r="Y48" s="35">
        <f>IF(AND(D48/Frequency!$N$7&gt;30, D48/Frequency!$N$7&lt;=50),1,0)*E48</f>
        <v>0</v>
      </c>
      <c r="Z48" s="35">
        <f t="shared" si="8"/>
        <v>0</v>
      </c>
      <c r="AA48" s="35">
        <f>IF(AND(D48/Frequency!$N$7&gt;50, D48/Frequency!$N$7&lt;=100),1,0)*E48</f>
        <v>0</v>
      </c>
      <c r="AB48" s="35">
        <f t="shared" si="9"/>
        <v>0</v>
      </c>
      <c r="AC48" s="35">
        <f>IF(D48/Frequency!$N$7&gt;100,1,0)*E48</f>
        <v>0</v>
      </c>
      <c r="AD48" s="35">
        <f t="shared" si="10"/>
        <v>0</v>
      </c>
      <c r="AE48" s="22">
        <f t="shared" si="11"/>
        <v>0</v>
      </c>
      <c r="AF48" s="22">
        <f t="shared" si="12"/>
        <v>0</v>
      </c>
      <c r="AG48" s="22">
        <f t="shared" si="13"/>
        <v>0</v>
      </c>
      <c r="AH48" s="22">
        <f t="shared" si="14"/>
        <v>0</v>
      </c>
      <c r="AI48" s="35">
        <f t="shared" si="15"/>
        <v>0</v>
      </c>
      <c r="AJ48" s="35">
        <f t="shared" si="16"/>
        <v>0</v>
      </c>
      <c r="AK48" s="35">
        <f t="shared" si="17"/>
        <v>0</v>
      </c>
      <c r="AL48">
        <f t="shared" si="18"/>
        <v>1</v>
      </c>
      <c r="AM48">
        <f t="shared" si="19"/>
        <v>7250</v>
      </c>
      <c r="AN48">
        <f t="shared" si="20"/>
        <v>14500</v>
      </c>
      <c r="AO48">
        <f t="shared" si="21"/>
        <v>1</v>
      </c>
      <c r="AP48">
        <f t="shared" si="22"/>
        <v>7250</v>
      </c>
      <c r="AQ48">
        <f t="shared" si="23"/>
        <v>14500</v>
      </c>
      <c r="AR48">
        <f t="shared" si="24"/>
        <v>0</v>
      </c>
      <c r="AS48">
        <f t="shared" si="25"/>
        <v>0</v>
      </c>
      <c r="AT48">
        <f t="shared" si="26"/>
        <v>0</v>
      </c>
      <c r="AU48">
        <f t="shared" si="27"/>
        <v>0</v>
      </c>
      <c r="AV48">
        <v>0</v>
      </c>
      <c r="AW48">
        <v>0</v>
      </c>
      <c r="AX48">
        <f t="shared" si="28"/>
        <v>0</v>
      </c>
      <c r="AY48">
        <f t="shared" si="29"/>
        <v>0</v>
      </c>
      <c r="AZ48">
        <f t="shared" si="30"/>
        <v>0</v>
      </c>
      <c r="BA48">
        <f t="shared" si="31"/>
        <v>0</v>
      </c>
      <c r="BB48">
        <f t="shared" si="32"/>
        <v>0</v>
      </c>
      <c r="BC48">
        <f t="shared" si="33"/>
        <v>0</v>
      </c>
      <c r="BD48">
        <f t="shared" si="34"/>
        <v>0</v>
      </c>
      <c r="BE48">
        <f t="shared" si="35"/>
        <v>0</v>
      </c>
      <c r="BF48">
        <f t="shared" si="36"/>
        <v>0</v>
      </c>
      <c r="BG48">
        <f t="shared" si="37"/>
        <v>0</v>
      </c>
      <c r="BH48">
        <f t="shared" si="38"/>
        <v>0</v>
      </c>
      <c r="BI48">
        <f t="shared" si="39"/>
        <v>0</v>
      </c>
      <c r="BJ48">
        <v>0</v>
      </c>
      <c r="BK48" t="str">
        <f t="shared" si="53"/>
        <v>Standard Win</v>
      </c>
      <c r="BL48" s="40" t="str">
        <f t="shared" si="54"/>
        <v>Single Win</v>
      </c>
      <c r="BM48">
        <f>(D48/Frequency!$N$7-Summary!$C$7)^2*E48</f>
        <v>9755.6000000000022</v>
      </c>
      <c r="BN48">
        <f t="shared" si="40"/>
        <v>0</v>
      </c>
      <c r="BO48">
        <f t="shared" si="41"/>
        <v>0</v>
      </c>
      <c r="BP48">
        <f t="shared" si="42"/>
        <v>0</v>
      </c>
      <c r="BQ48">
        <f t="shared" si="43"/>
        <v>0</v>
      </c>
      <c r="BR48">
        <f t="shared" si="44"/>
        <v>0</v>
      </c>
      <c r="BS48">
        <f t="shared" si="45"/>
        <v>0</v>
      </c>
      <c r="BT48">
        <f t="shared" si="46"/>
        <v>0</v>
      </c>
      <c r="BU48">
        <f t="shared" si="47"/>
        <v>0</v>
      </c>
      <c r="BV48">
        <f t="shared" si="48"/>
        <v>0</v>
      </c>
      <c r="BW48">
        <f t="shared" si="49"/>
        <v>0</v>
      </c>
      <c r="BX48">
        <f t="shared" si="50"/>
        <v>0</v>
      </c>
    </row>
    <row r="49" spans="2:76">
      <c r="B49" s="19">
        <f>Tiers!B50</f>
        <v>47</v>
      </c>
      <c r="C49" s="20" t="str">
        <f>Tiers!X50</f>
        <v>wild-15|||||||||</v>
      </c>
      <c r="D49" s="21">
        <f>Tiers!C50</f>
        <v>3</v>
      </c>
      <c r="E49" s="22">
        <f>Frequency!E51</f>
        <v>3000</v>
      </c>
      <c r="F49" s="22">
        <f t="shared" si="0"/>
        <v>9000</v>
      </c>
      <c r="G49" s="20">
        <f>IF(AND(D49/Summary!$C$4&gt;0, D49/Summary!$C$4&lt;5),E49,0) * D49</f>
        <v>9000</v>
      </c>
      <c r="H49" s="20">
        <f>IF(AND(D49/Summary!$C$4&gt;= 5, D49/Summary!$C$4&lt;10),E49,0) * D49</f>
        <v>0</v>
      </c>
      <c r="I49" s="20">
        <f>IF(AND(D49/Summary!$C$4&gt;=10, D49/Summary!$C$4&lt;25),E49,0)*D49</f>
        <v>0</v>
      </c>
      <c r="J49" s="20">
        <f>IF(D49/Summary!$C$4&gt;=25,E49,0)*D49</f>
        <v>0</v>
      </c>
      <c r="K49" s="35">
        <f>IF(AND(D49/Frequency!$N$7&gt;0, D49/Frequency!$N$7&lt;1),E49,0)</f>
        <v>0</v>
      </c>
      <c r="L49" s="35">
        <f t="shared" si="1"/>
        <v>0</v>
      </c>
      <c r="M49" s="35">
        <f>IF(D49/Frequency!$N$7=1,1,0)*E49</f>
        <v>0</v>
      </c>
      <c r="N49" s="35">
        <f t="shared" si="2"/>
        <v>0</v>
      </c>
      <c r="O49" s="35">
        <f>IF(AND(D49/Frequency!$N$7&gt;1, D49/Frequency!$N$7&lt;=2),1,0)*E49</f>
        <v>0</v>
      </c>
      <c r="P49" s="35">
        <f t="shared" si="3"/>
        <v>0</v>
      </c>
      <c r="Q49" s="35">
        <f>IF(AND(D49/Frequency!$N$7&gt;2,D49/Frequency!$N$7&lt;=5),1,0)*E49</f>
        <v>3000</v>
      </c>
      <c r="R49" s="35">
        <f t="shared" si="4"/>
        <v>9000</v>
      </c>
      <c r="S49" s="35">
        <f>IF(AND(D49/Frequency!$N$7&gt;5, D49/Frequency!$N$7&lt;=10),1,0)*E49</f>
        <v>0</v>
      </c>
      <c r="T49" s="35">
        <f t="shared" si="5"/>
        <v>0</v>
      </c>
      <c r="U49" s="35">
        <f>IF(AND(D49/Frequency!$N$7&gt;10, D49/Frequency!$N$7&lt;=20),1,0)*E49</f>
        <v>0</v>
      </c>
      <c r="V49" s="35">
        <f t="shared" si="6"/>
        <v>0</v>
      </c>
      <c r="W49" s="35">
        <f>IF(AND(D49/Frequency!$N$7&gt;20, D49/Frequency!$N$7&lt;=30),1,0)*E49</f>
        <v>0</v>
      </c>
      <c r="X49" s="35">
        <f t="shared" si="7"/>
        <v>0</v>
      </c>
      <c r="Y49" s="35">
        <f>IF(AND(D49/Frequency!$N$7&gt;30, D49/Frequency!$N$7&lt;=50),1,0)*E49</f>
        <v>0</v>
      </c>
      <c r="Z49" s="35">
        <f t="shared" si="8"/>
        <v>0</v>
      </c>
      <c r="AA49" s="35">
        <f>IF(AND(D49/Frequency!$N$7&gt;50, D49/Frequency!$N$7&lt;=100),1,0)*E49</f>
        <v>0</v>
      </c>
      <c r="AB49" s="35">
        <f t="shared" si="9"/>
        <v>0</v>
      </c>
      <c r="AC49" s="35">
        <f>IF(D49/Frequency!$N$7&gt;100,1,0)*E49</f>
        <v>0</v>
      </c>
      <c r="AD49" s="35">
        <f t="shared" si="10"/>
        <v>0</v>
      </c>
      <c r="AE49" s="22">
        <f t="shared" si="11"/>
        <v>0</v>
      </c>
      <c r="AF49" s="22">
        <f t="shared" si="12"/>
        <v>0</v>
      </c>
      <c r="AG49" s="22">
        <f t="shared" si="13"/>
        <v>0</v>
      </c>
      <c r="AH49" s="22">
        <f t="shared" si="14"/>
        <v>0</v>
      </c>
      <c r="AI49" s="35">
        <f t="shared" si="15"/>
        <v>0</v>
      </c>
      <c r="AJ49" s="35">
        <f t="shared" si="16"/>
        <v>0</v>
      </c>
      <c r="AK49" s="35">
        <f t="shared" si="17"/>
        <v>0</v>
      </c>
      <c r="AL49">
        <f t="shared" si="18"/>
        <v>1</v>
      </c>
      <c r="AM49">
        <f t="shared" si="19"/>
        <v>3000</v>
      </c>
      <c r="AN49">
        <f t="shared" si="20"/>
        <v>9000</v>
      </c>
      <c r="AO49">
        <f t="shared" si="21"/>
        <v>1</v>
      </c>
      <c r="AP49">
        <f t="shared" si="22"/>
        <v>3000</v>
      </c>
      <c r="AQ49">
        <f t="shared" si="23"/>
        <v>9000</v>
      </c>
      <c r="AR49">
        <f t="shared" si="24"/>
        <v>0</v>
      </c>
      <c r="AS49">
        <f t="shared" si="25"/>
        <v>0</v>
      </c>
      <c r="AT49">
        <f t="shared" si="26"/>
        <v>0</v>
      </c>
      <c r="AU49">
        <f t="shared" si="27"/>
        <v>0</v>
      </c>
      <c r="AV49">
        <v>0</v>
      </c>
      <c r="AW49">
        <v>0</v>
      </c>
      <c r="AX49">
        <f t="shared" si="28"/>
        <v>0</v>
      </c>
      <c r="AY49">
        <f t="shared" si="29"/>
        <v>0</v>
      </c>
      <c r="AZ49">
        <f t="shared" si="30"/>
        <v>0</v>
      </c>
      <c r="BA49">
        <f t="shared" si="31"/>
        <v>0</v>
      </c>
      <c r="BB49">
        <f t="shared" si="32"/>
        <v>0</v>
      </c>
      <c r="BC49">
        <f t="shared" si="33"/>
        <v>0</v>
      </c>
      <c r="BD49">
        <f t="shared" si="34"/>
        <v>0</v>
      </c>
      <c r="BE49">
        <f t="shared" si="35"/>
        <v>0</v>
      </c>
      <c r="BF49">
        <f t="shared" si="36"/>
        <v>0</v>
      </c>
      <c r="BG49">
        <f t="shared" si="37"/>
        <v>0</v>
      </c>
      <c r="BH49">
        <f t="shared" si="38"/>
        <v>0</v>
      </c>
      <c r="BI49">
        <f t="shared" si="39"/>
        <v>0</v>
      </c>
      <c r="BJ49">
        <v>0</v>
      </c>
      <c r="BK49" t="str">
        <f t="shared" si="53"/>
        <v>Standard Win</v>
      </c>
      <c r="BL49" s="40" t="str">
        <f t="shared" si="54"/>
        <v>Single Win</v>
      </c>
      <c r="BM49">
        <f>(D49/Frequency!$N$7-Summary!$C$7)^2*E49</f>
        <v>13996.800000000001</v>
      </c>
      <c r="BN49">
        <f t="shared" si="40"/>
        <v>0</v>
      </c>
      <c r="BO49">
        <f t="shared" si="41"/>
        <v>0</v>
      </c>
      <c r="BP49">
        <f t="shared" si="42"/>
        <v>0</v>
      </c>
      <c r="BQ49">
        <f t="shared" si="43"/>
        <v>0</v>
      </c>
      <c r="BR49">
        <f t="shared" si="44"/>
        <v>0</v>
      </c>
      <c r="BS49">
        <f t="shared" si="45"/>
        <v>0</v>
      </c>
      <c r="BT49">
        <f t="shared" si="46"/>
        <v>0</v>
      </c>
      <c r="BU49">
        <f t="shared" si="47"/>
        <v>0</v>
      </c>
      <c r="BV49">
        <f t="shared" si="48"/>
        <v>0</v>
      </c>
      <c r="BW49">
        <f t="shared" si="49"/>
        <v>0</v>
      </c>
      <c r="BX49">
        <f t="shared" si="50"/>
        <v>0</v>
      </c>
    </row>
    <row r="50" spans="2:76">
      <c r="B50" s="19">
        <f>Tiers!B51</f>
        <v>48</v>
      </c>
      <c r="C50" s="20" t="str">
        <f>Tiers!X51</f>
        <v>wild-16|||||||||</v>
      </c>
      <c r="D50" s="21">
        <f>Tiers!C51</f>
        <v>5</v>
      </c>
      <c r="E50" s="22">
        <f>Frequency!E52</f>
        <v>941</v>
      </c>
      <c r="F50" s="22">
        <f t="shared" si="0"/>
        <v>4705</v>
      </c>
      <c r="G50" s="20">
        <f>IF(AND(D50/Summary!$C$4&gt;0, D50/Summary!$C$4&lt;5),E50,0) * D50</f>
        <v>0</v>
      </c>
      <c r="H50" s="20">
        <f>IF(AND(D50/Summary!$C$4&gt;= 5, D50/Summary!$C$4&lt;10),E50,0) * D50</f>
        <v>4705</v>
      </c>
      <c r="I50" s="20">
        <f>IF(AND(D50/Summary!$C$4&gt;=10, D50/Summary!$C$4&lt;25),E50,0)*D50</f>
        <v>0</v>
      </c>
      <c r="J50" s="20">
        <f>IF(D50/Summary!$C$4&gt;=25,E50,0)*D50</f>
        <v>0</v>
      </c>
      <c r="K50" s="35">
        <f>IF(AND(D50/Frequency!$N$7&gt;0, D50/Frequency!$N$7&lt;1),E50,0)</f>
        <v>0</v>
      </c>
      <c r="L50" s="35">
        <f t="shared" si="1"/>
        <v>0</v>
      </c>
      <c r="M50" s="35">
        <f>IF(D50/Frequency!$N$7=1,1,0)*E50</f>
        <v>0</v>
      </c>
      <c r="N50" s="35">
        <f t="shared" si="2"/>
        <v>0</v>
      </c>
      <c r="O50" s="35">
        <f>IF(AND(D50/Frequency!$N$7&gt;1, D50/Frequency!$N$7&lt;=2),1,0)*E50</f>
        <v>0</v>
      </c>
      <c r="P50" s="35">
        <f t="shared" si="3"/>
        <v>0</v>
      </c>
      <c r="Q50" s="35">
        <f>IF(AND(D50/Frequency!$N$7&gt;2,D50/Frequency!$N$7&lt;=5),1,0)*E50</f>
        <v>941</v>
      </c>
      <c r="R50" s="35">
        <f t="shared" si="4"/>
        <v>4705</v>
      </c>
      <c r="S50" s="35">
        <f>IF(AND(D50/Frequency!$N$7&gt;5, D50/Frequency!$N$7&lt;=10),1,0)*E50</f>
        <v>0</v>
      </c>
      <c r="T50" s="35">
        <f t="shared" si="5"/>
        <v>0</v>
      </c>
      <c r="U50" s="35">
        <f>IF(AND(D50/Frequency!$N$7&gt;10, D50/Frequency!$N$7&lt;=20),1,0)*E50</f>
        <v>0</v>
      </c>
      <c r="V50" s="35">
        <f t="shared" si="6"/>
        <v>0</v>
      </c>
      <c r="W50" s="35">
        <f>IF(AND(D50/Frequency!$N$7&gt;20, D50/Frequency!$N$7&lt;=30),1,0)*E50</f>
        <v>0</v>
      </c>
      <c r="X50" s="35">
        <f t="shared" si="7"/>
        <v>0</v>
      </c>
      <c r="Y50" s="35">
        <f>IF(AND(D50/Frequency!$N$7&gt;30, D50/Frequency!$N$7&lt;=50),1,0)*E50</f>
        <v>0</v>
      </c>
      <c r="Z50" s="35">
        <f t="shared" si="8"/>
        <v>0</v>
      </c>
      <c r="AA50" s="35">
        <f>IF(AND(D50/Frequency!$N$7&gt;50, D50/Frequency!$N$7&lt;=100),1,0)*E50</f>
        <v>0</v>
      </c>
      <c r="AB50" s="35">
        <f t="shared" si="9"/>
        <v>0</v>
      </c>
      <c r="AC50" s="35">
        <f>IF(D50/Frequency!$N$7&gt;100,1,0)*E50</f>
        <v>0</v>
      </c>
      <c r="AD50" s="35">
        <f t="shared" si="10"/>
        <v>0</v>
      </c>
      <c r="AE50" s="22">
        <f t="shared" si="11"/>
        <v>0</v>
      </c>
      <c r="AF50" s="22">
        <f t="shared" si="12"/>
        <v>0</v>
      </c>
      <c r="AG50" s="22">
        <f t="shared" si="13"/>
        <v>0</v>
      </c>
      <c r="AH50" s="22">
        <f t="shared" si="14"/>
        <v>0</v>
      </c>
      <c r="AI50" s="35">
        <f t="shared" si="15"/>
        <v>0</v>
      </c>
      <c r="AJ50" s="35">
        <f t="shared" si="16"/>
        <v>0</v>
      </c>
      <c r="AK50" s="35">
        <f t="shared" si="17"/>
        <v>0</v>
      </c>
      <c r="AL50">
        <f t="shared" si="18"/>
        <v>1</v>
      </c>
      <c r="AM50">
        <f t="shared" si="19"/>
        <v>941</v>
      </c>
      <c r="AN50">
        <f t="shared" si="20"/>
        <v>4705</v>
      </c>
      <c r="AO50">
        <f t="shared" si="21"/>
        <v>1</v>
      </c>
      <c r="AP50">
        <f t="shared" si="22"/>
        <v>941</v>
      </c>
      <c r="AQ50">
        <f t="shared" si="23"/>
        <v>4705</v>
      </c>
      <c r="AR50">
        <f t="shared" si="24"/>
        <v>0</v>
      </c>
      <c r="AS50">
        <f t="shared" si="25"/>
        <v>0</v>
      </c>
      <c r="AT50">
        <f t="shared" si="26"/>
        <v>0</v>
      </c>
      <c r="AU50">
        <f t="shared" si="27"/>
        <v>0</v>
      </c>
      <c r="AV50">
        <v>0</v>
      </c>
      <c r="AW50">
        <v>0</v>
      </c>
      <c r="AX50">
        <f t="shared" si="28"/>
        <v>0</v>
      </c>
      <c r="AY50">
        <f t="shared" si="29"/>
        <v>0</v>
      </c>
      <c r="AZ50">
        <f t="shared" si="30"/>
        <v>0</v>
      </c>
      <c r="BA50">
        <f t="shared" si="31"/>
        <v>0</v>
      </c>
      <c r="BB50">
        <f t="shared" si="32"/>
        <v>0</v>
      </c>
      <c r="BC50">
        <f t="shared" si="33"/>
        <v>0</v>
      </c>
      <c r="BD50">
        <f t="shared" si="34"/>
        <v>0</v>
      </c>
      <c r="BE50">
        <f t="shared" si="35"/>
        <v>0</v>
      </c>
      <c r="BF50">
        <f t="shared" si="36"/>
        <v>0</v>
      </c>
      <c r="BG50">
        <f t="shared" si="37"/>
        <v>0</v>
      </c>
      <c r="BH50">
        <f t="shared" si="38"/>
        <v>0</v>
      </c>
      <c r="BI50">
        <f t="shared" si="39"/>
        <v>0</v>
      </c>
      <c r="BJ50">
        <v>0</v>
      </c>
      <c r="BK50" t="str">
        <f t="shared" si="53"/>
        <v>Standard Win</v>
      </c>
      <c r="BL50" s="40" t="str">
        <f t="shared" si="54"/>
        <v>Single Win</v>
      </c>
      <c r="BM50">
        <f>(D50/Frequency!$N$7-Summary!$C$7)^2*E50</f>
        <v>16284.569600000003</v>
      </c>
      <c r="BN50">
        <f t="shared" si="40"/>
        <v>0</v>
      </c>
      <c r="BO50">
        <f t="shared" si="41"/>
        <v>0</v>
      </c>
      <c r="BP50">
        <f t="shared" si="42"/>
        <v>0</v>
      </c>
      <c r="BQ50">
        <f t="shared" si="43"/>
        <v>0</v>
      </c>
      <c r="BR50">
        <f t="shared" si="44"/>
        <v>0</v>
      </c>
      <c r="BS50">
        <f t="shared" si="45"/>
        <v>0</v>
      </c>
      <c r="BT50">
        <f t="shared" si="46"/>
        <v>0</v>
      </c>
      <c r="BU50">
        <f t="shared" si="47"/>
        <v>0</v>
      </c>
      <c r="BV50">
        <f t="shared" si="48"/>
        <v>0</v>
      </c>
      <c r="BW50">
        <f t="shared" si="49"/>
        <v>0</v>
      </c>
      <c r="BX50">
        <f t="shared" si="50"/>
        <v>0</v>
      </c>
    </row>
    <row r="51" spans="2:76">
      <c r="B51" s="19">
        <f>Tiers!B52</f>
        <v>49</v>
      </c>
      <c r="C51" s="20" t="str">
        <f>Tiers!X52</f>
        <v>wild-17|||||||||</v>
      </c>
      <c r="D51" s="21">
        <f>Tiers!C52</f>
        <v>10</v>
      </c>
      <c r="E51" s="22">
        <f>Frequency!E53</f>
        <v>270</v>
      </c>
      <c r="F51" s="22">
        <f t="shared" si="0"/>
        <v>2700</v>
      </c>
      <c r="G51" s="20">
        <f>IF(AND(D51/Summary!$C$4&gt;0, D51/Summary!$C$4&lt;5),E51,0) * D51</f>
        <v>0</v>
      </c>
      <c r="H51" s="20">
        <f>IF(AND(D51/Summary!$C$4&gt;= 5, D51/Summary!$C$4&lt;10),E51,0) * D51</f>
        <v>0</v>
      </c>
      <c r="I51" s="20">
        <f>IF(AND(D51/Summary!$C$4&gt;=10, D51/Summary!$C$4&lt;25),E51,0)*D51</f>
        <v>2700</v>
      </c>
      <c r="J51" s="20">
        <f>IF(D51/Summary!$C$4&gt;=25,E51,0)*D51</f>
        <v>0</v>
      </c>
      <c r="K51" s="35">
        <f>IF(AND(D51/Frequency!$N$7&gt;0, D51/Frequency!$N$7&lt;1),E51,0)</f>
        <v>0</v>
      </c>
      <c r="L51" s="35">
        <f t="shared" si="1"/>
        <v>0</v>
      </c>
      <c r="M51" s="35">
        <f>IF(D51/Frequency!$N$7=1,1,0)*E51</f>
        <v>0</v>
      </c>
      <c r="N51" s="35">
        <f t="shared" si="2"/>
        <v>0</v>
      </c>
      <c r="O51" s="35">
        <f>IF(AND(D51/Frequency!$N$7&gt;1, D51/Frequency!$N$7&lt;=2),1,0)*E51</f>
        <v>0</v>
      </c>
      <c r="P51" s="35">
        <f t="shared" si="3"/>
        <v>0</v>
      </c>
      <c r="Q51" s="35">
        <f>IF(AND(D51/Frequency!$N$7&gt;2,D51/Frequency!$N$7&lt;=5),1,0)*E51</f>
        <v>0</v>
      </c>
      <c r="R51" s="35">
        <f t="shared" si="4"/>
        <v>0</v>
      </c>
      <c r="S51" s="35">
        <f>IF(AND(D51/Frequency!$N$7&gt;5, D51/Frequency!$N$7&lt;=10),1,0)*E51</f>
        <v>270</v>
      </c>
      <c r="T51" s="35">
        <f t="shared" si="5"/>
        <v>2700</v>
      </c>
      <c r="U51" s="35">
        <f>IF(AND(D51/Frequency!$N$7&gt;10, D51/Frequency!$N$7&lt;=20),1,0)*E51</f>
        <v>0</v>
      </c>
      <c r="V51" s="35">
        <f t="shared" si="6"/>
        <v>0</v>
      </c>
      <c r="W51" s="35">
        <f>IF(AND(D51/Frequency!$N$7&gt;20, D51/Frequency!$N$7&lt;=30),1,0)*E51</f>
        <v>0</v>
      </c>
      <c r="X51" s="35">
        <f t="shared" si="7"/>
        <v>0</v>
      </c>
      <c r="Y51" s="35">
        <f>IF(AND(D51/Frequency!$N$7&gt;30, D51/Frequency!$N$7&lt;=50),1,0)*E51</f>
        <v>0</v>
      </c>
      <c r="Z51" s="35">
        <f t="shared" si="8"/>
        <v>0</v>
      </c>
      <c r="AA51" s="35">
        <f>IF(AND(D51/Frequency!$N$7&gt;50, D51/Frequency!$N$7&lt;=100),1,0)*E51</f>
        <v>0</v>
      </c>
      <c r="AB51" s="35">
        <f t="shared" si="9"/>
        <v>0</v>
      </c>
      <c r="AC51" s="35">
        <f>IF(D51/Frequency!$N$7&gt;100,1,0)*E51</f>
        <v>0</v>
      </c>
      <c r="AD51" s="35">
        <f t="shared" si="10"/>
        <v>0</v>
      </c>
      <c r="AE51" s="22">
        <f t="shared" si="11"/>
        <v>0</v>
      </c>
      <c r="AF51" s="22">
        <f t="shared" si="12"/>
        <v>0</v>
      </c>
      <c r="AG51" s="22">
        <f t="shared" si="13"/>
        <v>0</v>
      </c>
      <c r="AH51" s="22">
        <f t="shared" si="14"/>
        <v>0</v>
      </c>
      <c r="AI51" s="35">
        <f t="shared" si="15"/>
        <v>0</v>
      </c>
      <c r="AJ51" s="35">
        <f t="shared" si="16"/>
        <v>0</v>
      </c>
      <c r="AK51" s="35">
        <f t="shared" si="17"/>
        <v>0</v>
      </c>
      <c r="AL51">
        <f t="shared" si="18"/>
        <v>1</v>
      </c>
      <c r="AM51">
        <f t="shared" si="19"/>
        <v>270</v>
      </c>
      <c r="AN51">
        <f t="shared" si="20"/>
        <v>2700</v>
      </c>
      <c r="AO51">
        <f t="shared" si="21"/>
        <v>1</v>
      </c>
      <c r="AP51">
        <f t="shared" si="22"/>
        <v>270</v>
      </c>
      <c r="AQ51">
        <f t="shared" si="23"/>
        <v>2700</v>
      </c>
      <c r="AR51">
        <f t="shared" si="24"/>
        <v>0</v>
      </c>
      <c r="AS51">
        <f t="shared" si="25"/>
        <v>0</v>
      </c>
      <c r="AT51">
        <f t="shared" si="26"/>
        <v>0</v>
      </c>
      <c r="AU51">
        <f t="shared" si="27"/>
        <v>0</v>
      </c>
      <c r="AV51">
        <v>0</v>
      </c>
      <c r="AW51">
        <v>0</v>
      </c>
      <c r="AX51">
        <f t="shared" si="28"/>
        <v>0</v>
      </c>
      <c r="AY51">
        <f t="shared" si="29"/>
        <v>0</v>
      </c>
      <c r="AZ51">
        <f t="shared" si="30"/>
        <v>0</v>
      </c>
      <c r="BA51">
        <f t="shared" si="31"/>
        <v>0</v>
      </c>
      <c r="BB51">
        <f t="shared" si="32"/>
        <v>0</v>
      </c>
      <c r="BC51">
        <f t="shared" si="33"/>
        <v>0</v>
      </c>
      <c r="BD51">
        <f t="shared" si="34"/>
        <v>0</v>
      </c>
      <c r="BE51">
        <f t="shared" si="35"/>
        <v>0</v>
      </c>
      <c r="BF51">
        <f t="shared" si="36"/>
        <v>0</v>
      </c>
      <c r="BG51">
        <f t="shared" si="37"/>
        <v>0</v>
      </c>
      <c r="BH51">
        <f t="shared" si="38"/>
        <v>0</v>
      </c>
      <c r="BI51">
        <f t="shared" si="39"/>
        <v>0</v>
      </c>
      <c r="BJ51">
        <v>0</v>
      </c>
      <c r="BK51" t="str">
        <f t="shared" si="53"/>
        <v>Big Win</v>
      </c>
      <c r="BL51" s="40" t="str">
        <f t="shared" si="54"/>
        <v>Single Win</v>
      </c>
      <c r="BM51">
        <f>(D51/Frequency!$N$7-Summary!$C$7)^2*E51</f>
        <v>22654.512000000002</v>
      </c>
      <c r="BN51">
        <f t="shared" si="40"/>
        <v>0</v>
      </c>
      <c r="BO51">
        <f t="shared" si="41"/>
        <v>0</v>
      </c>
      <c r="BP51">
        <f t="shared" si="42"/>
        <v>0</v>
      </c>
      <c r="BQ51">
        <f t="shared" si="43"/>
        <v>0</v>
      </c>
      <c r="BR51">
        <f t="shared" si="44"/>
        <v>0</v>
      </c>
      <c r="BS51">
        <f t="shared" si="45"/>
        <v>0</v>
      </c>
      <c r="BT51">
        <f t="shared" si="46"/>
        <v>0</v>
      </c>
      <c r="BU51">
        <f t="shared" si="47"/>
        <v>0</v>
      </c>
      <c r="BV51">
        <f t="shared" si="48"/>
        <v>0</v>
      </c>
      <c r="BW51">
        <f t="shared" si="49"/>
        <v>0</v>
      </c>
      <c r="BX51">
        <f t="shared" si="50"/>
        <v>0</v>
      </c>
    </row>
    <row r="52" spans="2:76">
      <c r="B52" s="19">
        <f>Tiers!B53</f>
        <v>50</v>
      </c>
      <c r="C52" s="20" t="str">
        <f>Tiers!X53</f>
        <v>wild-18|||||||||</v>
      </c>
      <c r="D52" s="21">
        <f>Tiers!C53</f>
        <v>3</v>
      </c>
      <c r="E52" s="22">
        <f>Frequency!E54</f>
        <v>4000</v>
      </c>
      <c r="F52" s="22">
        <f t="shared" si="0"/>
        <v>12000</v>
      </c>
      <c r="G52" s="20">
        <f>IF(AND(D52/Summary!$C$4&gt;0, D52/Summary!$C$4&lt;5),E52,0) * D52</f>
        <v>12000</v>
      </c>
      <c r="H52" s="20">
        <f>IF(AND(D52/Summary!$C$4&gt;= 5, D52/Summary!$C$4&lt;10),E52,0) * D52</f>
        <v>0</v>
      </c>
      <c r="I52" s="20">
        <f>IF(AND(D52/Summary!$C$4&gt;=10, D52/Summary!$C$4&lt;25),E52,0)*D52</f>
        <v>0</v>
      </c>
      <c r="J52" s="20">
        <f>IF(D52/Summary!$C$4&gt;=25,E52,0)*D52</f>
        <v>0</v>
      </c>
      <c r="K52" s="35">
        <f>IF(AND(D52/Frequency!$N$7&gt;0, D52/Frequency!$N$7&lt;1),E52,0)</f>
        <v>0</v>
      </c>
      <c r="L52" s="35">
        <f t="shared" si="1"/>
        <v>0</v>
      </c>
      <c r="M52" s="35">
        <f>IF(D52/Frequency!$N$7=1,1,0)*E52</f>
        <v>0</v>
      </c>
      <c r="N52" s="35">
        <f t="shared" si="2"/>
        <v>0</v>
      </c>
      <c r="O52" s="35">
        <f>IF(AND(D52/Frequency!$N$7&gt;1, D52/Frequency!$N$7&lt;=2),1,0)*E52</f>
        <v>0</v>
      </c>
      <c r="P52" s="35">
        <f t="shared" si="3"/>
        <v>0</v>
      </c>
      <c r="Q52" s="35">
        <f>IF(AND(D52/Frequency!$N$7&gt;2,D52/Frequency!$N$7&lt;=5),1,0)*E52</f>
        <v>4000</v>
      </c>
      <c r="R52" s="35">
        <f t="shared" si="4"/>
        <v>12000</v>
      </c>
      <c r="S52" s="35">
        <f>IF(AND(D52/Frequency!$N$7&gt;5, D52/Frequency!$N$7&lt;=10),1,0)*E52</f>
        <v>0</v>
      </c>
      <c r="T52" s="35">
        <f t="shared" si="5"/>
        <v>0</v>
      </c>
      <c r="U52" s="35">
        <f>IF(AND(D52/Frequency!$N$7&gt;10, D52/Frequency!$N$7&lt;=20),1,0)*E52</f>
        <v>0</v>
      </c>
      <c r="V52" s="35">
        <f t="shared" si="6"/>
        <v>0</v>
      </c>
      <c r="W52" s="35">
        <f>IF(AND(D52/Frequency!$N$7&gt;20, D52/Frequency!$N$7&lt;=30),1,0)*E52</f>
        <v>0</v>
      </c>
      <c r="X52" s="35">
        <f t="shared" si="7"/>
        <v>0</v>
      </c>
      <c r="Y52" s="35">
        <f>IF(AND(D52/Frequency!$N$7&gt;30, D52/Frequency!$N$7&lt;=50),1,0)*E52</f>
        <v>0</v>
      </c>
      <c r="Z52" s="35">
        <f t="shared" si="8"/>
        <v>0</v>
      </c>
      <c r="AA52" s="35">
        <f>IF(AND(D52/Frequency!$N$7&gt;50, D52/Frequency!$N$7&lt;=100),1,0)*E52</f>
        <v>0</v>
      </c>
      <c r="AB52" s="35">
        <f t="shared" si="9"/>
        <v>0</v>
      </c>
      <c r="AC52" s="35">
        <f>IF(D52/Frequency!$N$7&gt;100,1,0)*E52</f>
        <v>0</v>
      </c>
      <c r="AD52" s="35">
        <f t="shared" si="10"/>
        <v>0</v>
      </c>
      <c r="AE52" s="22">
        <f t="shared" si="11"/>
        <v>0</v>
      </c>
      <c r="AF52" s="22">
        <f t="shared" si="12"/>
        <v>0</v>
      </c>
      <c r="AG52" s="22">
        <f t="shared" si="13"/>
        <v>0</v>
      </c>
      <c r="AH52" s="22">
        <f t="shared" si="14"/>
        <v>0</v>
      </c>
      <c r="AI52" s="35">
        <f t="shared" si="15"/>
        <v>0</v>
      </c>
      <c r="AJ52" s="35">
        <f t="shared" si="16"/>
        <v>0</v>
      </c>
      <c r="AK52" s="35">
        <f t="shared" si="17"/>
        <v>0</v>
      </c>
      <c r="AL52">
        <f t="shared" si="18"/>
        <v>1</v>
      </c>
      <c r="AM52">
        <f t="shared" si="19"/>
        <v>4000</v>
      </c>
      <c r="AN52">
        <f t="shared" si="20"/>
        <v>12000</v>
      </c>
      <c r="AO52">
        <f t="shared" si="21"/>
        <v>1</v>
      </c>
      <c r="AP52">
        <f t="shared" si="22"/>
        <v>4000</v>
      </c>
      <c r="AQ52">
        <f t="shared" si="23"/>
        <v>12000</v>
      </c>
      <c r="AR52">
        <f t="shared" si="24"/>
        <v>0</v>
      </c>
      <c r="AS52">
        <f t="shared" si="25"/>
        <v>0</v>
      </c>
      <c r="AT52">
        <f t="shared" si="26"/>
        <v>0</v>
      </c>
      <c r="AU52">
        <f t="shared" si="27"/>
        <v>0</v>
      </c>
      <c r="AV52">
        <v>0</v>
      </c>
      <c r="AW52">
        <v>0</v>
      </c>
      <c r="AX52">
        <f t="shared" si="28"/>
        <v>0</v>
      </c>
      <c r="AY52">
        <f t="shared" si="29"/>
        <v>0</v>
      </c>
      <c r="AZ52">
        <f t="shared" si="30"/>
        <v>0</v>
      </c>
      <c r="BA52">
        <f t="shared" si="31"/>
        <v>0</v>
      </c>
      <c r="BB52">
        <f t="shared" si="32"/>
        <v>0</v>
      </c>
      <c r="BC52">
        <f t="shared" si="33"/>
        <v>0</v>
      </c>
      <c r="BD52">
        <f t="shared" si="34"/>
        <v>0</v>
      </c>
      <c r="BE52">
        <f t="shared" si="35"/>
        <v>0</v>
      </c>
      <c r="BF52">
        <f t="shared" si="36"/>
        <v>0</v>
      </c>
      <c r="BG52">
        <f t="shared" si="37"/>
        <v>0</v>
      </c>
      <c r="BH52">
        <f t="shared" si="38"/>
        <v>0</v>
      </c>
      <c r="BI52">
        <f t="shared" si="39"/>
        <v>0</v>
      </c>
      <c r="BJ52">
        <v>0</v>
      </c>
      <c r="BK52" t="str">
        <f t="shared" si="53"/>
        <v>Standard Win</v>
      </c>
      <c r="BL52" s="40" t="str">
        <f t="shared" si="54"/>
        <v>Single Win</v>
      </c>
      <c r="BM52">
        <f>(D52/Frequency!$N$7-Summary!$C$7)^2*E52</f>
        <v>18662.400000000001</v>
      </c>
      <c r="BN52">
        <f t="shared" si="40"/>
        <v>0</v>
      </c>
      <c r="BO52">
        <f t="shared" si="41"/>
        <v>0</v>
      </c>
      <c r="BP52">
        <f t="shared" si="42"/>
        <v>0</v>
      </c>
      <c r="BQ52">
        <f t="shared" si="43"/>
        <v>0</v>
      </c>
      <c r="BR52">
        <f t="shared" si="44"/>
        <v>0</v>
      </c>
      <c r="BS52">
        <f t="shared" si="45"/>
        <v>0</v>
      </c>
      <c r="BT52">
        <f t="shared" si="46"/>
        <v>0</v>
      </c>
      <c r="BU52">
        <f t="shared" si="47"/>
        <v>0</v>
      </c>
      <c r="BV52">
        <f t="shared" si="48"/>
        <v>0</v>
      </c>
      <c r="BW52">
        <f t="shared" si="49"/>
        <v>0</v>
      </c>
      <c r="BX52">
        <f t="shared" si="50"/>
        <v>0</v>
      </c>
    </row>
    <row r="53" spans="2:76">
      <c r="B53" s="19">
        <f>Tiers!B54</f>
        <v>51</v>
      </c>
      <c r="C53" s="20" t="str">
        <f>Tiers!X54</f>
        <v>wild-19|||||||||</v>
      </c>
      <c r="D53" s="21">
        <f>Tiers!C54</f>
        <v>5</v>
      </c>
      <c r="E53" s="22">
        <f>Frequency!E55</f>
        <v>1000</v>
      </c>
      <c r="F53" s="22">
        <f t="shared" si="0"/>
        <v>5000</v>
      </c>
      <c r="G53" s="20">
        <f>IF(AND(D53/Summary!$C$4&gt;0, D53/Summary!$C$4&lt;5),E53,0) * D53</f>
        <v>0</v>
      </c>
      <c r="H53" s="20">
        <f>IF(AND(D53/Summary!$C$4&gt;= 5, D53/Summary!$C$4&lt;10),E53,0) * D53</f>
        <v>5000</v>
      </c>
      <c r="I53" s="20">
        <f>IF(AND(D53/Summary!$C$4&gt;=10, D53/Summary!$C$4&lt;25),E53,0)*D53</f>
        <v>0</v>
      </c>
      <c r="J53" s="20">
        <f>IF(D53/Summary!$C$4&gt;=25,E53,0)*D53</f>
        <v>0</v>
      </c>
      <c r="K53" s="35">
        <f>IF(AND(D53/Frequency!$N$7&gt;0, D53/Frequency!$N$7&lt;1),E53,0)</f>
        <v>0</v>
      </c>
      <c r="L53" s="35">
        <f t="shared" si="1"/>
        <v>0</v>
      </c>
      <c r="M53" s="35">
        <f>IF(D53/Frequency!$N$7=1,1,0)*E53</f>
        <v>0</v>
      </c>
      <c r="N53" s="35">
        <f t="shared" si="2"/>
        <v>0</v>
      </c>
      <c r="O53" s="35">
        <f>IF(AND(D53/Frequency!$N$7&gt;1, D53/Frequency!$N$7&lt;=2),1,0)*E53</f>
        <v>0</v>
      </c>
      <c r="P53" s="35">
        <f t="shared" si="3"/>
        <v>0</v>
      </c>
      <c r="Q53" s="35">
        <f>IF(AND(D53/Frequency!$N$7&gt;2,D53/Frequency!$N$7&lt;=5),1,0)*E53</f>
        <v>1000</v>
      </c>
      <c r="R53" s="35">
        <f t="shared" si="4"/>
        <v>5000</v>
      </c>
      <c r="S53" s="35">
        <f>IF(AND(D53/Frequency!$N$7&gt;5, D53/Frequency!$N$7&lt;=10),1,0)*E53</f>
        <v>0</v>
      </c>
      <c r="T53" s="35">
        <f t="shared" si="5"/>
        <v>0</v>
      </c>
      <c r="U53" s="35">
        <f>IF(AND(D53/Frequency!$N$7&gt;10, D53/Frequency!$N$7&lt;=20),1,0)*E53</f>
        <v>0</v>
      </c>
      <c r="V53" s="35">
        <f t="shared" si="6"/>
        <v>0</v>
      </c>
      <c r="W53" s="35">
        <f>IF(AND(D53/Frequency!$N$7&gt;20, D53/Frequency!$N$7&lt;=30),1,0)*E53</f>
        <v>0</v>
      </c>
      <c r="X53" s="35">
        <f t="shared" si="7"/>
        <v>0</v>
      </c>
      <c r="Y53" s="35">
        <f>IF(AND(D53/Frequency!$N$7&gt;30, D53/Frequency!$N$7&lt;=50),1,0)*E53</f>
        <v>0</v>
      </c>
      <c r="Z53" s="35">
        <f t="shared" si="8"/>
        <v>0</v>
      </c>
      <c r="AA53" s="35">
        <f>IF(AND(D53/Frequency!$N$7&gt;50, D53/Frequency!$N$7&lt;=100),1,0)*E53</f>
        <v>0</v>
      </c>
      <c r="AB53" s="35">
        <f t="shared" si="9"/>
        <v>0</v>
      </c>
      <c r="AC53" s="35">
        <f>IF(D53/Frequency!$N$7&gt;100,1,0)*E53</f>
        <v>0</v>
      </c>
      <c r="AD53" s="35">
        <f t="shared" si="10"/>
        <v>0</v>
      </c>
      <c r="AE53" s="22">
        <f t="shared" si="11"/>
        <v>0</v>
      </c>
      <c r="AF53" s="22">
        <f t="shared" si="12"/>
        <v>0</v>
      </c>
      <c r="AG53" s="22">
        <f t="shared" si="13"/>
        <v>0</v>
      </c>
      <c r="AH53" s="22">
        <f t="shared" si="14"/>
        <v>0</v>
      </c>
      <c r="AI53" s="35">
        <f t="shared" si="15"/>
        <v>0</v>
      </c>
      <c r="AJ53" s="35">
        <f t="shared" si="16"/>
        <v>0</v>
      </c>
      <c r="AK53" s="35">
        <f t="shared" si="17"/>
        <v>0</v>
      </c>
      <c r="AL53">
        <f t="shared" si="18"/>
        <v>1</v>
      </c>
      <c r="AM53">
        <f t="shared" si="19"/>
        <v>1000</v>
      </c>
      <c r="AN53">
        <f t="shared" si="20"/>
        <v>5000</v>
      </c>
      <c r="AO53">
        <f t="shared" si="21"/>
        <v>1</v>
      </c>
      <c r="AP53">
        <f t="shared" si="22"/>
        <v>1000</v>
      </c>
      <c r="AQ53">
        <f t="shared" si="23"/>
        <v>5000</v>
      </c>
      <c r="AR53">
        <f t="shared" si="24"/>
        <v>0</v>
      </c>
      <c r="AS53">
        <f t="shared" si="25"/>
        <v>0</v>
      </c>
      <c r="AT53">
        <f t="shared" si="26"/>
        <v>0</v>
      </c>
      <c r="AU53">
        <f t="shared" si="27"/>
        <v>0</v>
      </c>
      <c r="AV53">
        <v>0</v>
      </c>
      <c r="AW53">
        <v>0</v>
      </c>
      <c r="AX53">
        <f t="shared" si="28"/>
        <v>0</v>
      </c>
      <c r="AY53">
        <f t="shared" si="29"/>
        <v>0</v>
      </c>
      <c r="AZ53">
        <f t="shared" si="30"/>
        <v>0</v>
      </c>
      <c r="BA53">
        <f t="shared" si="31"/>
        <v>0</v>
      </c>
      <c r="BB53">
        <f t="shared" si="32"/>
        <v>0</v>
      </c>
      <c r="BC53">
        <f t="shared" si="33"/>
        <v>0</v>
      </c>
      <c r="BD53">
        <f t="shared" si="34"/>
        <v>0</v>
      </c>
      <c r="BE53">
        <f t="shared" si="35"/>
        <v>0</v>
      </c>
      <c r="BF53">
        <f t="shared" si="36"/>
        <v>0</v>
      </c>
      <c r="BG53">
        <f t="shared" si="37"/>
        <v>0</v>
      </c>
      <c r="BH53">
        <f t="shared" si="38"/>
        <v>0</v>
      </c>
      <c r="BI53">
        <f t="shared" si="39"/>
        <v>0</v>
      </c>
      <c r="BJ53">
        <v>0</v>
      </c>
      <c r="BK53" t="str">
        <f t="shared" si="53"/>
        <v>Standard Win</v>
      </c>
      <c r="BL53" s="40" t="str">
        <f t="shared" si="54"/>
        <v>Single Win</v>
      </c>
      <c r="BM53">
        <f>(D53/Frequency!$N$7-Summary!$C$7)^2*E53</f>
        <v>17305.600000000002</v>
      </c>
      <c r="BN53">
        <f t="shared" si="40"/>
        <v>0</v>
      </c>
      <c r="BO53">
        <f t="shared" si="41"/>
        <v>0</v>
      </c>
      <c r="BP53">
        <f t="shared" si="42"/>
        <v>0</v>
      </c>
      <c r="BQ53">
        <f t="shared" si="43"/>
        <v>0</v>
      </c>
      <c r="BR53">
        <f t="shared" si="44"/>
        <v>0</v>
      </c>
      <c r="BS53">
        <f t="shared" si="45"/>
        <v>0</v>
      </c>
      <c r="BT53">
        <f t="shared" si="46"/>
        <v>0</v>
      </c>
      <c r="BU53">
        <f t="shared" si="47"/>
        <v>0</v>
      </c>
      <c r="BV53">
        <f t="shared" si="48"/>
        <v>0</v>
      </c>
      <c r="BW53">
        <f t="shared" si="49"/>
        <v>0</v>
      </c>
      <c r="BX53">
        <f t="shared" si="50"/>
        <v>0</v>
      </c>
    </row>
    <row r="54" spans="2:76">
      <c r="B54" s="19">
        <f>Tiers!B55</f>
        <v>52</v>
      </c>
      <c r="C54" s="20" t="str">
        <f>Tiers!X55</f>
        <v>wild-20|||||||||</v>
      </c>
      <c r="D54" s="21">
        <f>Tiers!C55</f>
        <v>10</v>
      </c>
      <c r="E54" s="22">
        <f>Frequency!E56</f>
        <v>100</v>
      </c>
      <c r="F54" s="22">
        <f t="shared" si="0"/>
        <v>1000</v>
      </c>
      <c r="G54" s="20">
        <f>IF(AND(D54/Summary!$C$4&gt;0, D54/Summary!$C$4&lt;5),E54,0) * D54</f>
        <v>0</v>
      </c>
      <c r="H54" s="20">
        <f>IF(AND(D54/Summary!$C$4&gt;= 5, D54/Summary!$C$4&lt;10),E54,0) * D54</f>
        <v>0</v>
      </c>
      <c r="I54" s="20">
        <f>IF(AND(D54/Summary!$C$4&gt;=10, D54/Summary!$C$4&lt;25),E54,0)*D54</f>
        <v>1000</v>
      </c>
      <c r="J54" s="20">
        <f>IF(D54/Summary!$C$4&gt;=25,E54,0)*D54</f>
        <v>0</v>
      </c>
      <c r="K54" s="35">
        <f>IF(AND(D54/Frequency!$N$7&gt;0, D54/Frequency!$N$7&lt;1),E54,0)</f>
        <v>0</v>
      </c>
      <c r="L54" s="35">
        <f t="shared" si="1"/>
        <v>0</v>
      </c>
      <c r="M54" s="35">
        <f>IF(D54/Frequency!$N$7=1,1,0)*E54</f>
        <v>0</v>
      </c>
      <c r="N54" s="35">
        <f t="shared" si="2"/>
        <v>0</v>
      </c>
      <c r="O54" s="35">
        <f>IF(AND(D54/Frequency!$N$7&gt;1, D54/Frequency!$N$7&lt;=2),1,0)*E54</f>
        <v>0</v>
      </c>
      <c r="P54" s="35">
        <f t="shared" si="3"/>
        <v>0</v>
      </c>
      <c r="Q54" s="35">
        <f>IF(AND(D54/Frequency!$N$7&gt;2,D54/Frequency!$N$7&lt;=5),1,0)*E54</f>
        <v>0</v>
      </c>
      <c r="R54" s="35">
        <f t="shared" si="4"/>
        <v>0</v>
      </c>
      <c r="S54" s="35">
        <f>IF(AND(D54/Frequency!$N$7&gt;5, D54/Frequency!$N$7&lt;=10),1,0)*E54</f>
        <v>100</v>
      </c>
      <c r="T54" s="35">
        <f t="shared" si="5"/>
        <v>1000</v>
      </c>
      <c r="U54" s="35">
        <f>IF(AND(D54/Frequency!$N$7&gt;10, D54/Frequency!$N$7&lt;=20),1,0)*E54</f>
        <v>0</v>
      </c>
      <c r="V54" s="35">
        <f t="shared" si="6"/>
        <v>0</v>
      </c>
      <c r="W54" s="35">
        <f>IF(AND(D54/Frequency!$N$7&gt;20, D54/Frequency!$N$7&lt;=30),1,0)*E54</f>
        <v>0</v>
      </c>
      <c r="X54" s="35">
        <f t="shared" si="7"/>
        <v>0</v>
      </c>
      <c r="Y54" s="35">
        <f>IF(AND(D54/Frequency!$N$7&gt;30, D54/Frequency!$N$7&lt;=50),1,0)*E54</f>
        <v>0</v>
      </c>
      <c r="Z54" s="35">
        <f t="shared" si="8"/>
        <v>0</v>
      </c>
      <c r="AA54" s="35">
        <f>IF(AND(D54/Frequency!$N$7&gt;50, D54/Frequency!$N$7&lt;=100),1,0)*E54</f>
        <v>0</v>
      </c>
      <c r="AB54" s="35">
        <f t="shared" si="9"/>
        <v>0</v>
      </c>
      <c r="AC54" s="35">
        <f>IF(D54/Frequency!$N$7&gt;100,1,0)*E54</f>
        <v>0</v>
      </c>
      <c r="AD54" s="35">
        <f t="shared" si="10"/>
        <v>0</v>
      </c>
      <c r="AE54" s="22">
        <f t="shared" si="11"/>
        <v>0</v>
      </c>
      <c r="AF54" s="22">
        <f t="shared" si="12"/>
        <v>0</v>
      </c>
      <c r="AG54" s="22">
        <f t="shared" si="13"/>
        <v>0</v>
      </c>
      <c r="AH54" s="22">
        <f t="shared" si="14"/>
        <v>0</v>
      </c>
      <c r="AI54" s="35">
        <f t="shared" si="15"/>
        <v>0</v>
      </c>
      <c r="AJ54" s="35">
        <f t="shared" si="16"/>
        <v>0</v>
      </c>
      <c r="AK54" s="35">
        <f t="shared" si="17"/>
        <v>0</v>
      </c>
      <c r="AL54">
        <f t="shared" si="18"/>
        <v>1</v>
      </c>
      <c r="AM54">
        <f t="shared" si="19"/>
        <v>100</v>
      </c>
      <c r="AN54">
        <f t="shared" si="20"/>
        <v>1000</v>
      </c>
      <c r="AO54">
        <f t="shared" si="21"/>
        <v>1</v>
      </c>
      <c r="AP54">
        <f t="shared" si="22"/>
        <v>100</v>
      </c>
      <c r="AQ54">
        <f t="shared" si="23"/>
        <v>1000</v>
      </c>
      <c r="AR54">
        <f t="shared" si="24"/>
        <v>0</v>
      </c>
      <c r="AS54">
        <f t="shared" si="25"/>
        <v>0</v>
      </c>
      <c r="AT54">
        <f t="shared" si="26"/>
        <v>0</v>
      </c>
      <c r="AU54">
        <f t="shared" si="27"/>
        <v>0</v>
      </c>
      <c r="AV54">
        <v>0</v>
      </c>
      <c r="AW54">
        <v>0</v>
      </c>
      <c r="AX54">
        <f t="shared" si="28"/>
        <v>0</v>
      </c>
      <c r="AY54">
        <f t="shared" si="29"/>
        <v>0</v>
      </c>
      <c r="AZ54">
        <f t="shared" si="30"/>
        <v>0</v>
      </c>
      <c r="BA54">
        <f t="shared" si="31"/>
        <v>0</v>
      </c>
      <c r="BB54">
        <f t="shared" si="32"/>
        <v>0</v>
      </c>
      <c r="BC54">
        <f t="shared" si="33"/>
        <v>0</v>
      </c>
      <c r="BD54">
        <f t="shared" si="34"/>
        <v>0</v>
      </c>
      <c r="BE54">
        <f t="shared" si="35"/>
        <v>0</v>
      </c>
      <c r="BF54">
        <f t="shared" si="36"/>
        <v>0</v>
      </c>
      <c r="BG54">
        <f t="shared" si="37"/>
        <v>0</v>
      </c>
      <c r="BH54">
        <f t="shared" si="38"/>
        <v>0</v>
      </c>
      <c r="BI54">
        <f t="shared" si="39"/>
        <v>0</v>
      </c>
      <c r="BJ54">
        <v>0</v>
      </c>
      <c r="BK54" t="str">
        <f t="shared" si="53"/>
        <v>Big Win</v>
      </c>
      <c r="BL54" s="40" t="str">
        <f t="shared" si="54"/>
        <v>Single Win</v>
      </c>
      <c r="BM54">
        <f>(D54/Frequency!$N$7-Summary!$C$7)^2*E54</f>
        <v>8390.5600000000013</v>
      </c>
      <c r="BN54">
        <f t="shared" si="40"/>
        <v>0</v>
      </c>
      <c r="BO54">
        <f t="shared" si="41"/>
        <v>0</v>
      </c>
      <c r="BP54">
        <f t="shared" si="42"/>
        <v>0</v>
      </c>
      <c r="BQ54">
        <f t="shared" si="43"/>
        <v>0</v>
      </c>
      <c r="BR54">
        <f t="shared" si="44"/>
        <v>0</v>
      </c>
      <c r="BS54">
        <f t="shared" si="45"/>
        <v>0</v>
      </c>
      <c r="BT54">
        <f t="shared" si="46"/>
        <v>0</v>
      </c>
      <c r="BU54">
        <f t="shared" si="47"/>
        <v>0</v>
      </c>
      <c r="BV54">
        <f t="shared" si="48"/>
        <v>0</v>
      </c>
      <c r="BW54">
        <f t="shared" si="49"/>
        <v>0</v>
      </c>
      <c r="BX54">
        <f t="shared" si="50"/>
        <v>0</v>
      </c>
    </row>
    <row r="55" spans="2:76">
      <c r="B55" s="19">
        <f>Tiers!B56</f>
        <v>53</v>
      </c>
      <c r="C55" s="20" t="str">
        <f>Tiers!X56</f>
        <v>wild-21|||||||||</v>
      </c>
      <c r="D55" s="21">
        <f>Tiers!C56</f>
        <v>20</v>
      </c>
      <c r="E55" s="22">
        <f>Frequency!E57</f>
        <v>50</v>
      </c>
      <c r="F55" s="22">
        <f t="shared" si="0"/>
        <v>1000</v>
      </c>
      <c r="G55" s="20">
        <f>IF(AND(D55/Summary!$C$4&gt;0, D55/Summary!$C$4&lt;5),E55,0) * D55</f>
        <v>0</v>
      </c>
      <c r="H55" s="20">
        <f>IF(AND(D55/Summary!$C$4&gt;= 5, D55/Summary!$C$4&lt;10),E55,0) * D55</f>
        <v>0</v>
      </c>
      <c r="I55" s="20">
        <f>IF(AND(D55/Summary!$C$4&gt;=10, D55/Summary!$C$4&lt;25),E55,0)*D55</f>
        <v>1000</v>
      </c>
      <c r="J55" s="20">
        <f>IF(D55/Summary!$C$4&gt;=25,E55,0)*D55</f>
        <v>0</v>
      </c>
      <c r="K55" s="35">
        <f>IF(AND(D55/Frequency!$N$7&gt;0, D55/Frequency!$N$7&lt;1),E55,0)</f>
        <v>0</v>
      </c>
      <c r="L55" s="35">
        <f t="shared" si="1"/>
        <v>0</v>
      </c>
      <c r="M55" s="35">
        <f>IF(D55/Frequency!$N$7=1,1,0)*E55</f>
        <v>0</v>
      </c>
      <c r="N55" s="35">
        <f t="shared" si="2"/>
        <v>0</v>
      </c>
      <c r="O55" s="35">
        <f>IF(AND(D55/Frequency!$N$7&gt;1, D55/Frequency!$N$7&lt;=2),1,0)*E55</f>
        <v>0</v>
      </c>
      <c r="P55" s="35">
        <f t="shared" si="3"/>
        <v>0</v>
      </c>
      <c r="Q55" s="35">
        <f>IF(AND(D55/Frequency!$N$7&gt;2,D55/Frequency!$N$7&lt;=5),1,0)*E55</f>
        <v>0</v>
      </c>
      <c r="R55" s="35">
        <f t="shared" si="4"/>
        <v>0</v>
      </c>
      <c r="S55" s="35">
        <f>IF(AND(D55/Frequency!$N$7&gt;5, D55/Frequency!$N$7&lt;=10),1,0)*E55</f>
        <v>0</v>
      </c>
      <c r="T55" s="35">
        <f t="shared" si="5"/>
        <v>0</v>
      </c>
      <c r="U55" s="35">
        <f>IF(AND(D55/Frequency!$N$7&gt;10, D55/Frequency!$N$7&lt;=20),1,0)*E55</f>
        <v>50</v>
      </c>
      <c r="V55" s="35">
        <f t="shared" si="6"/>
        <v>1000</v>
      </c>
      <c r="W55" s="35">
        <f>IF(AND(D55/Frequency!$N$7&gt;20, D55/Frequency!$N$7&lt;=30),1,0)*E55</f>
        <v>0</v>
      </c>
      <c r="X55" s="35">
        <f t="shared" si="7"/>
        <v>0</v>
      </c>
      <c r="Y55" s="35">
        <f>IF(AND(D55/Frequency!$N$7&gt;30, D55/Frequency!$N$7&lt;=50),1,0)*E55</f>
        <v>0</v>
      </c>
      <c r="Z55" s="35">
        <f t="shared" si="8"/>
        <v>0</v>
      </c>
      <c r="AA55" s="35">
        <f>IF(AND(D55/Frequency!$N$7&gt;50, D55/Frequency!$N$7&lt;=100),1,0)*E55</f>
        <v>0</v>
      </c>
      <c r="AB55" s="35">
        <f t="shared" si="9"/>
        <v>0</v>
      </c>
      <c r="AC55" s="35">
        <f>IF(D55/Frequency!$N$7&gt;100,1,0)*E55</f>
        <v>0</v>
      </c>
      <c r="AD55" s="35">
        <f t="shared" si="10"/>
        <v>0</v>
      </c>
      <c r="AE55" s="22">
        <f t="shared" si="11"/>
        <v>0</v>
      </c>
      <c r="AF55" s="22">
        <f t="shared" si="12"/>
        <v>0</v>
      </c>
      <c r="AG55" s="22">
        <f t="shared" si="13"/>
        <v>0</v>
      </c>
      <c r="AH55" s="22">
        <f t="shared" si="14"/>
        <v>0</v>
      </c>
      <c r="AI55" s="35">
        <f t="shared" si="15"/>
        <v>0</v>
      </c>
      <c r="AJ55" s="35">
        <f t="shared" si="16"/>
        <v>0</v>
      </c>
      <c r="AK55" s="35">
        <f t="shared" si="17"/>
        <v>0</v>
      </c>
      <c r="AL55">
        <f t="shared" si="18"/>
        <v>1</v>
      </c>
      <c r="AM55">
        <f t="shared" si="19"/>
        <v>50</v>
      </c>
      <c r="AN55">
        <f t="shared" si="20"/>
        <v>1000</v>
      </c>
      <c r="AO55">
        <f t="shared" si="21"/>
        <v>1</v>
      </c>
      <c r="AP55">
        <f t="shared" si="22"/>
        <v>50</v>
      </c>
      <c r="AQ55">
        <f t="shared" si="23"/>
        <v>1000</v>
      </c>
      <c r="AR55">
        <f t="shared" si="24"/>
        <v>0</v>
      </c>
      <c r="AS55">
        <f t="shared" si="25"/>
        <v>0</v>
      </c>
      <c r="AT55">
        <f t="shared" si="26"/>
        <v>0</v>
      </c>
      <c r="AU55">
        <f t="shared" si="27"/>
        <v>0</v>
      </c>
      <c r="AV55">
        <v>0</v>
      </c>
      <c r="AW55">
        <v>0</v>
      </c>
      <c r="AX55">
        <f t="shared" si="28"/>
        <v>0</v>
      </c>
      <c r="AY55">
        <f t="shared" si="29"/>
        <v>0</v>
      </c>
      <c r="AZ55">
        <f t="shared" si="30"/>
        <v>0</v>
      </c>
      <c r="BA55">
        <f t="shared" si="31"/>
        <v>0</v>
      </c>
      <c r="BB55">
        <f t="shared" si="32"/>
        <v>0</v>
      </c>
      <c r="BC55">
        <f t="shared" si="33"/>
        <v>0</v>
      </c>
      <c r="BD55">
        <f t="shared" si="34"/>
        <v>0</v>
      </c>
      <c r="BE55">
        <f t="shared" si="35"/>
        <v>0</v>
      </c>
      <c r="BF55">
        <f t="shared" si="36"/>
        <v>0</v>
      </c>
      <c r="BG55">
        <f t="shared" si="37"/>
        <v>0</v>
      </c>
      <c r="BH55">
        <f t="shared" si="38"/>
        <v>0</v>
      </c>
      <c r="BI55">
        <f t="shared" si="39"/>
        <v>0</v>
      </c>
      <c r="BJ55">
        <v>0</v>
      </c>
      <c r="BK55" t="str">
        <f t="shared" si="53"/>
        <v>Big Win</v>
      </c>
      <c r="BL55" s="40" t="str">
        <f t="shared" si="54"/>
        <v>Single Win</v>
      </c>
      <c r="BM55">
        <f>(D55/Frequency!$N$7-Summary!$C$7)^2*E55</f>
        <v>18355.28</v>
      </c>
      <c r="BN55">
        <f t="shared" si="40"/>
        <v>0</v>
      </c>
      <c r="BO55">
        <f t="shared" si="41"/>
        <v>0</v>
      </c>
      <c r="BP55">
        <f t="shared" si="42"/>
        <v>0</v>
      </c>
      <c r="BQ55">
        <f t="shared" si="43"/>
        <v>0</v>
      </c>
      <c r="BR55">
        <f t="shared" si="44"/>
        <v>0</v>
      </c>
      <c r="BS55">
        <f t="shared" si="45"/>
        <v>0</v>
      </c>
      <c r="BT55">
        <f t="shared" si="46"/>
        <v>0</v>
      </c>
      <c r="BU55">
        <f t="shared" si="47"/>
        <v>0</v>
      </c>
      <c r="BV55">
        <f t="shared" si="48"/>
        <v>0</v>
      </c>
      <c r="BW55">
        <f t="shared" si="49"/>
        <v>0</v>
      </c>
      <c r="BX55">
        <f t="shared" si="50"/>
        <v>0</v>
      </c>
    </row>
    <row r="56" spans="2:76">
      <c r="B56" s="19">
        <f>Tiers!B57</f>
        <v>54</v>
      </c>
      <c r="C56" s="118" t="str">
        <f>Tiers!X57</f>
        <v>freeplayA-0|||||||||</v>
      </c>
      <c r="D56" s="21">
        <f>Tiers!C57</f>
        <v>0.7</v>
      </c>
      <c r="E56" s="22">
        <f>Frequency!E58</f>
        <v>400</v>
      </c>
      <c r="F56" s="22">
        <f t="shared" si="0"/>
        <v>280</v>
      </c>
      <c r="G56" s="20">
        <f>IF(AND(D56/Summary!$C$4&gt;0, D56/Summary!$C$4&lt;5),E56,0) * D56</f>
        <v>280</v>
      </c>
      <c r="H56" s="20">
        <f>IF(AND(D56/Summary!$C$4&gt;= 5, D56/Summary!$C$4&lt;10),E56,0) * D56</f>
        <v>0</v>
      </c>
      <c r="I56" s="20">
        <f>IF(AND(D56/Summary!$C$4&gt;=10, D56/Summary!$C$4&lt;25),E56,0)*D56</f>
        <v>0</v>
      </c>
      <c r="J56" s="20">
        <f>IF(D56/Summary!$C$4&gt;=25,E56,0)*D56</f>
        <v>0</v>
      </c>
      <c r="K56" s="35">
        <f>IF(AND(D56/Frequency!$N$7&gt;0, D56/Frequency!$N$7&lt;1),E56,0)</f>
        <v>400</v>
      </c>
      <c r="L56" s="35">
        <f t="shared" si="1"/>
        <v>280</v>
      </c>
      <c r="M56" s="35">
        <f>IF(D56/Frequency!$N$7=1,1,0)*E56</f>
        <v>0</v>
      </c>
      <c r="N56" s="35">
        <f t="shared" si="2"/>
        <v>0</v>
      </c>
      <c r="O56" s="35">
        <f>IF(AND(D56/Frequency!$N$7&gt;1, D56/Frequency!$N$7&lt;=2),1,0)*E56</f>
        <v>0</v>
      </c>
      <c r="P56" s="35">
        <f t="shared" si="3"/>
        <v>0</v>
      </c>
      <c r="Q56" s="35">
        <f>IF(AND(D56/Frequency!$N$7&gt;2,D56/Frequency!$N$7&lt;=5),1,0)*E56</f>
        <v>0</v>
      </c>
      <c r="R56" s="35">
        <f t="shared" si="4"/>
        <v>0</v>
      </c>
      <c r="S56" s="35">
        <f>IF(AND(D56/Frequency!$N$7&gt;5, D56/Frequency!$N$7&lt;=10),1,0)*E56</f>
        <v>0</v>
      </c>
      <c r="T56" s="35">
        <f t="shared" si="5"/>
        <v>0</v>
      </c>
      <c r="U56" s="35">
        <f>IF(AND(D56/Frequency!$N$7&gt;10, D56/Frequency!$N$7&lt;=20),1,0)*E56</f>
        <v>0</v>
      </c>
      <c r="V56" s="35">
        <f t="shared" si="6"/>
        <v>0</v>
      </c>
      <c r="W56" s="35">
        <f>IF(AND(D56/Frequency!$N$7&gt;20, D56/Frequency!$N$7&lt;=30),1,0)*E56</f>
        <v>0</v>
      </c>
      <c r="X56" s="35">
        <f t="shared" si="7"/>
        <v>0</v>
      </c>
      <c r="Y56" s="35">
        <f>IF(AND(D56/Frequency!$N$7&gt;30, D56/Frequency!$N$7&lt;=50),1,0)*E56</f>
        <v>0</v>
      </c>
      <c r="Z56" s="35">
        <f t="shared" si="8"/>
        <v>0</v>
      </c>
      <c r="AA56" s="35">
        <f>IF(AND(D56/Frequency!$N$7&gt;50, D56/Frequency!$N$7&lt;=100),1,0)*E56</f>
        <v>0</v>
      </c>
      <c r="AB56" s="35">
        <f t="shared" si="9"/>
        <v>0</v>
      </c>
      <c r="AC56" s="35">
        <f>IF(D56/Frequency!$N$7&gt;100,1,0)*E56</f>
        <v>0</v>
      </c>
      <c r="AD56" s="35">
        <f t="shared" si="10"/>
        <v>0</v>
      </c>
      <c r="AE56" s="22">
        <f t="shared" si="11"/>
        <v>400</v>
      </c>
      <c r="AF56" s="22">
        <f t="shared" si="12"/>
        <v>0</v>
      </c>
      <c r="AG56" s="22">
        <f t="shared" si="13"/>
        <v>0</v>
      </c>
      <c r="AH56" s="22">
        <f t="shared" si="14"/>
        <v>0</v>
      </c>
      <c r="AI56" s="35">
        <f t="shared" si="15"/>
        <v>0</v>
      </c>
      <c r="AJ56" s="35">
        <f t="shared" si="16"/>
        <v>0</v>
      </c>
      <c r="AK56" s="35">
        <f t="shared" si="17"/>
        <v>0</v>
      </c>
      <c r="AL56">
        <f t="shared" si="18"/>
        <v>0</v>
      </c>
      <c r="AM56">
        <f t="shared" si="19"/>
        <v>0</v>
      </c>
      <c r="AN56">
        <f t="shared" si="20"/>
        <v>0</v>
      </c>
      <c r="AO56">
        <f t="shared" si="21"/>
        <v>0</v>
      </c>
      <c r="AP56">
        <f t="shared" si="22"/>
        <v>0</v>
      </c>
      <c r="AQ56">
        <f t="shared" si="23"/>
        <v>0</v>
      </c>
      <c r="AR56">
        <f t="shared" si="24"/>
        <v>0</v>
      </c>
      <c r="AS56">
        <f t="shared" si="25"/>
        <v>0</v>
      </c>
      <c r="AT56">
        <f t="shared" si="26"/>
        <v>0</v>
      </c>
      <c r="AU56">
        <f t="shared" si="27"/>
        <v>1</v>
      </c>
      <c r="AV56">
        <v>0</v>
      </c>
      <c r="AW56">
        <v>0</v>
      </c>
      <c r="AX56">
        <f t="shared" si="28"/>
        <v>0</v>
      </c>
      <c r="AY56">
        <f t="shared" si="29"/>
        <v>0</v>
      </c>
      <c r="AZ56">
        <f t="shared" si="30"/>
        <v>0</v>
      </c>
      <c r="BA56">
        <f t="shared" si="31"/>
        <v>0</v>
      </c>
      <c r="BB56">
        <f t="shared" si="32"/>
        <v>0</v>
      </c>
      <c r="BC56">
        <f t="shared" si="33"/>
        <v>0</v>
      </c>
      <c r="BD56">
        <f t="shared" si="34"/>
        <v>0</v>
      </c>
      <c r="BE56">
        <f t="shared" si="35"/>
        <v>0</v>
      </c>
      <c r="BF56">
        <f t="shared" si="36"/>
        <v>0</v>
      </c>
      <c r="BG56">
        <f t="shared" si="37"/>
        <v>0</v>
      </c>
      <c r="BH56">
        <f t="shared" si="38"/>
        <v>0</v>
      </c>
      <c r="BI56">
        <f t="shared" si="39"/>
        <v>0</v>
      </c>
      <c r="BJ56">
        <v>0</v>
      </c>
      <c r="BK56" t="str">
        <f t="shared" si="53"/>
        <v>Less than Stake</v>
      </c>
      <c r="BL56" s="40" t="str">
        <f t="shared" si="54"/>
        <v>Free Plays A</v>
      </c>
      <c r="BM56">
        <f>(D56/Frequency!$N$7-Summary!$C$7)^2*E56</f>
        <v>7.8400000000000007</v>
      </c>
      <c r="BN56">
        <f t="shared" si="40"/>
        <v>280</v>
      </c>
      <c r="BO56">
        <f t="shared" si="41"/>
        <v>0</v>
      </c>
      <c r="BP56">
        <f t="shared" si="42"/>
        <v>0</v>
      </c>
      <c r="BQ56">
        <f t="shared" si="43"/>
        <v>400</v>
      </c>
      <c r="BR56">
        <f t="shared" si="44"/>
        <v>280</v>
      </c>
      <c r="BS56">
        <f t="shared" si="45"/>
        <v>0</v>
      </c>
      <c r="BT56">
        <f t="shared" si="46"/>
        <v>0</v>
      </c>
      <c r="BU56">
        <f t="shared" si="47"/>
        <v>0</v>
      </c>
      <c r="BV56">
        <f t="shared" si="48"/>
        <v>0</v>
      </c>
      <c r="BW56">
        <f t="shared" si="49"/>
        <v>0</v>
      </c>
      <c r="BX56">
        <f t="shared" si="50"/>
        <v>0</v>
      </c>
    </row>
    <row r="57" spans="2:76">
      <c r="B57" s="19">
        <f>Tiers!B58</f>
        <v>55</v>
      </c>
      <c r="C57" s="118" t="str">
        <f>Tiers!X58</f>
        <v>freeplayA-1|||||||||</v>
      </c>
      <c r="D57" s="21">
        <f>Tiers!C58</f>
        <v>3</v>
      </c>
      <c r="E57" s="22">
        <f>Frequency!E59</f>
        <v>500</v>
      </c>
      <c r="F57" s="22">
        <f t="shared" si="0"/>
        <v>1500</v>
      </c>
      <c r="G57" s="20">
        <f>IF(AND(D57/Summary!$C$4&gt;0, D57/Summary!$C$4&lt;5),E57,0) * D57</f>
        <v>1500</v>
      </c>
      <c r="H57" s="20">
        <f>IF(AND(D57/Summary!$C$4&gt;= 5, D57/Summary!$C$4&lt;10),E57,0) * D57</f>
        <v>0</v>
      </c>
      <c r="I57" s="20">
        <f>IF(AND(D57/Summary!$C$4&gt;=10, D57/Summary!$C$4&lt;25),E57,0)*D57</f>
        <v>0</v>
      </c>
      <c r="J57" s="20">
        <f>IF(D57/Summary!$C$4&gt;=25,E57,0)*D57</f>
        <v>0</v>
      </c>
      <c r="K57" s="35">
        <f>IF(AND(D57/Frequency!$N$7&gt;0, D57/Frequency!$N$7&lt;1),E57,0)</f>
        <v>0</v>
      </c>
      <c r="L57" s="35">
        <f t="shared" si="1"/>
        <v>0</v>
      </c>
      <c r="M57" s="35">
        <f>IF(D57/Frequency!$N$7=1,1,0)*E57</f>
        <v>0</v>
      </c>
      <c r="N57" s="35">
        <f t="shared" si="2"/>
        <v>0</v>
      </c>
      <c r="O57" s="35">
        <f>IF(AND(D57/Frequency!$N$7&gt;1, D57/Frequency!$N$7&lt;=2),1,0)*E57</f>
        <v>0</v>
      </c>
      <c r="P57" s="35">
        <f t="shared" si="3"/>
        <v>0</v>
      </c>
      <c r="Q57" s="35">
        <f>IF(AND(D57/Frequency!$N$7&gt;2,D57/Frequency!$N$7&lt;=5),1,0)*E57</f>
        <v>500</v>
      </c>
      <c r="R57" s="35">
        <f t="shared" si="4"/>
        <v>1500</v>
      </c>
      <c r="S57" s="35">
        <f>IF(AND(D57/Frequency!$N$7&gt;5, D57/Frequency!$N$7&lt;=10),1,0)*E57</f>
        <v>0</v>
      </c>
      <c r="T57" s="35">
        <f t="shared" si="5"/>
        <v>0</v>
      </c>
      <c r="U57" s="35">
        <f>IF(AND(D57/Frequency!$N$7&gt;10, D57/Frequency!$N$7&lt;=20),1,0)*E57</f>
        <v>0</v>
      </c>
      <c r="V57" s="35">
        <f t="shared" si="6"/>
        <v>0</v>
      </c>
      <c r="W57" s="35">
        <f>IF(AND(D57/Frequency!$N$7&gt;20, D57/Frequency!$N$7&lt;=30),1,0)*E57</f>
        <v>0</v>
      </c>
      <c r="X57" s="35">
        <f t="shared" si="7"/>
        <v>0</v>
      </c>
      <c r="Y57" s="35">
        <f>IF(AND(D57/Frequency!$N$7&gt;30, D57/Frequency!$N$7&lt;=50),1,0)*E57</f>
        <v>0</v>
      </c>
      <c r="Z57" s="35">
        <f t="shared" si="8"/>
        <v>0</v>
      </c>
      <c r="AA57" s="35">
        <f>IF(AND(D57/Frequency!$N$7&gt;50, D57/Frequency!$N$7&lt;=100),1,0)*E57</f>
        <v>0</v>
      </c>
      <c r="AB57" s="35">
        <f t="shared" si="9"/>
        <v>0</v>
      </c>
      <c r="AC57" s="35">
        <f>IF(D57/Frequency!$N$7&gt;100,1,0)*E57</f>
        <v>0</v>
      </c>
      <c r="AD57" s="35">
        <f t="shared" si="10"/>
        <v>0</v>
      </c>
      <c r="AE57" s="22">
        <f t="shared" si="11"/>
        <v>500</v>
      </c>
      <c r="AF57" s="22">
        <f t="shared" si="12"/>
        <v>0</v>
      </c>
      <c r="AG57" s="22">
        <f t="shared" si="13"/>
        <v>0</v>
      </c>
      <c r="AH57" s="22">
        <f t="shared" si="14"/>
        <v>0</v>
      </c>
      <c r="AI57" s="35">
        <f t="shared" si="15"/>
        <v>0</v>
      </c>
      <c r="AJ57" s="35">
        <f t="shared" si="16"/>
        <v>0</v>
      </c>
      <c r="AK57" s="35">
        <f t="shared" si="17"/>
        <v>0</v>
      </c>
      <c r="AL57">
        <f t="shared" si="18"/>
        <v>0</v>
      </c>
      <c r="AM57">
        <f t="shared" si="19"/>
        <v>0</v>
      </c>
      <c r="AN57">
        <f t="shared" si="20"/>
        <v>0</v>
      </c>
      <c r="AO57">
        <f t="shared" si="21"/>
        <v>0</v>
      </c>
      <c r="AP57">
        <f t="shared" si="22"/>
        <v>0</v>
      </c>
      <c r="AQ57">
        <f t="shared" si="23"/>
        <v>0</v>
      </c>
      <c r="AR57">
        <f t="shared" si="24"/>
        <v>0</v>
      </c>
      <c r="AS57">
        <f t="shared" si="25"/>
        <v>0</v>
      </c>
      <c r="AT57">
        <f t="shared" si="26"/>
        <v>0</v>
      </c>
      <c r="AU57">
        <f t="shared" si="27"/>
        <v>1</v>
      </c>
      <c r="AV57">
        <v>0</v>
      </c>
      <c r="AW57">
        <v>0</v>
      </c>
      <c r="AX57">
        <f t="shared" si="28"/>
        <v>0</v>
      </c>
      <c r="AY57">
        <f t="shared" si="29"/>
        <v>0</v>
      </c>
      <c r="AZ57">
        <f t="shared" si="30"/>
        <v>0</v>
      </c>
      <c r="BA57">
        <f t="shared" si="31"/>
        <v>0</v>
      </c>
      <c r="BB57">
        <f t="shared" si="32"/>
        <v>0</v>
      </c>
      <c r="BC57">
        <f t="shared" si="33"/>
        <v>0</v>
      </c>
      <c r="BD57">
        <f t="shared" si="34"/>
        <v>0</v>
      </c>
      <c r="BE57">
        <f t="shared" si="35"/>
        <v>0</v>
      </c>
      <c r="BF57">
        <f t="shared" si="36"/>
        <v>0</v>
      </c>
      <c r="BG57">
        <f t="shared" si="37"/>
        <v>0</v>
      </c>
      <c r="BH57">
        <f t="shared" si="38"/>
        <v>0</v>
      </c>
      <c r="BI57">
        <f t="shared" si="39"/>
        <v>0</v>
      </c>
      <c r="BJ57">
        <v>0</v>
      </c>
      <c r="BK57" t="str">
        <f t="shared" si="53"/>
        <v>Standard Win</v>
      </c>
      <c r="BL57" s="40" t="str">
        <f t="shared" si="54"/>
        <v>Free Plays A</v>
      </c>
      <c r="BM57">
        <f>(D57/Frequency!$N$7-Summary!$C$7)^2*E57</f>
        <v>2332.8000000000002</v>
      </c>
      <c r="BN57">
        <f t="shared" si="40"/>
        <v>1500</v>
      </c>
      <c r="BO57">
        <f t="shared" si="41"/>
        <v>0</v>
      </c>
      <c r="BP57">
        <f t="shared" si="42"/>
        <v>0</v>
      </c>
      <c r="BQ57">
        <f t="shared" si="43"/>
        <v>500</v>
      </c>
      <c r="BR57">
        <f t="shared" si="44"/>
        <v>1500</v>
      </c>
      <c r="BS57">
        <f t="shared" si="45"/>
        <v>0</v>
      </c>
      <c r="BT57">
        <f t="shared" si="46"/>
        <v>0</v>
      </c>
      <c r="BU57">
        <f t="shared" si="47"/>
        <v>0</v>
      </c>
      <c r="BV57">
        <f t="shared" si="48"/>
        <v>0</v>
      </c>
      <c r="BW57">
        <f t="shared" si="49"/>
        <v>0</v>
      </c>
      <c r="BX57">
        <f t="shared" si="50"/>
        <v>0</v>
      </c>
    </row>
    <row r="58" spans="2:76">
      <c r="B58" s="19">
        <f>Tiers!B59</f>
        <v>56</v>
      </c>
      <c r="C58" s="118" t="str">
        <f>Tiers!X59</f>
        <v>freeplayA-2|||||||||</v>
      </c>
      <c r="D58" s="21">
        <f>Tiers!C59</f>
        <v>0.5</v>
      </c>
      <c r="E58" s="22">
        <f>Frequency!E60</f>
        <v>500</v>
      </c>
      <c r="F58" s="22">
        <f t="shared" si="0"/>
        <v>250</v>
      </c>
      <c r="G58" s="20">
        <f>IF(AND(D58/Summary!$C$4&gt;0, D58/Summary!$C$4&lt;5),E58,0) * D58</f>
        <v>250</v>
      </c>
      <c r="H58" s="20">
        <f>IF(AND(D58/Summary!$C$4&gt;= 5, D58/Summary!$C$4&lt;10),E58,0) * D58</f>
        <v>0</v>
      </c>
      <c r="I58" s="20">
        <f>IF(AND(D58/Summary!$C$4&gt;=10, D58/Summary!$C$4&lt;25),E58,0)*D58</f>
        <v>0</v>
      </c>
      <c r="J58" s="20">
        <f>IF(D58/Summary!$C$4&gt;=25,E58,0)*D58</f>
        <v>0</v>
      </c>
      <c r="K58" s="35">
        <f>IF(AND(D58/Frequency!$N$7&gt;0, D58/Frequency!$N$7&lt;1),E58,0)</f>
        <v>500</v>
      </c>
      <c r="L58" s="35">
        <f t="shared" si="1"/>
        <v>250</v>
      </c>
      <c r="M58" s="35">
        <f>IF(D58/Frequency!$N$7=1,1,0)*E58</f>
        <v>0</v>
      </c>
      <c r="N58" s="35">
        <f t="shared" si="2"/>
        <v>0</v>
      </c>
      <c r="O58" s="35">
        <f>IF(AND(D58/Frequency!$N$7&gt;1, D58/Frequency!$N$7&lt;=2),1,0)*E58</f>
        <v>0</v>
      </c>
      <c r="P58" s="35">
        <f t="shared" si="3"/>
        <v>0</v>
      </c>
      <c r="Q58" s="35">
        <f>IF(AND(D58/Frequency!$N$7&gt;2,D58/Frequency!$N$7&lt;=5),1,0)*E58</f>
        <v>0</v>
      </c>
      <c r="R58" s="35">
        <f t="shared" si="4"/>
        <v>0</v>
      </c>
      <c r="S58" s="35">
        <f>IF(AND(D58/Frequency!$N$7&gt;5, D58/Frequency!$N$7&lt;=10),1,0)*E58</f>
        <v>0</v>
      </c>
      <c r="T58" s="35">
        <f t="shared" si="5"/>
        <v>0</v>
      </c>
      <c r="U58" s="35">
        <f>IF(AND(D58/Frequency!$N$7&gt;10, D58/Frequency!$N$7&lt;=20),1,0)*E58</f>
        <v>0</v>
      </c>
      <c r="V58" s="35">
        <f t="shared" si="6"/>
        <v>0</v>
      </c>
      <c r="W58" s="35">
        <f>IF(AND(D58/Frequency!$N$7&gt;20, D58/Frequency!$N$7&lt;=30),1,0)*E58</f>
        <v>0</v>
      </c>
      <c r="X58" s="35">
        <f t="shared" si="7"/>
        <v>0</v>
      </c>
      <c r="Y58" s="35">
        <f>IF(AND(D58/Frequency!$N$7&gt;30, D58/Frequency!$N$7&lt;=50),1,0)*E58</f>
        <v>0</v>
      </c>
      <c r="Z58" s="35">
        <f t="shared" si="8"/>
        <v>0</v>
      </c>
      <c r="AA58" s="35">
        <f>IF(AND(D58/Frequency!$N$7&gt;50, D58/Frequency!$N$7&lt;=100),1,0)*E58</f>
        <v>0</v>
      </c>
      <c r="AB58" s="35">
        <f t="shared" si="9"/>
        <v>0</v>
      </c>
      <c r="AC58" s="35">
        <f>IF(D58/Frequency!$N$7&gt;100,1,0)*E58</f>
        <v>0</v>
      </c>
      <c r="AD58" s="35">
        <f t="shared" si="10"/>
        <v>0</v>
      </c>
      <c r="AE58" s="22">
        <f t="shared" si="11"/>
        <v>500</v>
      </c>
      <c r="AF58" s="22">
        <f t="shared" si="12"/>
        <v>0</v>
      </c>
      <c r="AG58" s="22">
        <f t="shared" si="13"/>
        <v>0</v>
      </c>
      <c r="AH58" s="22">
        <f t="shared" si="14"/>
        <v>0</v>
      </c>
      <c r="AI58" s="35">
        <f t="shared" si="15"/>
        <v>0</v>
      </c>
      <c r="AJ58" s="35">
        <f t="shared" si="16"/>
        <v>0</v>
      </c>
      <c r="AK58" s="35">
        <f t="shared" si="17"/>
        <v>0</v>
      </c>
      <c r="AL58">
        <f t="shared" si="18"/>
        <v>0</v>
      </c>
      <c r="AM58">
        <f t="shared" si="19"/>
        <v>0</v>
      </c>
      <c r="AN58">
        <f t="shared" si="20"/>
        <v>0</v>
      </c>
      <c r="AO58">
        <f t="shared" si="21"/>
        <v>0</v>
      </c>
      <c r="AP58">
        <f t="shared" si="22"/>
        <v>0</v>
      </c>
      <c r="AQ58">
        <f t="shared" si="23"/>
        <v>0</v>
      </c>
      <c r="AR58">
        <f t="shared" si="24"/>
        <v>0</v>
      </c>
      <c r="AS58">
        <f t="shared" si="25"/>
        <v>0</v>
      </c>
      <c r="AT58">
        <f t="shared" si="26"/>
        <v>0</v>
      </c>
      <c r="AU58">
        <f t="shared" si="27"/>
        <v>1</v>
      </c>
      <c r="AV58">
        <v>0</v>
      </c>
      <c r="AW58">
        <v>0</v>
      </c>
      <c r="AX58">
        <f t="shared" si="28"/>
        <v>0</v>
      </c>
      <c r="AY58">
        <f t="shared" si="29"/>
        <v>0</v>
      </c>
      <c r="AZ58">
        <f t="shared" si="30"/>
        <v>0</v>
      </c>
      <c r="BA58">
        <f t="shared" si="31"/>
        <v>0</v>
      </c>
      <c r="BB58">
        <f t="shared" si="32"/>
        <v>0</v>
      </c>
      <c r="BC58">
        <f t="shared" si="33"/>
        <v>0</v>
      </c>
      <c r="BD58">
        <f t="shared" si="34"/>
        <v>0</v>
      </c>
      <c r="BE58">
        <f t="shared" si="35"/>
        <v>0</v>
      </c>
      <c r="BF58">
        <f t="shared" si="36"/>
        <v>0</v>
      </c>
      <c r="BG58">
        <f t="shared" si="37"/>
        <v>0</v>
      </c>
      <c r="BH58">
        <f t="shared" si="38"/>
        <v>0</v>
      </c>
      <c r="BI58">
        <f t="shared" si="39"/>
        <v>0</v>
      </c>
      <c r="BJ58">
        <v>0</v>
      </c>
      <c r="BK58" t="str">
        <f t="shared" si="53"/>
        <v>Less than Stake</v>
      </c>
      <c r="BL58" s="40" t="str">
        <f t="shared" si="54"/>
        <v>Free Plays A</v>
      </c>
      <c r="BM58">
        <f>(D58/Frequency!$N$7-Summary!$C$7)^2*E58</f>
        <v>57.79999999999999</v>
      </c>
      <c r="BN58">
        <f t="shared" si="40"/>
        <v>250</v>
      </c>
      <c r="BO58">
        <f t="shared" si="41"/>
        <v>0</v>
      </c>
      <c r="BP58">
        <f t="shared" si="42"/>
        <v>0</v>
      </c>
      <c r="BQ58">
        <f t="shared" si="43"/>
        <v>500</v>
      </c>
      <c r="BR58">
        <f t="shared" si="44"/>
        <v>250</v>
      </c>
      <c r="BS58">
        <f t="shared" si="45"/>
        <v>0</v>
      </c>
      <c r="BT58">
        <f t="shared" si="46"/>
        <v>0</v>
      </c>
      <c r="BU58">
        <f t="shared" si="47"/>
        <v>0</v>
      </c>
      <c r="BV58">
        <f t="shared" si="48"/>
        <v>0</v>
      </c>
      <c r="BW58">
        <f t="shared" si="49"/>
        <v>0</v>
      </c>
      <c r="BX58">
        <f t="shared" si="50"/>
        <v>0</v>
      </c>
    </row>
    <row r="59" spans="2:76">
      <c r="B59" s="19">
        <f>Tiers!B60</f>
        <v>57</v>
      </c>
      <c r="C59" s="118" t="str">
        <f>Tiers!X60</f>
        <v>freeplayA-3|||||||||</v>
      </c>
      <c r="D59" s="21">
        <f>Tiers!C60</f>
        <v>0.1</v>
      </c>
      <c r="E59" s="22">
        <f>Frequency!E61</f>
        <v>500</v>
      </c>
      <c r="F59" s="22">
        <f t="shared" si="0"/>
        <v>50</v>
      </c>
      <c r="G59" s="20">
        <f>IF(AND(D59/Summary!$C$4&gt;0, D59/Summary!$C$4&lt;5),E59,0) * D59</f>
        <v>50</v>
      </c>
      <c r="H59" s="20">
        <f>IF(AND(D59/Summary!$C$4&gt;= 5, D59/Summary!$C$4&lt;10),E59,0) * D59</f>
        <v>0</v>
      </c>
      <c r="I59" s="20">
        <f>IF(AND(D59/Summary!$C$4&gt;=10, D59/Summary!$C$4&lt;25),E59,0)*D59</f>
        <v>0</v>
      </c>
      <c r="J59" s="20">
        <f>IF(D59/Summary!$C$4&gt;=25,E59,0)*D59</f>
        <v>0</v>
      </c>
      <c r="K59" s="35">
        <f>IF(AND(D59/Frequency!$N$7&gt;0, D59/Frequency!$N$7&lt;1),E59,0)</f>
        <v>500</v>
      </c>
      <c r="L59" s="35">
        <f t="shared" si="1"/>
        <v>50</v>
      </c>
      <c r="M59" s="35">
        <f>IF(D59/Frequency!$N$7=1,1,0)*E59</f>
        <v>0</v>
      </c>
      <c r="N59" s="35">
        <f t="shared" si="2"/>
        <v>0</v>
      </c>
      <c r="O59" s="35">
        <f>IF(AND(D59/Frequency!$N$7&gt;1, D59/Frequency!$N$7&lt;=2),1,0)*E59</f>
        <v>0</v>
      </c>
      <c r="P59" s="35">
        <f t="shared" si="3"/>
        <v>0</v>
      </c>
      <c r="Q59" s="35">
        <f>IF(AND(D59/Frequency!$N$7&gt;2,D59/Frequency!$N$7&lt;=5),1,0)*E59</f>
        <v>0</v>
      </c>
      <c r="R59" s="35">
        <f t="shared" si="4"/>
        <v>0</v>
      </c>
      <c r="S59" s="35">
        <f>IF(AND(D59/Frequency!$N$7&gt;5, D59/Frequency!$N$7&lt;=10),1,0)*E59</f>
        <v>0</v>
      </c>
      <c r="T59" s="35">
        <f t="shared" si="5"/>
        <v>0</v>
      </c>
      <c r="U59" s="35">
        <f>IF(AND(D59/Frequency!$N$7&gt;10, D59/Frequency!$N$7&lt;=20),1,0)*E59</f>
        <v>0</v>
      </c>
      <c r="V59" s="35">
        <f t="shared" si="6"/>
        <v>0</v>
      </c>
      <c r="W59" s="35">
        <f>IF(AND(D59/Frequency!$N$7&gt;20, D59/Frequency!$N$7&lt;=30),1,0)*E59</f>
        <v>0</v>
      </c>
      <c r="X59" s="35">
        <f t="shared" si="7"/>
        <v>0</v>
      </c>
      <c r="Y59" s="35">
        <f>IF(AND(D59/Frequency!$N$7&gt;30, D59/Frequency!$N$7&lt;=50),1,0)*E59</f>
        <v>0</v>
      </c>
      <c r="Z59" s="35">
        <f t="shared" si="8"/>
        <v>0</v>
      </c>
      <c r="AA59" s="35">
        <f>IF(AND(D59/Frequency!$N$7&gt;50, D59/Frequency!$N$7&lt;=100),1,0)*E59</f>
        <v>0</v>
      </c>
      <c r="AB59" s="35">
        <f t="shared" si="9"/>
        <v>0</v>
      </c>
      <c r="AC59" s="35">
        <f>IF(D59/Frequency!$N$7&gt;100,1,0)*E59</f>
        <v>0</v>
      </c>
      <c r="AD59" s="35">
        <f t="shared" si="10"/>
        <v>0</v>
      </c>
      <c r="AE59" s="22">
        <f t="shared" si="11"/>
        <v>500</v>
      </c>
      <c r="AF59" s="22">
        <f t="shared" si="12"/>
        <v>0</v>
      </c>
      <c r="AG59" s="22">
        <f t="shared" si="13"/>
        <v>0</v>
      </c>
      <c r="AH59" s="22">
        <f t="shared" si="14"/>
        <v>0</v>
      </c>
      <c r="AI59" s="35">
        <f t="shared" si="15"/>
        <v>0</v>
      </c>
      <c r="AJ59" s="35">
        <f t="shared" si="16"/>
        <v>0</v>
      </c>
      <c r="AK59" s="35">
        <f t="shared" si="17"/>
        <v>0</v>
      </c>
      <c r="AL59">
        <f t="shared" si="18"/>
        <v>0</v>
      </c>
      <c r="AM59">
        <f t="shared" si="19"/>
        <v>0</v>
      </c>
      <c r="AN59">
        <f t="shared" si="20"/>
        <v>0</v>
      </c>
      <c r="AO59">
        <f t="shared" si="21"/>
        <v>0</v>
      </c>
      <c r="AP59">
        <f t="shared" si="22"/>
        <v>0</v>
      </c>
      <c r="AQ59">
        <f t="shared" si="23"/>
        <v>0</v>
      </c>
      <c r="AR59">
        <f t="shared" si="24"/>
        <v>0</v>
      </c>
      <c r="AS59">
        <f t="shared" si="25"/>
        <v>0</v>
      </c>
      <c r="AT59">
        <f t="shared" si="26"/>
        <v>0</v>
      </c>
      <c r="AU59">
        <f t="shared" si="27"/>
        <v>1</v>
      </c>
      <c r="AV59">
        <v>0</v>
      </c>
      <c r="AW59">
        <v>0</v>
      </c>
      <c r="AX59">
        <f t="shared" si="28"/>
        <v>0</v>
      </c>
      <c r="AY59">
        <f t="shared" si="29"/>
        <v>0</v>
      </c>
      <c r="AZ59">
        <f t="shared" si="30"/>
        <v>0</v>
      </c>
      <c r="BA59">
        <f t="shared" si="31"/>
        <v>0</v>
      </c>
      <c r="BB59">
        <f t="shared" si="32"/>
        <v>0</v>
      </c>
      <c r="BC59">
        <f t="shared" si="33"/>
        <v>0</v>
      </c>
      <c r="BD59">
        <f t="shared" si="34"/>
        <v>0</v>
      </c>
      <c r="BE59">
        <f t="shared" si="35"/>
        <v>0</v>
      </c>
      <c r="BF59">
        <f t="shared" si="36"/>
        <v>0</v>
      </c>
      <c r="BG59">
        <f t="shared" si="37"/>
        <v>0</v>
      </c>
      <c r="BH59">
        <f t="shared" si="38"/>
        <v>0</v>
      </c>
      <c r="BI59">
        <f t="shared" si="39"/>
        <v>0</v>
      </c>
      <c r="BJ59">
        <v>0</v>
      </c>
      <c r="BK59" t="str">
        <f t="shared" si="53"/>
        <v>Less than Stake</v>
      </c>
      <c r="BL59" s="40" t="str">
        <f t="shared" si="54"/>
        <v>Free Plays A</v>
      </c>
      <c r="BM59">
        <f>(D59/Frequency!$N$7-Summary!$C$7)^2*E59</f>
        <v>273.8</v>
      </c>
      <c r="BN59">
        <f t="shared" si="40"/>
        <v>50</v>
      </c>
      <c r="BO59">
        <f t="shared" si="41"/>
        <v>0</v>
      </c>
      <c r="BP59">
        <f t="shared" si="42"/>
        <v>0</v>
      </c>
      <c r="BQ59">
        <f t="shared" si="43"/>
        <v>500</v>
      </c>
      <c r="BR59">
        <f t="shared" si="44"/>
        <v>50</v>
      </c>
      <c r="BS59">
        <f t="shared" si="45"/>
        <v>0</v>
      </c>
      <c r="BT59">
        <f t="shared" si="46"/>
        <v>0</v>
      </c>
      <c r="BU59">
        <f t="shared" si="47"/>
        <v>0</v>
      </c>
      <c r="BV59">
        <f t="shared" si="48"/>
        <v>0</v>
      </c>
      <c r="BW59">
        <f t="shared" si="49"/>
        <v>0</v>
      </c>
      <c r="BX59">
        <f t="shared" si="50"/>
        <v>0</v>
      </c>
    </row>
    <row r="60" spans="2:76">
      <c r="B60" s="19">
        <f>Tiers!B61</f>
        <v>58</v>
      </c>
      <c r="C60" s="118" t="str">
        <f>Tiers!X61</f>
        <v>freeplayA-4|||||||||</v>
      </c>
      <c r="D60" s="21">
        <f>Tiers!C61</f>
        <v>0.7</v>
      </c>
      <c r="E60" s="22">
        <f>Frequency!E62</f>
        <v>500</v>
      </c>
      <c r="F60" s="22">
        <f t="shared" si="0"/>
        <v>350</v>
      </c>
      <c r="G60" s="20">
        <f>IF(AND(D60/Summary!$C$4&gt;0, D60/Summary!$C$4&lt;5),E60,0) * D60</f>
        <v>350</v>
      </c>
      <c r="H60" s="20">
        <f>IF(AND(D60/Summary!$C$4&gt;= 5, D60/Summary!$C$4&lt;10),E60,0) * D60</f>
        <v>0</v>
      </c>
      <c r="I60" s="20">
        <f>IF(AND(D60/Summary!$C$4&gt;=10, D60/Summary!$C$4&lt;25),E60,0)*D60</f>
        <v>0</v>
      </c>
      <c r="J60" s="20">
        <f>IF(D60/Summary!$C$4&gt;=25,E60,0)*D60</f>
        <v>0</v>
      </c>
      <c r="K60" s="35">
        <f>IF(AND(D60/Frequency!$N$7&gt;0, D60/Frequency!$N$7&lt;1),E60,0)</f>
        <v>500</v>
      </c>
      <c r="L60" s="35">
        <f t="shared" si="1"/>
        <v>350</v>
      </c>
      <c r="M60" s="35">
        <f>IF(D60/Frequency!$N$7=1,1,0)*E60</f>
        <v>0</v>
      </c>
      <c r="N60" s="35">
        <f t="shared" si="2"/>
        <v>0</v>
      </c>
      <c r="O60" s="35">
        <f>IF(AND(D60/Frequency!$N$7&gt;1, D60/Frequency!$N$7&lt;=2),1,0)*E60</f>
        <v>0</v>
      </c>
      <c r="P60" s="35">
        <f t="shared" si="3"/>
        <v>0</v>
      </c>
      <c r="Q60" s="35">
        <f>IF(AND(D60/Frequency!$N$7&gt;2,D60/Frequency!$N$7&lt;=5),1,0)*E60</f>
        <v>0</v>
      </c>
      <c r="R60" s="35">
        <f t="shared" si="4"/>
        <v>0</v>
      </c>
      <c r="S60" s="35">
        <f>IF(AND(D60/Frequency!$N$7&gt;5, D60/Frequency!$N$7&lt;=10),1,0)*E60</f>
        <v>0</v>
      </c>
      <c r="T60" s="35">
        <f t="shared" si="5"/>
        <v>0</v>
      </c>
      <c r="U60" s="35">
        <f>IF(AND(D60/Frequency!$N$7&gt;10, D60/Frequency!$N$7&lt;=20),1,0)*E60</f>
        <v>0</v>
      </c>
      <c r="V60" s="35">
        <f t="shared" si="6"/>
        <v>0</v>
      </c>
      <c r="W60" s="35">
        <f>IF(AND(D60/Frequency!$N$7&gt;20, D60/Frequency!$N$7&lt;=30),1,0)*E60</f>
        <v>0</v>
      </c>
      <c r="X60" s="35">
        <f t="shared" si="7"/>
        <v>0</v>
      </c>
      <c r="Y60" s="35">
        <f>IF(AND(D60/Frequency!$N$7&gt;30, D60/Frequency!$N$7&lt;=50),1,0)*E60</f>
        <v>0</v>
      </c>
      <c r="Z60" s="35">
        <f t="shared" si="8"/>
        <v>0</v>
      </c>
      <c r="AA60" s="35">
        <f>IF(AND(D60/Frequency!$N$7&gt;50, D60/Frequency!$N$7&lt;=100),1,0)*E60</f>
        <v>0</v>
      </c>
      <c r="AB60" s="35">
        <f t="shared" si="9"/>
        <v>0</v>
      </c>
      <c r="AC60" s="35">
        <f>IF(D60/Frequency!$N$7&gt;100,1,0)*E60</f>
        <v>0</v>
      </c>
      <c r="AD60" s="35">
        <f t="shared" si="10"/>
        <v>0</v>
      </c>
      <c r="AE60" s="22">
        <f t="shared" si="11"/>
        <v>500</v>
      </c>
      <c r="AF60" s="22">
        <f t="shared" si="12"/>
        <v>0</v>
      </c>
      <c r="AG60" s="22">
        <f t="shared" si="13"/>
        <v>0</v>
      </c>
      <c r="AH60" s="22">
        <f t="shared" si="14"/>
        <v>0</v>
      </c>
      <c r="AI60" s="35">
        <f t="shared" si="15"/>
        <v>0</v>
      </c>
      <c r="AJ60" s="35">
        <f t="shared" si="16"/>
        <v>0</v>
      </c>
      <c r="AK60" s="35">
        <f t="shared" si="17"/>
        <v>0</v>
      </c>
      <c r="AL60">
        <f t="shared" si="18"/>
        <v>0</v>
      </c>
      <c r="AM60">
        <f t="shared" si="19"/>
        <v>0</v>
      </c>
      <c r="AN60">
        <f t="shared" si="20"/>
        <v>0</v>
      </c>
      <c r="AO60">
        <f t="shared" si="21"/>
        <v>0</v>
      </c>
      <c r="AP60">
        <f t="shared" si="22"/>
        <v>0</v>
      </c>
      <c r="AQ60">
        <f t="shared" si="23"/>
        <v>0</v>
      </c>
      <c r="AR60">
        <f t="shared" si="24"/>
        <v>0</v>
      </c>
      <c r="AS60">
        <f t="shared" si="25"/>
        <v>0</v>
      </c>
      <c r="AT60">
        <f t="shared" si="26"/>
        <v>0</v>
      </c>
      <c r="AU60">
        <f t="shared" si="27"/>
        <v>1</v>
      </c>
      <c r="AV60">
        <v>0</v>
      </c>
      <c r="AW60">
        <v>0</v>
      </c>
      <c r="AX60">
        <f t="shared" si="28"/>
        <v>0</v>
      </c>
      <c r="AY60">
        <f t="shared" si="29"/>
        <v>0</v>
      </c>
      <c r="AZ60">
        <f t="shared" si="30"/>
        <v>0</v>
      </c>
      <c r="BA60">
        <f t="shared" si="31"/>
        <v>0</v>
      </c>
      <c r="BB60">
        <f t="shared" si="32"/>
        <v>0</v>
      </c>
      <c r="BC60">
        <f t="shared" si="33"/>
        <v>0</v>
      </c>
      <c r="BD60">
        <f t="shared" si="34"/>
        <v>0</v>
      </c>
      <c r="BE60">
        <f t="shared" si="35"/>
        <v>0</v>
      </c>
      <c r="BF60">
        <f t="shared" si="36"/>
        <v>0</v>
      </c>
      <c r="BG60">
        <f t="shared" si="37"/>
        <v>0</v>
      </c>
      <c r="BH60">
        <f t="shared" si="38"/>
        <v>0</v>
      </c>
      <c r="BI60">
        <f t="shared" si="39"/>
        <v>0</v>
      </c>
      <c r="BJ60">
        <v>0</v>
      </c>
      <c r="BK60" t="str">
        <f t="shared" si="53"/>
        <v>Less than Stake</v>
      </c>
      <c r="BL60" s="40" t="str">
        <f t="shared" si="54"/>
        <v>Free Plays A</v>
      </c>
      <c r="BM60">
        <f>(D60/Frequency!$N$7-Summary!$C$7)^2*E60</f>
        <v>9.8000000000000007</v>
      </c>
      <c r="BN60">
        <f t="shared" si="40"/>
        <v>350</v>
      </c>
      <c r="BO60">
        <f t="shared" si="41"/>
        <v>0</v>
      </c>
      <c r="BP60">
        <f t="shared" si="42"/>
        <v>0</v>
      </c>
      <c r="BQ60">
        <f t="shared" si="43"/>
        <v>500</v>
      </c>
      <c r="BR60">
        <f t="shared" si="44"/>
        <v>350</v>
      </c>
      <c r="BS60">
        <f t="shared" si="45"/>
        <v>0</v>
      </c>
      <c r="BT60">
        <f t="shared" si="46"/>
        <v>0</v>
      </c>
      <c r="BU60">
        <f t="shared" si="47"/>
        <v>0</v>
      </c>
      <c r="BV60">
        <f t="shared" si="48"/>
        <v>0</v>
      </c>
      <c r="BW60">
        <f t="shared" si="49"/>
        <v>0</v>
      </c>
      <c r="BX60">
        <f t="shared" si="50"/>
        <v>0</v>
      </c>
    </row>
    <row r="61" spans="2:76">
      <c r="B61" s="19">
        <f>Tiers!B62</f>
        <v>59</v>
      </c>
      <c r="C61" s="118" t="str">
        <f>Tiers!X62</f>
        <v>freeplayA-5|||||||||</v>
      </c>
      <c r="D61" s="21">
        <f>Tiers!C62</f>
        <v>5</v>
      </c>
      <c r="E61" s="22">
        <f>Frequency!E63</f>
        <v>497</v>
      </c>
      <c r="F61" s="22">
        <f t="shared" si="0"/>
        <v>2485</v>
      </c>
      <c r="G61" s="20">
        <f>IF(AND(D61/Summary!$C$4&gt;0, D61/Summary!$C$4&lt;5),E61,0) * D61</f>
        <v>0</v>
      </c>
      <c r="H61" s="20">
        <f>IF(AND(D61/Summary!$C$4&gt;= 5, D61/Summary!$C$4&lt;10),E61,0) * D61</f>
        <v>2485</v>
      </c>
      <c r="I61" s="20">
        <f>IF(AND(D61/Summary!$C$4&gt;=10, D61/Summary!$C$4&lt;25),E61,0)*D61</f>
        <v>0</v>
      </c>
      <c r="J61" s="20">
        <f>IF(D61/Summary!$C$4&gt;=25,E61,0)*D61</f>
        <v>0</v>
      </c>
      <c r="K61" s="35">
        <f>IF(AND(D61/Frequency!$N$7&gt;0, D61/Frequency!$N$7&lt;1),E61,0)</f>
        <v>0</v>
      </c>
      <c r="L61" s="35">
        <f t="shared" si="1"/>
        <v>0</v>
      </c>
      <c r="M61" s="35">
        <f>IF(D61/Frequency!$N$7=1,1,0)*E61</f>
        <v>0</v>
      </c>
      <c r="N61" s="35">
        <f t="shared" si="2"/>
        <v>0</v>
      </c>
      <c r="O61" s="35">
        <f>IF(AND(D61/Frequency!$N$7&gt;1, D61/Frequency!$N$7&lt;=2),1,0)*E61</f>
        <v>0</v>
      </c>
      <c r="P61" s="35">
        <f t="shared" si="3"/>
        <v>0</v>
      </c>
      <c r="Q61" s="35">
        <f>IF(AND(D61/Frequency!$N$7&gt;2,D61/Frequency!$N$7&lt;=5),1,0)*E61</f>
        <v>497</v>
      </c>
      <c r="R61" s="35">
        <f t="shared" si="4"/>
        <v>2485</v>
      </c>
      <c r="S61" s="35">
        <f>IF(AND(D61/Frequency!$N$7&gt;5, D61/Frequency!$N$7&lt;=10),1,0)*E61</f>
        <v>0</v>
      </c>
      <c r="T61" s="35">
        <f t="shared" si="5"/>
        <v>0</v>
      </c>
      <c r="U61" s="35">
        <f>IF(AND(D61/Frequency!$N$7&gt;10, D61/Frequency!$N$7&lt;=20),1,0)*E61</f>
        <v>0</v>
      </c>
      <c r="V61" s="35">
        <f t="shared" si="6"/>
        <v>0</v>
      </c>
      <c r="W61" s="35">
        <f>IF(AND(D61/Frequency!$N$7&gt;20, D61/Frequency!$N$7&lt;=30),1,0)*E61</f>
        <v>0</v>
      </c>
      <c r="X61" s="35">
        <f t="shared" si="7"/>
        <v>0</v>
      </c>
      <c r="Y61" s="35">
        <f>IF(AND(D61/Frequency!$N$7&gt;30, D61/Frequency!$N$7&lt;=50),1,0)*E61</f>
        <v>0</v>
      </c>
      <c r="Z61" s="35">
        <f t="shared" si="8"/>
        <v>0</v>
      </c>
      <c r="AA61" s="35">
        <f>IF(AND(D61/Frequency!$N$7&gt;50, D61/Frequency!$N$7&lt;=100),1,0)*E61</f>
        <v>0</v>
      </c>
      <c r="AB61" s="35">
        <f t="shared" si="9"/>
        <v>0</v>
      </c>
      <c r="AC61" s="35">
        <f>IF(D61/Frequency!$N$7&gt;100,1,0)*E61</f>
        <v>0</v>
      </c>
      <c r="AD61" s="35">
        <f t="shared" si="10"/>
        <v>0</v>
      </c>
      <c r="AE61" s="22">
        <f t="shared" si="11"/>
        <v>497</v>
      </c>
      <c r="AF61" s="22">
        <f t="shared" si="12"/>
        <v>0</v>
      </c>
      <c r="AG61" s="22">
        <f t="shared" si="13"/>
        <v>0</v>
      </c>
      <c r="AH61" s="22">
        <f t="shared" si="14"/>
        <v>0</v>
      </c>
      <c r="AI61" s="35">
        <f t="shared" si="15"/>
        <v>0</v>
      </c>
      <c r="AJ61" s="35">
        <f t="shared" si="16"/>
        <v>0</v>
      </c>
      <c r="AK61" s="35">
        <f t="shared" si="17"/>
        <v>0</v>
      </c>
      <c r="AL61">
        <f t="shared" si="18"/>
        <v>0</v>
      </c>
      <c r="AM61">
        <f t="shared" si="19"/>
        <v>0</v>
      </c>
      <c r="AN61">
        <f t="shared" si="20"/>
        <v>0</v>
      </c>
      <c r="AO61">
        <f t="shared" si="21"/>
        <v>0</v>
      </c>
      <c r="AP61">
        <f t="shared" si="22"/>
        <v>0</v>
      </c>
      <c r="AQ61">
        <f t="shared" si="23"/>
        <v>0</v>
      </c>
      <c r="AR61">
        <f t="shared" si="24"/>
        <v>0</v>
      </c>
      <c r="AS61">
        <f t="shared" si="25"/>
        <v>0</v>
      </c>
      <c r="AT61">
        <f t="shared" si="26"/>
        <v>0</v>
      </c>
      <c r="AU61">
        <f t="shared" si="27"/>
        <v>1</v>
      </c>
      <c r="AV61">
        <v>0</v>
      </c>
      <c r="AW61">
        <v>0</v>
      </c>
      <c r="AX61">
        <f t="shared" si="28"/>
        <v>0</v>
      </c>
      <c r="AY61">
        <f t="shared" si="29"/>
        <v>0</v>
      </c>
      <c r="AZ61">
        <f t="shared" si="30"/>
        <v>0</v>
      </c>
      <c r="BA61">
        <f t="shared" si="31"/>
        <v>0</v>
      </c>
      <c r="BB61">
        <f t="shared" si="32"/>
        <v>0</v>
      </c>
      <c r="BC61">
        <f t="shared" si="33"/>
        <v>0</v>
      </c>
      <c r="BD61">
        <f t="shared" si="34"/>
        <v>0</v>
      </c>
      <c r="BE61">
        <f t="shared" si="35"/>
        <v>0</v>
      </c>
      <c r="BF61">
        <f t="shared" si="36"/>
        <v>0</v>
      </c>
      <c r="BG61">
        <f t="shared" si="37"/>
        <v>0</v>
      </c>
      <c r="BH61">
        <f t="shared" si="38"/>
        <v>0</v>
      </c>
      <c r="BI61">
        <f t="shared" si="39"/>
        <v>0</v>
      </c>
      <c r="BJ61">
        <v>0</v>
      </c>
      <c r="BK61" t="str">
        <f t="shared" si="53"/>
        <v>Standard Win</v>
      </c>
      <c r="BL61" s="40" t="str">
        <f t="shared" si="54"/>
        <v>Free Plays A</v>
      </c>
      <c r="BM61">
        <f>(D61/Frequency!$N$7-Summary!$C$7)^2*E61</f>
        <v>8600.8832000000002</v>
      </c>
      <c r="BN61">
        <f t="shared" si="40"/>
        <v>2485</v>
      </c>
      <c r="BO61">
        <f t="shared" si="41"/>
        <v>0</v>
      </c>
      <c r="BP61">
        <f t="shared" si="42"/>
        <v>0</v>
      </c>
      <c r="BQ61">
        <f t="shared" si="43"/>
        <v>497</v>
      </c>
      <c r="BR61">
        <f t="shared" si="44"/>
        <v>2485</v>
      </c>
      <c r="BS61">
        <f t="shared" si="45"/>
        <v>0</v>
      </c>
      <c r="BT61">
        <f t="shared" si="46"/>
        <v>0</v>
      </c>
      <c r="BU61">
        <f t="shared" si="47"/>
        <v>0</v>
      </c>
      <c r="BV61">
        <f t="shared" si="48"/>
        <v>0</v>
      </c>
      <c r="BW61">
        <f t="shared" si="49"/>
        <v>0</v>
      </c>
      <c r="BX61">
        <f t="shared" si="50"/>
        <v>0</v>
      </c>
    </row>
    <row r="62" spans="2:76">
      <c r="B62" s="19">
        <f>Tiers!B63</f>
        <v>60</v>
      </c>
      <c r="C62" s="118" t="str">
        <f>Tiers!X63</f>
        <v>freeplayA-6|||||||||</v>
      </c>
      <c r="D62" s="21">
        <f>Tiers!C63</f>
        <v>5</v>
      </c>
      <c r="E62" s="22">
        <f>Frequency!E64</f>
        <v>400</v>
      </c>
      <c r="F62" s="22">
        <f t="shared" si="0"/>
        <v>2000</v>
      </c>
      <c r="G62" s="20">
        <f>IF(AND(D62/Summary!$C$4&gt;0, D62/Summary!$C$4&lt;5),E62,0) * D62</f>
        <v>0</v>
      </c>
      <c r="H62" s="20">
        <f>IF(AND(D62/Summary!$C$4&gt;= 5, D62/Summary!$C$4&lt;10),E62,0) * D62</f>
        <v>2000</v>
      </c>
      <c r="I62" s="20">
        <f>IF(AND(D62/Summary!$C$4&gt;=10, D62/Summary!$C$4&lt;25),E62,0)*D62</f>
        <v>0</v>
      </c>
      <c r="J62" s="20">
        <f>IF(D62/Summary!$C$4&gt;=25,E62,0)*D62</f>
        <v>0</v>
      </c>
      <c r="K62" s="35">
        <f>IF(AND(D62/Frequency!$N$7&gt;0, D62/Frequency!$N$7&lt;1),E62,0)</f>
        <v>0</v>
      </c>
      <c r="L62" s="35">
        <f t="shared" si="1"/>
        <v>0</v>
      </c>
      <c r="M62" s="35">
        <f>IF(D62/Frequency!$N$7=1,1,0)*E62</f>
        <v>0</v>
      </c>
      <c r="N62" s="35">
        <f t="shared" si="2"/>
        <v>0</v>
      </c>
      <c r="O62" s="35">
        <f>IF(AND(D62/Frequency!$N$7&gt;1, D62/Frequency!$N$7&lt;=2),1,0)*E62</f>
        <v>0</v>
      </c>
      <c r="P62" s="35">
        <f t="shared" si="3"/>
        <v>0</v>
      </c>
      <c r="Q62" s="35">
        <f>IF(AND(D62/Frequency!$N$7&gt;2,D62/Frequency!$N$7&lt;=5),1,0)*E62</f>
        <v>400</v>
      </c>
      <c r="R62" s="35">
        <f t="shared" si="4"/>
        <v>2000</v>
      </c>
      <c r="S62" s="35">
        <f>IF(AND(D62/Frequency!$N$7&gt;5, D62/Frequency!$N$7&lt;=10),1,0)*E62</f>
        <v>0</v>
      </c>
      <c r="T62" s="35">
        <f t="shared" si="5"/>
        <v>0</v>
      </c>
      <c r="U62" s="35">
        <f>IF(AND(D62/Frequency!$N$7&gt;10, D62/Frequency!$N$7&lt;=20),1,0)*E62</f>
        <v>0</v>
      </c>
      <c r="V62" s="35">
        <f t="shared" si="6"/>
        <v>0</v>
      </c>
      <c r="W62" s="35">
        <f>IF(AND(D62/Frequency!$N$7&gt;20, D62/Frequency!$N$7&lt;=30),1,0)*E62</f>
        <v>0</v>
      </c>
      <c r="X62" s="35">
        <f t="shared" si="7"/>
        <v>0</v>
      </c>
      <c r="Y62" s="35">
        <f>IF(AND(D62/Frequency!$N$7&gt;30, D62/Frequency!$N$7&lt;=50),1,0)*E62</f>
        <v>0</v>
      </c>
      <c r="Z62" s="35">
        <f t="shared" si="8"/>
        <v>0</v>
      </c>
      <c r="AA62" s="35">
        <f>IF(AND(D62/Frequency!$N$7&gt;50, D62/Frequency!$N$7&lt;=100),1,0)*E62</f>
        <v>0</v>
      </c>
      <c r="AB62" s="35">
        <f t="shared" si="9"/>
        <v>0</v>
      </c>
      <c r="AC62" s="35">
        <f>IF(D62/Frequency!$N$7&gt;100,1,0)*E62</f>
        <v>0</v>
      </c>
      <c r="AD62" s="35">
        <f t="shared" si="10"/>
        <v>0</v>
      </c>
      <c r="AE62" s="22">
        <f t="shared" si="11"/>
        <v>400</v>
      </c>
      <c r="AF62" s="22">
        <f t="shared" si="12"/>
        <v>0</v>
      </c>
      <c r="AG62" s="22">
        <f t="shared" si="13"/>
        <v>0</v>
      </c>
      <c r="AH62" s="22">
        <f t="shared" si="14"/>
        <v>0</v>
      </c>
      <c r="AI62" s="35">
        <f t="shared" si="15"/>
        <v>0</v>
      </c>
      <c r="AJ62" s="35">
        <f t="shared" si="16"/>
        <v>0</v>
      </c>
      <c r="AK62" s="35">
        <f t="shared" si="17"/>
        <v>0</v>
      </c>
      <c r="AL62">
        <f t="shared" si="18"/>
        <v>0</v>
      </c>
      <c r="AM62">
        <f t="shared" si="19"/>
        <v>0</v>
      </c>
      <c r="AN62">
        <f t="shared" si="20"/>
        <v>0</v>
      </c>
      <c r="AO62">
        <f t="shared" si="21"/>
        <v>0</v>
      </c>
      <c r="AP62">
        <f t="shared" si="22"/>
        <v>0</v>
      </c>
      <c r="AQ62">
        <f t="shared" si="23"/>
        <v>0</v>
      </c>
      <c r="AR62">
        <f t="shared" si="24"/>
        <v>0</v>
      </c>
      <c r="AS62">
        <f t="shared" si="25"/>
        <v>0</v>
      </c>
      <c r="AT62">
        <f t="shared" si="26"/>
        <v>0</v>
      </c>
      <c r="AU62">
        <f t="shared" si="27"/>
        <v>1</v>
      </c>
      <c r="AV62">
        <v>0</v>
      </c>
      <c r="AW62">
        <v>0</v>
      </c>
      <c r="AX62">
        <f t="shared" si="28"/>
        <v>0</v>
      </c>
      <c r="AY62">
        <f t="shared" si="29"/>
        <v>0</v>
      </c>
      <c r="AZ62">
        <f t="shared" si="30"/>
        <v>0</v>
      </c>
      <c r="BA62">
        <f t="shared" si="31"/>
        <v>0</v>
      </c>
      <c r="BB62">
        <f t="shared" si="32"/>
        <v>0</v>
      </c>
      <c r="BC62">
        <f t="shared" si="33"/>
        <v>0</v>
      </c>
      <c r="BD62">
        <f t="shared" si="34"/>
        <v>0</v>
      </c>
      <c r="BE62">
        <f t="shared" si="35"/>
        <v>0</v>
      </c>
      <c r="BF62">
        <f t="shared" si="36"/>
        <v>0</v>
      </c>
      <c r="BG62">
        <f t="shared" si="37"/>
        <v>0</v>
      </c>
      <c r="BH62">
        <f t="shared" si="38"/>
        <v>0</v>
      </c>
      <c r="BI62">
        <f t="shared" si="39"/>
        <v>0</v>
      </c>
      <c r="BJ62">
        <v>0</v>
      </c>
      <c r="BK62" t="str">
        <f t="shared" si="53"/>
        <v>Standard Win</v>
      </c>
      <c r="BL62" s="40" t="str">
        <f t="shared" si="54"/>
        <v>Free Plays A</v>
      </c>
      <c r="BM62">
        <f>(D62/Frequency!$N$7-Summary!$C$7)^2*E62</f>
        <v>6922.2400000000007</v>
      </c>
      <c r="BN62">
        <f t="shared" si="40"/>
        <v>2000</v>
      </c>
      <c r="BO62">
        <f t="shared" si="41"/>
        <v>0</v>
      </c>
      <c r="BP62">
        <f t="shared" si="42"/>
        <v>0</v>
      </c>
      <c r="BQ62">
        <f t="shared" si="43"/>
        <v>400</v>
      </c>
      <c r="BR62">
        <f t="shared" si="44"/>
        <v>2000</v>
      </c>
      <c r="BS62">
        <f t="shared" si="45"/>
        <v>0</v>
      </c>
      <c r="BT62">
        <f t="shared" si="46"/>
        <v>0</v>
      </c>
      <c r="BU62">
        <f t="shared" si="47"/>
        <v>0</v>
      </c>
      <c r="BV62">
        <f t="shared" si="48"/>
        <v>0</v>
      </c>
      <c r="BW62">
        <f t="shared" si="49"/>
        <v>0</v>
      </c>
      <c r="BX62">
        <f t="shared" si="50"/>
        <v>0</v>
      </c>
    </row>
    <row r="63" spans="2:76">
      <c r="B63" s="19">
        <f>Tiers!B64</f>
        <v>61</v>
      </c>
      <c r="C63" s="118" t="str">
        <f>Tiers!X64</f>
        <v>freeplayA-7|||||||||</v>
      </c>
      <c r="D63" s="21">
        <f>Tiers!C64</f>
        <v>0.2</v>
      </c>
      <c r="E63" s="22">
        <f>Frequency!E65</f>
        <v>100</v>
      </c>
      <c r="F63" s="22">
        <f t="shared" si="0"/>
        <v>20</v>
      </c>
      <c r="G63" s="20">
        <f>IF(AND(D63/Summary!$C$4&gt;0, D63/Summary!$C$4&lt;5),E63,0) * D63</f>
        <v>20</v>
      </c>
      <c r="H63" s="20">
        <f>IF(AND(D63/Summary!$C$4&gt;= 5, D63/Summary!$C$4&lt;10),E63,0) * D63</f>
        <v>0</v>
      </c>
      <c r="I63" s="20">
        <f>IF(AND(D63/Summary!$C$4&gt;=10, D63/Summary!$C$4&lt;25),E63,0)*D63</f>
        <v>0</v>
      </c>
      <c r="J63" s="20">
        <f>IF(D63/Summary!$C$4&gt;=25,E63,0)*D63</f>
        <v>0</v>
      </c>
      <c r="K63" s="35">
        <f>IF(AND(D63/Frequency!$N$7&gt;0, D63/Frequency!$N$7&lt;1),E63,0)</f>
        <v>100</v>
      </c>
      <c r="L63" s="35">
        <f t="shared" si="1"/>
        <v>20</v>
      </c>
      <c r="M63" s="35">
        <f>IF(D63/Frequency!$N$7=1,1,0)*E63</f>
        <v>0</v>
      </c>
      <c r="N63" s="35">
        <f t="shared" si="2"/>
        <v>0</v>
      </c>
      <c r="O63" s="35">
        <f>IF(AND(D63/Frequency!$N$7&gt;1, D63/Frequency!$N$7&lt;=2),1,0)*E63</f>
        <v>0</v>
      </c>
      <c r="P63" s="35">
        <f t="shared" si="3"/>
        <v>0</v>
      </c>
      <c r="Q63" s="35">
        <f>IF(AND(D63/Frequency!$N$7&gt;2,D63/Frequency!$N$7&lt;=5),1,0)*E63</f>
        <v>0</v>
      </c>
      <c r="R63" s="35">
        <f t="shared" si="4"/>
        <v>0</v>
      </c>
      <c r="S63" s="35">
        <f>IF(AND(D63/Frequency!$N$7&gt;5, D63/Frequency!$N$7&lt;=10),1,0)*E63</f>
        <v>0</v>
      </c>
      <c r="T63" s="35">
        <f t="shared" si="5"/>
        <v>0</v>
      </c>
      <c r="U63" s="35">
        <f>IF(AND(D63/Frequency!$N$7&gt;10, D63/Frequency!$N$7&lt;=20),1,0)*E63</f>
        <v>0</v>
      </c>
      <c r="V63" s="35">
        <f t="shared" si="6"/>
        <v>0</v>
      </c>
      <c r="W63" s="35">
        <f>IF(AND(D63/Frequency!$N$7&gt;20, D63/Frequency!$N$7&lt;=30),1,0)*E63</f>
        <v>0</v>
      </c>
      <c r="X63" s="35">
        <f t="shared" si="7"/>
        <v>0</v>
      </c>
      <c r="Y63" s="35">
        <f>IF(AND(D63/Frequency!$N$7&gt;30, D63/Frequency!$N$7&lt;=50),1,0)*E63</f>
        <v>0</v>
      </c>
      <c r="Z63" s="35">
        <f t="shared" si="8"/>
        <v>0</v>
      </c>
      <c r="AA63" s="35">
        <f>IF(AND(D63/Frequency!$N$7&gt;50, D63/Frequency!$N$7&lt;=100),1,0)*E63</f>
        <v>0</v>
      </c>
      <c r="AB63" s="35">
        <f t="shared" si="9"/>
        <v>0</v>
      </c>
      <c r="AC63" s="35">
        <f>IF(D63/Frequency!$N$7&gt;100,1,0)*E63</f>
        <v>0</v>
      </c>
      <c r="AD63" s="35">
        <f t="shared" si="10"/>
        <v>0</v>
      </c>
      <c r="AE63" s="22">
        <f t="shared" si="11"/>
        <v>100</v>
      </c>
      <c r="AF63" s="22">
        <f t="shared" si="12"/>
        <v>0</v>
      </c>
      <c r="AG63" s="22">
        <f t="shared" si="13"/>
        <v>0</v>
      </c>
      <c r="AH63" s="22">
        <f t="shared" si="14"/>
        <v>0</v>
      </c>
      <c r="AI63" s="35">
        <f t="shared" si="15"/>
        <v>0</v>
      </c>
      <c r="AJ63" s="35">
        <f t="shared" si="16"/>
        <v>0</v>
      </c>
      <c r="AK63" s="35">
        <f t="shared" si="17"/>
        <v>0</v>
      </c>
      <c r="AL63">
        <f t="shared" si="18"/>
        <v>0</v>
      </c>
      <c r="AM63">
        <f t="shared" si="19"/>
        <v>0</v>
      </c>
      <c r="AN63">
        <f t="shared" si="20"/>
        <v>0</v>
      </c>
      <c r="AO63">
        <f t="shared" si="21"/>
        <v>0</v>
      </c>
      <c r="AP63">
        <f t="shared" si="22"/>
        <v>0</v>
      </c>
      <c r="AQ63">
        <f t="shared" si="23"/>
        <v>0</v>
      </c>
      <c r="AR63">
        <f t="shared" si="24"/>
        <v>0</v>
      </c>
      <c r="AS63">
        <f t="shared" si="25"/>
        <v>0</v>
      </c>
      <c r="AT63">
        <f t="shared" si="26"/>
        <v>0</v>
      </c>
      <c r="AU63">
        <f t="shared" si="27"/>
        <v>1</v>
      </c>
      <c r="AV63">
        <v>0</v>
      </c>
      <c r="AW63">
        <v>0</v>
      </c>
      <c r="AX63">
        <f t="shared" si="28"/>
        <v>0</v>
      </c>
      <c r="AY63">
        <f t="shared" si="29"/>
        <v>0</v>
      </c>
      <c r="AZ63">
        <f t="shared" si="30"/>
        <v>0</v>
      </c>
      <c r="BA63">
        <f t="shared" si="31"/>
        <v>0</v>
      </c>
      <c r="BB63">
        <f t="shared" si="32"/>
        <v>0</v>
      </c>
      <c r="BC63">
        <f t="shared" si="33"/>
        <v>0</v>
      </c>
      <c r="BD63">
        <f t="shared" si="34"/>
        <v>0</v>
      </c>
      <c r="BE63">
        <f t="shared" si="35"/>
        <v>0</v>
      </c>
      <c r="BF63">
        <f t="shared" si="36"/>
        <v>0</v>
      </c>
      <c r="BG63">
        <f t="shared" si="37"/>
        <v>0</v>
      </c>
      <c r="BH63">
        <f t="shared" si="38"/>
        <v>0</v>
      </c>
      <c r="BI63">
        <f t="shared" si="39"/>
        <v>0</v>
      </c>
      <c r="BJ63">
        <v>0</v>
      </c>
      <c r="BK63" t="str">
        <f t="shared" si="53"/>
        <v>Less than Stake</v>
      </c>
      <c r="BL63" s="40" t="str">
        <f t="shared" si="54"/>
        <v>Free Plays A</v>
      </c>
      <c r="BM63">
        <f>(D63/Frequency!$N$7-Summary!$C$7)^2*E63</f>
        <v>40.959999999999987</v>
      </c>
      <c r="BN63">
        <f t="shared" si="40"/>
        <v>20</v>
      </c>
      <c r="BO63">
        <f t="shared" si="41"/>
        <v>0</v>
      </c>
      <c r="BP63">
        <f t="shared" si="42"/>
        <v>0</v>
      </c>
      <c r="BQ63">
        <f t="shared" si="43"/>
        <v>100</v>
      </c>
      <c r="BR63">
        <f t="shared" si="44"/>
        <v>20</v>
      </c>
      <c r="BS63">
        <f t="shared" si="45"/>
        <v>0</v>
      </c>
      <c r="BT63">
        <f t="shared" si="46"/>
        <v>0</v>
      </c>
      <c r="BU63">
        <f t="shared" si="47"/>
        <v>0</v>
      </c>
      <c r="BV63">
        <f t="shared" si="48"/>
        <v>0</v>
      </c>
      <c r="BW63">
        <f t="shared" si="49"/>
        <v>0</v>
      </c>
      <c r="BX63">
        <f t="shared" si="50"/>
        <v>0</v>
      </c>
    </row>
    <row r="64" spans="2:76">
      <c r="B64" s="19">
        <f>Tiers!B65</f>
        <v>62</v>
      </c>
      <c r="C64" s="118" t="str">
        <f>Tiers!X65</f>
        <v>freeplayA-8|||||||||</v>
      </c>
      <c r="D64" s="21">
        <f>Tiers!C65</f>
        <v>0.2</v>
      </c>
      <c r="E64" s="22">
        <f>Frequency!E66</f>
        <v>600</v>
      </c>
      <c r="F64" s="22">
        <f t="shared" si="0"/>
        <v>120</v>
      </c>
      <c r="G64" s="20">
        <f>IF(AND(D64/Summary!$C$4&gt;0, D64/Summary!$C$4&lt;5),E64,0) * D64</f>
        <v>120</v>
      </c>
      <c r="H64" s="20">
        <f>IF(AND(D64/Summary!$C$4&gt;= 5, D64/Summary!$C$4&lt;10),E64,0) * D64</f>
        <v>0</v>
      </c>
      <c r="I64" s="20">
        <f>IF(AND(D64/Summary!$C$4&gt;=10, D64/Summary!$C$4&lt;25),E64,0)*D64</f>
        <v>0</v>
      </c>
      <c r="J64" s="20">
        <f>IF(D64/Summary!$C$4&gt;=25,E64,0)*D64</f>
        <v>0</v>
      </c>
      <c r="K64" s="35">
        <f>IF(AND(D64/Frequency!$N$7&gt;0, D64/Frequency!$N$7&lt;1),E64,0)</f>
        <v>600</v>
      </c>
      <c r="L64" s="35">
        <f t="shared" si="1"/>
        <v>120</v>
      </c>
      <c r="M64" s="35">
        <f>IF(D64/Frequency!$N$7=1,1,0)*E64</f>
        <v>0</v>
      </c>
      <c r="N64" s="35">
        <f t="shared" si="2"/>
        <v>0</v>
      </c>
      <c r="O64" s="35">
        <f>IF(AND(D64/Frequency!$N$7&gt;1, D64/Frequency!$N$7&lt;=2),1,0)*E64</f>
        <v>0</v>
      </c>
      <c r="P64" s="35">
        <f t="shared" si="3"/>
        <v>0</v>
      </c>
      <c r="Q64" s="35">
        <f>IF(AND(D64/Frequency!$N$7&gt;2,D64/Frequency!$N$7&lt;=5),1,0)*E64</f>
        <v>0</v>
      </c>
      <c r="R64" s="35">
        <f t="shared" si="4"/>
        <v>0</v>
      </c>
      <c r="S64" s="35">
        <f>IF(AND(D64/Frequency!$N$7&gt;5, D64/Frequency!$N$7&lt;=10),1,0)*E64</f>
        <v>0</v>
      </c>
      <c r="T64" s="35">
        <f t="shared" si="5"/>
        <v>0</v>
      </c>
      <c r="U64" s="35">
        <f>IF(AND(D64/Frequency!$N$7&gt;10, D64/Frequency!$N$7&lt;=20),1,0)*E64</f>
        <v>0</v>
      </c>
      <c r="V64" s="35">
        <f t="shared" si="6"/>
        <v>0</v>
      </c>
      <c r="W64" s="35">
        <f>IF(AND(D64/Frequency!$N$7&gt;20, D64/Frequency!$N$7&lt;=30),1,0)*E64</f>
        <v>0</v>
      </c>
      <c r="X64" s="35">
        <f t="shared" si="7"/>
        <v>0</v>
      </c>
      <c r="Y64" s="35">
        <f>IF(AND(D64/Frequency!$N$7&gt;30, D64/Frequency!$N$7&lt;=50),1,0)*E64</f>
        <v>0</v>
      </c>
      <c r="Z64" s="35">
        <f t="shared" si="8"/>
        <v>0</v>
      </c>
      <c r="AA64" s="35">
        <f>IF(AND(D64/Frequency!$N$7&gt;50, D64/Frequency!$N$7&lt;=100),1,0)*E64</f>
        <v>0</v>
      </c>
      <c r="AB64" s="35">
        <f t="shared" si="9"/>
        <v>0</v>
      </c>
      <c r="AC64" s="35">
        <f>IF(D64/Frequency!$N$7&gt;100,1,0)*E64</f>
        <v>0</v>
      </c>
      <c r="AD64" s="35">
        <f t="shared" si="10"/>
        <v>0</v>
      </c>
      <c r="AE64" s="22">
        <f t="shared" si="11"/>
        <v>600</v>
      </c>
      <c r="AF64" s="22">
        <f t="shared" si="12"/>
        <v>0</v>
      </c>
      <c r="AG64" s="22">
        <f t="shared" si="13"/>
        <v>0</v>
      </c>
      <c r="AH64" s="22">
        <f t="shared" si="14"/>
        <v>0</v>
      </c>
      <c r="AI64" s="35">
        <f t="shared" si="15"/>
        <v>0</v>
      </c>
      <c r="AJ64" s="35">
        <f t="shared" si="16"/>
        <v>0</v>
      </c>
      <c r="AK64" s="35">
        <f t="shared" si="17"/>
        <v>0</v>
      </c>
      <c r="AL64">
        <f t="shared" si="18"/>
        <v>0</v>
      </c>
      <c r="AM64">
        <f t="shared" si="19"/>
        <v>0</v>
      </c>
      <c r="AN64">
        <f t="shared" si="20"/>
        <v>0</v>
      </c>
      <c r="AO64">
        <f t="shared" si="21"/>
        <v>0</v>
      </c>
      <c r="AP64">
        <f t="shared" si="22"/>
        <v>0</v>
      </c>
      <c r="AQ64">
        <f t="shared" si="23"/>
        <v>0</v>
      </c>
      <c r="AR64">
        <f t="shared" si="24"/>
        <v>0</v>
      </c>
      <c r="AS64">
        <f t="shared" si="25"/>
        <v>0</v>
      </c>
      <c r="AT64">
        <f t="shared" si="26"/>
        <v>0</v>
      </c>
      <c r="AU64">
        <f t="shared" si="27"/>
        <v>1</v>
      </c>
      <c r="AV64">
        <v>0</v>
      </c>
      <c r="AW64">
        <v>0</v>
      </c>
      <c r="AX64">
        <f t="shared" si="28"/>
        <v>0</v>
      </c>
      <c r="AY64">
        <f t="shared" si="29"/>
        <v>0</v>
      </c>
      <c r="AZ64">
        <f t="shared" si="30"/>
        <v>0</v>
      </c>
      <c r="BA64">
        <f t="shared" si="31"/>
        <v>0</v>
      </c>
      <c r="BB64">
        <f t="shared" si="32"/>
        <v>0</v>
      </c>
      <c r="BC64">
        <f t="shared" si="33"/>
        <v>0</v>
      </c>
      <c r="BD64">
        <f t="shared" si="34"/>
        <v>0</v>
      </c>
      <c r="BE64">
        <f t="shared" si="35"/>
        <v>0</v>
      </c>
      <c r="BF64">
        <f t="shared" si="36"/>
        <v>0</v>
      </c>
      <c r="BG64">
        <f t="shared" si="37"/>
        <v>0</v>
      </c>
      <c r="BH64">
        <f t="shared" si="38"/>
        <v>0</v>
      </c>
      <c r="BI64">
        <f t="shared" si="39"/>
        <v>0</v>
      </c>
      <c r="BJ64">
        <v>0</v>
      </c>
      <c r="BK64" t="str">
        <f t="shared" si="53"/>
        <v>Less than Stake</v>
      </c>
      <c r="BL64" s="40" t="str">
        <f t="shared" si="54"/>
        <v>Free Plays A</v>
      </c>
      <c r="BM64">
        <f>(D64/Frequency!$N$7-Summary!$C$7)^2*E64</f>
        <v>245.75999999999991</v>
      </c>
      <c r="BN64">
        <f t="shared" si="40"/>
        <v>120</v>
      </c>
      <c r="BO64">
        <f t="shared" si="41"/>
        <v>0</v>
      </c>
      <c r="BP64">
        <f t="shared" si="42"/>
        <v>0</v>
      </c>
      <c r="BQ64">
        <f t="shared" si="43"/>
        <v>600</v>
      </c>
      <c r="BR64">
        <f t="shared" si="44"/>
        <v>120</v>
      </c>
      <c r="BS64">
        <f t="shared" si="45"/>
        <v>0</v>
      </c>
      <c r="BT64">
        <f t="shared" si="46"/>
        <v>0</v>
      </c>
      <c r="BU64">
        <f t="shared" si="47"/>
        <v>0</v>
      </c>
      <c r="BV64">
        <f t="shared" si="48"/>
        <v>0</v>
      </c>
      <c r="BW64">
        <f t="shared" si="49"/>
        <v>0</v>
      </c>
      <c r="BX64">
        <f t="shared" si="50"/>
        <v>0</v>
      </c>
    </row>
    <row r="65" spans="2:76">
      <c r="B65" s="19">
        <f>Tiers!B66</f>
        <v>63</v>
      </c>
      <c r="C65" s="118" t="str">
        <f>Tiers!X66</f>
        <v>freeplayA-9|||||||||</v>
      </c>
      <c r="D65" s="21">
        <f>Tiers!C66</f>
        <v>3</v>
      </c>
      <c r="E65" s="22">
        <f>Frequency!E67</f>
        <v>100</v>
      </c>
      <c r="F65" s="22">
        <f t="shared" si="0"/>
        <v>300</v>
      </c>
      <c r="G65" s="20">
        <f>IF(AND(D65/Summary!$C$4&gt;0, D65/Summary!$C$4&lt;5),E65,0) * D65</f>
        <v>300</v>
      </c>
      <c r="H65" s="20">
        <f>IF(AND(D65/Summary!$C$4&gt;= 5, D65/Summary!$C$4&lt;10),E65,0) * D65</f>
        <v>0</v>
      </c>
      <c r="I65" s="20">
        <f>IF(AND(D65/Summary!$C$4&gt;=10, D65/Summary!$C$4&lt;25),E65,0)*D65</f>
        <v>0</v>
      </c>
      <c r="J65" s="20">
        <f>IF(D65/Summary!$C$4&gt;=25,E65,0)*D65</f>
        <v>0</v>
      </c>
      <c r="K65" s="35">
        <f>IF(AND(D65/Frequency!$N$7&gt;0, D65/Frequency!$N$7&lt;1),E65,0)</f>
        <v>0</v>
      </c>
      <c r="L65" s="35">
        <f t="shared" si="1"/>
        <v>0</v>
      </c>
      <c r="M65" s="35">
        <f>IF(D65/Frequency!$N$7=1,1,0)*E65</f>
        <v>0</v>
      </c>
      <c r="N65" s="35">
        <f t="shared" si="2"/>
        <v>0</v>
      </c>
      <c r="O65" s="35">
        <f>IF(AND(D65/Frequency!$N$7&gt;1, D65/Frequency!$N$7&lt;=2),1,0)*E65</f>
        <v>0</v>
      </c>
      <c r="P65" s="35">
        <f t="shared" si="3"/>
        <v>0</v>
      </c>
      <c r="Q65" s="35">
        <f>IF(AND(D65/Frequency!$N$7&gt;2,D65/Frequency!$N$7&lt;=5),1,0)*E65</f>
        <v>100</v>
      </c>
      <c r="R65" s="35">
        <f t="shared" si="4"/>
        <v>300</v>
      </c>
      <c r="S65" s="35">
        <f>IF(AND(D65/Frequency!$N$7&gt;5, D65/Frequency!$N$7&lt;=10),1,0)*E65</f>
        <v>0</v>
      </c>
      <c r="T65" s="35">
        <f t="shared" si="5"/>
        <v>0</v>
      </c>
      <c r="U65" s="35">
        <f>IF(AND(D65/Frequency!$N$7&gt;10, D65/Frequency!$N$7&lt;=20),1,0)*E65</f>
        <v>0</v>
      </c>
      <c r="V65" s="35">
        <f t="shared" si="6"/>
        <v>0</v>
      </c>
      <c r="W65" s="35">
        <f>IF(AND(D65/Frequency!$N$7&gt;20, D65/Frequency!$N$7&lt;=30),1,0)*E65</f>
        <v>0</v>
      </c>
      <c r="X65" s="35">
        <f t="shared" si="7"/>
        <v>0</v>
      </c>
      <c r="Y65" s="35">
        <f>IF(AND(D65/Frequency!$N$7&gt;30, D65/Frequency!$N$7&lt;=50),1,0)*E65</f>
        <v>0</v>
      </c>
      <c r="Z65" s="35">
        <f t="shared" si="8"/>
        <v>0</v>
      </c>
      <c r="AA65" s="35">
        <f>IF(AND(D65/Frequency!$N$7&gt;50, D65/Frequency!$N$7&lt;=100),1,0)*E65</f>
        <v>0</v>
      </c>
      <c r="AB65" s="35">
        <f t="shared" si="9"/>
        <v>0</v>
      </c>
      <c r="AC65" s="35">
        <f>IF(D65/Frequency!$N$7&gt;100,1,0)*E65</f>
        <v>0</v>
      </c>
      <c r="AD65" s="35">
        <f t="shared" si="10"/>
        <v>0</v>
      </c>
      <c r="AE65" s="22">
        <f t="shared" si="11"/>
        <v>100</v>
      </c>
      <c r="AF65" s="22">
        <f t="shared" si="12"/>
        <v>0</v>
      </c>
      <c r="AG65" s="22">
        <f t="shared" si="13"/>
        <v>0</v>
      </c>
      <c r="AH65" s="22">
        <f t="shared" si="14"/>
        <v>0</v>
      </c>
      <c r="AI65" s="35">
        <f t="shared" si="15"/>
        <v>0</v>
      </c>
      <c r="AJ65" s="35">
        <f t="shared" si="16"/>
        <v>0</v>
      </c>
      <c r="AK65" s="35">
        <f t="shared" si="17"/>
        <v>0</v>
      </c>
      <c r="AL65">
        <f t="shared" si="18"/>
        <v>0</v>
      </c>
      <c r="AM65">
        <f t="shared" si="19"/>
        <v>0</v>
      </c>
      <c r="AN65">
        <f t="shared" si="20"/>
        <v>0</v>
      </c>
      <c r="AO65">
        <f t="shared" si="21"/>
        <v>0</v>
      </c>
      <c r="AP65">
        <f t="shared" si="22"/>
        <v>0</v>
      </c>
      <c r="AQ65">
        <f t="shared" si="23"/>
        <v>0</v>
      </c>
      <c r="AR65">
        <f t="shared" si="24"/>
        <v>0</v>
      </c>
      <c r="AS65">
        <f t="shared" si="25"/>
        <v>0</v>
      </c>
      <c r="AT65">
        <f t="shared" si="26"/>
        <v>0</v>
      </c>
      <c r="AU65">
        <f t="shared" si="27"/>
        <v>1</v>
      </c>
      <c r="AV65">
        <v>0</v>
      </c>
      <c r="AW65">
        <v>0</v>
      </c>
      <c r="AX65">
        <f t="shared" si="28"/>
        <v>0</v>
      </c>
      <c r="AY65">
        <f t="shared" si="29"/>
        <v>0</v>
      </c>
      <c r="AZ65">
        <f t="shared" si="30"/>
        <v>0</v>
      </c>
      <c r="BA65">
        <f t="shared" si="31"/>
        <v>0</v>
      </c>
      <c r="BB65">
        <f t="shared" si="32"/>
        <v>0</v>
      </c>
      <c r="BC65">
        <f t="shared" si="33"/>
        <v>0</v>
      </c>
      <c r="BD65">
        <f t="shared" si="34"/>
        <v>0</v>
      </c>
      <c r="BE65">
        <f t="shared" si="35"/>
        <v>0</v>
      </c>
      <c r="BF65">
        <f t="shared" si="36"/>
        <v>0</v>
      </c>
      <c r="BG65">
        <f t="shared" si="37"/>
        <v>0</v>
      </c>
      <c r="BH65">
        <f t="shared" si="38"/>
        <v>0</v>
      </c>
      <c r="BI65">
        <f t="shared" si="39"/>
        <v>0</v>
      </c>
      <c r="BJ65">
        <v>0</v>
      </c>
      <c r="BK65" t="str">
        <f t="shared" si="53"/>
        <v>Standard Win</v>
      </c>
      <c r="BL65" s="40" t="str">
        <f t="shared" si="54"/>
        <v>Free Plays A</v>
      </c>
      <c r="BM65">
        <f>(D65/Frequency!$N$7-Summary!$C$7)^2*E65</f>
        <v>466.56000000000006</v>
      </c>
      <c r="BN65">
        <f t="shared" si="40"/>
        <v>300</v>
      </c>
      <c r="BO65">
        <f t="shared" si="41"/>
        <v>0</v>
      </c>
      <c r="BP65">
        <f t="shared" si="42"/>
        <v>0</v>
      </c>
      <c r="BQ65">
        <f t="shared" si="43"/>
        <v>100</v>
      </c>
      <c r="BR65">
        <f t="shared" si="44"/>
        <v>300</v>
      </c>
      <c r="BS65">
        <f t="shared" si="45"/>
        <v>0</v>
      </c>
      <c r="BT65">
        <f t="shared" si="46"/>
        <v>0</v>
      </c>
      <c r="BU65">
        <f t="shared" si="47"/>
        <v>0</v>
      </c>
      <c r="BV65">
        <f t="shared" si="48"/>
        <v>0</v>
      </c>
      <c r="BW65">
        <f t="shared" si="49"/>
        <v>0</v>
      </c>
      <c r="BX65">
        <f t="shared" si="50"/>
        <v>0</v>
      </c>
    </row>
    <row r="66" spans="2:76">
      <c r="B66" s="19">
        <f>Tiers!B67</f>
        <v>64</v>
      </c>
      <c r="C66" s="118" t="str">
        <f>Tiers!X67</f>
        <v>freeplayA-10|||||||||</v>
      </c>
      <c r="D66" s="21">
        <f>Tiers!C67</f>
        <v>5</v>
      </c>
      <c r="E66" s="22">
        <f>Frequency!E68</f>
        <v>600</v>
      </c>
      <c r="F66" s="22">
        <f t="shared" ref="F66:F129" si="55">E66*D66</f>
        <v>3000</v>
      </c>
      <c r="G66" s="20">
        <f>IF(AND(D66/Summary!$C$4&gt;0, D66/Summary!$C$4&lt;5),E66,0) * D66</f>
        <v>0</v>
      </c>
      <c r="H66" s="20">
        <f>IF(AND(D66/Summary!$C$4&gt;= 5, D66/Summary!$C$4&lt;10),E66,0) * D66</f>
        <v>3000</v>
      </c>
      <c r="I66" s="20">
        <f>IF(AND(D66/Summary!$C$4&gt;=10, D66/Summary!$C$4&lt;25),E66,0)*D66</f>
        <v>0</v>
      </c>
      <c r="J66" s="20">
        <f>IF(D66/Summary!$C$4&gt;=25,E66,0)*D66</f>
        <v>0</v>
      </c>
      <c r="K66" s="35">
        <f>IF(AND(D66/Frequency!$N$7&gt;0, D66/Frequency!$N$7&lt;1),E66,0)</f>
        <v>0</v>
      </c>
      <c r="L66" s="35">
        <f t="shared" ref="L66:L129" si="56">IF(K66&gt;0,D66*E66,0)</f>
        <v>0</v>
      </c>
      <c r="M66" s="35">
        <f>IF(D66/Frequency!$N$7=1,1,0)*E66</f>
        <v>0</v>
      </c>
      <c r="N66" s="35">
        <f t="shared" ref="N66:N129" si="57">IF(M66&gt;0,D66*E66,0)</f>
        <v>0</v>
      </c>
      <c r="O66" s="35">
        <f>IF(AND(D66/Frequency!$N$7&gt;1, D66/Frequency!$N$7&lt;=2),1,0)*E66</f>
        <v>0</v>
      </c>
      <c r="P66" s="35">
        <f t="shared" ref="P66:P129" si="58">IF(O66&gt;0,D66*E66,0)</f>
        <v>0</v>
      </c>
      <c r="Q66" s="35">
        <f>IF(AND(D66/Frequency!$N$7&gt;2,D66/Frequency!$N$7&lt;=5),1,0)*E66</f>
        <v>600</v>
      </c>
      <c r="R66" s="35">
        <f t="shared" ref="R66:R129" si="59">IF(Q66&gt;0,D66*E66,0)</f>
        <v>3000</v>
      </c>
      <c r="S66" s="35">
        <f>IF(AND(D66/Frequency!$N$7&gt;5, D66/Frequency!$N$7&lt;=10),1,0)*E66</f>
        <v>0</v>
      </c>
      <c r="T66" s="35">
        <f t="shared" ref="T66:T129" si="60">IF(S66&gt;0,D66*E66,0)</f>
        <v>0</v>
      </c>
      <c r="U66" s="35">
        <f>IF(AND(D66/Frequency!$N$7&gt;10, D66/Frequency!$N$7&lt;=20),1,0)*E66</f>
        <v>0</v>
      </c>
      <c r="V66" s="35">
        <f t="shared" ref="V66:V129" si="61">IF(U66&gt;0,D66*E66,0)</f>
        <v>0</v>
      </c>
      <c r="W66" s="35">
        <f>IF(AND(D66/Frequency!$N$7&gt;20, D66/Frequency!$N$7&lt;=30),1,0)*E66</f>
        <v>0</v>
      </c>
      <c r="X66" s="35">
        <f t="shared" ref="X66:X129" si="62">IF(W66&gt;0,D66*E66,0)</f>
        <v>0</v>
      </c>
      <c r="Y66" s="35">
        <f>IF(AND(D66/Frequency!$N$7&gt;30, D66/Frequency!$N$7&lt;=50),1,0)*E66</f>
        <v>0</v>
      </c>
      <c r="Z66" s="35">
        <f t="shared" ref="Z66:Z129" si="63">IF(Y66&gt;0,D66*E66,0)</f>
        <v>0</v>
      </c>
      <c r="AA66" s="35">
        <f>IF(AND(D66/Frequency!$N$7&gt;50, D66/Frequency!$N$7&lt;=100),1,0)*E66</f>
        <v>0</v>
      </c>
      <c r="AB66" s="35">
        <f t="shared" ref="AB66:AB129" si="64">IF(AA66&gt;0,D66*E66,0)</f>
        <v>0</v>
      </c>
      <c r="AC66" s="35">
        <f>IF(D66/Frequency!$N$7&gt;100,1,0)*E66</f>
        <v>0</v>
      </c>
      <c r="AD66" s="35">
        <f t="shared" ref="AD66:AD129" si="65">IF(AC66&gt;0,D66*E66,0)</f>
        <v>0</v>
      </c>
      <c r="AE66" s="22">
        <f t="shared" ref="AE66:AE129" si="66">IF(AU66&gt;0,E66,0)</f>
        <v>600</v>
      </c>
      <c r="AF66" s="22">
        <f t="shared" ref="AF66:AF129" si="67">IF(AX66+BA66&gt;0,E66,0)</f>
        <v>0</v>
      </c>
      <c r="AG66" s="22">
        <f t="shared" ref="AG66:AG129" si="68">AF66*D66</f>
        <v>0</v>
      </c>
      <c r="AH66" s="22">
        <f t="shared" ref="AH66:AH129" si="69">IF(BG66&gt;0,E66,0)</f>
        <v>0</v>
      </c>
      <c r="AI66" s="35">
        <f t="shared" ref="AI66:AI129" si="70">IF(ISNUMBER(SEARCH("|||||||||",C66)),0,1)</f>
        <v>0</v>
      </c>
      <c r="AJ66" s="35">
        <f t="shared" ref="AJ66:AJ129" si="71">IF(AI66=1, E66,0)</f>
        <v>0</v>
      </c>
      <c r="AK66" s="35">
        <f t="shared" ref="AK66:AK129" si="72">IF(AJ66&gt;0,D66*E66,0)</f>
        <v>0</v>
      </c>
      <c r="AL66">
        <f t="shared" ref="AL66:AL129" si="73">IF(ISNUMBER(SEARCH("wild",C66)),1,0)</f>
        <v>0</v>
      </c>
      <c r="AM66">
        <f t="shared" ref="AM66:AM129" si="74">IF(AL66=1, E66,0)</f>
        <v>0</v>
      </c>
      <c r="AN66">
        <f t="shared" ref="AN66:AN129" si="75">IF(AM66&gt;0,D66*E66,0)</f>
        <v>0</v>
      </c>
      <c r="AO66">
        <f t="shared" ref="AO66:AO129" si="76">IF(ISNUMBER(SEARCH("wild-",C66)),1,0)</f>
        <v>0</v>
      </c>
      <c r="AP66">
        <f t="shared" ref="AP66:AP129" si="77">IF(AO66=1, E66,0)</f>
        <v>0</v>
      </c>
      <c r="AQ66">
        <f t="shared" ref="AQ66:AQ129" si="78">IF(AP66&gt;0,D66*E66,0)</f>
        <v>0</v>
      </c>
      <c r="AR66">
        <f t="shared" ref="AR66:AR129" si="79">IF(ISNUMBER(SEARCH("wildX",C66)),1,0)</f>
        <v>0</v>
      </c>
      <c r="AS66">
        <f t="shared" ref="AS66:AS129" si="80">IF(AR66=1, E66,0)</f>
        <v>0</v>
      </c>
      <c r="AT66">
        <f t="shared" ref="AT66:AT129" si="81">IF(AS66&gt;0,D66*E66,0)</f>
        <v>0</v>
      </c>
      <c r="AU66">
        <f t="shared" ref="AU66:AU129" si="82">IF(ISNUMBER(SEARCH("FreePlay",C66)),1,0)</f>
        <v>1</v>
      </c>
      <c r="AV66">
        <v>0</v>
      </c>
      <c r="AW66">
        <v>0</v>
      </c>
      <c r="AX66">
        <f t="shared" ref="AX66:AX129" si="83">IF(ISNUMBER(SEARCH("bonusA",C66)),1,0)</f>
        <v>0</v>
      </c>
      <c r="AY66">
        <f t="shared" ref="AY66:AY129" si="84">AX66*E66</f>
        <v>0</v>
      </c>
      <c r="AZ66">
        <f t="shared" ref="AZ66:AZ129" si="85">AY66*D66</f>
        <v>0</v>
      </c>
      <c r="BA66">
        <f t="shared" ref="BA66:BA129" si="86">IF(ISNUMBER(SEARCH("bonusB",C66)),1,0)</f>
        <v>0</v>
      </c>
      <c r="BB66">
        <f t="shared" ref="BB66:BB129" si="87">BA66*E66</f>
        <v>0</v>
      </c>
      <c r="BC66">
        <f t="shared" ref="BC66:BC129" si="88">BB66*D66</f>
        <v>0</v>
      </c>
      <c r="BD66">
        <f t="shared" ref="BD66:BD129" si="89">IF(ISNUMBER(SEARCH("bonusC",C66)),1,0)</f>
        <v>0</v>
      </c>
      <c r="BE66">
        <f t="shared" ref="BE66:BE129" si="90">BD66*E66</f>
        <v>0</v>
      </c>
      <c r="BF66">
        <f t="shared" ref="BF66:BF129" si="91">BE66*D66</f>
        <v>0</v>
      </c>
      <c r="BG66">
        <f t="shared" ref="BG66:BG129" si="92">IF(ISNUMBER(SEARCH("Instant",C66)),1,0)</f>
        <v>0</v>
      </c>
      <c r="BH66">
        <f t="shared" ref="BH66:BH129" si="93">BG66*E66</f>
        <v>0</v>
      </c>
      <c r="BI66">
        <f t="shared" ref="BI66:BI129" si="94">BH66*D66</f>
        <v>0</v>
      </c>
      <c r="BJ66">
        <v>0</v>
      </c>
      <c r="BK66" t="str">
        <f>IF(D66 &lt; $D$417, $C$417,
      IF(D66 = $D$418, $C$418,
          IF(D66 &lt; $D$419, $C$419,
              IF(D66 &lt; $D$420, $C$420,
                 IF(D66 &lt; $D$421, $C$421, $C$422)))))</f>
        <v>Standard Win</v>
      </c>
      <c r="BL66" s="40" t="str">
        <f>IF(AU66 = 1,$C$426,
      IF(AV66 = 1,$C$427,
          IF(AW66 = 1,$C$428,
              IF(AX66 = 1,$C$429,
                  IF(BA66 = 1,$C$430,
                     IF(BD66 = 1,$C$431,
                        IF(BG66 = 1,$C$432,
                           IF(ISNUMBER(SEARCH("|||||||||",C66)), $C$433,$C$434))))))))</f>
        <v>Free Plays A</v>
      </c>
      <c r="BM66">
        <f>(D66/Frequency!$N$7-Summary!$C$7)^2*E66</f>
        <v>10383.36</v>
      </c>
      <c r="BN66">
        <f t="shared" ref="BN66:BN129" si="95">IF(AU66=1, E66*D66,0)</f>
        <v>3000</v>
      </c>
      <c r="BO66">
        <f t="shared" ref="BO66:BO129" si="96">IF(BG66=1, D66*E66,0)</f>
        <v>0</v>
      </c>
      <c r="BP66">
        <f t="shared" ref="BP66:BP129" si="97">IF(BJ66&gt;0,BJ66*E66,0)</f>
        <v>0</v>
      </c>
      <c r="BQ66">
        <f t="shared" ref="BQ66:BQ129" si="98">IF(AND(AU66=1, AI66=0),E66,0)</f>
        <v>600</v>
      </c>
      <c r="BR66">
        <f t="shared" ref="BR66:BR129" si="99">IF(BQ66&gt;0,E66*D66,0)</f>
        <v>3000</v>
      </c>
      <c r="BS66">
        <f t="shared" ref="BS66:BS129" si="100">IF(AND(AU66=1, AI66=1),E66,0)</f>
        <v>0</v>
      </c>
      <c r="BT66">
        <f t="shared" ref="BT66:BT129" si="101">IF(BS66&gt;0,E66*D66,0)</f>
        <v>0</v>
      </c>
      <c r="BU66">
        <f t="shared" ref="BU66:BU129" si="102">IF(AND(AX66+BA66=1, AI66=0),E66,0)</f>
        <v>0</v>
      </c>
      <c r="BV66">
        <f t="shared" ref="BV66:BV129" si="103">IF(BU66&gt;0,E66*D66,0)</f>
        <v>0</v>
      </c>
      <c r="BW66">
        <f t="shared" ref="BW66:BW129" si="104">IF(AND(AX66+BA66=1, AI66=1),E66,0)</f>
        <v>0</v>
      </c>
      <c r="BX66">
        <f t="shared" ref="BX66:BX129" si="105">IF(BW66&gt;0,E66*D66,0)</f>
        <v>0</v>
      </c>
    </row>
    <row r="67" spans="2:76">
      <c r="B67" s="19">
        <f>Tiers!B68</f>
        <v>65</v>
      </c>
      <c r="C67" s="118" t="str">
        <f>Tiers!X68</f>
        <v>freeplayA-11|||||||||</v>
      </c>
      <c r="D67" s="21">
        <f>Tiers!C68</f>
        <v>3</v>
      </c>
      <c r="E67" s="22">
        <f>Frequency!E69</f>
        <v>100</v>
      </c>
      <c r="F67" s="22">
        <f t="shared" si="55"/>
        <v>300</v>
      </c>
      <c r="G67" s="20">
        <f>IF(AND(D67/Summary!$C$4&gt;0, D67/Summary!$C$4&lt;5),E67,0) * D67</f>
        <v>300</v>
      </c>
      <c r="H67" s="20">
        <f>IF(AND(D67/Summary!$C$4&gt;= 5, D67/Summary!$C$4&lt;10),E67,0) * D67</f>
        <v>0</v>
      </c>
      <c r="I67" s="20">
        <f>IF(AND(D67/Summary!$C$4&gt;=10, D67/Summary!$C$4&lt;25),E67,0)*D67</f>
        <v>0</v>
      </c>
      <c r="J67" s="20">
        <f>IF(D67/Summary!$C$4&gt;=25,E67,0)*D67</f>
        <v>0</v>
      </c>
      <c r="K67" s="35">
        <f>IF(AND(D67/Frequency!$N$7&gt;0, D67/Frequency!$N$7&lt;1),E67,0)</f>
        <v>0</v>
      </c>
      <c r="L67" s="35">
        <f t="shared" si="56"/>
        <v>0</v>
      </c>
      <c r="M67" s="35">
        <f>IF(D67/Frequency!$N$7=1,1,0)*E67</f>
        <v>0</v>
      </c>
      <c r="N67" s="35">
        <f t="shared" si="57"/>
        <v>0</v>
      </c>
      <c r="O67" s="35">
        <f>IF(AND(D67/Frequency!$N$7&gt;1, D67/Frequency!$N$7&lt;=2),1,0)*E67</f>
        <v>0</v>
      </c>
      <c r="P67" s="35">
        <f t="shared" si="58"/>
        <v>0</v>
      </c>
      <c r="Q67" s="35">
        <f>IF(AND(D67/Frequency!$N$7&gt;2,D67/Frequency!$N$7&lt;=5),1,0)*E67</f>
        <v>100</v>
      </c>
      <c r="R67" s="35">
        <f t="shared" si="59"/>
        <v>300</v>
      </c>
      <c r="S67" s="35">
        <f>IF(AND(D67/Frequency!$N$7&gt;5, D67/Frequency!$N$7&lt;=10),1,0)*E67</f>
        <v>0</v>
      </c>
      <c r="T67" s="35">
        <f t="shared" si="60"/>
        <v>0</v>
      </c>
      <c r="U67" s="35">
        <f>IF(AND(D67/Frequency!$N$7&gt;10, D67/Frequency!$N$7&lt;=20),1,0)*E67</f>
        <v>0</v>
      </c>
      <c r="V67" s="35">
        <f t="shared" si="61"/>
        <v>0</v>
      </c>
      <c r="W67" s="35">
        <f>IF(AND(D67/Frequency!$N$7&gt;20, D67/Frequency!$N$7&lt;=30),1,0)*E67</f>
        <v>0</v>
      </c>
      <c r="X67" s="35">
        <f t="shared" si="62"/>
        <v>0</v>
      </c>
      <c r="Y67" s="35">
        <f>IF(AND(D67/Frequency!$N$7&gt;30, D67/Frequency!$N$7&lt;=50),1,0)*E67</f>
        <v>0</v>
      </c>
      <c r="Z67" s="35">
        <f t="shared" si="63"/>
        <v>0</v>
      </c>
      <c r="AA67" s="35">
        <f>IF(AND(D67/Frequency!$N$7&gt;50, D67/Frequency!$N$7&lt;=100),1,0)*E67</f>
        <v>0</v>
      </c>
      <c r="AB67" s="35">
        <f t="shared" si="64"/>
        <v>0</v>
      </c>
      <c r="AC67" s="35">
        <f>IF(D67/Frequency!$N$7&gt;100,1,0)*E67</f>
        <v>0</v>
      </c>
      <c r="AD67" s="35">
        <f t="shared" si="65"/>
        <v>0</v>
      </c>
      <c r="AE67" s="22">
        <f t="shared" si="66"/>
        <v>100</v>
      </c>
      <c r="AF67" s="22">
        <f t="shared" si="67"/>
        <v>0</v>
      </c>
      <c r="AG67" s="22">
        <f t="shared" si="68"/>
        <v>0</v>
      </c>
      <c r="AH67" s="22">
        <f t="shared" si="69"/>
        <v>0</v>
      </c>
      <c r="AI67" s="35">
        <f t="shared" si="70"/>
        <v>0</v>
      </c>
      <c r="AJ67" s="35">
        <f t="shared" si="71"/>
        <v>0</v>
      </c>
      <c r="AK67" s="35">
        <f t="shared" si="72"/>
        <v>0</v>
      </c>
      <c r="AL67">
        <f t="shared" si="73"/>
        <v>0</v>
      </c>
      <c r="AM67">
        <f t="shared" si="74"/>
        <v>0</v>
      </c>
      <c r="AN67">
        <f t="shared" si="75"/>
        <v>0</v>
      </c>
      <c r="AO67">
        <f t="shared" si="76"/>
        <v>0</v>
      </c>
      <c r="AP67">
        <f t="shared" si="77"/>
        <v>0</v>
      </c>
      <c r="AQ67">
        <f t="shared" si="78"/>
        <v>0</v>
      </c>
      <c r="AR67">
        <f t="shared" si="79"/>
        <v>0</v>
      </c>
      <c r="AS67">
        <f t="shared" si="80"/>
        <v>0</v>
      </c>
      <c r="AT67">
        <f t="shared" si="81"/>
        <v>0</v>
      </c>
      <c r="AU67">
        <f t="shared" si="82"/>
        <v>1</v>
      </c>
      <c r="AV67">
        <v>0</v>
      </c>
      <c r="AW67">
        <v>0</v>
      </c>
      <c r="AX67">
        <f t="shared" si="83"/>
        <v>0</v>
      </c>
      <c r="AY67">
        <f t="shared" si="84"/>
        <v>0</v>
      </c>
      <c r="AZ67">
        <f t="shared" si="85"/>
        <v>0</v>
      </c>
      <c r="BA67">
        <f t="shared" si="86"/>
        <v>0</v>
      </c>
      <c r="BB67">
        <f t="shared" si="87"/>
        <v>0</v>
      </c>
      <c r="BC67">
        <f t="shared" si="88"/>
        <v>0</v>
      </c>
      <c r="BD67">
        <f t="shared" si="89"/>
        <v>0</v>
      </c>
      <c r="BE67">
        <f t="shared" si="90"/>
        <v>0</v>
      </c>
      <c r="BF67">
        <f t="shared" si="91"/>
        <v>0</v>
      </c>
      <c r="BG67">
        <f t="shared" si="92"/>
        <v>0</v>
      </c>
      <c r="BH67">
        <f t="shared" si="93"/>
        <v>0</v>
      </c>
      <c r="BI67">
        <f t="shared" si="94"/>
        <v>0</v>
      </c>
      <c r="BJ67">
        <v>0</v>
      </c>
      <c r="BK67" t="str">
        <f t="shared" ref="BK67:BK98" si="106">IF(D67 &lt; $D$417, $C$417,
IF(D67 = $D$418, $C$418,
IF(D67 &lt; $D$419, $C$419,
IF(D67 &lt; $D$420, $C$420,
IF(D67 &lt; $D$421, $C$421, $C$422)))))</f>
        <v>Standard Win</v>
      </c>
      <c r="BL67" s="40" t="str">
        <f t="shared" ref="BL67:BL98" si="107">IF(AU67 = 1,$C$426,
IF(AV67 = 1,$C$427,
IF(AW67 = 1,$C$428,
IF(AX67 = 1,$C$429,
IF(BA67 = 1,$C$430,
IF(BD67 = 1,$C$431,
IF(BG67 = 1,$C$432,
IF(ISNUMBER(SEARCH("|||||||||",C67)), $C$433,$C$434))))))))</f>
        <v>Free Plays A</v>
      </c>
      <c r="BM67">
        <f>(D67/Frequency!$N$7-Summary!$C$7)^2*E67</f>
        <v>466.56000000000006</v>
      </c>
      <c r="BN67">
        <f t="shared" si="95"/>
        <v>300</v>
      </c>
      <c r="BO67">
        <f t="shared" si="96"/>
        <v>0</v>
      </c>
      <c r="BP67">
        <f t="shared" si="97"/>
        <v>0</v>
      </c>
      <c r="BQ67">
        <f t="shared" si="98"/>
        <v>100</v>
      </c>
      <c r="BR67">
        <f t="shared" si="99"/>
        <v>300</v>
      </c>
      <c r="BS67">
        <f t="shared" si="100"/>
        <v>0</v>
      </c>
      <c r="BT67">
        <f t="shared" si="101"/>
        <v>0</v>
      </c>
      <c r="BU67">
        <f t="shared" si="102"/>
        <v>0</v>
      </c>
      <c r="BV67">
        <f t="shared" si="103"/>
        <v>0</v>
      </c>
      <c r="BW67">
        <f t="shared" si="104"/>
        <v>0</v>
      </c>
      <c r="BX67">
        <f t="shared" si="105"/>
        <v>0</v>
      </c>
    </row>
    <row r="68" spans="2:76">
      <c r="B68" s="19">
        <f>Tiers!B69</f>
        <v>66</v>
      </c>
      <c r="C68" s="118" t="str">
        <f>Tiers!X69</f>
        <v>freeplayA-12|||||||||</v>
      </c>
      <c r="D68" s="21">
        <f>Tiers!C69</f>
        <v>0.2</v>
      </c>
      <c r="E68" s="22">
        <f>Frequency!E70</f>
        <v>580</v>
      </c>
      <c r="F68" s="22">
        <f t="shared" si="55"/>
        <v>116</v>
      </c>
      <c r="G68" s="20">
        <f>IF(AND(D68/Summary!$C$4&gt;0, D68/Summary!$C$4&lt;5),E68,0) * D68</f>
        <v>116</v>
      </c>
      <c r="H68" s="20">
        <f>IF(AND(D68/Summary!$C$4&gt;= 5, D68/Summary!$C$4&lt;10),E68,0) * D68</f>
        <v>0</v>
      </c>
      <c r="I68" s="20">
        <f>IF(AND(D68/Summary!$C$4&gt;=10, D68/Summary!$C$4&lt;25),E68,0)*D68</f>
        <v>0</v>
      </c>
      <c r="J68" s="20">
        <f>IF(D68/Summary!$C$4&gt;=25,E68,0)*D68</f>
        <v>0</v>
      </c>
      <c r="K68" s="35">
        <f>IF(AND(D68/Frequency!$N$7&gt;0, D68/Frequency!$N$7&lt;1),E68,0)</f>
        <v>580</v>
      </c>
      <c r="L68" s="35">
        <f t="shared" si="56"/>
        <v>116</v>
      </c>
      <c r="M68" s="35">
        <f>IF(D68/Frequency!$N$7=1,1,0)*E68</f>
        <v>0</v>
      </c>
      <c r="N68" s="35">
        <f t="shared" si="57"/>
        <v>0</v>
      </c>
      <c r="O68" s="35">
        <f>IF(AND(D68/Frequency!$N$7&gt;1, D68/Frequency!$N$7&lt;=2),1,0)*E68</f>
        <v>0</v>
      </c>
      <c r="P68" s="35">
        <f t="shared" si="58"/>
        <v>0</v>
      </c>
      <c r="Q68" s="35">
        <f>IF(AND(D68/Frequency!$N$7&gt;2,D68/Frequency!$N$7&lt;=5),1,0)*E68</f>
        <v>0</v>
      </c>
      <c r="R68" s="35">
        <f t="shared" si="59"/>
        <v>0</v>
      </c>
      <c r="S68" s="35">
        <f>IF(AND(D68/Frequency!$N$7&gt;5, D68/Frequency!$N$7&lt;=10),1,0)*E68</f>
        <v>0</v>
      </c>
      <c r="T68" s="35">
        <f t="shared" si="60"/>
        <v>0</v>
      </c>
      <c r="U68" s="35">
        <f>IF(AND(D68/Frequency!$N$7&gt;10, D68/Frequency!$N$7&lt;=20),1,0)*E68</f>
        <v>0</v>
      </c>
      <c r="V68" s="35">
        <f t="shared" si="61"/>
        <v>0</v>
      </c>
      <c r="W68" s="35">
        <f>IF(AND(D68/Frequency!$N$7&gt;20, D68/Frequency!$N$7&lt;=30),1,0)*E68</f>
        <v>0</v>
      </c>
      <c r="X68" s="35">
        <f t="shared" si="62"/>
        <v>0</v>
      </c>
      <c r="Y68" s="35">
        <f>IF(AND(D68/Frequency!$N$7&gt;30, D68/Frequency!$N$7&lt;=50),1,0)*E68</f>
        <v>0</v>
      </c>
      <c r="Z68" s="35">
        <f t="shared" si="63"/>
        <v>0</v>
      </c>
      <c r="AA68" s="35">
        <f>IF(AND(D68/Frequency!$N$7&gt;50, D68/Frequency!$N$7&lt;=100),1,0)*E68</f>
        <v>0</v>
      </c>
      <c r="AB68" s="35">
        <f t="shared" si="64"/>
        <v>0</v>
      </c>
      <c r="AC68" s="35">
        <f>IF(D68/Frequency!$N$7&gt;100,1,0)*E68</f>
        <v>0</v>
      </c>
      <c r="AD68" s="35">
        <f t="shared" si="65"/>
        <v>0</v>
      </c>
      <c r="AE68" s="22">
        <f t="shared" si="66"/>
        <v>580</v>
      </c>
      <c r="AF68" s="22">
        <f t="shared" si="67"/>
        <v>0</v>
      </c>
      <c r="AG68" s="22">
        <f t="shared" si="68"/>
        <v>0</v>
      </c>
      <c r="AH68" s="22">
        <f t="shared" si="69"/>
        <v>0</v>
      </c>
      <c r="AI68" s="35">
        <f t="shared" si="70"/>
        <v>0</v>
      </c>
      <c r="AJ68" s="35">
        <f t="shared" si="71"/>
        <v>0</v>
      </c>
      <c r="AK68" s="35">
        <f t="shared" si="72"/>
        <v>0</v>
      </c>
      <c r="AL68">
        <f t="shared" si="73"/>
        <v>0</v>
      </c>
      <c r="AM68">
        <f t="shared" si="74"/>
        <v>0</v>
      </c>
      <c r="AN68">
        <f t="shared" si="75"/>
        <v>0</v>
      </c>
      <c r="AO68">
        <f t="shared" si="76"/>
        <v>0</v>
      </c>
      <c r="AP68">
        <f t="shared" si="77"/>
        <v>0</v>
      </c>
      <c r="AQ68">
        <f t="shared" si="78"/>
        <v>0</v>
      </c>
      <c r="AR68">
        <f t="shared" si="79"/>
        <v>0</v>
      </c>
      <c r="AS68">
        <f t="shared" si="80"/>
        <v>0</v>
      </c>
      <c r="AT68">
        <f t="shared" si="81"/>
        <v>0</v>
      </c>
      <c r="AU68">
        <f t="shared" si="82"/>
        <v>1</v>
      </c>
      <c r="AV68">
        <v>0</v>
      </c>
      <c r="AW68">
        <v>0</v>
      </c>
      <c r="AX68">
        <f t="shared" si="83"/>
        <v>0</v>
      </c>
      <c r="AY68">
        <f t="shared" si="84"/>
        <v>0</v>
      </c>
      <c r="AZ68">
        <f t="shared" si="85"/>
        <v>0</v>
      </c>
      <c r="BA68">
        <f t="shared" si="86"/>
        <v>0</v>
      </c>
      <c r="BB68">
        <f t="shared" si="87"/>
        <v>0</v>
      </c>
      <c r="BC68">
        <f t="shared" si="88"/>
        <v>0</v>
      </c>
      <c r="BD68">
        <f t="shared" si="89"/>
        <v>0</v>
      </c>
      <c r="BE68">
        <f t="shared" si="90"/>
        <v>0</v>
      </c>
      <c r="BF68">
        <f t="shared" si="91"/>
        <v>0</v>
      </c>
      <c r="BG68">
        <f t="shared" si="92"/>
        <v>0</v>
      </c>
      <c r="BH68">
        <f t="shared" si="93"/>
        <v>0</v>
      </c>
      <c r="BI68">
        <f t="shared" si="94"/>
        <v>0</v>
      </c>
      <c r="BJ68">
        <v>0</v>
      </c>
      <c r="BK68" t="str">
        <f t="shared" si="106"/>
        <v>Less than Stake</v>
      </c>
      <c r="BL68" s="40" t="str">
        <f t="shared" si="107"/>
        <v>Free Plays A</v>
      </c>
      <c r="BM68">
        <f>(D68/Frequency!$N$7-Summary!$C$7)^2*E68</f>
        <v>237.56799999999993</v>
      </c>
      <c r="BN68">
        <f t="shared" si="95"/>
        <v>116</v>
      </c>
      <c r="BO68">
        <f t="shared" si="96"/>
        <v>0</v>
      </c>
      <c r="BP68">
        <f t="shared" si="97"/>
        <v>0</v>
      </c>
      <c r="BQ68">
        <f t="shared" si="98"/>
        <v>580</v>
      </c>
      <c r="BR68">
        <f t="shared" si="99"/>
        <v>116</v>
      </c>
      <c r="BS68">
        <f t="shared" si="100"/>
        <v>0</v>
      </c>
      <c r="BT68">
        <f t="shared" si="101"/>
        <v>0</v>
      </c>
      <c r="BU68">
        <f t="shared" si="102"/>
        <v>0</v>
      </c>
      <c r="BV68">
        <f t="shared" si="103"/>
        <v>0</v>
      </c>
      <c r="BW68">
        <f t="shared" si="104"/>
        <v>0</v>
      </c>
      <c r="BX68">
        <f t="shared" si="105"/>
        <v>0</v>
      </c>
    </row>
    <row r="69" spans="2:76">
      <c r="B69" s="19">
        <f>Tiers!B70</f>
        <v>67</v>
      </c>
      <c r="C69" s="118" t="str">
        <f>Tiers!X70</f>
        <v>freeplayA-13|||||||||</v>
      </c>
      <c r="D69" s="21">
        <f>Tiers!C70</f>
        <v>3</v>
      </c>
      <c r="E69" s="22">
        <f>Frequency!E71</f>
        <v>300</v>
      </c>
      <c r="F69" s="22">
        <f t="shared" si="55"/>
        <v>900</v>
      </c>
      <c r="G69" s="20">
        <f>IF(AND(D69/Summary!$C$4&gt;0, D69/Summary!$C$4&lt;5),E69,0) * D69</f>
        <v>900</v>
      </c>
      <c r="H69" s="20">
        <f>IF(AND(D69/Summary!$C$4&gt;= 5, D69/Summary!$C$4&lt;10),E69,0) * D69</f>
        <v>0</v>
      </c>
      <c r="I69" s="20">
        <f>IF(AND(D69/Summary!$C$4&gt;=10, D69/Summary!$C$4&lt;25),E69,0)*D69</f>
        <v>0</v>
      </c>
      <c r="J69" s="20">
        <f>IF(D69/Summary!$C$4&gt;=25,E69,0)*D69</f>
        <v>0</v>
      </c>
      <c r="K69" s="35">
        <f>IF(AND(D69/Frequency!$N$7&gt;0, D69/Frequency!$N$7&lt;1),E69,0)</f>
        <v>0</v>
      </c>
      <c r="L69" s="35">
        <f t="shared" si="56"/>
        <v>0</v>
      </c>
      <c r="M69" s="35">
        <f>IF(D69/Frequency!$N$7=1,1,0)*E69</f>
        <v>0</v>
      </c>
      <c r="N69" s="35">
        <f t="shared" si="57"/>
        <v>0</v>
      </c>
      <c r="O69" s="35">
        <f>IF(AND(D69/Frequency!$N$7&gt;1, D69/Frequency!$N$7&lt;=2),1,0)*E69</f>
        <v>0</v>
      </c>
      <c r="P69" s="35">
        <f t="shared" si="58"/>
        <v>0</v>
      </c>
      <c r="Q69" s="35">
        <f>IF(AND(D69/Frequency!$N$7&gt;2,D69/Frequency!$N$7&lt;=5),1,0)*E69</f>
        <v>300</v>
      </c>
      <c r="R69" s="35">
        <f t="shared" si="59"/>
        <v>900</v>
      </c>
      <c r="S69" s="35">
        <f>IF(AND(D69/Frequency!$N$7&gt;5, D69/Frequency!$N$7&lt;=10),1,0)*E69</f>
        <v>0</v>
      </c>
      <c r="T69" s="35">
        <f t="shared" si="60"/>
        <v>0</v>
      </c>
      <c r="U69" s="35">
        <f>IF(AND(D69/Frequency!$N$7&gt;10, D69/Frequency!$N$7&lt;=20),1,0)*E69</f>
        <v>0</v>
      </c>
      <c r="V69" s="35">
        <f t="shared" si="61"/>
        <v>0</v>
      </c>
      <c r="W69" s="35">
        <f>IF(AND(D69/Frequency!$N$7&gt;20, D69/Frequency!$N$7&lt;=30),1,0)*E69</f>
        <v>0</v>
      </c>
      <c r="X69" s="35">
        <f t="shared" si="62"/>
        <v>0</v>
      </c>
      <c r="Y69" s="35">
        <f>IF(AND(D69/Frequency!$N$7&gt;30, D69/Frequency!$N$7&lt;=50),1,0)*E69</f>
        <v>0</v>
      </c>
      <c r="Z69" s="35">
        <f t="shared" si="63"/>
        <v>0</v>
      </c>
      <c r="AA69" s="35">
        <f>IF(AND(D69/Frequency!$N$7&gt;50, D69/Frequency!$N$7&lt;=100),1,0)*E69</f>
        <v>0</v>
      </c>
      <c r="AB69" s="35">
        <f t="shared" si="64"/>
        <v>0</v>
      </c>
      <c r="AC69" s="35">
        <f>IF(D69/Frequency!$N$7&gt;100,1,0)*E69</f>
        <v>0</v>
      </c>
      <c r="AD69" s="35">
        <f t="shared" si="65"/>
        <v>0</v>
      </c>
      <c r="AE69" s="22">
        <f t="shared" si="66"/>
        <v>300</v>
      </c>
      <c r="AF69" s="22">
        <f t="shared" si="67"/>
        <v>0</v>
      </c>
      <c r="AG69" s="22">
        <f t="shared" si="68"/>
        <v>0</v>
      </c>
      <c r="AH69" s="22">
        <f t="shared" si="69"/>
        <v>0</v>
      </c>
      <c r="AI69" s="35">
        <f t="shared" si="70"/>
        <v>0</v>
      </c>
      <c r="AJ69" s="35">
        <f t="shared" si="71"/>
        <v>0</v>
      </c>
      <c r="AK69" s="35">
        <f t="shared" si="72"/>
        <v>0</v>
      </c>
      <c r="AL69">
        <f t="shared" si="73"/>
        <v>0</v>
      </c>
      <c r="AM69">
        <f t="shared" si="74"/>
        <v>0</v>
      </c>
      <c r="AN69">
        <f t="shared" si="75"/>
        <v>0</v>
      </c>
      <c r="AO69">
        <f t="shared" si="76"/>
        <v>0</v>
      </c>
      <c r="AP69">
        <f t="shared" si="77"/>
        <v>0</v>
      </c>
      <c r="AQ69">
        <f t="shared" si="78"/>
        <v>0</v>
      </c>
      <c r="AR69">
        <f t="shared" si="79"/>
        <v>0</v>
      </c>
      <c r="AS69">
        <f t="shared" si="80"/>
        <v>0</v>
      </c>
      <c r="AT69">
        <f t="shared" si="81"/>
        <v>0</v>
      </c>
      <c r="AU69">
        <f t="shared" si="82"/>
        <v>1</v>
      </c>
      <c r="AV69">
        <v>0</v>
      </c>
      <c r="AW69">
        <v>0</v>
      </c>
      <c r="AX69">
        <f t="shared" si="83"/>
        <v>0</v>
      </c>
      <c r="AY69">
        <f t="shared" si="84"/>
        <v>0</v>
      </c>
      <c r="AZ69">
        <f t="shared" si="85"/>
        <v>0</v>
      </c>
      <c r="BA69">
        <f t="shared" si="86"/>
        <v>0</v>
      </c>
      <c r="BB69">
        <f t="shared" si="87"/>
        <v>0</v>
      </c>
      <c r="BC69">
        <f t="shared" si="88"/>
        <v>0</v>
      </c>
      <c r="BD69">
        <f t="shared" si="89"/>
        <v>0</v>
      </c>
      <c r="BE69">
        <f t="shared" si="90"/>
        <v>0</v>
      </c>
      <c r="BF69">
        <f t="shared" si="91"/>
        <v>0</v>
      </c>
      <c r="BG69">
        <f t="shared" si="92"/>
        <v>0</v>
      </c>
      <c r="BH69">
        <f t="shared" si="93"/>
        <v>0</v>
      </c>
      <c r="BI69">
        <f t="shared" si="94"/>
        <v>0</v>
      </c>
      <c r="BJ69">
        <v>0</v>
      </c>
      <c r="BK69" t="str">
        <f t="shared" si="106"/>
        <v>Standard Win</v>
      </c>
      <c r="BL69" s="40" t="str">
        <f t="shared" si="107"/>
        <v>Free Plays A</v>
      </c>
      <c r="BM69">
        <f>(D69/Frequency!$N$7-Summary!$C$7)^2*E69</f>
        <v>1399.68</v>
      </c>
      <c r="BN69">
        <f t="shared" si="95"/>
        <v>900</v>
      </c>
      <c r="BO69">
        <f t="shared" si="96"/>
        <v>0</v>
      </c>
      <c r="BP69">
        <f t="shared" si="97"/>
        <v>0</v>
      </c>
      <c r="BQ69">
        <f t="shared" si="98"/>
        <v>300</v>
      </c>
      <c r="BR69">
        <f t="shared" si="99"/>
        <v>900</v>
      </c>
      <c r="BS69">
        <f t="shared" si="100"/>
        <v>0</v>
      </c>
      <c r="BT69">
        <f t="shared" si="101"/>
        <v>0</v>
      </c>
      <c r="BU69">
        <f t="shared" si="102"/>
        <v>0</v>
      </c>
      <c r="BV69">
        <f t="shared" si="103"/>
        <v>0</v>
      </c>
      <c r="BW69">
        <f t="shared" si="104"/>
        <v>0</v>
      </c>
      <c r="BX69">
        <f t="shared" si="105"/>
        <v>0</v>
      </c>
    </row>
    <row r="70" spans="2:76">
      <c r="B70" s="19">
        <f>Tiers!B71</f>
        <v>68</v>
      </c>
      <c r="C70" s="118" t="str">
        <f>Tiers!X71</f>
        <v>freeplayA-14|||||||||</v>
      </c>
      <c r="D70" s="21">
        <f>Tiers!C71</f>
        <v>3</v>
      </c>
      <c r="E70" s="22">
        <f>Frequency!E72</f>
        <v>100</v>
      </c>
      <c r="F70" s="22">
        <f t="shared" si="55"/>
        <v>300</v>
      </c>
      <c r="G70" s="20">
        <f>IF(AND(D70/Summary!$C$4&gt;0, D70/Summary!$C$4&lt;5),E70,0) * D70</f>
        <v>300</v>
      </c>
      <c r="H70" s="20">
        <f>IF(AND(D70/Summary!$C$4&gt;= 5, D70/Summary!$C$4&lt;10),E70,0) * D70</f>
        <v>0</v>
      </c>
      <c r="I70" s="20">
        <f>IF(AND(D70/Summary!$C$4&gt;=10, D70/Summary!$C$4&lt;25),E70,0)*D70</f>
        <v>0</v>
      </c>
      <c r="J70" s="20">
        <f>IF(D70/Summary!$C$4&gt;=25,E70,0)*D70</f>
        <v>0</v>
      </c>
      <c r="K70" s="35">
        <f>IF(AND(D70/Frequency!$N$7&gt;0, D70/Frequency!$N$7&lt;1),E70,0)</f>
        <v>0</v>
      </c>
      <c r="L70" s="35">
        <f t="shared" si="56"/>
        <v>0</v>
      </c>
      <c r="M70" s="35">
        <f>IF(D70/Frequency!$N$7=1,1,0)*E70</f>
        <v>0</v>
      </c>
      <c r="N70" s="35">
        <f t="shared" si="57"/>
        <v>0</v>
      </c>
      <c r="O70" s="35">
        <f>IF(AND(D70/Frequency!$N$7&gt;1, D70/Frequency!$N$7&lt;=2),1,0)*E70</f>
        <v>0</v>
      </c>
      <c r="P70" s="35">
        <f t="shared" si="58"/>
        <v>0</v>
      </c>
      <c r="Q70" s="35">
        <f>IF(AND(D70/Frequency!$N$7&gt;2,D70/Frequency!$N$7&lt;=5),1,0)*E70</f>
        <v>100</v>
      </c>
      <c r="R70" s="35">
        <f t="shared" si="59"/>
        <v>300</v>
      </c>
      <c r="S70" s="35">
        <f>IF(AND(D70/Frequency!$N$7&gt;5, D70/Frequency!$N$7&lt;=10),1,0)*E70</f>
        <v>0</v>
      </c>
      <c r="T70" s="35">
        <f t="shared" si="60"/>
        <v>0</v>
      </c>
      <c r="U70" s="35">
        <f>IF(AND(D70/Frequency!$N$7&gt;10, D70/Frequency!$N$7&lt;=20),1,0)*E70</f>
        <v>0</v>
      </c>
      <c r="V70" s="35">
        <f t="shared" si="61"/>
        <v>0</v>
      </c>
      <c r="W70" s="35">
        <f>IF(AND(D70/Frequency!$N$7&gt;20, D70/Frequency!$N$7&lt;=30),1,0)*E70</f>
        <v>0</v>
      </c>
      <c r="X70" s="35">
        <f t="shared" si="62"/>
        <v>0</v>
      </c>
      <c r="Y70" s="35">
        <f>IF(AND(D70/Frequency!$N$7&gt;30, D70/Frequency!$N$7&lt;=50),1,0)*E70</f>
        <v>0</v>
      </c>
      <c r="Z70" s="35">
        <f t="shared" si="63"/>
        <v>0</v>
      </c>
      <c r="AA70" s="35">
        <f>IF(AND(D70/Frequency!$N$7&gt;50, D70/Frequency!$N$7&lt;=100),1,0)*E70</f>
        <v>0</v>
      </c>
      <c r="AB70" s="35">
        <f t="shared" si="64"/>
        <v>0</v>
      </c>
      <c r="AC70" s="35">
        <f>IF(D70/Frequency!$N$7&gt;100,1,0)*E70</f>
        <v>0</v>
      </c>
      <c r="AD70" s="35">
        <f t="shared" si="65"/>
        <v>0</v>
      </c>
      <c r="AE70" s="22">
        <f t="shared" si="66"/>
        <v>100</v>
      </c>
      <c r="AF70" s="22">
        <f t="shared" si="67"/>
        <v>0</v>
      </c>
      <c r="AG70" s="22">
        <f t="shared" si="68"/>
        <v>0</v>
      </c>
      <c r="AH70" s="22">
        <f t="shared" si="69"/>
        <v>0</v>
      </c>
      <c r="AI70" s="35">
        <f t="shared" si="70"/>
        <v>0</v>
      </c>
      <c r="AJ70" s="35">
        <f t="shared" si="71"/>
        <v>0</v>
      </c>
      <c r="AK70" s="35">
        <f t="shared" si="72"/>
        <v>0</v>
      </c>
      <c r="AL70">
        <f t="shared" si="73"/>
        <v>0</v>
      </c>
      <c r="AM70">
        <f t="shared" si="74"/>
        <v>0</v>
      </c>
      <c r="AN70">
        <f t="shared" si="75"/>
        <v>0</v>
      </c>
      <c r="AO70">
        <f t="shared" si="76"/>
        <v>0</v>
      </c>
      <c r="AP70">
        <f t="shared" si="77"/>
        <v>0</v>
      </c>
      <c r="AQ70">
        <f t="shared" si="78"/>
        <v>0</v>
      </c>
      <c r="AR70">
        <f t="shared" si="79"/>
        <v>0</v>
      </c>
      <c r="AS70">
        <f t="shared" si="80"/>
        <v>0</v>
      </c>
      <c r="AT70">
        <f t="shared" si="81"/>
        <v>0</v>
      </c>
      <c r="AU70">
        <f t="shared" si="82"/>
        <v>1</v>
      </c>
      <c r="AV70">
        <v>0</v>
      </c>
      <c r="AW70">
        <v>0</v>
      </c>
      <c r="AX70">
        <f t="shared" si="83"/>
        <v>0</v>
      </c>
      <c r="AY70">
        <f t="shared" si="84"/>
        <v>0</v>
      </c>
      <c r="AZ70">
        <f t="shared" si="85"/>
        <v>0</v>
      </c>
      <c r="BA70">
        <f t="shared" si="86"/>
        <v>0</v>
      </c>
      <c r="BB70">
        <f t="shared" si="87"/>
        <v>0</v>
      </c>
      <c r="BC70">
        <f t="shared" si="88"/>
        <v>0</v>
      </c>
      <c r="BD70">
        <f t="shared" si="89"/>
        <v>0</v>
      </c>
      <c r="BE70">
        <f t="shared" si="90"/>
        <v>0</v>
      </c>
      <c r="BF70">
        <f t="shared" si="91"/>
        <v>0</v>
      </c>
      <c r="BG70">
        <f t="shared" si="92"/>
        <v>0</v>
      </c>
      <c r="BH70">
        <f t="shared" si="93"/>
        <v>0</v>
      </c>
      <c r="BI70">
        <f t="shared" si="94"/>
        <v>0</v>
      </c>
      <c r="BJ70">
        <v>0</v>
      </c>
      <c r="BK70" t="str">
        <f t="shared" si="106"/>
        <v>Standard Win</v>
      </c>
      <c r="BL70" s="40" t="str">
        <f t="shared" si="107"/>
        <v>Free Plays A</v>
      </c>
      <c r="BM70">
        <f>(D70/Frequency!$N$7-Summary!$C$7)^2*E70</f>
        <v>466.56000000000006</v>
      </c>
      <c r="BN70">
        <f t="shared" si="95"/>
        <v>300</v>
      </c>
      <c r="BO70">
        <f t="shared" si="96"/>
        <v>0</v>
      </c>
      <c r="BP70">
        <f t="shared" si="97"/>
        <v>0</v>
      </c>
      <c r="BQ70">
        <f t="shared" si="98"/>
        <v>100</v>
      </c>
      <c r="BR70">
        <f t="shared" si="99"/>
        <v>300</v>
      </c>
      <c r="BS70">
        <f t="shared" si="100"/>
        <v>0</v>
      </c>
      <c r="BT70">
        <f t="shared" si="101"/>
        <v>0</v>
      </c>
      <c r="BU70">
        <f t="shared" si="102"/>
        <v>0</v>
      </c>
      <c r="BV70">
        <f t="shared" si="103"/>
        <v>0</v>
      </c>
      <c r="BW70">
        <f t="shared" si="104"/>
        <v>0</v>
      </c>
      <c r="BX70">
        <f t="shared" si="105"/>
        <v>0</v>
      </c>
    </row>
    <row r="71" spans="2:76">
      <c r="B71" s="19">
        <f>Tiers!B72</f>
        <v>69</v>
      </c>
      <c r="C71" s="118" t="str">
        <f>Tiers!X72</f>
        <v>freeplayA-15|||||||||</v>
      </c>
      <c r="D71" s="21">
        <f>Tiers!C72</f>
        <v>1</v>
      </c>
      <c r="E71" s="22">
        <f>Frequency!E73</f>
        <v>100</v>
      </c>
      <c r="F71" s="22">
        <f t="shared" si="55"/>
        <v>100</v>
      </c>
      <c r="G71" s="20">
        <f>IF(AND(D71/Summary!$C$4&gt;0, D71/Summary!$C$4&lt;5),E71,0) * D71</f>
        <v>100</v>
      </c>
      <c r="H71" s="20">
        <f>IF(AND(D71/Summary!$C$4&gt;= 5, D71/Summary!$C$4&lt;10),E71,0) * D71</f>
        <v>0</v>
      </c>
      <c r="I71" s="20">
        <f>IF(AND(D71/Summary!$C$4&gt;=10, D71/Summary!$C$4&lt;25),E71,0)*D71</f>
        <v>0</v>
      </c>
      <c r="J71" s="20">
        <f>IF(D71/Summary!$C$4&gt;=25,E71,0)*D71</f>
        <v>0</v>
      </c>
      <c r="K71" s="35">
        <f>IF(AND(D71/Frequency!$N$7&gt;0, D71/Frequency!$N$7&lt;1),E71,0)</f>
        <v>0</v>
      </c>
      <c r="L71" s="35">
        <f t="shared" si="56"/>
        <v>0</v>
      </c>
      <c r="M71" s="35">
        <f>IF(D71/Frequency!$N$7=1,1,0)*E71</f>
        <v>100</v>
      </c>
      <c r="N71" s="35">
        <f t="shared" si="57"/>
        <v>100</v>
      </c>
      <c r="O71" s="35">
        <f>IF(AND(D71/Frequency!$N$7&gt;1, D71/Frequency!$N$7&lt;=2),1,0)*E71</f>
        <v>0</v>
      </c>
      <c r="P71" s="35">
        <f t="shared" si="58"/>
        <v>0</v>
      </c>
      <c r="Q71" s="35">
        <f>IF(AND(D71/Frequency!$N$7&gt;2,D71/Frequency!$N$7&lt;=5),1,0)*E71</f>
        <v>0</v>
      </c>
      <c r="R71" s="35">
        <f t="shared" si="59"/>
        <v>0</v>
      </c>
      <c r="S71" s="35">
        <f>IF(AND(D71/Frequency!$N$7&gt;5, D71/Frequency!$N$7&lt;=10),1,0)*E71</f>
        <v>0</v>
      </c>
      <c r="T71" s="35">
        <f t="shared" si="60"/>
        <v>0</v>
      </c>
      <c r="U71" s="35">
        <f>IF(AND(D71/Frequency!$N$7&gt;10, D71/Frequency!$N$7&lt;=20),1,0)*E71</f>
        <v>0</v>
      </c>
      <c r="V71" s="35">
        <f t="shared" si="61"/>
        <v>0</v>
      </c>
      <c r="W71" s="35">
        <f>IF(AND(D71/Frequency!$N$7&gt;20, D71/Frequency!$N$7&lt;=30),1,0)*E71</f>
        <v>0</v>
      </c>
      <c r="X71" s="35">
        <f t="shared" si="62"/>
        <v>0</v>
      </c>
      <c r="Y71" s="35">
        <f>IF(AND(D71/Frequency!$N$7&gt;30, D71/Frequency!$N$7&lt;=50),1,0)*E71</f>
        <v>0</v>
      </c>
      <c r="Z71" s="35">
        <f t="shared" si="63"/>
        <v>0</v>
      </c>
      <c r="AA71" s="35">
        <f>IF(AND(D71/Frequency!$N$7&gt;50, D71/Frequency!$N$7&lt;=100),1,0)*E71</f>
        <v>0</v>
      </c>
      <c r="AB71" s="35">
        <f t="shared" si="64"/>
        <v>0</v>
      </c>
      <c r="AC71" s="35">
        <f>IF(D71/Frequency!$N$7&gt;100,1,0)*E71</f>
        <v>0</v>
      </c>
      <c r="AD71" s="35">
        <f t="shared" si="65"/>
        <v>0</v>
      </c>
      <c r="AE71" s="22">
        <f t="shared" si="66"/>
        <v>100</v>
      </c>
      <c r="AF71" s="22">
        <f t="shared" si="67"/>
        <v>0</v>
      </c>
      <c r="AG71" s="22">
        <f t="shared" si="68"/>
        <v>0</v>
      </c>
      <c r="AH71" s="22">
        <f t="shared" si="69"/>
        <v>0</v>
      </c>
      <c r="AI71" s="35">
        <f t="shared" si="70"/>
        <v>0</v>
      </c>
      <c r="AJ71" s="35">
        <f t="shared" si="71"/>
        <v>0</v>
      </c>
      <c r="AK71" s="35">
        <f t="shared" si="72"/>
        <v>0</v>
      </c>
      <c r="AL71">
        <f t="shared" si="73"/>
        <v>0</v>
      </c>
      <c r="AM71">
        <f t="shared" si="74"/>
        <v>0</v>
      </c>
      <c r="AN71">
        <f t="shared" si="75"/>
        <v>0</v>
      </c>
      <c r="AO71">
        <f t="shared" si="76"/>
        <v>0</v>
      </c>
      <c r="AP71">
        <f t="shared" si="77"/>
        <v>0</v>
      </c>
      <c r="AQ71">
        <f t="shared" si="78"/>
        <v>0</v>
      </c>
      <c r="AR71">
        <f t="shared" si="79"/>
        <v>0</v>
      </c>
      <c r="AS71">
        <f t="shared" si="80"/>
        <v>0</v>
      </c>
      <c r="AT71">
        <f t="shared" si="81"/>
        <v>0</v>
      </c>
      <c r="AU71">
        <f t="shared" si="82"/>
        <v>1</v>
      </c>
      <c r="AV71">
        <v>0</v>
      </c>
      <c r="AW71">
        <v>0</v>
      </c>
      <c r="AX71">
        <f t="shared" si="83"/>
        <v>0</v>
      </c>
      <c r="AY71">
        <f t="shared" si="84"/>
        <v>0</v>
      </c>
      <c r="AZ71">
        <f t="shared" si="85"/>
        <v>0</v>
      </c>
      <c r="BA71">
        <f t="shared" si="86"/>
        <v>0</v>
      </c>
      <c r="BB71">
        <f t="shared" si="87"/>
        <v>0</v>
      </c>
      <c r="BC71">
        <f t="shared" si="88"/>
        <v>0</v>
      </c>
      <c r="BD71">
        <f t="shared" si="89"/>
        <v>0</v>
      </c>
      <c r="BE71">
        <f t="shared" si="90"/>
        <v>0</v>
      </c>
      <c r="BF71">
        <f t="shared" si="91"/>
        <v>0</v>
      </c>
      <c r="BG71">
        <f t="shared" si="92"/>
        <v>0</v>
      </c>
      <c r="BH71">
        <f t="shared" si="93"/>
        <v>0</v>
      </c>
      <c r="BI71">
        <f t="shared" si="94"/>
        <v>0</v>
      </c>
      <c r="BJ71">
        <v>0</v>
      </c>
      <c r="BK71" t="str">
        <f t="shared" si="106"/>
        <v>Stake Back</v>
      </c>
      <c r="BL71" s="40" t="str">
        <f t="shared" si="107"/>
        <v>Free Plays A</v>
      </c>
      <c r="BM71">
        <f>(D71/Frequency!$N$7-Summary!$C$7)^2*E71</f>
        <v>2.5600000000000014</v>
      </c>
      <c r="BN71">
        <f t="shared" si="95"/>
        <v>100</v>
      </c>
      <c r="BO71">
        <f t="shared" si="96"/>
        <v>0</v>
      </c>
      <c r="BP71">
        <f t="shared" si="97"/>
        <v>0</v>
      </c>
      <c r="BQ71">
        <f t="shared" si="98"/>
        <v>100</v>
      </c>
      <c r="BR71">
        <f t="shared" si="99"/>
        <v>100</v>
      </c>
      <c r="BS71">
        <f t="shared" si="100"/>
        <v>0</v>
      </c>
      <c r="BT71">
        <f t="shared" si="101"/>
        <v>0</v>
      </c>
      <c r="BU71">
        <f t="shared" si="102"/>
        <v>0</v>
      </c>
      <c r="BV71">
        <f t="shared" si="103"/>
        <v>0</v>
      </c>
      <c r="BW71">
        <f t="shared" si="104"/>
        <v>0</v>
      </c>
      <c r="BX71">
        <f t="shared" si="105"/>
        <v>0</v>
      </c>
    </row>
    <row r="72" spans="2:76">
      <c r="B72" s="19">
        <f>Tiers!B73</f>
        <v>70</v>
      </c>
      <c r="C72" s="118" t="str">
        <f>Tiers!X73</f>
        <v>freeplayA-16|||||||||</v>
      </c>
      <c r="D72" s="21">
        <f>Tiers!C73</f>
        <v>20</v>
      </c>
      <c r="E72" s="22">
        <f>Frequency!E74</f>
        <v>50</v>
      </c>
      <c r="F72" s="22">
        <f t="shared" si="55"/>
        <v>1000</v>
      </c>
      <c r="G72" s="20">
        <f>IF(AND(D72/Summary!$C$4&gt;0, D72/Summary!$C$4&lt;5),E72,0) * D72</f>
        <v>0</v>
      </c>
      <c r="H72" s="20">
        <f>IF(AND(D72/Summary!$C$4&gt;= 5, D72/Summary!$C$4&lt;10),E72,0) * D72</f>
        <v>0</v>
      </c>
      <c r="I72" s="20">
        <f>IF(AND(D72/Summary!$C$4&gt;=10, D72/Summary!$C$4&lt;25),E72,0)*D72</f>
        <v>1000</v>
      </c>
      <c r="J72" s="20">
        <f>IF(D72/Summary!$C$4&gt;=25,E72,0)*D72</f>
        <v>0</v>
      </c>
      <c r="K72" s="35">
        <f>IF(AND(D72/Frequency!$N$7&gt;0, D72/Frequency!$N$7&lt;1),E72,0)</f>
        <v>0</v>
      </c>
      <c r="L72" s="35">
        <f t="shared" si="56"/>
        <v>0</v>
      </c>
      <c r="M72" s="35">
        <f>IF(D72/Frequency!$N$7=1,1,0)*E72</f>
        <v>0</v>
      </c>
      <c r="N72" s="35">
        <f t="shared" si="57"/>
        <v>0</v>
      </c>
      <c r="O72" s="35">
        <f>IF(AND(D72/Frequency!$N$7&gt;1, D72/Frequency!$N$7&lt;=2),1,0)*E72</f>
        <v>0</v>
      </c>
      <c r="P72" s="35">
        <f t="shared" si="58"/>
        <v>0</v>
      </c>
      <c r="Q72" s="35">
        <f>IF(AND(D72/Frequency!$N$7&gt;2,D72/Frequency!$N$7&lt;=5),1,0)*E72</f>
        <v>0</v>
      </c>
      <c r="R72" s="35">
        <f t="shared" si="59"/>
        <v>0</v>
      </c>
      <c r="S72" s="35">
        <f>IF(AND(D72/Frequency!$N$7&gt;5, D72/Frequency!$N$7&lt;=10),1,0)*E72</f>
        <v>0</v>
      </c>
      <c r="T72" s="35">
        <f t="shared" si="60"/>
        <v>0</v>
      </c>
      <c r="U72" s="35">
        <f>IF(AND(D72/Frequency!$N$7&gt;10, D72/Frequency!$N$7&lt;=20),1,0)*E72</f>
        <v>50</v>
      </c>
      <c r="V72" s="35">
        <f t="shared" si="61"/>
        <v>1000</v>
      </c>
      <c r="W72" s="35">
        <f>IF(AND(D72/Frequency!$N$7&gt;20, D72/Frequency!$N$7&lt;=30),1,0)*E72</f>
        <v>0</v>
      </c>
      <c r="X72" s="35">
        <f t="shared" si="62"/>
        <v>0</v>
      </c>
      <c r="Y72" s="35">
        <f>IF(AND(D72/Frequency!$N$7&gt;30, D72/Frequency!$N$7&lt;=50),1,0)*E72</f>
        <v>0</v>
      </c>
      <c r="Z72" s="35">
        <f t="shared" si="63"/>
        <v>0</v>
      </c>
      <c r="AA72" s="35">
        <f>IF(AND(D72/Frequency!$N$7&gt;50, D72/Frequency!$N$7&lt;=100),1,0)*E72</f>
        <v>0</v>
      </c>
      <c r="AB72" s="35">
        <f t="shared" si="64"/>
        <v>0</v>
      </c>
      <c r="AC72" s="35">
        <f>IF(D72/Frequency!$N$7&gt;100,1,0)*E72</f>
        <v>0</v>
      </c>
      <c r="AD72" s="35">
        <f t="shared" si="65"/>
        <v>0</v>
      </c>
      <c r="AE72" s="22">
        <f t="shared" si="66"/>
        <v>50</v>
      </c>
      <c r="AF72" s="22">
        <f t="shared" si="67"/>
        <v>0</v>
      </c>
      <c r="AG72" s="22">
        <f t="shared" si="68"/>
        <v>0</v>
      </c>
      <c r="AH72" s="22">
        <f t="shared" si="69"/>
        <v>0</v>
      </c>
      <c r="AI72" s="35">
        <f t="shared" si="70"/>
        <v>0</v>
      </c>
      <c r="AJ72" s="35">
        <f t="shared" si="71"/>
        <v>0</v>
      </c>
      <c r="AK72" s="35">
        <f t="shared" si="72"/>
        <v>0</v>
      </c>
      <c r="AL72">
        <f t="shared" si="73"/>
        <v>0</v>
      </c>
      <c r="AM72">
        <f t="shared" si="74"/>
        <v>0</v>
      </c>
      <c r="AN72">
        <f t="shared" si="75"/>
        <v>0</v>
      </c>
      <c r="AO72">
        <f t="shared" si="76"/>
        <v>0</v>
      </c>
      <c r="AP72">
        <f t="shared" si="77"/>
        <v>0</v>
      </c>
      <c r="AQ72">
        <f t="shared" si="78"/>
        <v>0</v>
      </c>
      <c r="AR72">
        <f t="shared" si="79"/>
        <v>0</v>
      </c>
      <c r="AS72">
        <f t="shared" si="80"/>
        <v>0</v>
      </c>
      <c r="AT72">
        <f t="shared" si="81"/>
        <v>0</v>
      </c>
      <c r="AU72">
        <f t="shared" si="82"/>
        <v>1</v>
      </c>
      <c r="AV72">
        <v>0</v>
      </c>
      <c r="AW72">
        <v>0</v>
      </c>
      <c r="AX72">
        <f t="shared" si="83"/>
        <v>0</v>
      </c>
      <c r="AY72">
        <f t="shared" si="84"/>
        <v>0</v>
      </c>
      <c r="AZ72">
        <f t="shared" si="85"/>
        <v>0</v>
      </c>
      <c r="BA72">
        <f t="shared" si="86"/>
        <v>0</v>
      </c>
      <c r="BB72">
        <f t="shared" si="87"/>
        <v>0</v>
      </c>
      <c r="BC72">
        <f t="shared" si="88"/>
        <v>0</v>
      </c>
      <c r="BD72">
        <f t="shared" si="89"/>
        <v>0</v>
      </c>
      <c r="BE72">
        <f t="shared" si="90"/>
        <v>0</v>
      </c>
      <c r="BF72">
        <f t="shared" si="91"/>
        <v>0</v>
      </c>
      <c r="BG72">
        <f t="shared" si="92"/>
        <v>0</v>
      </c>
      <c r="BH72">
        <f t="shared" si="93"/>
        <v>0</v>
      </c>
      <c r="BI72">
        <f t="shared" si="94"/>
        <v>0</v>
      </c>
      <c r="BJ72">
        <v>0</v>
      </c>
      <c r="BK72" t="str">
        <f t="shared" si="106"/>
        <v>Big Win</v>
      </c>
      <c r="BL72" s="40" t="str">
        <f t="shared" si="107"/>
        <v>Free Plays A</v>
      </c>
      <c r="BM72">
        <f>(D72/Frequency!$N$7-Summary!$C$7)^2*E72</f>
        <v>18355.28</v>
      </c>
      <c r="BN72">
        <f t="shared" si="95"/>
        <v>1000</v>
      </c>
      <c r="BO72">
        <f t="shared" si="96"/>
        <v>0</v>
      </c>
      <c r="BP72">
        <f t="shared" si="97"/>
        <v>0</v>
      </c>
      <c r="BQ72">
        <f t="shared" si="98"/>
        <v>50</v>
      </c>
      <c r="BR72">
        <f t="shared" si="99"/>
        <v>1000</v>
      </c>
      <c r="BS72">
        <f t="shared" si="100"/>
        <v>0</v>
      </c>
      <c r="BT72">
        <f t="shared" si="101"/>
        <v>0</v>
      </c>
      <c r="BU72">
        <f t="shared" si="102"/>
        <v>0</v>
      </c>
      <c r="BV72">
        <f t="shared" si="103"/>
        <v>0</v>
      </c>
      <c r="BW72">
        <f t="shared" si="104"/>
        <v>0</v>
      </c>
      <c r="BX72">
        <f t="shared" si="105"/>
        <v>0</v>
      </c>
    </row>
    <row r="73" spans="2:76">
      <c r="B73" s="19">
        <f>Tiers!B74</f>
        <v>71</v>
      </c>
      <c r="C73" s="118" t="str">
        <f>Tiers!X74</f>
        <v>freeplayA-17|||||||||</v>
      </c>
      <c r="D73" s="21">
        <f>Tiers!C74</f>
        <v>3</v>
      </c>
      <c r="E73" s="22">
        <f>Frequency!E75</f>
        <v>50</v>
      </c>
      <c r="F73" s="22">
        <f t="shared" si="55"/>
        <v>150</v>
      </c>
      <c r="G73" s="20">
        <f>IF(AND(D73/Summary!$C$4&gt;0, D73/Summary!$C$4&lt;5),E73,0) * D73</f>
        <v>150</v>
      </c>
      <c r="H73" s="20">
        <f>IF(AND(D73/Summary!$C$4&gt;= 5, D73/Summary!$C$4&lt;10),E73,0) * D73</f>
        <v>0</v>
      </c>
      <c r="I73" s="20">
        <f>IF(AND(D73/Summary!$C$4&gt;=10, D73/Summary!$C$4&lt;25),E73,0)*D73</f>
        <v>0</v>
      </c>
      <c r="J73" s="20">
        <f>IF(D73/Summary!$C$4&gt;=25,E73,0)*D73</f>
        <v>0</v>
      </c>
      <c r="K73" s="35">
        <f>IF(AND(D73/Frequency!$N$7&gt;0, D73/Frequency!$N$7&lt;1),E73,0)</f>
        <v>0</v>
      </c>
      <c r="L73" s="35">
        <f t="shared" si="56"/>
        <v>0</v>
      </c>
      <c r="M73" s="35">
        <f>IF(D73/Frequency!$N$7=1,1,0)*E73</f>
        <v>0</v>
      </c>
      <c r="N73" s="35">
        <f t="shared" si="57"/>
        <v>0</v>
      </c>
      <c r="O73" s="35">
        <f>IF(AND(D73/Frequency!$N$7&gt;1, D73/Frequency!$N$7&lt;=2),1,0)*E73</f>
        <v>0</v>
      </c>
      <c r="P73" s="35">
        <f t="shared" si="58"/>
        <v>0</v>
      </c>
      <c r="Q73" s="35">
        <f>IF(AND(D73/Frequency!$N$7&gt;2,D73/Frequency!$N$7&lt;=5),1,0)*E73</f>
        <v>50</v>
      </c>
      <c r="R73" s="35">
        <f t="shared" si="59"/>
        <v>150</v>
      </c>
      <c r="S73" s="35">
        <f>IF(AND(D73/Frequency!$N$7&gt;5, D73/Frequency!$N$7&lt;=10),1,0)*E73</f>
        <v>0</v>
      </c>
      <c r="T73" s="35">
        <f t="shared" si="60"/>
        <v>0</v>
      </c>
      <c r="U73" s="35">
        <f>IF(AND(D73/Frequency!$N$7&gt;10, D73/Frequency!$N$7&lt;=20),1,0)*E73</f>
        <v>0</v>
      </c>
      <c r="V73" s="35">
        <f t="shared" si="61"/>
        <v>0</v>
      </c>
      <c r="W73" s="35">
        <f>IF(AND(D73/Frequency!$N$7&gt;20, D73/Frequency!$N$7&lt;=30),1,0)*E73</f>
        <v>0</v>
      </c>
      <c r="X73" s="35">
        <f t="shared" si="62"/>
        <v>0</v>
      </c>
      <c r="Y73" s="35">
        <f>IF(AND(D73/Frequency!$N$7&gt;30, D73/Frequency!$N$7&lt;=50),1,0)*E73</f>
        <v>0</v>
      </c>
      <c r="Z73" s="35">
        <f t="shared" si="63"/>
        <v>0</v>
      </c>
      <c r="AA73" s="35">
        <f>IF(AND(D73/Frequency!$N$7&gt;50, D73/Frequency!$N$7&lt;=100),1,0)*E73</f>
        <v>0</v>
      </c>
      <c r="AB73" s="35">
        <f t="shared" si="64"/>
        <v>0</v>
      </c>
      <c r="AC73" s="35">
        <f>IF(D73/Frequency!$N$7&gt;100,1,0)*E73</f>
        <v>0</v>
      </c>
      <c r="AD73" s="35">
        <f t="shared" si="65"/>
        <v>0</v>
      </c>
      <c r="AE73" s="22">
        <f t="shared" si="66"/>
        <v>50</v>
      </c>
      <c r="AF73" s="22">
        <f t="shared" si="67"/>
        <v>0</v>
      </c>
      <c r="AG73" s="22">
        <f t="shared" si="68"/>
        <v>0</v>
      </c>
      <c r="AH73" s="22">
        <f t="shared" si="69"/>
        <v>0</v>
      </c>
      <c r="AI73" s="35">
        <f t="shared" si="70"/>
        <v>0</v>
      </c>
      <c r="AJ73" s="35">
        <f t="shared" si="71"/>
        <v>0</v>
      </c>
      <c r="AK73" s="35">
        <f t="shared" si="72"/>
        <v>0</v>
      </c>
      <c r="AL73">
        <f t="shared" si="73"/>
        <v>0</v>
      </c>
      <c r="AM73">
        <f t="shared" si="74"/>
        <v>0</v>
      </c>
      <c r="AN73">
        <f t="shared" si="75"/>
        <v>0</v>
      </c>
      <c r="AO73">
        <f t="shared" si="76"/>
        <v>0</v>
      </c>
      <c r="AP73">
        <f t="shared" si="77"/>
        <v>0</v>
      </c>
      <c r="AQ73">
        <f t="shared" si="78"/>
        <v>0</v>
      </c>
      <c r="AR73">
        <f t="shared" si="79"/>
        <v>0</v>
      </c>
      <c r="AS73">
        <f t="shared" si="80"/>
        <v>0</v>
      </c>
      <c r="AT73">
        <f t="shared" si="81"/>
        <v>0</v>
      </c>
      <c r="AU73">
        <f t="shared" si="82"/>
        <v>1</v>
      </c>
      <c r="AV73">
        <v>0</v>
      </c>
      <c r="AW73">
        <v>0</v>
      </c>
      <c r="AX73">
        <f t="shared" si="83"/>
        <v>0</v>
      </c>
      <c r="AY73">
        <f t="shared" si="84"/>
        <v>0</v>
      </c>
      <c r="AZ73">
        <f t="shared" si="85"/>
        <v>0</v>
      </c>
      <c r="BA73">
        <f t="shared" si="86"/>
        <v>0</v>
      </c>
      <c r="BB73">
        <f t="shared" si="87"/>
        <v>0</v>
      </c>
      <c r="BC73">
        <f t="shared" si="88"/>
        <v>0</v>
      </c>
      <c r="BD73">
        <f t="shared" si="89"/>
        <v>0</v>
      </c>
      <c r="BE73">
        <f t="shared" si="90"/>
        <v>0</v>
      </c>
      <c r="BF73">
        <f t="shared" si="91"/>
        <v>0</v>
      </c>
      <c r="BG73">
        <f t="shared" si="92"/>
        <v>0</v>
      </c>
      <c r="BH73">
        <f t="shared" si="93"/>
        <v>0</v>
      </c>
      <c r="BI73">
        <f t="shared" si="94"/>
        <v>0</v>
      </c>
      <c r="BJ73">
        <v>0</v>
      </c>
      <c r="BK73" t="str">
        <f t="shared" si="106"/>
        <v>Standard Win</v>
      </c>
      <c r="BL73" s="40" t="str">
        <f t="shared" si="107"/>
        <v>Free Plays A</v>
      </c>
      <c r="BM73">
        <f>(D73/Frequency!$N$7-Summary!$C$7)^2*E73</f>
        <v>233.28000000000003</v>
      </c>
      <c r="BN73">
        <f t="shared" si="95"/>
        <v>150</v>
      </c>
      <c r="BO73">
        <f t="shared" si="96"/>
        <v>0</v>
      </c>
      <c r="BP73">
        <f t="shared" si="97"/>
        <v>0</v>
      </c>
      <c r="BQ73">
        <f t="shared" si="98"/>
        <v>50</v>
      </c>
      <c r="BR73">
        <f t="shared" si="99"/>
        <v>150</v>
      </c>
      <c r="BS73">
        <f t="shared" si="100"/>
        <v>0</v>
      </c>
      <c r="BT73">
        <f t="shared" si="101"/>
        <v>0</v>
      </c>
      <c r="BU73">
        <f t="shared" si="102"/>
        <v>0</v>
      </c>
      <c r="BV73">
        <f t="shared" si="103"/>
        <v>0</v>
      </c>
      <c r="BW73">
        <f t="shared" si="104"/>
        <v>0</v>
      </c>
      <c r="BX73">
        <f t="shared" si="105"/>
        <v>0</v>
      </c>
    </row>
    <row r="74" spans="2:76">
      <c r="B74" s="19">
        <f>Tiers!B75</f>
        <v>72</v>
      </c>
      <c r="C74" s="118" t="str">
        <f>Tiers!X75</f>
        <v>freeplayA-18|||||||||</v>
      </c>
      <c r="D74" s="21">
        <f>Tiers!C75</f>
        <v>1</v>
      </c>
      <c r="E74" s="22">
        <f>Frequency!E76</f>
        <v>50</v>
      </c>
      <c r="F74" s="22">
        <f t="shared" si="55"/>
        <v>50</v>
      </c>
      <c r="G74" s="20">
        <f>IF(AND(D74/Summary!$C$4&gt;0, D74/Summary!$C$4&lt;5),E74,0) * D74</f>
        <v>50</v>
      </c>
      <c r="H74" s="20">
        <f>IF(AND(D74/Summary!$C$4&gt;= 5, D74/Summary!$C$4&lt;10),E74,0) * D74</f>
        <v>0</v>
      </c>
      <c r="I74" s="20">
        <f>IF(AND(D74/Summary!$C$4&gt;=10, D74/Summary!$C$4&lt;25),E74,0)*D74</f>
        <v>0</v>
      </c>
      <c r="J74" s="20">
        <f>IF(D74/Summary!$C$4&gt;=25,E74,0)*D74</f>
        <v>0</v>
      </c>
      <c r="K74" s="35">
        <f>IF(AND(D74/Frequency!$N$7&gt;0, D74/Frequency!$N$7&lt;1),E74,0)</f>
        <v>0</v>
      </c>
      <c r="L74" s="35">
        <f t="shared" si="56"/>
        <v>0</v>
      </c>
      <c r="M74" s="35">
        <f>IF(D74/Frequency!$N$7=1,1,0)*E74</f>
        <v>50</v>
      </c>
      <c r="N74" s="35">
        <f t="shared" si="57"/>
        <v>50</v>
      </c>
      <c r="O74" s="35">
        <f>IF(AND(D74/Frequency!$N$7&gt;1, D74/Frequency!$N$7&lt;=2),1,0)*E74</f>
        <v>0</v>
      </c>
      <c r="P74" s="35">
        <f t="shared" si="58"/>
        <v>0</v>
      </c>
      <c r="Q74" s="35">
        <f>IF(AND(D74/Frequency!$N$7&gt;2,D74/Frequency!$N$7&lt;=5),1,0)*E74</f>
        <v>0</v>
      </c>
      <c r="R74" s="35">
        <f t="shared" si="59"/>
        <v>0</v>
      </c>
      <c r="S74" s="35">
        <f>IF(AND(D74/Frequency!$N$7&gt;5, D74/Frequency!$N$7&lt;=10),1,0)*E74</f>
        <v>0</v>
      </c>
      <c r="T74" s="35">
        <f t="shared" si="60"/>
        <v>0</v>
      </c>
      <c r="U74" s="35">
        <f>IF(AND(D74/Frequency!$N$7&gt;10, D74/Frequency!$N$7&lt;=20),1,0)*E74</f>
        <v>0</v>
      </c>
      <c r="V74" s="35">
        <f t="shared" si="61"/>
        <v>0</v>
      </c>
      <c r="W74" s="35">
        <f>IF(AND(D74/Frequency!$N$7&gt;20, D74/Frequency!$N$7&lt;=30),1,0)*E74</f>
        <v>0</v>
      </c>
      <c r="X74" s="35">
        <f t="shared" si="62"/>
        <v>0</v>
      </c>
      <c r="Y74" s="35">
        <f>IF(AND(D74/Frequency!$N$7&gt;30, D74/Frequency!$N$7&lt;=50),1,0)*E74</f>
        <v>0</v>
      </c>
      <c r="Z74" s="35">
        <f t="shared" si="63"/>
        <v>0</v>
      </c>
      <c r="AA74" s="35">
        <f>IF(AND(D74/Frequency!$N$7&gt;50, D74/Frequency!$N$7&lt;=100),1,0)*E74</f>
        <v>0</v>
      </c>
      <c r="AB74" s="35">
        <f t="shared" si="64"/>
        <v>0</v>
      </c>
      <c r="AC74" s="35">
        <f>IF(D74/Frequency!$N$7&gt;100,1,0)*E74</f>
        <v>0</v>
      </c>
      <c r="AD74" s="35">
        <f t="shared" si="65"/>
        <v>0</v>
      </c>
      <c r="AE74" s="22">
        <f t="shared" si="66"/>
        <v>50</v>
      </c>
      <c r="AF74" s="22">
        <f t="shared" si="67"/>
        <v>0</v>
      </c>
      <c r="AG74" s="22">
        <f t="shared" si="68"/>
        <v>0</v>
      </c>
      <c r="AH74" s="22">
        <f t="shared" si="69"/>
        <v>0</v>
      </c>
      <c r="AI74" s="35">
        <f t="shared" si="70"/>
        <v>0</v>
      </c>
      <c r="AJ74" s="35">
        <f t="shared" si="71"/>
        <v>0</v>
      </c>
      <c r="AK74" s="35">
        <f t="shared" si="72"/>
        <v>0</v>
      </c>
      <c r="AL74">
        <f t="shared" si="73"/>
        <v>0</v>
      </c>
      <c r="AM74">
        <f t="shared" si="74"/>
        <v>0</v>
      </c>
      <c r="AN74">
        <f t="shared" si="75"/>
        <v>0</v>
      </c>
      <c r="AO74">
        <f t="shared" si="76"/>
        <v>0</v>
      </c>
      <c r="AP74">
        <f t="shared" si="77"/>
        <v>0</v>
      </c>
      <c r="AQ74">
        <f t="shared" si="78"/>
        <v>0</v>
      </c>
      <c r="AR74">
        <f t="shared" si="79"/>
        <v>0</v>
      </c>
      <c r="AS74">
        <f t="shared" si="80"/>
        <v>0</v>
      </c>
      <c r="AT74">
        <f t="shared" si="81"/>
        <v>0</v>
      </c>
      <c r="AU74">
        <f t="shared" si="82"/>
        <v>1</v>
      </c>
      <c r="AV74">
        <v>0</v>
      </c>
      <c r="AW74">
        <v>0</v>
      </c>
      <c r="AX74">
        <f t="shared" si="83"/>
        <v>0</v>
      </c>
      <c r="AY74">
        <f t="shared" si="84"/>
        <v>0</v>
      </c>
      <c r="AZ74">
        <f t="shared" si="85"/>
        <v>0</v>
      </c>
      <c r="BA74">
        <f t="shared" si="86"/>
        <v>0</v>
      </c>
      <c r="BB74">
        <f t="shared" si="87"/>
        <v>0</v>
      </c>
      <c r="BC74">
        <f t="shared" si="88"/>
        <v>0</v>
      </c>
      <c r="BD74">
        <f t="shared" si="89"/>
        <v>0</v>
      </c>
      <c r="BE74">
        <f t="shared" si="90"/>
        <v>0</v>
      </c>
      <c r="BF74">
        <f t="shared" si="91"/>
        <v>0</v>
      </c>
      <c r="BG74">
        <f t="shared" si="92"/>
        <v>0</v>
      </c>
      <c r="BH74">
        <f t="shared" si="93"/>
        <v>0</v>
      </c>
      <c r="BI74">
        <f t="shared" si="94"/>
        <v>0</v>
      </c>
      <c r="BJ74">
        <v>0</v>
      </c>
      <c r="BK74" t="str">
        <f t="shared" si="106"/>
        <v>Stake Back</v>
      </c>
      <c r="BL74" s="40" t="str">
        <f t="shared" si="107"/>
        <v>Free Plays A</v>
      </c>
      <c r="BM74">
        <f>(D74/Frequency!$N$7-Summary!$C$7)^2*E74</f>
        <v>1.2800000000000007</v>
      </c>
      <c r="BN74">
        <f t="shared" si="95"/>
        <v>50</v>
      </c>
      <c r="BO74">
        <f t="shared" si="96"/>
        <v>0</v>
      </c>
      <c r="BP74">
        <f t="shared" si="97"/>
        <v>0</v>
      </c>
      <c r="BQ74">
        <f t="shared" si="98"/>
        <v>50</v>
      </c>
      <c r="BR74">
        <f t="shared" si="99"/>
        <v>50</v>
      </c>
      <c r="BS74">
        <f t="shared" si="100"/>
        <v>0</v>
      </c>
      <c r="BT74">
        <f t="shared" si="101"/>
        <v>0</v>
      </c>
      <c r="BU74">
        <f t="shared" si="102"/>
        <v>0</v>
      </c>
      <c r="BV74">
        <f t="shared" si="103"/>
        <v>0</v>
      </c>
      <c r="BW74">
        <f t="shared" si="104"/>
        <v>0</v>
      </c>
      <c r="BX74">
        <f t="shared" si="105"/>
        <v>0</v>
      </c>
    </row>
    <row r="75" spans="2:76">
      <c r="B75" s="19">
        <f>Tiers!B76</f>
        <v>73</v>
      </c>
      <c r="C75" s="118" t="str">
        <f>Tiers!X76</f>
        <v>freeplayA-19|||||||||</v>
      </c>
      <c r="D75" s="21">
        <f>Tiers!C76</f>
        <v>2</v>
      </c>
      <c r="E75" s="22">
        <f>Frequency!E77</f>
        <v>50</v>
      </c>
      <c r="F75" s="22">
        <f t="shared" si="55"/>
        <v>100</v>
      </c>
      <c r="G75" s="20">
        <f>IF(AND(D75/Summary!$C$4&gt;0, D75/Summary!$C$4&lt;5),E75,0) * D75</f>
        <v>100</v>
      </c>
      <c r="H75" s="20">
        <f>IF(AND(D75/Summary!$C$4&gt;= 5, D75/Summary!$C$4&lt;10),E75,0) * D75</f>
        <v>0</v>
      </c>
      <c r="I75" s="20">
        <f>IF(AND(D75/Summary!$C$4&gt;=10, D75/Summary!$C$4&lt;25),E75,0)*D75</f>
        <v>0</v>
      </c>
      <c r="J75" s="20">
        <f>IF(D75/Summary!$C$4&gt;=25,E75,0)*D75</f>
        <v>0</v>
      </c>
      <c r="K75" s="35">
        <f>IF(AND(D75/Frequency!$N$7&gt;0, D75/Frequency!$N$7&lt;1),E75,0)</f>
        <v>0</v>
      </c>
      <c r="L75" s="35">
        <f t="shared" si="56"/>
        <v>0</v>
      </c>
      <c r="M75" s="35">
        <f>IF(D75/Frequency!$N$7=1,1,0)*E75</f>
        <v>0</v>
      </c>
      <c r="N75" s="35">
        <f t="shared" si="57"/>
        <v>0</v>
      </c>
      <c r="O75" s="35">
        <f>IF(AND(D75/Frequency!$N$7&gt;1, D75/Frequency!$N$7&lt;=2),1,0)*E75</f>
        <v>50</v>
      </c>
      <c r="P75" s="35">
        <f t="shared" si="58"/>
        <v>100</v>
      </c>
      <c r="Q75" s="35">
        <f>IF(AND(D75/Frequency!$N$7&gt;2,D75/Frequency!$N$7&lt;=5),1,0)*E75</f>
        <v>0</v>
      </c>
      <c r="R75" s="35">
        <f t="shared" si="59"/>
        <v>0</v>
      </c>
      <c r="S75" s="35">
        <f>IF(AND(D75/Frequency!$N$7&gt;5, D75/Frequency!$N$7&lt;=10),1,0)*E75</f>
        <v>0</v>
      </c>
      <c r="T75" s="35">
        <f t="shared" si="60"/>
        <v>0</v>
      </c>
      <c r="U75" s="35">
        <f>IF(AND(D75/Frequency!$N$7&gt;10, D75/Frequency!$N$7&lt;=20),1,0)*E75</f>
        <v>0</v>
      </c>
      <c r="V75" s="35">
        <f t="shared" si="61"/>
        <v>0</v>
      </c>
      <c r="W75" s="35">
        <f>IF(AND(D75/Frequency!$N$7&gt;20, D75/Frequency!$N$7&lt;=30),1,0)*E75</f>
        <v>0</v>
      </c>
      <c r="X75" s="35">
        <f t="shared" si="62"/>
        <v>0</v>
      </c>
      <c r="Y75" s="35">
        <f>IF(AND(D75/Frequency!$N$7&gt;30, D75/Frequency!$N$7&lt;=50),1,0)*E75</f>
        <v>0</v>
      </c>
      <c r="Z75" s="35">
        <f t="shared" si="63"/>
        <v>0</v>
      </c>
      <c r="AA75" s="35">
        <f>IF(AND(D75/Frequency!$N$7&gt;50, D75/Frequency!$N$7&lt;=100),1,0)*E75</f>
        <v>0</v>
      </c>
      <c r="AB75" s="35">
        <f t="shared" si="64"/>
        <v>0</v>
      </c>
      <c r="AC75" s="35">
        <f>IF(D75/Frequency!$N$7&gt;100,1,0)*E75</f>
        <v>0</v>
      </c>
      <c r="AD75" s="35">
        <f t="shared" si="65"/>
        <v>0</v>
      </c>
      <c r="AE75" s="22">
        <f t="shared" si="66"/>
        <v>50</v>
      </c>
      <c r="AF75" s="22">
        <f t="shared" si="67"/>
        <v>0</v>
      </c>
      <c r="AG75" s="22">
        <f t="shared" si="68"/>
        <v>0</v>
      </c>
      <c r="AH75" s="22">
        <f t="shared" si="69"/>
        <v>0</v>
      </c>
      <c r="AI75" s="35">
        <f t="shared" si="70"/>
        <v>0</v>
      </c>
      <c r="AJ75" s="35">
        <f t="shared" si="71"/>
        <v>0</v>
      </c>
      <c r="AK75" s="35">
        <f t="shared" si="72"/>
        <v>0</v>
      </c>
      <c r="AL75">
        <f t="shared" si="73"/>
        <v>0</v>
      </c>
      <c r="AM75">
        <f t="shared" si="74"/>
        <v>0</v>
      </c>
      <c r="AN75">
        <f t="shared" si="75"/>
        <v>0</v>
      </c>
      <c r="AO75">
        <f t="shared" si="76"/>
        <v>0</v>
      </c>
      <c r="AP75">
        <f t="shared" si="77"/>
        <v>0</v>
      </c>
      <c r="AQ75">
        <f t="shared" si="78"/>
        <v>0</v>
      </c>
      <c r="AR75">
        <f t="shared" si="79"/>
        <v>0</v>
      </c>
      <c r="AS75">
        <f t="shared" si="80"/>
        <v>0</v>
      </c>
      <c r="AT75">
        <f t="shared" si="81"/>
        <v>0</v>
      </c>
      <c r="AU75">
        <f t="shared" si="82"/>
        <v>1</v>
      </c>
      <c r="AV75">
        <v>0</v>
      </c>
      <c r="AW75">
        <v>0</v>
      </c>
      <c r="AX75">
        <f t="shared" si="83"/>
        <v>0</v>
      </c>
      <c r="AY75">
        <f t="shared" si="84"/>
        <v>0</v>
      </c>
      <c r="AZ75">
        <f t="shared" si="85"/>
        <v>0</v>
      </c>
      <c r="BA75">
        <f t="shared" si="86"/>
        <v>0</v>
      </c>
      <c r="BB75">
        <f t="shared" si="87"/>
        <v>0</v>
      </c>
      <c r="BC75">
        <f t="shared" si="88"/>
        <v>0</v>
      </c>
      <c r="BD75">
        <f t="shared" si="89"/>
        <v>0</v>
      </c>
      <c r="BE75">
        <f t="shared" si="90"/>
        <v>0</v>
      </c>
      <c r="BF75">
        <f t="shared" si="91"/>
        <v>0</v>
      </c>
      <c r="BG75">
        <f t="shared" si="92"/>
        <v>0</v>
      </c>
      <c r="BH75">
        <f t="shared" si="93"/>
        <v>0</v>
      </c>
      <c r="BI75">
        <f t="shared" si="94"/>
        <v>0</v>
      </c>
      <c r="BJ75">
        <v>0</v>
      </c>
      <c r="BK75" t="str">
        <f t="shared" si="106"/>
        <v>Standard Win</v>
      </c>
      <c r="BL75" s="40" t="str">
        <f t="shared" si="107"/>
        <v>Free Plays A</v>
      </c>
      <c r="BM75">
        <f>(D75/Frequency!$N$7-Summary!$C$7)^2*E75</f>
        <v>67.280000000000015</v>
      </c>
      <c r="BN75">
        <f t="shared" si="95"/>
        <v>100</v>
      </c>
      <c r="BO75">
        <f t="shared" si="96"/>
        <v>0</v>
      </c>
      <c r="BP75">
        <f t="shared" si="97"/>
        <v>0</v>
      </c>
      <c r="BQ75">
        <f t="shared" si="98"/>
        <v>50</v>
      </c>
      <c r="BR75">
        <f t="shared" si="99"/>
        <v>100</v>
      </c>
      <c r="BS75">
        <f t="shared" si="100"/>
        <v>0</v>
      </c>
      <c r="BT75">
        <f t="shared" si="101"/>
        <v>0</v>
      </c>
      <c r="BU75">
        <f t="shared" si="102"/>
        <v>0</v>
      </c>
      <c r="BV75">
        <f t="shared" si="103"/>
        <v>0</v>
      </c>
      <c r="BW75">
        <f t="shared" si="104"/>
        <v>0</v>
      </c>
      <c r="BX75">
        <f t="shared" si="105"/>
        <v>0</v>
      </c>
    </row>
    <row r="76" spans="2:76">
      <c r="B76" s="19">
        <f>Tiers!B77</f>
        <v>74</v>
      </c>
      <c r="C76" s="118" t="str">
        <f>Tiers!X77</f>
        <v>freeplayA-20|||||||||</v>
      </c>
      <c r="D76" s="21">
        <f>Tiers!C77</f>
        <v>10</v>
      </c>
      <c r="E76" s="22">
        <f>Frequency!E78</f>
        <v>50</v>
      </c>
      <c r="F76" s="22">
        <f t="shared" si="55"/>
        <v>500</v>
      </c>
      <c r="G76" s="20">
        <f>IF(AND(D76/Summary!$C$4&gt;0, D76/Summary!$C$4&lt;5),E76,0) * D76</f>
        <v>0</v>
      </c>
      <c r="H76" s="20">
        <f>IF(AND(D76/Summary!$C$4&gt;= 5, D76/Summary!$C$4&lt;10),E76,0) * D76</f>
        <v>0</v>
      </c>
      <c r="I76" s="20">
        <f>IF(AND(D76/Summary!$C$4&gt;=10, D76/Summary!$C$4&lt;25),E76,0)*D76</f>
        <v>500</v>
      </c>
      <c r="J76" s="20">
        <f>IF(D76/Summary!$C$4&gt;=25,E76,0)*D76</f>
        <v>0</v>
      </c>
      <c r="K76" s="35">
        <f>IF(AND(D76/Frequency!$N$7&gt;0, D76/Frequency!$N$7&lt;1),E76,0)</f>
        <v>0</v>
      </c>
      <c r="L76" s="35">
        <f t="shared" si="56"/>
        <v>0</v>
      </c>
      <c r="M76" s="35">
        <f>IF(D76/Frequency!$N$7=1,1,0)*E76</f>
        <v>0</v>
      </c>
      <c r="N76" s="35">
        <f t="shared" si="57"/>
        <v>0</v>
      </c>
      <c r="O76" s="35">
        <f>IF(AND(D76/Frequency!$N$7&gt;1, D76/Frequency!$N$7&lt;=2),1,0)*E76</f>
        <v>0</v>
      </c>
      <c r="P76" s="35">
        <f t="shared" si="58"/>
        <v>0</v>
      </c>
      <c r="Q76" s="35">
        <f>IF(AND(D76/Frequency!$N$7&gt;2,D76/Frequency!$N$7&lt;=5),1,0)*E76</f>
        <v>0</v>
      </c>
      <c r="R76" s="35">
        <f t="shared" si="59"/>
        <v>0</v>
      </c>
      <c r="S76" s="35">
        <f>IF(AND(D76/Frequency!$N$7&gt;5, D76/Frequency!$N$7&lt;=10),1,0)*E76</f>
        <v>50</v>
      </c>
      <c r="T76" s="35">
        <f t="shared" si="60"/>
        <v>500</v>
      </c>
      <c r="U76" s="35">
        <f>IF(AND(D76/Frequency!$N$7&gt;10, D76/Frequency!$N$7&lt;=20),1,0)*E76</f>
        <v>0</v>
      </c>
      <c r="V76" s="35">
        <f t="shared" si="61"/>
        <v>0</v>
      </c>
      <c r="W76" s="35">
        <f>IF(AND(D76/Frequency!$N$7&gt;20, D76/Frequency!$N$7&lt;=30),1,0)*E76</f>
        <v>0</v>
      </c>
      <c r="X76" s="35">
        <f t="shared" si="62"/>
        <v>0</v>
      </c>
      <c r="Y76" s="35">
        <f>IF(AND(D76/Frequency!$N$7&gt;30, D76/Frequency!$N$7&lt;=50),1,0)*E76</f>
        <v>0</v>
      </c>
      <c r="Z76" s="35">
        <f t="shared" si="63"/>
        <v>0</v>
      </c>
      <c r="AA76" s="35">
        <f>IF(AND(D76/Frequency!$N$7&gt;50, D76/Frequency!$N$7&lt;=100),1,0)*E76</f>
        <v>0</v>
      </c>
      <c r="AB76" s="35">
        <f t="shared" si="64"/>
        <v>0</v>
      </c>
      <c r="AC76" s="35">
        <f>IF(D76/Frequency!$N$7&gt;100,1,0)*E76</f>
        <v>0</v>
      </c>
      <c r="AD76" s="35">
        <f t="shared" si="65"/>
        <v>0</v>
      </c>
      <c r="AE76" s="22">
        <f t="shared" si="66"/>
        <v>50</v>
      </c>
      <c r="AF76" s="22">
        <f t="shared" si="67"/>
        <v>0</v>
      </c>
      <c r="AG76" s="22">
        <f t="shared" si="68"/>
        <v>0</v>
      </c>
      <c r="AH76" s="22">
        <f t="shared" si="69"/>
        <v>0</v>
      </c>
      <c r="AI76" s="35">
        <f t="shared" si="70"/>
        <v>0</v>
      </c>
      <c r="AJ76" s="35">
        <f t="shared" si="71"/>
        <v>0</v>
      </c>
      <c r="AK76" s="35">
        <f t="shared" si="72"/>
        <v>0</v>
      </c>
      <c r="AL76">
        <f t="shared" si="73"/>
        <v>0</v>
      </c>
      <c r="AM76">
        <f t="shared" si="74"/>
        <v>0</v>
      </c>
      <c r="AN76">
        <f t="shared" si="75"/>
        <v>0</v>
      </c>
      <c r="AO76">
        <f t="shared" si="76"/>
        <v>0</v>
      </c>
      <c r="AP76">
        <f t="shared" si="77"/>
        <v>0</v>
      </c>
      <c r="AQ76">
        <f t="shared" si="78"/>
        <v>0</v>
      </c>
      <c r="AR76">
        <f t="shared" si="79"/>
        <v>0</v>
      </c>
      <c r="AS76">
        <f t="shared" si="80"/>
        <v>0</v>
      </c>
      <c r="AT76">
        <f t="shared" si="81"/>
        <v>0</v>
      </c>
      <c r="AU76">
        <f t="shared" si="82"/>
        <v>1</v>
      </c>
      <c r="AV76">
        <v>0</v>
      </c>
      <c r="AW76">
        <v>0</v>
      </c>
      <c r="AX76">
        <f t="shared" si="83"/>
        <v>0</v>
      </c>
      <c r="AY76">
        <f t="shared" si="84"/>
        <v>0</v>
      </c>
      <c r="AZ76">
        <f t="shared" si="85"/>
        <v>0</v>
      </c>
      <c r="BA76">
        <f t="shared" si="86"/>
        <v>0</v>
      </c>
      <c r="BB76">
        <f t="shared" si="87"/>
        <v>0</v>
      </c>
      <c r="BC76">
        <f t="shared" si="88"/>
        <v>0</v>
      </c>
      <c r="BD76">
        <f t="shared" si="89"/>
        <v>0</v>
      </c>
      <c r="BE76">
        <f t="shared" si="90"/>
        <v>0</v>
      </c>
      <c r="BF76">
        <f t="shared" si="91"/>
        <v>0</v>
      </c>
      <c r="BG76">
        <f t="shared" si="92"/>
        <v>0</v>
      </c>
      <c r="BH76">
        <f t="shared" si="93"/>
        <v>0</v>
      </c>
      <c r="BI76">
        <f t="shared" si="94"/>
        <v>0</v>
      </c>
      <c r="BJ76">
        <v>0</v>
      </c>
      <c r="BK76" t="str">
        <f t="shared" si="106"/>
        <v>Big Win</v>
      </c>
      <c r="BL76" s="40" t="str">
        <f t="shared" si="107"/>
        <v>Free Plays A</v>
      </c>
      <c r="BM76">
        <f>(D76/Frequency!$N$7-Summary!$C$7)^2*E76</f>
        <v>4195.2800000000007</v>
      </c>
      <c r="BN76">
        <f t="shared" si="95"/>
        <v>500</v>
      </c>
      <c r="BO76">
        <f t="shared" si="96"/>
        <v>0</v>
      </c>
      <c r="BP76">
        <f t="shared" si="97"/>
        <v>0</v>
      </c>
      <c r="BQ76">
        <f t="shared" si="98"/>
        <v>50</v>
      </c>
      <c r="BR76">
        <f t="shared" si="99"/>
        <v>500</v>
      </c>
      <c r="BS76">
        <f t="shared" si="100"/>
        <v>0</v>
      </c>
      <c r="BT76">
        <f t="shared" si="101"/>
        <v>0</v>
      </c>
      <c r="BU76">
        <f t="shared" si="102"/>
        <v>0</v>
      </c>
      <c r="BV76">
        <f t="shared" si="103"/>
        <v>0</v>
      </c>
      <c r="BW76">
        <f t="shared" si="104"/>
        <v>0</v>
      </c>
      <c r="BX76">
        <f t="shared" si="105"/>
        <v>0</v>
      </c>
    </row>
    <row r="77" spans="2:76">
      <c r="B77" s="19">
        <f>Tiers!B78</f>
        <v>75</v>
      </c>
      <c r="C77" s="118" t="str">
        <f>Tiers!X78</f>
        <v>freeplayA-21|||||||||</v>
      </c>
      <c r="D77" s="21">
        <f>Tiers!C78</f>
        <v>20</v>
      </c>
      <c r="E77" s="22">
        <f>Frequency!E79</f>
        <v>25</v>
      </c>
      <c r="F77" s="22">
        <f t="shared" si="55"/>
        <v>500</v>
      </c>
      <c r="G77" s="20">
        <f>IF(AND(D77/Summary!$C$4&gt;0, D77/Summary!$C$4&lt;5),E77,0) * D77</f>
        <v>0</v>
      </c>
      <c r="H77" s="20">
        <f>IF(AND(D77/Summary!$C$4&gt;= 5, D77/Summary!$C$4&lt;10),E77,0) * D77</f>
        <v>0</v>
      </c>
      <c r="I77" s="20">
        <f>IF(AND(D77/Summary!$C$4&gt;=10, D77/Summary!$C$4&lt;25),E77,0)*D77</f>
        <v>500</v>
      </c>
      <c r="J77" s="20">
        <f>IF(D77/Summary!$C$4&gt;=25,E77,0)*D77</f>
        <v>0</v>
      </c>
      <c r="K77" s="35">
        <f>IF(AND(D77/Frequency!$N$7&gt;0, D77/Frequency!$N$7&lt;1),E77,0)</f>
        <v>0</v>
      </c>
      <c r="L77" s="35">
        <f t="shared" si="56"/>
        <v>0</v>
      </c>
      <c r="M77" s="35">
        <f>IF(D77/Frequency!$N$7=1,1,0)*E77</f>
        <v>0</v>
      </c>
      <c r="N77" s="35">
        <f t="shared" si="57"/>
        <v>0</v>
      </c>
      <c r="O77" s="35">
        <f>IF(AND(D77/Frequency!$N$7&gt;1, D77/Frequency!$N$7&lt;=2),1,0)*E77</f>
        <v>0</v>
      </c>
      <c r="P77" s="35">
        <f t="shared" si="58"/>
        <v>0</v>
      </c>
      <c r="Q77" s="35">
        <f>IF(AND(D77/Frequency!$N$7&gt;2,D77/Frequency!$N$7&lt;=5),1,0)*E77</f>
        <v>0</v>
      </c>
      <c r="R77" s="35">
        <f t="shared" si="59"/>
        <v>0</v>
      </c>
      <c r="S77" s="35">
        <f>IF(AND(D77/Frequency!$N$7&gt;5, D77/Frequency!$N$7&lt;=10),1,0)*E77</f>
        <v>0</v>
      </c>
      <c r="T77" s="35">
        <f t="shared" si="60"/>
        <v>0</v>
      </c>
      <c r="U77" s="35">
        <f>IF(AND(D77/Frequency!$N$7&gt;10, D77/Frequency!$N$7&lt;=20),1,0)*E77</f>
        <v>25</v>
      </c>
      <c r="V77" s="35">
        <f t="shared" si="61"/>
        <v>500</v>
      </c>
      <c r="W77" s="35">
        <f>IF(AND(D77/Frequency!$N$7&gt;20, D77/Frequency!$N$7&lt;=30),1,0)*E77</f>
        <v>0</v>
      </c>
      <c r="X77" s="35">
        <f t="shared" si="62"/>
        <v>0</v>
      </c>
      <c r="Y77" s="35">
        <f>IF(AND(D77/Frequency!$N$7&gt;30, D77/Frequency!$N$7&lt;=50),1,0)*E77</f>
        <v>0</v>
      </c>
      <c r="Z77" s="35">
        <f t="shared" si="63"/>
        <v>0</v>
      </c>
      <c r="AA77" s="35">
        <f>IF(AND(D77/Frequency!$N$7&gt;50, D77/Frequency!$N$7&lt;=100),1,0)*E77</f>
        <v>0</v>
      </c>
      <c r="AB77" s="35">
        <f t="shared" si="64"/>
        <v>0</v>
      </c>
      <c r="AC77" s="35">
        <f>IF(D77/Frequency!$N$7&gt;100,1,0)*E77</f>
        <v>0</v>
      </c>
      <c r="AD77" s="35">
        <f t="shared" si="65"/>
        <v>0</v>
      </c>
      <c r="AE77" s="22">
        <f t="shared" si="66"/>
        <v>25</v>
      </c>
      <c r="AF77" s="22">
        <f t="shared" si="67"/>
        <v>0</v>
      </c>
      <c r="AG77" s="22">
        <f t="shared" si="68"/>
        <v>0</v>
      </c>
      <c r="AH77" s="22">
        <f t="shared" si="69"/>
        <v>0</v>
      </c>
      <c r="AI77" s="35">
        <f t="shared" si="70"/>
        <v>0</v>
      </c>
      <c r="AJ77" s="35">
        <f t="shared" si="71"/>
        <v>0</v>
      </c>
      <c r="AK77" s="35">
        <f t="shared" si="72"/>
        <v>0</v>
      </c>
      <c r="AL77">
        <f t="shared" si="73"/>
        <v>0</v>
      </c>
      <c r="AM77">
        <f t="shared" si="74"/>
        <v>0</v>
      </c>
      <c r="AN77">
        <f t="shared" si="75"/>
        <v>0</v>
      </c>
      <c r="AO77">
        <f t="shared" si="76"/>
        <v>0</v>
      </c>
      <c r="AP77">
        <f t="shared" si="77"/>
        <v>0</v>
      </c>
      <c r="AQ77">
        <f t="shared" si="78"/>
        <v>0</v>
      </c>
      <c r="AR77">
        <f t="shared" si="79"/>
        <v>0</v>
      </c>
      <c r="AS77">
        <f t="shared" si="80"/>
        <v>0</v>
      </c>
      <c r="AT77">
        <f t="shared" si="81"/>
        <v>0</v>
      </c>
      <c r="AU77">
        <f t="shared" si="82"/>
        <v>1</v>
      </c>
      <c r="AV77">
        <v>0</v>
      </c>
      <c r="AW77">
        <v>0</v>
      </c>
      <c r="AX77">
        <f t="shared" si="83"/>
        <v>0</v>
      </c>
      <c r="AY77">
        <f t="shared" si="84"/>
        <v>0</v>
      </c>
      <c r="AZ77">
        <f t="shared" si="85"/>
        <v>0</v>
      </c>
      <c r="BA77">
        <f t="shared" si="86"/>
        <v>0</v>
      </c>
      <c r="BB77">
        <f t="shared" si="87"/>
        <v>0</v>
      </c>
      <c r="BC77">
        <f t="shared" si="88"/>
        <v>0</v>
      </c>
      <c r="BD77">
        <f t="shared" si="89"/>
        <v>0</v>
      </c>
      <c r="BE77">
        <f t="shared" si="90"/>
        <v>0</v>
      </c>
      <c r="BF77">
        <f t="shared" si="91"/>
        <v>0</v>
      </c>
      <c r="BG77">
        <f t="shared" si="92"/>
        <v>0</v>
      </c>
      <c r="BH77">
        <f t="shared" si="93"/>
        <v>0</v>
      </c>
      <c r="BI77">
        <f t="shared" si="94"/>
        <v>0</v>
      </c>
      <c r="BJ77">
        <v>0</v>
      </c>
      <c r="BK77" t="str">
        <f t="shared" si="106"/>
        <v>Big Win</v>
      </c>
      <c r="BL77" s="40" t="str">
        <f t="shared" si="107"/>
        <v>Free Plays A</v>
      </c>
      <c r="BM77">
        <f>(D77/Frequency!$N$7-Summary!$C$7)^2*E77</f>
        <v>9177.64</v>
      </c>
      <c r="BN77">
        <f t="shared" si="95"/>
        <v>500</v>
      </c>
      <c r="BO77">
        <f t="shared" si="96"/>
        <v>0</v>
      </c>
      <c r="BP77">
        <f t="shared" si="97"/>
        <v>0</v>
      </c>
      <c r="BQ77">
        <f t="shared" si="98"/>
        <v>25</v>
      </c>
      <c r="BR77">
        <f t="shared" si="99"/>
        <v>500</v>
      </c>
      <c r="BS77">
        <f t="shared" si="100"/>
        <v>0</v>
      </c>
      <c r="BT77">
        <f t="shared" si="101"/>
        <v>0</v>
      </c>
      <c r="BU77">
        <f t="shared" si="102"/>
        <v>0</v>
      </c>
      <c r="BV77">
        <f t="shared" si="103"/>
        <v>0</v>
      </c>
      <c r="BW77">
        <f t="shared" si="104"/>
        <v>0</v>
      </c>
      <c r="BX77">
        <f t="shared" si="105"/>
        <v>0</v>
      </c>
    </row>
    <row r="78" spans="2:76">
      <c r="B78" s="19">
        <f>Tiers!B79</f>
        <v>76</v>
      </c>
      <c r="C78" s="118" t="str">
        <f>Tiers!X79</f>
        <v>freeplayA-22|||||||||</v>
      </c>
      <c r="D78" s="21">
        <f>Tiers!C79</f>
        <v>3.2</v>
      </c>
      <c r="E78" s="22">
        <f>Frequency!E80</f>
        <v>25</v>
      </c>
      <c r="F78" s="22">
        <f t="shared" si="55"/>
        <v>80</v>
      </c>
      <c r="G78" s="20">
        <f>IF(AND(D78/Summary!$C$4&gt;0, D78/Summary!$C$4&lt;5),E78,0) * D78</f>
        <v>80</v>
      </c>
      <c r="H78" s="20">
        <f>IF(AND(D78/Summary!$C$4&gt;= 5, D78/Summary!$C$4&lt;10),E78,0) * D78</f>
        <v>0</v>
      </c>
      <c r="I78" s="20">
        <f>IF(AND(D78/Summary!$C$4&gt;=10, D78/Summary!$C$4&lt;25),E78,0)*D78</f>
        <v>0</v>
      </c>
      <c r="J78" s="20">
        <f>IF(D78/Summary!$C$4&gt;=25,E78,0)*D78</f>
        <v>0</v>
      </c>
      <c r="K78" s="35">
        <f>IF(AND(D78/Frequency!$N$7&gt;0, D78/Frequency!$N$7&lt;1),E78,0)</f>
        <v>0</v>
      </c>
      <c r="L78" s="35">
        <f t="shared" si="56"/>
        <v>0</v>
      </c>
      <c r="M78" s="35">
        <f>IF(D78/Frequency!$N$7=1,1,0)*E78</f>
        <v>0</v>
      </c>
      <c r="N78" s="35">
        <f t="shared" si="57"/>
        <v>0</v>
      </c>
      <c r="O78" s="35">
        <f>IF(AND(D78/Frequency!$N$7&gt;1, D78/Frequency!$N$7&lt;=2),1,0)*E78</f>
        <v>0</v>
      </c>
      <c r="P78" s="35">
        <f t="shared" si="58"/>
        <v>0</v>
      </c>
      <c r="Q78" s="35">
        <f>IF(AND(D78/Frequency!$N$7&gt;2,D78/Frequency!$N$7&lt;=5),1,0)*E78</f>
        <v>25</v>
      </c>
      <c r="R78" s="35">
        <f t="shared" si="59"/>
        <v>80</v>
      </c>
      <c r="S78" s="35">
        <f>IF(AND(D78/Frequency!$N$7&gt;5, D78/Frequency!$N$7&lt;=10),1,0)*E78</f>
        <v>0</v>
      </c>
      <c r="T78" s="35">
        <f t="shared" si="60"/>
        <v>0</v>
      </c>
      <c r="U78" s="35">
        <f>IF(AND(D78/Frequency!$N$7&gt;10, D78/Frequency!$N$7&lt;=20),1,0)*E78</f>
        <v>0</v>
      </c>
      <c r="V78" s="35">
        <f t="shared" si="61"/>
        <v>0</v>
      </c>
      <c r="W78" s="35">
        <f>IF(AND(D78/Frequency!$N$7&gt;20, D78/Frequency!$N$7&lt;=30),1,0)*E78</f>
        <v>0</v>
      </c>
      <c r="X78" s="35">
        <f t="shared" si="62"/>
        <v>0</v>
      </c>
      <c r="Y78" s="35">
        <f>IF(AND(D78/Frequency!$N$7&gt;30, D78/Frequency!$N$7&lt;=50),1,0)*E78</f>
        <v>0</v>
      </c>
      <c r="Z78" s="35">
        <f t="shared" si="63"/>
        <v>0</v>
      </c>
      <c r="AA78" s="35">
        <f>IF(AND(D78/Frequency!$N$7&gt;50, D78/Frequency!$N$7&lt;=100),1,0)*E78</f>
        <v>0</v>
      </c>
      <c r="AB78" s="35">
        <f t="shared" si="64"/>
        <v>0</v>
      </c>
      <c r="AC78" s="35">
        <f>IF(D78/Frequency!$N$7&gt;100,1,0)*E78</f>
        <v>0</v>
      </c>
      <c r="AD78" s="35">
        <f t="shared" si="65"/>
        <v>0</v>
      </c>
      <c r="AE78" s="22">
        <f t="shared" si="66"/>
        <v>25</v>
      </c>
      <c r="AF78" s="22">
        <f t="shared" si="67"/>
        <v>0</v>
      </c>
      <c r="AG78" s="22">
        <f t="shared" si="68"/>
        <v>0</v>
      </c>
      <c r="AH78" s="22">
        <f t="shared" si="69"/>
        <v>0</v>
      </c>
      <c r="AI78" s="35">
        <f t="shared" si="70"/>
        <v>0</v>
      </c>
      <c r="AJ78" s="35">
        <f t="shared" si="71"/>
        <v>0</v>
      </c>
      <c r="AK78" s="35">
        <f t="shared" si="72"/>
        <v>0</v>
      </c>
      <c r="AL78">
        <f t="shared" si="73"/>
        <v>0</v>
      </c>
      <c r="AM78">
        <f t="shared" si="74"/>
        <v>0</v>
      </c>
      <c r="AN78">
        <f t="shared" si="75"/>
        <v>0</v>
      </c>
      <c r="AO78">
        <f t="shared" si="76"/>
        <v>0</v>
      </c>
      <c r="AP78">
        <f t="shared" si="77"/>
        <v>0</v>
      </c>
      <c r="AQ78">
        <f t="shared" si="78"/>
        <v>0</v>
      </c>
      <c r="AR78">
        <f t="shared" si="79"/>
        <v>0</v>
      </c>
      <c r="AS78">
        <f t="shared" si="80"/>
        <v>0</v>
      </c>
      <c r="AT78">
        <f t="shared" si="81"/>
        <v>0</v>
      </c>
      <c r="AU78">
        <f t="shared" si="82"/>
        <v>1</v>
      </c>
      <c r="AV78">
        <v>0</v>
      </c>
      <c r="AW78">
        <v>0</v>
      </c>
      <c r="AX78">
        <f t="shared" si="83"/>
        <v>0</v>
      </c>
      <c r="AY78">
        <f t="shared" si="84"/>
        <v>0</v>
      </c>
      <c r="AZ78">
        <f t="shared" si="85"/>
        <v>0</v>
      </c>
      <c r="BA78">
        <f t="shared" si="86"/>
        <v>0</v>
      </c>
      <c r="BB78">
        <f t="shared" si="87"/>
        <v>0</v>
      </c>
      <c r="BC78">
        <f t="shared" si="88"/>
        <v>0</v>
      </c>
      <c r="BD78">
        <f t="shared" si="89"/>
        <v>0</v>
      </c>
      <c r="BE78">
        <f t="shared" si="90"/>
        <v>0</v>
      </c>
      <c r="BF78">
        <f t="shared" si="91"/>
        <v>0</v>
      </c>
      <c r="BG78">
        <f t="shared" si="92"/>
        <v>0</v>
      </c>
      <c r="BH78">
        <f t="shared" si="93"/>
        <v>0</v>
      </c>
      <c r="BI78">
        <f t="shared" si="94"/>
        <v>0</v>
      </c>
      <c r="BJ78">
        <v>0</v>
      </c>
      <c r="BK78" t="str">
        <f t="shared" si="106"/>
        <v>Standard Win</v>
      </c>
      <c r="BL78" s="40" t="str">
        <f t="shared" si="107"/>
        <v>Free Plays A</v>
      </c>
      <c r="BM78">
        <f>(D78/Frequency!$N$7-Summary!$C$7)^2*E78</f>
        <v>139.24000000000004</v>
      </c>
      <c r="BN78">
        <f t="shared" si="95"/>
        <v>80</v>
      </c>
      <c r="BO78">
        <f t="shared" si="96"/>
        <v>0</v>
      </c>
      <c r="BP78">
        <f t="shared" si="97"/>
        <v>0</v>
      </c>
      <c r="BQ78">
        <f t="shared" si="98"/>
        <v>25</v>
      </c>
      <c r="BR78">
        <f t="shared" si="99"/>
        <v>80</v>
      </c>
      <c r="BS78">
        <f t="shared" si="100"/>
        <v>0</v>
      </c>
      <c r="BT78">
        <f t="shared" si="101"/>
        <v>0</v>
      </c>
      <c r="BU78">
        <f t="shared" si="102"/>
        <v>0</v>
      </c>
      <c r="BV78">
        <f t="shared" si="103"/>
        <v>0</v>
      </c>
      <c r="BW78">
        <f t="shared" si="104"/>
        <v>0</v>
      </c>
      <c r="BX78">
        <f t="shared" si="105"/>
        <v>0</v>
      </c>
    </row>
    <row r="79" spans="2:76">
      <c r="B79" s="19">
        <f>Tiers!B80</f>
        <v>77</v>
      </c>
      <c r="C79" s="118" t="str">
        <f>Tiers!X80</f>
        <v>freeplayA-23|||||||||</v>
      </c>
      <c r="D79" s="21">
        <f>Tiers!C80</f>
        <v>20</v>
      </c>
      <c r="E79" s="22">
        <f>Frequency!E81</f>
        <v>20</v>
      </c>
      <c r="F79" s="22">
        <f t="shared" si="55"/>
        <v>400</v>
      </c>
      <c r="G79" s="20">
        <f>IF(AND(D79/Summary!$C$4&gt;0, D79/Summary!$C$4&lt;5),E79,0) * D79</f>
        <v>0</v>
      </c>
      <c r="H79" s="20">
        <f>IF(AND(D79/Summary!$C$4&gt;= 5, D79/Summary!$C$4&lt;10),E79,0) * D79</f>
        <v>0</v>
      </c>
      <c r="I79" s="20">
        <f>IF(AND(D79/Summary!$C$4&gt;=10, D79/Summary!$C$4&lt;25),E79,0)*D79</f>
        <v>400</v>
      </c>
      <c r="J79" s="20">
        <f>IF(D79/Summary!$C$4&gt;=25,E79,0)*D79</f>
        <v>0</v>
      </c>
      <c r="K79" s="35">
        <f>IF(AND(D79/Frequency!$N$7&gt;0, D79/Frequency!$N$7&lt;1),E79,0)</f>
        <v>0</v>
      </c>
      <c r="L79" s="35">
        <f t="shared" si="56"/>
        <v>0</v>
      </c>
      <c r="M79" s="35">
        <f>IF(D79/Frequency!$N$7=1,1,0)*E79</f>
        <v>0</v>
      </c>
      <c r="N79" s="35">
        <f t="shared" si="57"/>
        <v>0</v>
      </c>
      <c r="O79" s="35">
        <f>IF(AND(D79/Frequency!$N$7&gt;1, D79/Frequency!$N$7&lt;=2),1,0)*E79</f>
        <v>0</v>
      </c>
      <c r="P79" s="35">
        <f t="shared" si="58"/>
        <v>0</v>
      </c>
      <c r="Q79" s="35">
        <f>IF(AND(D79/Frequency!$N$7&gt;2,D79/Frequency!$N$7&lt;=5),1,0)*E79</f>
        <v>0</v>
      </c>
      <c r="R79" s="35">
        <f t="shared" si="59"/>
        <v>0</v>
      </c>
      <c r="S79" s="35">
        <f>IF(AND(D79/Frequency!$N$7&gt;5, D79/Frequency!$N$7&lt;=10),1,0)*E79</f>
        <v>0</v>
      </c>
      <c r="T79" s="35">
        <f t="shared" si="60"/>
        <v>0</v>
      </c>
      <c r="U79" s="35">
        <f>IF(AND(D79/Frequency!$N$7&gt;10, D79/Frequency!$N$7&lt;=20),1,0)*E79</f>
        <v>20</v>
      </c>
      <c r="V79" s="35">
        <f t="shared" si="61"/>
        <v>400</v>
      </c>
      <c r="W79" s="35">
        <f>IF(AND(D79/Frequency!$N$7&gt;20, D79/Frequency!$N$7&lt;=30),1,0)*E79</f>
        <v>0</v>
      </c>
      <c r="X79" s="35">
        <f t="shared" si="62"/>
        <v>0</v>
      </c>
      <c r="Y79" s="35">
        <f>IF(AND(D79/Frequency!$N$7&gt;30, D79/Frequency!$N$7&lt;=50),1,0)*E79</f>
        <v>0</v>
      </c>
      <c r="Z79" s="35">
        <f t="shared" si="63"/>
        <v>0</v>
      </c>
      <c r="AA79" s="35">
        <f>IF(AND(D79/Frequency!$N$7&gt;50, D79/Frequency!$N$7&lt;=100),1,0)*E79</f>
        <v>0</v>
      </c>
      <c r="AB79" s="35">
        <f t="shared" si="64"/>
        <v>0</v>
      </c>
      <c r="AC79" s="35">
        <f>IF(D79/Frequency!$N$7&gt;100,1,0)*E79</f>
        <v>0</v>
      </c>
      <c r="AD79" s="35">
        <f t="shared" si="65"/>
        <v>0</v>
      </c>
      <c r="AE79" s="22">
        <f t="shared" si="66"/>
        <v>20</v>
      </c>
      <c r="AF79" s="22">
        <f t="shared" si="67"/>
        <v>0</v>
      </c>
      <c r="AG79" s="22">
        <f t="shared" si="68"/>
        <v>0</v>
      </c>
      <c r="AH79" s="22">
        <f t="shared" si="69"/>
        <v>0</v>
      </c>
      <c r="AI79" s="35">
        <f t="shared" si="70"/>
        <v>0</v>
      </c>
      <c r="AJ79" s="35">
        <f t="shared" si="71"/>
        <v>0</v>
      </c>
      <c r="AK79" s="35">
        <f t="shared" si="72"/>
        <v>0</v>
      </c>
      <c r="AL79">
        <f t="shared" si="73"/>
        <v>0</v>
      </c>
      <c r="AM79">
        <f t="shared" si="74"/>
        <v>0</v>
      </c>
      <c r="AN79">
        <f t="shared" si="75"/>
        <v>0</v>
      </c>
      <c r="AO79">
        <f t="shared" si="76"/>
        <v>0</v>
      </c>
      <c r="AP79">
        <f t="shared" si="77"/>
        <v>0</v>
      </c>
      <c r="AQ79">
        <f t="shared" si="78"/>
        <v>0</v>
      </c>
      <c r="AR79">
        <f t="shared" si="79"/>
        <v>0</v>
      </c>
      <c r="AS79">
        <f t="shared" si="80"/>
        <v>0</v>
      </c>
      <c r="AT79">
        <f t="shared" si="81"/>
        <v>0</v>
      </c>
      <c r="AU79">
        <f t="shared" si="82"/>
        <v>1</v>
      </c>
      <c r="AV79">
        <v>0</v>
      </c>
      <c r="AW79">
        <v>0</v>
      </c>
      <c r="AX79">
        <f t="shared" si="83"/>
        <v>0</v>
      </c>
      <c r="AY79">
        <f t="shared" si="84"/>
        <v>0</v>
      </c>
      <c r="AZ79">
        <f t="shared" si="85"/>
        <v>0</v>
      </c>
      <c r="BA79">
        <f t="shared" si="86"/>
        <v>0</v>
      </c>
      <c r="BB79">
        <f t="shared" si="87"/>
        <v>0</v>
      </c>
      <c r="BC79">
        <f t="shared" si="88"/>
        <v>0</v>
      </c>
      <c r="BD79">
        <f t="shared" si="89"/>
        <v>0</v>
      </c>
      <c r="BE79">
        <f t="shared" si="90"/>
        <v>0</v>
      </c>
      <c r="BF79">
        <f t="shared" si="91"/>
        <v>0</v>
      </c>
      <c r="BG79">
        <f t="shared" si="92"/>
        <v>0</v>
      </c>
      <c r="BH79">
        <f t="shared" si="93"/>
        <v>0</v>
      </c>
      <c r="BI79">
        <f t="shared" si="94"/>
        <v>0</v>
      </c>
      <c r="BJ79">
        <v>0</v>
      </c>
      <c r="BK79" t="str">
        <f t="shared" si="106"/>
        <v>Big Win</v>
      </c>
      <c r="BL79" s="40" t="str">
        <f t="shared" si="107"/>
        <v>Free Plays A</v>
      </c>
      <c r="BM79">
        <f>(D79/Frequency!$N$7-Summary!$C$7)^2*E79</f>
        <v>7342.1119999999992</v>
      </c>
      <c r="BN79">
        <f t="shared" si="95"/>
        <v>400</v>
      </c>
      <c r="BO79">
        <f t="shared" si="96"/>
        <v>0</v>
      </c>
      <c r="BP79">
        <f t="shared" si="97"/>
        <v>0</v>
      </c>
      <c r="BQ79">
        <f t="shared" si="98"/>
        <v>20</v>
      </c>
      <c r="BR79">
        <f t="shared" si="99"/>
        <v>400</v>
      </c>
      <c r="BS79">
        <f t="shared" si="100"/>
        <v>0</v>
      </c>
      <c r="BT79">
        <f t="shared" si="101"/>
        <v>0</v>
      </c>
      <c r="BU79">
        <f t="shared" si="102"/>
        <v>0</v>
      </c>
      <c r="BV79">
        <f t="shared" si="103"/>
        <v>0</v>
      </c>
      <c r="BW79">
        <f t="shared" si="104"/>
        <v>0</v>
      </c>
      <c r="BX79">
        <f t="shared" si="105"/>
        <v>0</v>
      </c>
    </row>
    <row r="80" spans="2:76">
      <c r="B80" s="19">
        <f>Tiers!B81</f>
        <v>78</v>
      </c>
      <c r="C80" s="118" t="str">
        <f>Tiers!X81</f>
        <v>freeplayA-24|||||||||</v>
      </c>
      <c r="D80" s="21">
        <f>Tiers!C81</f>
        <v>11.2</v>
      </c>
      <c r="E80" s="22">
        <f>Frequency!E82</f>
        <v>20</v>
      </c>
      <c r="F80" s="22">
        <f t="shared" si="55"/>
        <v>224</v>
      </c>
      <c r="G80" s="20">
        <f>IF(AND(D80/Summary!$C$4&gt;0, D80/Summary!$C$4&lt;5),E80,0) * D80</f>
        <v>0</v>
      </c>
      <c r="H80" s="20">
        <f>IF(AND(D80/Summary!$C$4&gt;= 5, D80/Summary!$C$4&lt;10),E80,0) * D80</f>
        <v>0</v>
      </c>
      <c r="I80" s="20">
        <f>IF(AND(D80/Summary!$C$4&gt;=10, D80/Summary!$C$4&lt;25),E80,0)*D80</f>
        <v>224</v>
      </c>
      <c r="J80" s="20">
        <f>IF(D80/Summary!$C$4&gt;=25,E80,0)*D80</f>
        <v>0</v>
      </c>
      <c r="K80" s="35">
        <f>IF(AND(D80/Frequency!$N$7&gt;0, D80/Frequency!$N$7&lt;1),E80,0)</f>
        <v>0</v>
      </c>
      <c r="L80" s="35">
        <f t="shared" si="56"/>
        <v>0</v>
      </c>
      <c r="M80" s="35">
        <f>IF(D80/Frequency!$N$7=1,1,0)*E80</f>
        <v>0</v>
      </c>
      <c r="N80" s="35">
        <f t="shared" si="57"/>
        <v>0</v>
      </c>
      <c r="O80" s="35">
        <f>IF(AND(D80/Frequency!$N$7&gt;1, D80/Frequency!$N$7&lt;=2),1,0)*E80</f>
        <v>0</v>
      </c>
      <c r="P80" s="35">
        <f t="shared" si="58"/>
        <v>0</v>
      </c>
      <c r="Q80" s="35">
        <f>IF(AND(D80/Frequency!$N$7&gt;2,D80/Frequency!$N$7&lt;=5),1,0)*E80</f>
        <v>0</v>
      </c>
      <c r="R80" s="35">
        <f t="shared" si="59"/>
        <v>0</v>
      </c>
      <c r="S80" s="35">
        <f>IF(AND(D80/Frequency!$N$7&gt;5, D80/Frequency!$N$7&lt;=10),1,0)*E80</f>
        <v>0</v>
      </c>
      <c r="T80" s="35">
        <f t="shared" si="60"/>
        <v>0</v>
      </c>
      <c r="U80" s="35">
        <f>IF(AND(D80/Frequency!$N$7&gt;10, D80/Frequency!$N$7&lt;=20),1,0)*E80</f>
        <v>20</v>
      </c>
      <c r="V80" s="35">
        <f t="shared" si="61"/>
        <v>224</v>
      </c>
      <c r="W80" s="35">
        <f>IF(AND(D80/Frequency!$N$7&gt;20, D80/Frequency!$N$7&lt;=30),1,0)*E80</f>
        <v>0</v>
      </c>
      <c r="X80" s="35">
        <f t="shared" si="62"/>
        <v>0</v>
      </c>
      <c r="Y80" s="35">
        <f>IF(AND(D80/Frequency!$N$7&gt;30, D80/Frequency!$N$7&lt;=50),1,0)*E80</f>
        <v>0</v>
      </c>
      <c r="Z80" s="35">
        <f t="shared" si="63"/>
        <v>0</v>
      </c>
      <c r="AA80" s="35">
        <f>IF(AND(D80/Frequency!$N$7&gt;50, D80/Frequency!$N$7&lt;=100),1,0)*E80</f>
        <v>0</v>
      </c>
      <c r="AB80" s="35">
        <f t="shared" si="64"/>
        <v>0</v>
      </c>
      <c r="AC80" s="35">
        <f>IF(D80/Frequency!$N$7&gt;100,1,0)*E80</f>
        <v>0</v>
      </c>
      <c r="AD80" s="35">
        <f t="shared" si="65"/>
        <v>0</v>
      </c>
      <c r="AE80" s="22">
        <f t="shared" si="66"/>
        <v>20</v>
      </c>
      <c r="AF80" s="22">
        <f t="shared" si="67"/>
        <v>0</v>
      </c>
      <c r="AG80" s="22">
        <f t="shared" si="68"/>
        <v>0</v>
      </c>
      <c r="AH80" s="22">
        <f t="shared" si="69"/>
        <v>0</v>
      </c>
      <c r="AI80" s="35">
        <f t="shared" si="70"/>
        <v>0</v>
      </c>
      <c r="AJ80" s="35">
        <f t="shared" si="71"/>
        <v>0</v>
      </c>
      <c r="AK80" s="35">
        <f t="shared" si="72"/>
        <v>0</v>
      </c>
      <c r="AL80">
        <f t="shared" si="73"/>
        <v>0</v>
      </c>
      <c r="AM80">
        <f t="shared" si="74"/>
        <v>0</v>
      </c>
      <c r="AN80">
        <f t="shared" si="75"/>
        <v>0</v>
      </c>
      <c r="AO80">
        <f t="shared" si="76"/>
        <v>0</v>
      </c>
      <c r="AP80">
        <f t="shared" si="77"/>
        <v>0</v>
      </c>
      <c r="AQ80">
        <f t="shared" si="78"/>
        <v>0</v>
      </c>
      <c r="AR80">
        <f t="shared" si="79"/>
        <v>0</v>
      </c>
      <c r="AS80">
        <f t="shared" si="80"/>
        <v>0</v>
      </c>
      <c r="AT80">
        <f t="shared" si="81"/>
        <v>0</v>
      </c>
      <c r="AU80">
        <f t="shared" si="82"/>
        <v>1</v>
      </c>
      <c r="AV80">
        <v>0</v>
      </c>
      <c r="AW80">
        <v>0</v>
      </c>
      <c r="AX80">
        <f t="shared" si="83"/>
        <v>0</v>
      </c>
      <c r="AY80">
        <f t="shared" si="84"/>
        <v>0</v>
      </c>
      <c r="AZ80">
        <f t="shared" si="85"/>
        <v>0</v>
      </c>
      <c r="BA80">
        <f t="shared" si="86"/>
        <v>0</v>
      </c>
      <c r="BB80">
        <f t="shared" si="87"/>
        <v>0</v>
      </c>
      <c r="BC80">
        <f t="shared" si="88"/>
        <v>0</v>
      </c>
      <c r="BD80">
        <f t="shared" si="89"/>
        <v>0</v>
      </c>
      <c r="BE80">
        <f t="shared" si="90"/>
        <v>0</v>
      </c>
      <c r="BF80">
        <f t="shared" si="91"/>
        <v>0</v>
      </c>
      <c r="BG80">
        <f t="shared" si="92"/>
        <v>0</v>
      </c>
      <c r="BH80">
        <f t="shared" si="93"/>
        <v>0</v>
      </c>
      <c r="BI80">
        <f t="shared" si="94"/>
        <v>0</v>
      </c>
      <c r="BJ80">
        <v>0</v>
      </c>
      <c r="BK80" t="str">
        <f t="shared" si="106"/>
        <v>Big Win</v>
      </c>
      <c r="BL80" s="40" t="str">
        <f t="shared" si="107"/>
        <v>Free Plays A</v>
      </c>
      <c r="BM80">
        <f>(D80/Frequency!$N$7-Summary!$C$7)^2*E80</f>
        <v>2146.5919999999996</v>
      </c>
      <c r="BN80">
        <f t="shared" si="95"/>
        <v>224</v>
      </c>
      <c r="BO80">
        <f t="shared" si="96"/>
        <v>0</v>
      </c>
      <c r="BP80">
        <f t="shared" si="97"/>
        <v>0</v>
      </c>
      <c r="BQ80">
        <f t="shared" si="98"/>
        <v>20</v>
      </c>
      <c r="BR80">
        <f t="shared" si="99"/>
        <v>224</v>
      </c>
      <c r="BS80">
        <f t="shared" si="100"/>
        <v>0</v>
      </c>
      <c r="BT80">
        <f t="shared" si="101"/>
        <v>0</v>
      </c>
      <c r="BU80">
        <f t="shared" si="102"/>
        <v>0</v>
      </c>
      <c r="BV80">
        <f t="shared" si="103"/>
        <v>0</v>
      </c>
      <c r="BW80">
        <f t="shared" si="104"/>
        <v>0</v>
      </c>
      <c r="BX80">
        <f t="shared" si="105"/>
        <v>0</v>
      </c>
    </row>
    <row r="81" spans="2:76">
      <c r="B81" s="19">
        <f>Tiers!B82</f>
        <v>79</v>
      </c>
      <c r="C81" s="118" t="str">
        <f>Tiers!X82</f>
        <v>freeplayA-25|||||||||</v>
      </c>
      <c r="D81" s="21">
        <f>Tiers!C82</f>
        <v>5</v>
      </c>
      <c r="E81" s="22">
        <f>Frequency!E83</f>
        <v>20</v>
      </c>
      <c r="F81" s="22">
        <f t="shared" si="55"/>
        <v>100</v>
      </c>
      <c r="G81" s="20">
        <f>IF(AND(D81/Summary!$C$4&gt;0, D81/Summary!$C$4&lt;5),E81,0) * D81</f>
        <v>0</v>
      </c>
      <c r="H81" s="20">
        <f>IF(AND(D81/Summary!$C$4&gt;= 5, D81/Summary!$C$4&lt;10),E81,0) * D81</f>
        <v>100</v>
      </c>
      <c r="I81" s="20">
        <f>IF(AND(D81/Summary!$C$4&gt;=10, D81/Summary!$C$4&lt;25),E81,0)*D81</f>
        <v>0</v>
      </c>
      <c r="J81" s="20">
        <f>IF(D81/Summary!$C$4&gt;=25,E81,0)*D81</f>
        <v>0</v>
      </c>
      <c r="K81" s="35">
        <f>IF(AND(D81/Frequency!$N$7&gt;0, D81/Frequency!$N$7&lt;1),E81,0)</f>
        <v>0</v>
      </c>
      <c r="L81" s="35">
        <f t="shared" si="56"/>
        <v>0</v>
      </c>
      <c r="M81" s="35">
        <f>IF(D81/Frequency!$N$7=1,1,0)*E81</f>
        <v>0</v>
      </c>
      <c r="N81" s="35">
        <f t="shared" si="57"/>
        <v>0</v>
      </c>
      <c r="O81" s="35">
        <f>IF(AND(D81/Frequency!$N$7&gt;1, D81/Frequency!$N$7&lt;=2),1,0)*E81</f>
        <v>0</v>
      </c>
      <c r="P81" s="35">
        <f t="shared" si="58"/>
        <v>0</v>
      </c>
      <c r="Q81" s="35">
        <f>IF(AND(D81/Frequency!$N$7&gt;2,D81/Frequency!$N$7&lt;=5),1,0)*E81</f>
        <v>20</v>
      </c>
      <c r="R81" s="35">
        <f t="shared" si="59"/>
        <v>100</v>
      </c>
      <c r="S81" s="35">
        <f>IF(AND(D81/Frequency!$N$7&gt;5, D81/Frequency!$N$7&lt;=10),1,0)*E81</f>
        <v>0</v>
      </c>
      <c r="T81" s="35">
        <f t="shared" si="60"/>
        <v>0</v>
      </c>
      <c r="U81" s="35">
        <f>IF(AND(D81/Frequency!$N$7&gt;10, D81/Frequency!$N$7&lt;=20),1,0)*E81</f>
        <v>0</v>
      </c>
      <c r="V81" s="35">
        <f t="shared" si="61"/>
        <v>0</v>
      </c>
      <c r="W81" s="35">
        <f>IF(AND(D81/Frequency!$N$7&gt;20, D81/Frequency!$N$7&lt;=30),1,0)*E81</f>
        <v>0</v>
      </c>
      <c r="X81" s="35">
        <f t="shared" si="62"/>
        <v>0</v>
      </c>
      <c r="Y81" s="35">
        <f>IF(AND(D81/Frequency!$N$7&gt;30, D81/Frequency!$N$7&lt;=50),1,0)*E81</f>
        <v>0</v>
      </c>
      <c r="Z81" s="35">
        <f t="shared" si="63"/>
        <v>0</v>
      </c>
      <c r="AA81" s="35">
        <f>IF(AND(D81/Frequency!$N$7&gt;50, D81/Frequency!$N$7&lt;=100),1,0)*E81</f>
        <v>0</v>
      </c>
      <c r="AB81" s="35">
        <f t="shared" si="64"/>
        <v>0</v>
      </c>
      <c r="AC81" s="35">
        <f>IF(D81/Frequency!$N$7&gt;100,1,0)*E81</f>
        <v>0</v>
      </c>
      <c r="AD81" s="35">
        <f t="shared" si="65"/>
        <v>0</v>
      </c>
      <c r="AE81" s="22">
        <f t="shared" si="66"/>
        <v>20</v>
      </c>
      <c r="AF81" s="22">
        <f t="shared" si="67"/>
        <v>0</v>
      </c>
      <c r="AG81" s="22">
        <f t="shared" si="68"/>
        <v>0</v>
      </c>
      <c r="AH81" s="22">
        <f t="shared" si="69"/>
        <v>0</v>
      </c>
      <c r="AI81" s="35">
        <f t="shared" si="70"/>
        <v>0</v>
      </c>
      <c r="AJ81" s="35">
        <f t="shared" si="71"/>
        <v>0</v>
      </c>
      <c r="AK81" s="35">
        <f t="shared" si="72"/>
        <v>0</v>
      </c>
      <c r="AL81">
        <f t="shared" si="73"/>
        <v>0</v>
      </c>
      <c r="AM81">
        <f t="shared" si="74"/>
        <v>0</v>
      </c>
      <c r="AN81">
        <f t="shared" si="75"/>
        <v>0</v>
      </c>
      <c r="AO81">
        <f t="shared" si="76"/>
        <v>0</v>
      </c>
      <c r="AP81">
        <f t="shared" si="77"/>
        <v>0</v>
      </c>
      <c r="AQ81">
        <f t="shared" si="78"/>
        <v>0</v>
      </c>
      <c r="AR81">
        <f t="shared" si="79"/>
        <v>0</v>
      </c>
      <c r="AS81">
        <f t="shared" si="80"/>
        <v>0</v>
      </c>
      <c r="AT81">
        <f t="shared" si="81"/>
        <v>0</v>
      </c>
      <c r="AU81">
        <f t="shared" si="82"/>
        <v>1</v>
      </c>
      <c r="AV81">
        <v>0</v>
      </c>
      <c r="AW81">
        <v>0</v>
      </c>
      <c r="AX81">
        <f t="shared" si="83"/>
        <v>0</v>
      </c>
      <c r="AY81">
        <f t="shared" si="84"/>
        <v>0</v>
      </c>
      <c r="AZ81">
        <f t="shared" si="85"/>
        <v>0</v>
      </c>
      <c r="BA81">
        <f t="shared" si="86"/>
        <v>0</v>
      </c>
      <c r="BB81">
        <f t="shared" si="87"/>
        <v>0</v>
      </c>
      <c r="BC81">
        <f t="shared" si="88"/>
        <v>0</v>
      </c>
      <c r="BD81">
        <f t="shared" si="89"/>
        <v>0</v>
      </c>
      <c r="BE81">
        <f t="shared" si="90"/>
        <v>0</v>
      </c>
      <c r="BF81">
        <f t="shared" si="91"/>
        <v>0</v>
      </c>
      <c r="BG81">
        <f t="shared" si="92"/>
        <v>0</v>
      </c>
      <c r="BH81">
        <f t="shared" si="93"/>
        <v>0</v>
      </c>
      <c r="BI81">
        <f t="shared" si="94"/>
        <v>0</v>
      </c>
      <c r="BJ81">
        <v>0</v>
      </c>
      <c r="BK81" t="str">
        <f t="shared" si="106"/>
        <v>Standard Win</v>
      </c>
      <c r="BL81" s="40" t="str">
        <f t="shared" si="107"/>
        <v>Free Plays A</v>
      </c>
      <c r="BM81">
        <f>(D81/Frequency!$N$7-Summary!$C$7)^2*E81</f>
        <v>346.11200000000002</v>
      </c>
      <c r="BN81">
        <f t="shared" si="95"/>
        <v>100</v>
      </c>
      <c r="BO81">
        <f t="shared" si="96"/>
        <v>0</v>
      </c>
      <c r="BP81">
        <f t="shared" si="97"/>
        <v>0</v>
      </c>
      <c r="BQ81">
        <f t="shared" si="98"/>
        <v>20</v>
      </c>
      <c r="BR81">
        <f t="shared" si="99"/>
        <v>100</v>
      </c>
      <c r="BS81">
        <f t="shared" si="100"/>
        <v>0</v>
      </c>
      <c r="BT81">
        <f t="shared" si="101"/>
        <v>0</v>
      </c>
      <c r="BU81">
        <f t="shared" si="102"/>
        <v>0</v>
      </c>
      <c r="BV81">
        <f t="shared" si="103"/>
        <v>0</v>
      </c>
      <c r="BW81">
        <f t="shared" si="104"/>
        <v>0</v>
      </c>
      <c r="BX81">
        <f t="shared" si="105"/>
        <v>0</v>
      </c>
    </row>
    <row r="82" spans="2:76">
      <c r="B82" s="19">
        <f>Tiers!B83</f>
        <v>80</v>
      </c>
      <c r="C82" s="118" t="str">
        <f>Tiers!X83</f>
        <v>freeplayA-26|||||||||</v>
      </c>
      <c r="D82" s="21">
        <f>Tiers!C83</f>
        <v>5</v>
      </c>
      <c r="E82" s="22">
        <f>Frequency!E84</f>
        <v>20</v>
      </c>
      <c r="F82" s="22">
        <f t="shared" si="55"/>
        <v>100</v>
      </c>
      <c r="G82" s="20">
        <f>IF(AND(D82/Summary!$C$4&gt;0, D82/Summary!$C$4&lt;5),E82,0) * D82</f>
        <v>0</v>
      </c>
      <c r="H82" s="20">
        <f>IF(AND(D82/Summary!$C$4&gt;= 5, D82/Summary!$C$4&lt;10),E82,0) * D82</f>
        <v>100</v>
      </c>
      <c r="I82" s="20">
        <f>IF(AND(D82/Summary!$C$4&gt;=10, D82/Summary!$C$4&lt;25),E82,0)*D82</f>
        <v>0</v>
      </c>
      <c r="J82" s="20">
        <f>IF(D82/Summary!$C$4&gt;=25,E82,0)*D82</f>
        <v>0</v>
      </c>
      <c r="K82" s="35">
        <f>IF(AND(D82/Frequency!$N$7&gt;0, D82/Frequency!$N$7&lt;1),E82,0)</f>
        <v>0</v>
      </c>
      <c r="L82" s="35">
        <f t="shared" si="56"/>
        <v>0</v>
      </c>
      <c r="M82" s="35">
        <f>IF(D82/Frequency!$N$7=1,1,0)*E82</f>
        <v>0</v>
      </c>
      <c r="N82" s="35">
        <f t="shared" si="57"/>
        <v>0</v>
      </c>
      <c r="O82" s="35">
        <f>IF(AND(D82/Frequency!$N$7&gt;1, D82/Frequency!$N$7&lt;=2),1,0)*E82</f>
        <v>0</v>
      </c>
      <c r="P82" s="35">
        <f t="shared" si="58"/>
        <v>0</v>
      </c>
      <c r="Q82" s="35">
        <f>IF(AND(D82/Frequency!$N$7&gt;2,D82/Frequency!$N$7&lt;=5),1,0)*E82</f>
        <v>20</v>
      </c>
      <c r="R82" s="35">
        <f t="shared" si="59"/>
        <v>100</v>
      </c>
      <c r="S82" s="35">
        <f>IF(AND(D82/Frequency!$N$7&gt;5, D82/Frequency!$N$7&lt;=10),1,0)*E82</f>
        <v>0</v>
      </c>
      <c r="T82" s="35">
        <f t="shared" si="60"/>
        <v>0</v>
      </c>
      <c r="U82" s="35">
        <f>IF(AND(D82/Frequency!$N$7&gt;10, D82/Frequency!$N$7&lt;=20),1,0)*E82</f>
        <v>0</v>
      </c>
      <c r="V82" s="35">
        <f t="shared" si="61"/>
        <v>0</v>
      </c>
      <c r="W82" s="35">
        <f>IF(AND(D82/Frequency!$N$7&gt;20, D82/Frequency!$N$7&lt;=30),1,0)*E82</f>
        <v>0</v>
      </c>
      <c r="X82" s="35">
        <f t="shared" si="62"/>
        <v>0</v>
      </c>
      <c r="Y82" s="35">
        <f>IF(AND(D82/Frequency!$N$7&gt;30, D82/Frequency!$N$7&lt;=50),1,0)*E82</f>
        <v>0</v>
      </c>
      <c r="Z82" s="35">
        <f t="shared" si="63"/>
        <v>0</v>
      </c>
      <c r="AA82" s="35">
        <f>IF(AND(D82/Frequency!$N$7&gt;50, D82/Frequency!$N$7&lt;=100),1,0)*E82</f>
        <v>0</v>
      </c>
      <c r="AB82" s="35">
        <f t="shared" si="64"/>
        <v>0</v>
      </c>
      <c r="AC82" s="35">
        <f>IF(D82/Frequency!$N$7&gt;100,1,0)*E82</f>
        <v>0</v>
      </c>
      <c r="AD82" s="35">
        <f t="shared" si="65"/>
        <v>0</v>
      </c>
      <c r="AE82" s="22">
        <f t="shared" si="66"/>
        <v>20</v>
      </c>
      <c r="AF82" s="22">
        <f t="shared" si="67"/>
        <v>0</v>
      </c>
      <c r="AG82" s="22">
        <f t="shared" si="68"/>
        <v>0</v>
      </c>
      <c r="AH82" s="22">
        <f t="shared" si="69"/>
        <v>0</v>
      </c>
      <c r="AI82" s="35">
        <f t="shared" si="70"/>
        <v>0</v>
      </c>
      <c r="AJ82" s="35">
        <f t="shared" si="71"/>
        <v>0</v>
      </c>
      <c r="AK82" s="35">
        <f t="shared" si="72"/>
        <v>0</v>
      </c>
      <c r="AL82">
        <f t="shared" si="73"/>
        <v>0</v>
      </c>
      <c r="AM82">
        <f t="shared" si="74"/>
        <v>0</v>
      </c>
      <c r="AN82">
        <f t="shared" si="75"/>
        <v>0</v>
      </c>
      <c r="AO82">
        <f t="shared" si="76"/>
        <v>0</v>
      </c>
      <c r="AP82">
        <f t="shared" si="77"/>
        <v>0</v>
      </c>
      <c r="AQ82">
        <f t="shared" si="78"/>
        <v>0</v>
      </c>
      <c r="AR82">
        <f t="shared" si="79"/>
        <v>0</v>
      </c>
      <c r="AS82">
        <f t="shared" si="80"/>
        <v>0</v>
      </c>
      <c r="AT82">
        <f t="shared" si="81"/>
        <v>0</v>
      </c>
      <c r="AU82">
        <f t="shared" si="82"/>
        <v>1</v>
      </c>
      <c r="AV82">
        <v>0</v>
      </c>
      <c r="AW82">
        <v>0</v>
      </c>
      <c r="AX82">
        <f t="shared" si="83"/>
        <v>0</v>
      </c>
      <c r="AY82">
        <f t="shared" si="84"/>
        <v>0</v>
      </c>
      <c r="AZ82">
        <f t="shared" si="85"/>
        <v>0</v>
      </c>
      <c r="BA82">
        <f t="shared" si="86"/>
        <v>0</v>
      </c>
      <c r="BB82">
        <f t="shared" si="87"/>
        <v>0</v>
      </c>
      <c r="BC82">
        <f t="shared" si="88"/>
        <v>0</v>
      </c>
      <c r="BD82">
        <f t="shared" si="89"/>
        <v>0</v>
      </c>
      <c r="BE82">
        <f t="shared" si="90"/>
        <v>0</v>
      </c>
      <c r="BF82">
        <f t="shared" si="91"/>
        <v>0</v>
      </c>
      <c r="BG82">
        <f t="shared" si="92"/>
        <v>0</v>
      </c>
      <c r="BH82">
        <f t="shared" si="93"/>
        <v>0</v>
      </c>
      <c r="BI82">
        <f t="shared" si="94"/>
        <v>0</v>
      </c>
      <c r="BJ82">
        <v>0</v>
      </c>
      <c r="BK82" t="str">
        <f t="shared" si="106"/>
        <v>Standard Win</v>
      </c>
      <c r="BL82" s="40" t="str">
        <f t="shared" si="107"/>
        <v>Free Plays A</v>
      </c>
      <c r="BM82">
        <f>(D82/Frequency!$N$7-Summary!$C$7)^2*E82</f>
        <v>346.11200000000002</v>
      </c>
      <c r="BN82">
        <f t="shared" si="95"/>
        <v>100</v>
      </c>
      <c r="BO82">
        <f t="shared" si="96"/>
        <v>0</v>
      </c>
      <c r="BP82">
        <f t="shared" si="97"/>
        <v>0</v>
      </c>
      <c r="BQ82">
        <f t="shared" si="98"/>
        <v>20</v>
      </c>
      <c r="BR82">
        <f t="shared" si="99"/>
        <v>100</v>
      </c>
      <c r="BS82">
        <f t="shared" si="100"/>
        <v>0</v>
      </c>
      <c r="BT82">
        <f t="shared" si="101"/>
        <v>0</v>
      </c>
      <c r="BU82">
        <f t="shared" si="102"/>
        <v>0</v>
      </c>
      <c r="BV82">
        <f t="shared" si="103"/>
        <v>0</v>
      </c>
      <c r="BW82">
        <f t="shared" si="104"/>
        <v>0</v>
      </c>
      <c r="BX82">
        <f t="shared" si="105"/>
        <v>0</v>
      </c>
    </row>
    <row r="83" spans="2:76">
      <c r="B83" s="19">
        <f>Tiers!B84</f>
        <v>81</v>
      </c>
      <c r="C83" s="118" t="str">
        <f>Tiers!X84</f>
        <v>freeplayA-27|||||||||</v>
      </c>
      <c r="D83" s="21">
        <f>Tiers!C84</f>
        <v>0.5</v>
      </c>
      <c r="E83" s="22">
        <f>Frequency!E85</f>
        <v>20</v>
      </c>
      <c r="F83" s="22">
        <f t="shared" si="55"/>
        <v>10</v>
      </c>
      <c r="G83" s="20">
        <f>IF(AND(D83/Summary!$C$4&gt;0, D83/Summary!$C$4&lt;5),E83,0) * D83</f>
        <v>10</v>
      </c>
      <c r="H83" s="20">
        <f>IF(AND(D83/Summary!$C$4&gt;= 5, D83/Summary!$C$4&lt;10),E83,0) * D83</f>
        <v>0</v>
      </c>
      <c r="I83" s="20">
        <f>IF(AND(D83/Summary!$C$4&gt;=10, D83/Summary!$C$4&lt;25),E83,0)*D83</f>
        <v>0</v>
      </c>
      <c r="J83" s="20">
        <f>IF(D83/Summary!$C$4&gt;=25,E83,0)*D83</f>
        <v>0</v>
      </c>
      <c r="K83" s="35">
        <f>IF(AND(D83/Frequency!$N$7&gt;0, D83/Frequency!$N$7&lt;1),E83,0)</f>
        <v>20</v>
      </c>
      <c r="L83" s="35">
        <f t="shared" si="56"/>
        <v>10</v>
      </c>
      <c r="M83" s="35">
        <f>IF(D83/Frequency!$N$7=1,1,0)*E83</f>
        <v>0</v>
      </c>
      <c r="N83" s="35">
        <f t="shared" si="57"/>
        <v>0</v>
      </c>
      <c r="O83" s="35">
        <f>IF(AND(D83/Frequency!$N$7&gt;1, D83/Frequency!$N$7&lt;=2),1,0)*E83</f>
        <v>0</v>
      </c>
      <c r="P83" s="35">
        <f t="shared" si="58"/>
        <v>0</v>
      </c>
      <c r="Q83" s="35">
        <f>IF(AND(D83/Frequency!$N$7&gt;2,D83/Frequency!$N$7&lt;=5),1,0)*E83</f>
        <v>0</v>
      </c>
      <c r="R83" s="35">
        <f t="shared" si="59"/>
        <v>0</v>
      </c>
      <c r="S83" s="35">
        <f>IF(AND(D83/Frequency!$N$7&gt;5, D83/Frequency!$N$7&lt;=10),1,0)*E83</f>
        <v>0</v>
      </c>
      <c r="T83" s="35">
        <f t="shared" si="60"/>
        <v>0</v>
      </c>
      <c r="U83" s="35">
        <f>IF(AND(D83/Frequency!$N$7&gt;10, D83/Frequency!$N$7&lt;=20),1,0)*E83</f>
        <v>0</v>
      </c>
      <c r="V83" s="35">
        <f t="shared" si="61"/>
        <v>0</v>
      </c>
      <c r="W83" s="35">
        <f>IF(AND(D83/Frequency!$N$7&gt;20, D83/Frequency!$N$7&lt;=30),1,0)*E83</f>
        <v>0</v>
      </c>
      <c r="X83" s="35">
        <f t="shared" si="62"/>
        <v>0</v>
      </c>
      <c r="Y83" s="35">
        <f>IF(AND(D83/Frequency!$N$7&gt;30, D83/Frequency!$N$7&lt;=50),1,0)*E83</f>
        <v>0</v>
      </c>
      <c r="Z83" s="35">
        <f t="shared" si="63"/>
        <v>0</v>
      </c>
      <c r="AA83" s="35">
        <f>IF(AND(D83/Frequency!$N$7&gt;50, D83/Frequency!$N$7&lt;=100),1,0)*E83</f>
        <v>0</v>
      </c>
      <c r="AB83" s="35">
        <f t="shared" si="64"/>
        <v>0</v>
      </c>
      <c r="AC83" s="35">
        <f>IF(D83/Frequency!$N$7&gt;100,1,0)*E83</f>
        <v>0</v>
      </c>
      <c r="AD83" s="35">
        <f t="shared" si="65"/>
        <v>0</v>
      </c>
      <c r="AE83" s="22">
        <f t="shared" si="66"/>
        <v>20</v>
      </c>
      <c r="AF83" s="22">
        <f t="shared" si="67"/>
        <v>0</v>
      </c>
      <c r="AG83" s="22">
        <f t="shared" si="68"/>
        <v>0</v>
      </c>
      <c r="AH83" s="22">
        <f t="shared" si="69"/>
        <v>0</v>
      </c>
      <c r="AI83" s="35">
        <f t="shared" si="70"/>
        <v>0</v>
      </c>
      <c r="AJ83" s="35">
        <f t="shared" si="71"/>
        <v>0</v>
      </c>
      <c r="AK83" s="35">
        <f t="shared" si="72"/>
        <v>0</v>
      </c>
      <c r="AL83">
        <f t="shared" si="73"/>
        <v>0</v>
      </c>
      <c r="AM83">
        <f t="shared" si="74"/>
        <v>0</v>
      </c>
      <c r="AN83">
        <f t="shared" si="75"/>
        <v>0</v>
      </c>
      <c r="AO83">
        <f t="shared" si="76"/>
        <v>0</v>
      </c>
      <c r="AP83">
        <f t="shared" si="77"/>
        <v>0</v>
      </c>
      <c r="AQ83">
        <f t="shared" si="78"/>
        <v>0</v>
      </c>
      <c r="AR83">
        <f t="shared" si="79"/>
        <v>0</v>
      </c>
      <c r="AS83">
        <f t="shared" si="80"/>
        <v>0</v>
      </c>
      <c r="AT83">
        <f t="shared" si="81"/>
        <v>0</v>
      </c>
      <c r="AU83">
        <f t="shared" si="82"/>
        <v>1</v>
      </c>
      <c r="AV83">
        <v>0</v>
      </c>
      <c r="AW83">
        <v>0</v>
      </c>
      <c r="AX83">
        <f t="shared" si="83"/>
        <v>0</v>
      </c>
      <c r="AY83">
        <f t="shared" si="84"/>
        <v>0</v>
      </c>
      <c r="AZ83">
        <f t="shared" si="85"/>
        <v>0</v>
      </c>
      <c r="BA83">
        <f t="shared" si="86"/>
        <v>0</v>
      </c>
      <c r="BB83">
        <f t="shared" si="87"/>
        <v>0</v>
      </c>
      <c r="BC83">
        <f t="shared" si="88"/>
        <v>0</v>
      </c>
      <c r="BD83">
        <f t="shared" si="89"/>
        <v>0</v>
      </c>
      <c r="BE83">
        <f t="shared" si="90"/>
        <v>0</v>
      </c>
      <c r="BF83">
        <f t="shared" si="91"/>
        <v>0</v>
      </c>
      <c r="BG83">
        <f t="shared" si="92"/>
        <v>0</v>
      </c>
      <c r="BH83">
        <f t="shared" si="93"/>
        <v>0</v>
      </c>
      <c r="BI83">
        <f t="shared" si="94"/>
        <v>0</v>
      </c>
      <c r="BJ83">
        <v>0</v>
      </c>
      <c r="BK83" t="str">
        <f t="shared" si="106"/>
        <v>Less than Stake</v>
      </c>
      <c r="BL83" s="40" t="str">
        <f t="shared" si="107"/>
        <v>Free Plays A</v>
      </c>
      <c r="BM83">
        <f>(D83/Frequency!$N$7-Summary!$C$7)^2*E83</f>
        <v>2.3119999999999994</v>
      </c>
      <c r="BN83">
        <f t="shared" si="95"/>
        <v>10</v>
      </c>
      <c r="BO83">
        <f t="shared" si="96"/>
        <v>0</v>
      </c>
      <c r="BP83">
        <f t="shared" si="97"/>
        <v>0</v>
      </c>
      <c r="BQ83">
        <f t="shared" si="98"/>
        <v>20</v>
      </c>
      <c r="BR83">
        <f t="shared" si="99"/>
        <v>10</v>
      </c>
      <c r="BS83">
        <f t="shared" si="100"/>
        <v>0</v>
      </c>
      <c r="BT83">
        <f t="shared" si="101"/>
        <v>0</v>
      </c>
      <c r="BU83">
        <f t="shared" si="102"/>
        <v>0</v>
      </c>
      <c r="BV83">
        <f t="shared" si="103"/>
        <v>0</v>
      </c>
      <c r="BW83">
        <f t="shared" si="104"/>
        <v>0</v>
      </c>
      <c r="BX83">
        <f t="shared" si="105"/>
        <v>0</v>
      </c>
    </row>
    <row r="84" spans="2:76">
      <c r="B84" s="19">
        <f>Tiers!B85</f>
        <v>82</v>
      </c>
      <c r="C84" s="118" t="str">
        <f>Tiers!X85</f>
        <v>freeplayA-28|||||||||</v>
      </c>
      <c r="D84" s="21">
        <f>Tiers!C85</f>
        <v>3.1</v>
      </c>
      <c r="E84" s="22">
        <f>Frequency!E86</f>
        <v>10</v>
      </c>
      <c r="F84" s="22">
        <f t="shared" si="55"/>
        <v>31</v>
      </c>
      <c r="G84" s="20">
        <f>IF(AND(D84/Summary!$C$4&gt;0, D84/Summary!$C$4&lt;5),E84,0) * D84</f>
        <v>31</v>
      </c>
      <c r="H84" s="20">
        <f>IF(AND(D84/Summary!$C$4&gt;= 5, D84/Summary!$C$4&lt;10),E84,0) * D84</f>
        <v>0</v>
      </c>
      <c r="I84" s="20">
        <f>IF(AND(D84/Summary!$C$4&gt;=10, D84/Summary!$C$4&lt;25),E84,0)*D84</f>
        <v>0</v>
      </c>
      <c r="J84" s="20">
        <f>IF(D84/Summary!$C$4&gt;=25,E84,0)*D84</f>
        <v>0</v>
      </c>
      <c r="K84" s="35">
        <f>IF(AND(D84/Frequency!$N$7&gt;0, D84/Frequency!$N$7&lt;1),E84,0)</f>
        <v>0</v>
      </c>
      <c r="L84" s="35">
        <f t="shared" si="56"/>
        <v>0</v>
      </c>
      <c r="M84" s="35">
        <f>IF(D84/Frequency!$N$7=1,1,0)*E84</f>
        <v>0</v>
      </c>
      <c r="N84" s="35">
        <f t="shared" si="57"/>
        <v>0</v>
      </c>
      <c r="O84" s="35">
        <f>IF(AND(D84/Frequency!$N$7&gt;1, D84/Frequency!$N$7&lt;=2),1,0)*E84</f>
        <v>0</v>
      </c>
      <c r="P84" s="35">
        <f t="shared" si="58"/>
        <v>0</v>
      </c>
      <c r="Q84" s="35">
        <f>IF(AND(D84/Frequency!$N$7&gt;2,D84/Frequency!$N$7&lt;=5),1,0)*E84</f>
        <v>10</v>
      </c>
      <c r="R84" s="35">
        <f t="shared" si="59"/>
        <v>31</v>
      </c>
      <c r="S84" s="35">
        <f>IF(AND(D84/Frequency!$N$7&gt;5, D84/Frequency!$N$7&lt;=10),1,0)*E84</f>
        <v>0</v>
      </c>
      <c r="T84" s="35">
        <f t="shared" si="60"/>
        <v>0</v>
      </c>
      <c r="U84" s="35">
        <f>IF(AND(D84/Frequency!$N$7&gt;10, D84/Frequency!$N$7&lt;=20),1,0)*E84</f>
        <v>0</v>
      </c>
      <c r="V84" s="35">
        <f t="shared" si="61"/>
        <v>0</v>
      </c>
      <c r="W84" s="35">
        <f>IF(AND(D84/Frequency!$N$7&gt;20, D84/Frequency!$N$7&lt;=30),1,0)*E84</f>
        <v>0</v>
      </c>
      <c r="X84" s="35">
        <f t="shared" si="62"/>
        <v>0</v>
      </c>
      <c r="Y84" s="35">
        <f>IF(AND(D84/Frequency!$N$7&gt;30, D84/Frequency!$N$7&lt;=50),1,0)*E84</f>
        <v>0</v>
      </c>
      <c r="Z84" s="35">
        <f t="shared" si="63"/>
        <v>0</v>
      </c>
      <c r="AA84" s="35">
        <f>IF(AND(D84/Frequency!$N$7&gt;50, D84/Frequency!$N$7&lt;=100),1,0)*E84</f>
        <v>0</v>
      </c>
      <c r="AB84" s="35">
        <f t="shared" si="64"/>
        <v>0</v>
      </c>
      <c r="AC84" s="35">
        <f>IF(D84/Frequency!$N$7&gt;100,1,0)*E84</f>
        <v>0</v>
      </c>
      <c r="AD84" s="35">
        <f t="shared" si="65"/>
        <v>0</v>
      </c>
      <c r="AE84" s="22">
        <f t="shared" si="66"/>
        <v>10</v>
      </c>
      <c r="AF84" s="22">
        <f t="shared" si="67"/>
        <v>0</v>
      </c>
      <c r="AG84" s="22">
        <f t="shared" si="68"/>
        <v>0</v>
      </c>
      <c r="AH84" s="22">
        <f t="shared" si="69"/>
        <v>0</v>
      </c>
      <c r="AI84" s="35">
        <f t="shared" si="70"/>
        <v>0</v>
      </c>
      <c r="AJ84" s="35">
        <f t="shared" si="71"/>
        <v>0</v>
      </c>
      <c r="AK84" s="35">
        <f t="shared" si="72"/>
        <v>0</v>
      </c>
      <c r="AL84">
        <f t="shared" si="73"/>
        <v>0</v>
      </c>
      <c r="AM84">
        <f t="shared" si="74"/>
        <v>0</v>
      </c>
      <c r="AN84">
        <f t="shared" si="75"/>
        <v>0</v>
      </c>
      <c r="AO84">
        <f t="shared" si="76"/>
        <v>0</v>
      </c>
      <c r="AP84">
        <f t="shared" si="77"/>
        <v>0</v>
      </c>
      <c r="AQ84">
        <f t="shared" si="78"/>
        <v>0</v>
      </c>
      <c r="AR84">
        <f t="shared" si="79"/>
        <v>0</v>
      </c>
      <c r="AS84">
        <f t="shared" si="80"/>
        <v>0</v>
      </c>
      <c r="AT84">
        <f t="shared" si="81"/>
        <v>0</v>
      </c>
      <c r="AU84">
        <f t="shared" si="82"/>
        <v>1</v>
      </c>
      <c r="AV84">
        <v>0</v>
      </c>
      <c r="AW84">
        <v>0</v>
      </c>
      <c r="AX84">
        <f t="shared" si="83"/>
        <v>0</v>
      </c>
      <c r="AY84">
        <f t="shared" si="84"/>
        <v>0</v>
      </c>
      <c r="AZ84">
        <f t="shared" si="85"/>
        <v>0</v>
      </c>
      <c r="BA84">
        <f t="shared" si="86"/>
        <v>0</v>
      </c>
      <c r="BB84">
        <f t="shared" si="87"/>
        <v>0</v>
      </c>
      <c r="BC84">
        <f t="shared" si="88"/>
        <v>0</v>
      </c>
      <c r="BD84">
        <f t="shared" si="89"/>
        <v>0</v>
      </c>
      <c r="BE84">
        <f t="shared" si="90"/>
        <v>0</v>
      </c>
      <c r="BF84">
        <f t="shared" si="91"/>
        <v>0</v>
      </c>
      <c r="BG84">
        <f t="shared" si="92"/>
        <v>0</v>
      </c>
      <c r="BH84">
        <f t="shared" si="93"/>
        <v>0</v>
      </c>
      <c r="BI84">
        <f t="shared" si="94"/>
        <v>0</v>
      </c>
      <c r="BJ84">
        <v>0</v>
      </c>
      <c r="BK84" t="str">
        <f t="shared" si="106"/>
        <v>Standard Win</v>
      </c>
      <c r="BL84" s="40" t="str">
        <f t="shared" si="107"/>
        <v>Free Plays A</v>
      </c>
      <c r="BM84">
        <f>(D84/Frequency!$N$7-Summary!$C$7)^2*E84</f>
        <v>51.076000000000015</v>
      </c>
      <c r="BN84">
        <f t="shared" si="95"/>
        <v>31</v>
      </c>
      <c r="BO84">
        <f t="shared" si="96"/>
        <v>0</v>
      </c>
      <c r="BP84">
        <f t="shared" si="97"/>
        <v>0</v>
      </c>
      <c r="BQ84">
        <f t="shared" si="98"/>
        <v>10</v>
      </c>
      <c r="BR84">
        <f t="shared" si="99"/>
        <v>31</v>
      </c>
      <c r="BS84">
        <f t="shared" si="100"/>
        <v>0</v>
      </c>
      <c r="BT84">
        <f t="shared" si="101"/>
        <v>0</v>
      </c>
      <c r="BU84">
        <f t="shared" si="102"/>
        <v>0</v>
      </c>
      <c r="BV84">
        <f t="shared" si="103"/>
        <v>0</v>
      </c>
      <c r="BW84">
        <f t="shared" si="104"/>
        <v>0</v>
      </c>
      <c r="BX84">
        <f t="shared" si="105"/>
        <v>0</v>
      </c>
    </row>
    <row r="85" spans="2:76">
      <c r="B85" s="19">
        <f>Tiers!B86</f>
        <v>83</v>
      </c>
      <c r="C85" s="118" t="str">
        <f>Tiers!X86</f>
        <v>freeplayA-29|||||||||</v>
      </c>
      <c r="D85" s="21">
        <f>Tiers!C86</f>
        <v>2</v>
      </c>
      <c r="E85" s="22">
        <f>Frequency!E87</f>
        <v>10</v>
      </c>
      <c r="F85" s="22">
        <f t="shared" si="55"/>
        <v>20</v>
      </c>
      <c r="G85" s="20">
        <f>IF(AND(D85/Summary!$C$4&gt;0, D85/Summary!$C$4&lt;5),E85,0) * D85</f>
        <v>20</v>
      </c>
      <c r="H85" s="20">
        <f>IF(AND(D85/Summary!$C$4&gt;= 5, D85/Summary!$C$4&lt;10),E85,0) * D85</f>
        <v>0</v>
      </c>
      <c r="I85" s="20">
        <f>IF(AND(D85/Summary!$C$4&gt;=10, D85/Summary!$C$4&lt;25),E85,0)*D85</f>
        <v>0</v>
      </c>
      <c r="J85" s="20">
        <f>IF(D85/Summary!$C$4&gt;=25,E85,0)*D85</f>
        <v>0</v>
      </c>
      <c r="K85" s="35">
        <f>IF(AND(D85/Frequency!$N$7&gt;0, D85/Frequency!$N$7&lt;1),E85,0)</f>
        <v>0</v>
      </c>
      <c r="L85" s="35">
        <f t="shared" si="56"/>
        <v>0</v>
      </c>
      <c r="M85" s="35">
        <f>IF(D85/Frequency!$N$7=1,1,0)*E85</f>
        <v>0</v>
      </c>
      <c r="N85" s="35">
        <f t="shared" si="57"/>
        <v>0</v>
      </c>
      <c r="O85" s="35">
        <f>IF(AND(D85/Frequency!$N$7&gt;1, D85/Frequency!$N$7&lt;=2),1,0)*E85</f>
        <v>10</v>
      </c>
      <c r="P85" s="35">
        <f t="shared" si="58"/>
        <v>20</v>
      </c>
      <c r="Q85" s="35">
        <f>IF(AND(D85/Frequency!$N$7&gt;2,D85/Frequency!$N$7&lt;=5),1,0)*E85</f>
        <v>0</v>
      </c>
      <c r="R85" s="35">
        <f t="shared" si="59"/>
        <v>0</v>
      </c>
      <c r="S85" s="35">
        <f>IF(AND(D85/Frequency!$N$7&gt;5, D85/Frequency!$N$7&lt;=10),1,0)*E85</f>
        <v>0</v>
      </c>
      <c r="T85" s="35">
        <f t="shared" si="60"/>
        <v>0</v>
      </c>
      <c r="U85" s="35">
        <f>IF(AND(D85/Frequency!$N$7&gt;10, D85/Frequency!$N$7&lt;=20),1,0)*E85</f>
        <v>0</v>
      </c>
      <c r="V85" s="35">
        <f t="shared" si="61"/>
        <v>0</v>
      </c>
      <c r="W85" s="35">
        <f>IF(AND(D85/Frequency!$N$7&gt;20, D85/Frequency!$N$7&lt;=30),1,0)*E85</f>
        <v>0</v>
      </c>
      <c r="X85" s="35">
        <f t="shared" si="62"/>
        <v>0</v>
      </c>
      <c r="Y85" s="35">
        <f>IF(AND(D85/Frequency!$N$7&gt;30, D85/Frequency!$N$7&lt;=50),1,0)*E85</f>
        <v>0</v>
      </c>
      <c r="Z85" s="35">
        <f t="shared" si="63"/>
        <v>0</v>
      </c>
      <c r="AA85" s="35">
        <f>IF(AND(D85/Frequency!$N$7&gt;50, D85/Frequency!$N$7&lt;=100),1,0)*E85</f>
        <v>0</v>
      </c>
      <c r="AB85" s="35">
        <f t="shared" si="64"/>
        <v>0</v>
      </c>
      <c r="AC85" s="35">
        <f>IF(D85/Frequency!$N$7&gt;100,1,0)*E85</f>
        <v>0</v>
      </c>
      <c r="AD85" s="35">
        <f t="shared" si="65"/>
        <v>0</v>
      </c>
      <c r="AE85" s="22">
        <f t="shared" si="66"/>
        <v>10</v>
      </c>
      <c r="AF85" s="22">
        <f t="shared" si="67"/>
        <v>0</v>
      </c>
      <c r="AG85" s="22">
        <f t="shared" si="68"/>
        <v>0</v>
      </c>
      <c r="AH85" s="22">
        <f t="shared" si="69"/>
        <v>0</v>
      </c>
      <c r="AI85" s="35">
        <f t="shared" si="70"/>
        <v>0</v>
      </c>
      <c r="AJ85" s="35">
        <f t="shared" si="71"/>
        <v>0</v>
      </c>
      <c r="AK85" s="35">
        <f t="shared" si="72"/>
        <v>0</v>
      </c>
      <c r="AL85">
        <f t="shared" si="73"/>
        <v>0</v>
      </c>
      <c r="AM85">
        <f t="shared" si="74"/>
        <v>0</v>
      </c>
      <c r="AN85">
        <f t="shared" si="75"/>
        <v>0</v>
      </c>
      <c r="AO85">
        <f t="shared" si="76"/>
        <v>0</v>
      </c>
      <c r="AP85">
        <f t="shared" si="77"/>
        <v>0</v>
      </c>
      <c r="AQ85">
        <f t="shared" si="78"/>
        <v>0</v>
      </c>
      <c r="AR85">
        <f t="shared" si="79"/>
        <v>0</v>
      </c>
      <c r="AS85">
        <f t="shared" si="80"/>
        <v>0</v>
      </c>
      <c r="AT85">
        <f t="shared" si="81"/>
        <v>0</v>
      </c>
      <c r="AU85">
        <f t="shared" si="82"/>
        <v>1</v>
      </c>
      <c r="AV85">
        <v>0</v>
      </c>
      <c r="AW85">
        <v>0</v>
      </c>
      <c r="AX85">
        <f t="shared" si="83"/>
        <v>0</v>
      </c>
      <c r="AY85">
        <f t="shared" si="84"/>
        <v>0</v>
      </c>
      <c r="AZ85">
        <f t="shared" si="85"/>
        <v>0</v>
      </c>
      <c r="BA85">
        <f t="shared" si="86"/>
        <v>0</v>
      </c>
      <c r="BB85">
        <f t="shared" si="87"/>
        <v>0</v>
      </c>
      <c r="BC85">
        <f t="shared" si="88"/>
        <v>0</v>
      </c>
      <c r="BD85">
        <f t="shared" si="89"/>
        <v>0</v>
      </c>
      <c r="BE85">
        <f t="shared" si="90"/>
        <v>0</v>
      </c>
      <c r="BF85">
        <f t="shared" si="91"/>
        <v>0</v>
      </c>
      <c r="BG85">
        <f t="shared" si="92"/>
        <v>0</v>
      </c>
      <c r="BH85">
        <f t="shared" si="93"/>
        <v>0</v>
      </c>
      <c r="BI85">
        <f t="shared" si="94"/>
        <v>0</v>
      </c>
      <c r="BJ85">
        <v>0</v>
      </c>
      <c r="BK85" t="str">
        <f t="shared" si="106"/>
        <v>Standard Win</v>
      </c>
      <c r="BL85" s="40" t="str">
        <f t="shared" si="107"/>
        <v>Free Plays A</v>
      </c>
      <c r="BM85">
        <f>(D85/Frequency!$N$7-Summary!$C$7)^2*E85</f>
        <v>13.456000000000003</v>
      </c>
      <c r="BN85">
        <f t="shared" si="95"/>
        <v>20</v>
      </c>
      <c r="BO85">
        <f t="shared" si="96"/>
        <v>0</v>
      </c>
      <c r="BP85">
        <f t="shared" si="97"/>
        <v>0</v>
      </c>
      <c r="BQ85">
        <f t="shared" si="98"/>
        <v>10</v>
      </c>
      <c r="BR85">
        <f t="shared" si="99"/>
        <v>20</v>
      </c>
      <c r="BS85">
        <f t="shared" si="100"/>
        <v>0</v>
      </c>
      <c r="BT85">
        <f t="shared" si="101"/>
        <v>0</v>
      </c>
      <c r="BU85">
        <f t="shared" si="102"/>
        <v>0</v>
      </c>
      <c r="BV85">
        <f t="shared" si="103"/>
        <v>0</v>
      </c>
      <c r="BW85">
        <f t="shared" si="104"/>
        <v>0</v>
      </c>
      <c r="BX85">
        <f t="shared" si="105"/>
        <v>0</v>
      </c>
    </row>
    <row r="86" spans="2:76">
      <c r="B86" s="19">
        <f>Tiers!B87</f>
        <v>84</v>
      </c>
      <c r="C86" s="118" t="str">
        <f>Tiers!X87</f>
        <v>freeplayA-30|||||||||</v>
      </c>
      <c r="D86" s="21">
        <f>Tiers!C87</f>
        <v>0.1</v>
      </c>
      <c r="E86" s="22">
        <f>Frequency!E88</f>
        <v>10</v>
      </c>
      <c r="F86" s="22">
        <f t="shared" si="55"/>
        <v>1</v>
      </c>
      <c r="G86" s="20">
        <f>IF(AND(D86/Summary!$C$4&gt;0, D86/Summary!$C$4&lt;5),E86,0) * D86</f>
        <v>1</v>
      </c>
      <c r="H86" s="20">
        <f>IF(AND(D86/Summary!$C$4&gt;= 5, D86/Summary!$C$4&lt;10),E86,0) * D86</f>
        <v>0</v>
      </c>
      <c r="I86" s="20">
        <f>IF(AND(D86/Summary!$C$4&gt;=10, D86/Summary!$C$4&lt;25),E86,0)*D86</f>
        <v>0</v>
      </c>
      <c r="J86" s="20">
        <f>IF(D86/Summary!$C$4&gt;=25,E86,0)*D86</f>
        <v>0</v>
      </c>
      <c r="K86" s="35">
        <f>IF(AND(D86/Frequency!$N$7&gt;0, D86/Frequency!$N$7&lt;1),E86,0)</f>
        <v>10</v>
      </c>
      <c r="L86" s="35">
        <f t="shared" si="56"/>
        <v>1</v>
      </c>
      <c r="M86" s="35">
        <f>IF(D86/Frequency!$N$7=1,1,0)*E86</f>
        <v>0</v>
      </c>
      <c r="N86" s="35">
        <f t="shared" si="57"/>
        <v>0</v>
      </c>
      <c r="O86" s="35">
        <f>IF(AND(D86/Frequency!$N$7&gt;1, D86/Frequency!$N$7&lt;=2),1,0)*E86</f>
        <v>0</v>
      </c>
      <c r="P86" s="35">
        <f t="shared" si="58"/>
        <v>0</v>
      </c>
      <c r="Q86" s="35">
        <f>IF(AND(D86/Frequency!$N$7&gt;2,D86/Frequency!$N$7&lt;=5),1,0)*E86</f>
        <v>0</v>
      </c>
      <c r="R86" s="35">
        <f t="shared" si="59"/>
        <v>0</v>
      </c>
      <c r="S86" s="35">
        <f>IF(AND(D86/Frequency!$N$7&gt;5, D86/Frequency!$N$7&lt;=10),1,0)*E86</f>
        <v>0</v>
      </c>
      <c r="T86" s="35">
        <f t="shared" si="60"/>
        <v>0</v>
      </c>
      <c r="U86" s="35">
        <f>IF(AND(D86/Frequency!$N$7&gt;10, D86/Frequency!$N$7&lt;=20),1,0)*E86</f>
        <v>0</v>
      </c>
      <c r="V86" s="35">
        <f t="shared" si="61"/>
        <v>0</v>
      </c>
      <c r="W86" s="35">
        <f>IF(AND(D86/Frequency!$N$7&gt;20, D86/Frequency!$N$7&lt;=30),1,0)*E86</f>
        <v>0</v>
      </c>
      <c r="X86" s="35">
        <f t="shared" si="62"/>
        <v>0</v>
      </c>
      <c r="Y86" s="35">
        <f>IF(AND(D86/Frequency!$N$7&gt;30, D86/Frequency!$N$7&lt;=50),1,0)*E86</f>
        <v>0</v>
      </c>
      <c r="Z86" s="35">
        <f t="shared" si="63"/>
        <v>0</v>
      </c>
      <c r="AA86" s="35">
        <f>IF(AND(D86/Frequency!$N$7&gt;50, D86/Frequency!$N$7&lt;=100),1,0)*E86</f>
        <v>0</v>
      </c>
      <c r="AB86" s="35">
        <f t="shared" si="64"/>
        <v>0</v>
      </c>
      <c r="AC86" s="35">
        <f>IF(D86/Frequency!$N$7&gt;100,1,0)*E86</f>
        <v>0</v>
      </c>
      <c r="AD86" s="35">
        <f t="shared" si="65"/>
        <v>0</v>
      </c>
      <c r="AE86" s="22">
        <f t="shared" si="66"/>
        <v>10</v>
      </c>
      <c r="AF86" s="22">
        <f t="shared" si="67"/>
        <v>0</v>
      </c>
      <c r="AG86" s="22">
        <f t="shared" si="68"/>
        <v>0</v>
      </c>
      <c r="AH86" s="22">
        <f t="shared" si="69"/>
        <v>0</v>
      </c>
      <c r="AI86" s="35">
        <f t="shared" si="70"/>
        <v>0</v>
      </c>
      <c r="AJ86" s="35">
        <f t="shared" si="71"/>
        <v>0</v>
      </c>
      <c r="AK86" s="35">
        <f t="shared" si="72"/>
        <v>0</v>
      </c>
      <c r="AL86">
        <f t="shared" si="73"/>
        <v>0</v>
      </c>
      <c r="AM86">
        <f t="shared" si="74"/>
        <v>0</v>
      </c>
      <c r="AN86">
        <f t="shared" si="75"/>
        <v>0</v>
      </c>
      <c r="AO86">
        <f t="shared" si="76"/>
        <v>0</v>
      </c>
      <c r="AP86">
        <f t="shared" si="77"/>
        <v>0</v>
      </c>
      <c r="AQ86">
        <f t="shared" si="78"/>
        <v>0</v>
      </c>
      <c r="AR86">
        <f t="shared" si="79"/>
        <v>0</v>
      </c>
      <c r="AS86">
        <f t="shared" si="80"/>
        <v>0</v>
      </c>
      <c r="AT86">
        <f t="shared" si="81"/>
        <v>0</v>
      </c>
      <c r="AU86">
        <f t="shared" si="82"/>
        <v>1</v>
      </c>
      <c r="AV86">
        <v>0</v>
      </c>
      <c r="AW86">
        <v>0</v>
      </c>
      <c r="AX86">
        <f t="shared" si="83"/>
        <v>0</v>
      </c>
      <c r="AY86">
        <f t="shared" si="84"/>
        <v>0</v>
      </c>
      <c r="AZ86">
        <f t="shared" si="85"/>
        <v>0</v>
      </c>
      <c r="BA86">
        <f t="shared" si="86"/>
        <v>0</v>
      </c>
      <c r="BB86">
        <f t="shared" si="87"/>
        <v>0</v>
      </c>
      <c r="BC86">
        <f t="shared" si="88"/>
        <v>0</v>
      </c>
      <c r="BD86">
        <f t="shared" si="89"/>
        <v>0</v>
      </c>
      <c r="BE86">
        <f t="shared" si="90"/>
        <v>0</v>
      </c>
      <c r="BF86">
        <f t="shared" si="91"/>
        <v>0</v>
      </c>
      <c r="BG86">
        <f t="shared" si="92"/>
        <v>0</v>
      </c>
      <c r="BH86">
        <f t="shared" si="93"/>
        <v>0</v>
      </c>
      <c r="BI86">
        <f t="shared" si="94"/>
        <v>0</v>
      </c>
      <c r="BJ86">
        <v>0</v>
      </c>
      <c r="BK86" t="str">
        <f t="shared" si="106"/>
        <v>Less than Stake</v>
      </c>
      <c r="BL86" s="40" t="str">
        <f t="shared" si="107"/>
        <v>Free Plays A</v>
      </c>
      <c r="BM86">
        <f>(D86/Frequency!$N$7-Summary!$C$7)^2*E86</f>
        <v>5.476</v>
      </c>
      <c r="BN86">
        <f t="shared" si="95"/>
        <v>1</v>
      </c>
      <c r="BO86">
        <f t="shared" si="96"/>
        <v>0</v>
      </c>
      <c r="BP86">
        <f t="shared" si="97"/>
        <v>0</v>
      </c>
      <c r="BQ86">
        <f t="shared" si="98"/>
        <v>10</v>
      </c>
      <c r="BR86">
        <f t="shared" si="99"/>
        <v>1</v>
      </c>
      <c r="BS86">
        <f t="shared" si="100"/>
        <v>0</v>
      </c>
      <c r="BT86">
        <f t="shared" si="101"/>
        <v>0</v>
      </c>
      <c r="BU86">
        <f t="shared" si="102"/>
        <v>0</v>
      </c>
      <c r="BV86">
        <f t="shared" si="103"/>
        <v>0</v>
      </c>
      <c r="BW86">
        <f t="shared" si="104"/>
        <v>0</v>
      </c>
      <c r="BX86">
        <f t="shared" si="105"/>
        <v>0</v>
      </c>
    </row>
    <row r="87" spans="2:76">
      <c r="B87" s="19">
        <f>Tiers!B88</f>
        <v>85</v>
      </c>
      <c r="C87" s="118" t="str">
        <f>Tiers!X88</f>
        <v>freeplayA-31|||||||||</v>
      </c>
      <c r="D87" s="21">
        <f>Tiers!C88</f>
        <v>10</v>
      </c>
      <c r="E87" s="22">
        <f>Frequency!E89</f>
        <v>10</v>
      </c>
      <c r="F87" s="22">
        <f t="shared" si="55"/>
        <v>100</v>
      </c>
      <c r="G87" s="20">
        <f>IF(AND(D87/Summary!$C$4&gt;0, D87/Summary!$C$4&lt;5),E87,0) * D87</f>
        <v>0</v>
      </c>
      <c r="H87" s="20">
        <f>IF(AND(D87/Summary!$C$4&gt;= 5, D87/Summary!$C$4&lt;10),E87,0) * D87</f>
        <v>0</v>
      </c>
      <c r="I87" s="20">
        <f>IF(AND(D87/Summary!$C$4&gt;=10, D87/Summary!$C$4&lt;25),E87,0)*D87</f>
        <v>100</v>
      </c>
      <c r="J87" s="20">
        <f>IF(D87/Summary!$C$4&gt;=25,E87,0)*D87</f>
        <v>0</v>
      </c>
      <c r="K87" s="35">
        <f>IF(AND(D87/Frequency!$N$7&gt;0, D87/Frequency!$N$7&lt;1),E87,0)</f>
        <v>0</v>
      </c>
      <c r="L87" s="35">
        <f t="shared" si="56"/>
        <v>0</v>
      </c>
      <c r="M87" s="35">
        <f>IF(D87/Frequency!$N$7=1,1,0)*E87</f>
        <v>0</v>
      </c>
      <c r="N87" s="35">
        <f t="shared" si="57"/>
        <v>0</v>
      </c>
      <c r="O87" s="35">
        <f>IF(AND(D87/Frequency!$N$7&gt;1, D87/Frequency!$N$7&lt;=2),1,0)*E87</f>
        <v>0</v>
      </c>
      <c r="P87" s="35">
        <f t="shared" si="58"/>
        <v>0</v>
      </c>
      <c r="Q87" s="35">
        <f>IF(AND(D87/Frequency!$N$7&gt;2,D87/Frequency!$N$7&lt;=5),1,0)*E87</f>
        <v>0</v>
      </c>
      <c r="R87" s="35">
        <f t="shared" si="59"/>
        <v>0</v>
      </c>
      <c r="S87" s="35">
        <f>IF(AND(D87/Frequency!$N$7&gt;5, D87/Frequency!$N$7&lt;=10),1,0)*E87</f>
        <v>10</v>
      </c>
      <c r="T87" s="35">
        <f t="shared" si="60"/>
        <v>100</v>
      </c>
      <c r="U87" s="35">
        <f>IF(AND(D87/Frequency!$N$7&gt;10, D87/Frequency!$N$7&lt;=20),1,0)*E87</f>
        <v>0</v>
      </c>
      <c r="V87" s="35">
        <f t="shared" si="61"/>
        <v>0</v>
      </c>
      <c r="W87" s="35">
        <f>IF(AND(D87/Frequency!$N$7&gt;20, D87/Frequency!$N$7&lt;=30),1,0)*E87</f>
        <v>0</v>
      </c>
      <c r="X87" s="35">
        <f t="shared" si="62"/>
        <v>0</v>
      </c>
      <c r="Y87" s="35">
        <f>IF(AND(D87/Frequency!$N$7&gt;30, D87/Frequency!$N$7&lt;=50),1,0)*E87</f>
        <v>0</v>
      </c>
      <c r="Z87" s="35">
        <f t="shared" si="63"/>
        <v>0</v>
      </c>
      <c r="AA87" s="35">
        <f>IF(AND(D87/Frequency!$N$7&gt;50, D87/Frequency!$N$7&lt;=100),1,0)*E87</f>
        <v>0</v>
      </c>
      <c r="AB87" s="35">
        <f t="shared" si="64"/>
        <v>0</v>
      </c>
      <c r="AC87" s="35">
        <f>IF(D87/Frequency!$N$7&gt;100,1,0)*E87</f>
        <v>0</v>
      </c>
      <c r="AD87" s="35">
        <f t="shared" si="65"/>
        <v>0</v>
      </c>
      <c r="AE87" s="22">
        <f t="shared" si="66"/>
        <v>10</v>
      </c>
      <c r="AF87" s="22">
        <f t="shared" si="67"/>
        <v>0</v>
      </c>
      <c r="AG87" s="22">
        <f t="shared" si="68"/>
        <v>0</v>
      </c>
      <c r="AH87" s="22">
        <f t="shared" si="69"/>
        <v>0</v>
      </c>
      <c r="AI87" s="35">
        <f t="shared" si="70"/>
        <v>0</v>
      </c>
      <c r="AJ87" s="35">
        <f t="shared" si="71"/>
        <v>0</v>
      </c>
      <c r="AK87" s="35">
        <f t="shared" si="72"/>
        <v>0</v>
      </c>
      <c r="AL87">
        <f t="shared" si="73"/>
        <v>0</v>
      </c>
      <c r="AM87">
        <f t="shared" si="74"/>
        <v>0</v>
      </c>
      <c r="AN87">
        <f t="shared" si="75"/>
        <v>0</v>
      </c>
      <c r="AO87">
        <f t="shared" si="76"/>
        <v>0</v>
      </c>
      <c r="AP87">
        <f t="shared" si="77"/>
        <v>0</v>
      </c>
      <c r="AQ87">
        <f t="shared" si="78"/>
        <v>0</v>
      </c>
      <c r="AR87">
        <f t="shared" si="79"/>
        <v>0</v>
      </c>
      <c r="AS87">
        <f t="shared" si="80"/>
        <v>0</v>
      </c>
      <c r="AT87">
        <f t="shared" si="81"/>
        <v>0</v>
      </c>
      <c r="AU87">
        <f t="shared" si="82"/>
        <v>1</v>
      </c>
      <c r="AV87">
        <v>0</v>
      </c>
      <c r="AW87">
        <v>0</v>
      </c>
      <c r="AX87">
        <f t="shared" si="83"/>
        <v>0</v>
      </c>
      <c r="AY87">
        <f t="shared" si="84"/>
        <v>0</v>
      </c>
      <c r="AZ87">
        <f t="shared" si="85"/>
        <v>0</v>
      </c>
      <c r="BA87">
        <f t="shared" si="86"/>
        <v>0</v>
      </c>
      <c r="BB87">
        <f t="shared" si="87"/>
        <v>0</v>
      </c>
      <c r="BC87">
        <f t="shared" si="88"/>
        <v>0</v>
      </c>
      <c r="BD87">
        <f t="shared" si="89"/>
        <v>0</v>
      </c>
      <c r="BE87">
        <f t="shared" si="90"/>
        <v>0</v>
      </c>
      <c r="BF87">
        <f t="shared" si="91"/>
        <v>0</v>
      </c>
      <c r="BG87">
        <f t="shared" si="92"/>
        <v>0</v>
      </c>
      <c r="BH87">
        <f t="shared" si="93"/>
        <v>0</v>
      </c>
      <c r="BI87">
        <f t="shared" si="94"/>
        <v>0</v>
      </c>
      <c r="BJ87">
        <v>0</v>
      </c>
      <c r="BK87" t="str">
        <f t="shared" si="106"/>
        <v>Big Win</v>
      </c>
      <c r="BL87" s="40" t="str">
        <f t="shared" si="107"/>
        <v>Free Plays A</v>
      </c>
      <c r="BM87">
        <f>(D87/Frequency!$N$7-Summary!$C$7)^2*E87</f>
        <v>839.05600000000004</v>
      </c>
      <c r="BN87">
        <f t="shared" si="95"/>
        <v>100</v>
      </c>
      <c r="BO87">
        <f t="shared" si="96"/>
        <v>0</v>
      </c>
      <c r="BP87">
        <f t="shared" si="97"/>
        <v>0</v>
      </c>
      <c r="BQ87">
        <f t="shared" si="98"/>
        <v>10</v>
      </c>
      <c r="BR87">
        <f t="shared" si="99"/>
        <v>100</v>
      </c>
      <c r="BS87">
        <f t="shared" si="100"/>
        <v>0</v>
      </c>
      <c r="BT87">
        <f t="shared" si="101"/>
        <v>0</v>
      </c>
      <c r="BU87">
        <f t="shared" si="102"/>
        <v>0</v>
      </c>
      <c r="BV87">
        <f t="shared" si="103"/>
        <v>0</v>
      </c>
      <c r="BW87">
        <f t="shared" si="104"/>
        <v>0</v>
      </c>
      <c r="BX87">
        <f t="shared" si="105"/>
        <v>0</v>
      </c>
    </row>
    <row r="88" spans="2:76">
      <c r="B88" s="19">
        <f>Tiers!B89</f>
        <v>86</v>
      </c>
      <c r="C88" s="118" t="str">
        <f>Tiers!X89</f>
        <v>freeplayA-32|||||||||</v>
      </c>
      <c r="D88" s="21">
        <f>Tiers!C89</f>
        <v>0.1</v>
      </c>
      <c r="E88" s="22">
        <f>Frequency!E90</f>
        <v>10</v>
      </c>
      <c r="F88" s="22">
        <f t="shared" si="55"/>
        <v>1</v>
      </c>
      <c r="G88" s="20">
        <f>IF(AND(D88/Summary!$C$4&gt;0, D88/Summary!$C$4&lt;5),E88,0) * D88</f>
        <v>1</v>
      </c>
      <c r="H88" s="20">
        <f>IF(AND(D88/Summary!$C$4&gt;= 5, D88/Summary!$C$4&lt;10),E88,0) * D88</f>
        <v>0</v>
      </c>
      <c r="I88" s="20">
        <f>IF(AND(D88/Summary!$C$4&gt;=10, D88/Summary!$C$4&lt;25),E88,0)*D88</f>
        <v>0</v>
      </c>
      <c r="J88" s="20">
        <f>IF(D88/Summary!$C$4&gt;=25,E88,0)*D88</f>
        <v>0</v>
      </c>
      <c r="K88" s="35">
        <f>IF(AND(D88/Frequency!$N$7&gt;0, D88/Frequency!$N$7&lt;1),E88,0)</f>
        <v>10</v>
      </c>
      <c r="L88" s="35">
        <f t="shared" si="56"/>
        <v>1</v>
      </c>
      <c r="M88" s="35">
        <f>IF(D88/Frequency!$N$7=1,1,0)*E88</f>
        <v>0</v>
      </c>
      <c r="N88" s="35">
        <f t="shared" si="57"/>
        <v>0</v>
      </c>
      <c r="O88" s="35">
        <f>IF(AND(D88/Frequency!$N$7&gt;1, D88/Frequency!$N$7&lt;=2),1,0)*E88</f>
        <v>0</v>
      </c>
      <c r="P88" s="35">
        <f t="shared" si="58"/>
        <v>0</v>
      </c>
      <c r="Q88" s="35">
        <f>IF(AND(D88/Frequency!$N$7&gt;2,D88/Frequency!$N$7&lt;=5),1,0)*E88</f>
        <v>0</v>
      </c>
      <c r="R88" s="35">
        <f t="shared" si="59"/>
        <v>0</v>
      </c>
      <c r="S88" s="35">
        <f>IF(AND(D88/Frequency!$N$7&gt;5, D88/Frequency!$N$7&lt;=10),1,0)*E88</f>
        <v>0</v>
      </c>
      <c r="T88" s="35">
        <f t="shared" si="60"/>
        <v>0</v>
      </c>
      <c r="U88" s="35">
        <f>IF(AND(D88/Frequency!$N$7&gt;10, D88/Frequency!$N$7&lt;=20),1,0)*E88</f>
        <v>0</v>
      </c>
      <c r="V88" s="35">
        <f t="shared" si="61"/>
        <v>0</v>
      </c>
      <c r="W88" s="35">
        <f>IF(AND(D88/Frequency!$N$7&gt;20, D88/Frequency!$N$7&lt;=30),1,0)*E88</f>
        <v>0</v>
      </c>
      <c r="X88" s="35">
        <f t="shared" si="62"/>
        <v>0</v>
      </c>
      <c r="Y88" s="35">
        <f>IF(AND(D88/Frequency!$N$7&gt;30, D88/Frequency!$N$7&lt;=50),1,0)*E88</f>
        <v>0</v>
      </c>
      <c r="Z88" s="35">
        <f t="shared" si="63"/>
        <v>0</v>
      </c>
      <c r="AA88" s="35">
        <f>IF(AND(D88/Frequency!$N$7&gt;50, D88/Frequency!$N$7&lt;=100),1,0)*E88</f>
        <v>0</v>
      </c>
      <c r="AB88" s="35">
        <f t="shared" si="64"/>
        <v>0</v>
      </c>
      <c r="AC88" s="35">
        <f>IF(D88/Frequency!$N$7&gt;100,1,0)*E88</f>
        <v>0</v>
      </c>
      <c r="AD88" s="35">
        <f t="shared" si="65"/>
        <v>0</v>
      </c>
      <c r="AE88" s="22">
        <f t="shared" si="66"/>
        <v>10</v>
      </c>
      <c r="AF88" s="22">
        <f t="shared" si="67"/>
        <v>0</v>
      </c>
      <c r="AG88" s="22">
        <f t="shared" si="68"/>
        <v>0</v>
      </c>
      <c r="AH88" s="22">
        <f t="shared" si="69"/>
        <v>0</v>
      </c>
      <c r="AI88" s="35">
        <f t="shared" si="70"/>
        <v>0</v>
      </c>
      <c r="AJ88" s="35">
        <f t="shared" si="71"/>
        <v>0</v>
      </c>
      <c r="AK88" s="35">
        <f t="shared" si="72"/>
        <v>0</v>
      </c>
      <c r="AL88">
        <f t="shared" si="73"/>
        <v>0</v>
      </c>
      <c r="AM88">
        <f t="shared" si="74"/>
        <v>0</v>
      </c>
      <c r="AN88">
        <f t="shared" si="75"/>
        <v>0</v>
      </c>
      <c r="AO88">
        <f t="shared" si="76"/>
        <v>0</v>
      </c>
      <c r="AP88">
        <f t="shared" si="77"/>
        <v>0</v>
      </c>
      <c r="AQ88">
        <f t="shared" si="78"/>
        <v>0</v>
      </c>
      <c r="AR88">
        <f t="shared" si="79"/>
        <v>0</v>
      </c>
      <c r="AS88">
        <f t="shared" si="80"/>
        <v>0</v>
      </c>
      <c r="AT88">
        <f t="shared" si="81"/>
        <v>0</v>
      </c>
      <c r="AU88">
        <f t="shared" si="82"/>
        <v>1</v>
      </c>
      <c r="AV88">
        <v>0</v>
      </c>
      <c r="AW88">
        <v>0</v>
      </c>
      <c r="AX88">
        <f t="shared" si="83"/>
        <v>0</v>
      </c>
      <c r="AY88">
        <f t="shared" si="84"/>
        <v>0</v>
      </c>
      <c r="AZ88">
        <f t="shared" si="85"/>
        <v>0</v>
      </c>
      <c r="BA88">
        <f t="shared" si="86"/>
        <v>0</v>
      </c>
      <c r="BB88">
        <f t="shared" si="87"/>
        <v>0</v>
      </c>
      <c r="BC88">
        <f t="shared" si="88"/>
        <v>0</v>
      </c>
      <c r="BD88">
        <f t="shared" si="89"/>
        <v>0</v>
      </c>
      <c r="BE88">
        <f t="shared" si="90"/>
        <v>0</v>
      </c>
      <c r="BF88">
        <f t="shared" si="91"/>
        <v>0</v>
      </c>
      <c r="BG88">
        <f t="shared" si="92"/>
        <v>0</v>
      </c>
      <c r="BH88">
        <f t="shared" si="93"/>
        <v>0</v>
      </c>
      <c r="BI88">
        <f t="shared" si="94"/>
        <v>0</v>
      </c>
      <c r="BJ88">
        <v>0</v>
      </c>
      <c r="BK88" t="str">
        <f t="shared" si="106"/>
        <v>Less than Stake</v>
      </c>
      <c r="BL88" s="40" t="str">
        <f t="shared" si="107"/>
        <v>Free Plays A</v>
      </c>
      <c r="BM88">
        <f>(D88/Frequency!$N$7-Summary!$C$7)^2*E88</f>
        <v>5.476</v>
      </c>
      <c r="BN88">
        <f t="shared" si="95"/>
        <v>1</v>
      </c>
      <c r="BO88">
        <f t="shared" si="96"/>
        <v>0</v>
      </c>
      <c r="BP88">
        <f t="shared" si="97"/>
        <v>0</v>
      </c>
      <c r="BQ88">
        <f t="shared" si="98"/>
        <v>10</v>
      </c>
      <c r="BR88">
        <f t="shared" si="99"/>
        <v>1</v>
      </c>
      <c r="BS88">
        <f t="shared" si="100"/>
        <v>0</v>
      </c>
      <c r="BT88">
        <f t="shared" si="101"/>
        <v>0</v>
      </c>
      <c r="BU88">
        <f t="shared" si="102"/>
        <v>0</v>
      </c>
      <c r="BV88">
        <f t="shared" si="103"/>
        <v>0</v>
      </c>
      <c r="BW88">
        <f t="shared" si="104"/>
        <v>0</v>
      </c>
      <c r="BX88">
        <f t="shared" si="105"/>
        <v>0</v>
      </c>
    </row>
    <row r="89" spans="2:76">
      <c r="B89" s="19">
        <f>Tiers!B90</f>
        <v>87</v>
      </c>
      <c r="C89" s="118" t="str">
        <f>Tiers!X90</f>
        <v>freeplayA-33|||||||||</v>
      </c>
      <c r="D89" s="21">
        <f>Tiers!C90</f>
        <v>5</v>
      </c>
      <c r="E89" s="22">
        <f>Frequency!E91</f>
        <v>5</v>
      </c>
      <c r="F89" s="22">
        <f t="shared" si="55"/>
        <v>25</v>
      </c>
      <c r="G89" s="20">
        <f>IF(AND(D89/Summary!$C$4&gt;0, D89/Summary!$C$4&lt;5),E89,0) * D89</f>
        <v>0</v>
      </c>
      <c r="H89" s="20">
        <f>IF(AND(D89/Summary!$C$4&gt;= 5, D89/Summary!$C$4&lt;10),E89,0) * D89</f>
        <v>25</v>
      </c>
      <c r="I89" s="20">
        <f>IF(AND(D89/Summary!$C$4&gt;=10, D89/Summary!$C$4&lt;25),E89,0)*D89</f>
        <v>0</v>
      </c>
      <c r="J89" s="20">
        <f>IF(D89/Summary!$C$4&gt;=25,E89,0)*D89</f>
        <v>0</v>
      </c>
      <c r="K89" s="35">
        <f>IF(AND(D89/Frequency!$N$7&gt;0, D89/Frequency!$N$7&lt;1),E89,0)</f>
        <v>0</v>
      </c>
      <c r="L89" s="35">
        <f t="shared" si="56"/>
        <v>0</v>
      </c>
      <c r="M89" s="35">
        <f>IF(D89/Frequency!$N$7=1,1,0)*E89</f>
        <v>0</v>
      </c>
      <c r="N89" s="35">
        <f t="shared" si="57"/>
        <v>0</v>
      </c>
      <c r="O89" s="35">
        <f>IF(AND(D89/Frequency!$N$7&gt;1, D89/Frequency!$N$7&lt;=2),1,0)*E89</f>
        <v>0</v>
      </c>
      <c r="P89" s="35">
        <f t="shared" si="58"/>
        <v>0</v>
      </c>
      <c r="Q89" s="35">
        <f>IF(AND(D89/Frequency!$N$7&gt;2,D89/Frequency!$N$7&lt;=5),1,0)*E89</f>
        <v>5</v>
      </c>
      <c r="R89" s="35">
        <f t="shared" si="59"/>
        <v>25</v>
      </c>
      <c r="S89" s="35">
        <f>IF(AND(D89/Frequency!$N$7&gt;5, D89/Frequency!$N$7&lt;=10),1,0)*E89</f>
        <v>0</v>
      </c>
      <c r="T89" s="35">
        <f t="shared" si="60"/>
        <v>0</v>
      </c>
      <c r="U89" s="35">
        <f>IF(AND(D89/Frequency!$N$7&gt;10, D89/Frequency!$N$7&lt;=20),1,0)*E89</f>
        <v>0</v>
      </c>
      <c r="V89" s="35">
        <f t="shared" si="61"/>
        <v>0</v>
      </c>
      <c r="W89" s="35">
        <f>IF(AND(D89/Frequency!$N$7&gt;20, D89/Frequency!$N$7&lt;=30),1,0)*E89</f>
        <v>0</v>
      </c>
      <c r="X89" s="35">
        <f t="shared" si="62"/>
        <v>0</v>
      </c>
      <c r="Y89" s="35">
        <f>IF(AND(D89/Frequency!$N$7&gt;30, D89/Frequency!$N$7&lt;=50),1,0)*E89</f>
        <v>0</v>
      </c>
      <c r="Z89" s="35">
        <f t="shared" si="63"/>
        <v>0</v>
      </c>
      <c r="AA89" s="35">
        <f>IF(AND(D89/Frequency!$N$7&gt;50, D89/Frequency!$N$7&lt;=100),1,0)*E89</f>
        <v>0</v>
      </c>
      <c r="AB89" s="35">
        <f t="shared" si="64"/>
        <v>0</v>
      </c>
      <c r="AC89" s="35">
        <f>IF(D89/Frequency!$N$7&gt;100,1,0)*E89</f>
        <v>0</v>
      </c>
      <c r="AD89" s="35">
        <f t="shared" si="65"/>
        <v>0</v>
      </c>
      <c r="AE89" s="22">
        <f t="shared" si="66"/>
        <v>5</v>
      </c>
      <c r="AF89" s="22">
        <f t="shared" si="67"/>
        <v>0</v>
      </c>
      <c r="AG89" s="22">
        <f t="shared" si="68"/>
        <v>0</v>
      </c>
      <c r="AH89" s="22">
        <f t="shared" si="69"/>
        <v>0</v>
      </c>
      <c r="AI89" s="35">
        <f t="shared" si="70"/>
        <v>0</v>
      </c>
      <c r="AJ89" s="35">
        <f t="shared" si="71"/>
        <v>0</v>
      </c>
      <c r="AK89" s="35">
        <f t="shared" si="72"/>
        <v>0</v>
      </c>
      <c r="AL89">
        <f t="shared" si="73"/>
        <v>0</v>
      </c>
      <c r="AM89">
        <f t="shared" si="74"/>
        <v>0</v>
      </c>
      <c r="AN89">
        <f t="shared" si="75"/>
        <v>0</v>
      </c>
      <c r="AO89">
        <f t="shared" si="76"/>
        <v>0</v>
      </c>
      <c r="AP89">
        <f t="shared" si="77"/>
        <v>0</v>
      </c>
      <c r="AQ89">
        <f t="shared" si="78"/>
        <v>0</v>
      </c>
      <c r="AR89">
        <f t="shared" si="79"/>
        <v>0</v>
      </c>
      <c r="AS89">
        <f t="shared" si="80"/>
        <v>0</v>
      </c>
      <c r="AT89">
        <f t="shared" si="81"/>
        <v>0</v>
      </c>
      <c r="AU89">
        <f t="shared" si="82"/>
        <v>1</v>
      </c>
      <c r="AV89">
        <v>0</v>
      </c>
      <c r="AW89">
        <v>0</v>
      </c>
      <c r="AX89">
        <f t="shared" si="83"/>
        <v>0</v>
      </c>
      <c r="AY89">
        <f t="shared" si="84"/>
        <v>0</v>
      </c>
      <c r="AZ89">
        <f t="shared" si="85"/>
        <v>0</v>
      </c>
      <c r="BA89">
        <f t="shared" si="86"/>
        <v>0</v>
      </c>
      <c r="BB89">
        <f t="shared" si="87"/>
        <v>0</v>
      </c>
      <c r="BC89">
        <f t="shared" si="88"/>
        <v>0</v>
      </c>
      <c r="BD89">
        <f t="shared" si="89"/>
        <v>0</v>
      </c>
      <c r="BE89">
        <f t="shared" si="90"/>
        <v>0</v>
      </c>
      <c r="BF89">
        <f t="shared" si="91"/>
        <v>0</v>
      </c>
      <c r="BG89">
        <f t="shared" si="92"/>
        <v>0</v>
      </c>
      <c r="BH89">
        <f t="shared" si="93"/>
        <v>0</v>
      </c>
      <c r="BI89">
        <f t="shared" si="94"/>
        <v>0</v>
      </c>
      <c r="BJ89">
        <v>0</v>
      </c>
      <c r="BK89" t="str">
        <f t="shared" si="106"/>
        <v>Standard Win</v>
      </c>
      <c r="BL89" s="40" t="str">
        <f t="shared" si="107"/>
        <v>Free Plays A</v>
      </c>
      <c r="BM89">
        <f>(D89/Frequency!$N$7-Summary!$C$7)^2*E89</f>
        <v>86.528000000000006</v>
      </c>
      <c r="BN89">
        <f t="shared" si="95"/>
        <v>25</v>
      </c>
      <c r="BO89">
        <f t="shared" si="96"/>
        <v>0</v>
      </c>
      <c r="BP89">
        <f t="shared" si="97"/>
        <v>0</v>
      </c>
      <c r="BQ89">
        <f t="shared" si="98"/>
        <v>5</v>
      </c>
      <c r="BR89">
        <f t="shared" si="99"/>
        <v>25</v>
      </c>
      <c r="BS89">
        <f t="shared" si="100"/>
        <v>0</v>
      </c>
      <c r="BT89">
        <f t="shared" si="101"/>
        <v>0</v>
      </c>
      <c r="BU89">
        <f t="shared" si="102"/>
        <v>0</v>
      </c>
      <c r="BV89">
        <f t="shared" si="103"/>
        <v>0</v>
      </c>
      <c r="BW89">
        <f t="shared" si="104"/>
        <v>0</v>
      </c>
      <c r="BX89">
        <f t="shared" si="105"/>
        <v>0</v>
      </c>
    </row>
    <row r="90" spans="2:76">
      <c r="B90" s="19">
        <f>Tiers!B91</f>
        <v>88</v>
      </c>
      <c r="C90" s="118" t="str">
        <f>Tiers!X91</f>
        <v>freeplayA-34|||||||||</v>
      </c>
      <c r="D90" s="21">
        <f>Tiers!C91</f>
        <v>20</v>
      </c>
      <c r="E90" s="22">
        <f>Frequency!E92</f>
        <v>10</v>
      </c>
      <c r="F90" s="22">
        <f t="shared" si="55"/>
        <v>200</v>
      </c>
      <c r="G90" s="20">
        <f>IF(AND(D90/Summary!$C$4&gt;0, D90/Summary!$C$4&lt;5),E90,0) * D90</f>
        <v>0</v>
      </c>
      <c r="H90" s="20">
        <f>IF(AND(D90/Summary!$C$4&gt;= 5, D90/Summary!$C$4&lt;10),E90,0) * D90</f>
        <v>0</v>
      </c>
      <c r="I90" s="20">
        <f>IF(AND(D90/Summary!$C$4&gt;=10, D90/Summary!$C$4&lt;25),E90,0)*D90</f>
        <v>200</v>
      </c>
      <c r="J90" s="20">
        <f>IF(D90/Summary!$C$4&gt;=25,E90,0)*D90</f>
        <v>0</v>
      </c>
      <c r="K90" s="35">
        <f>IF(AND(D90/Frequency!$N$7&gt;0, D90/Frequency!$N$7&lt;1),E90,0)</f>
        <v>0</v>
      </c>
      <c r="L90" s="35">
        <f t="shared" si="56"/>
        <v>0</v>
      </c>
      <c r="M90" s="35">
        <f>IF(D90/Frequency!$N$7=1,1,0)*E90</f>
        <v>0</v>
      </c>
      <c r="N90" s="35">
        <f t="shared" si="57"/>
        <v>0</v>
      </c>
      <c r="O90" s="35">
        <f>IF(AND(D90/Frequency!$N$7&gt;1, D90/Frequency!$N$7&lt;=2),1,0)*E90</f>
        <v>0</v>
      </c>
      <c r="P90" s="35">
        <f t="shared" si="58"/>
        <v>0</v>
      </c>
      <c r="Q90" s="35">
        <f>IF(AND(D90/Frequency!$N$7&gt;2,D90/Frequency!$N$7&lt;=5),1,0)*E90</f>
        <v>0</v>
      </c>
      <c r="R90" s="35">
        <f t="shared" si="59"/>
        <v>0</v>
      </c>
      <c r="S90" s="35">
        <f>IF(AND(D90/Frequency!$N$7&gt;5, D90/Frequency!$N$7&lt;=10),1,0)*E90</f>
        <v>0</v>
      </c>
      <c r="T90" s="35">
        <f t="shared" si="60"/>
        <v>0</v>
      </c>
      <c r="U90" s="35">
        <f>IF(AND(D90/Frequency!$N$7&gt;10, D90/Frequency!$N$7&lt;=20),1,0)*E90</f>
        <v>10</v>
      </c>
      <c r="V90" s="35">
        <f t="shared" si="61"/>
        <v>200</v>
      </c>
      <c r="W90" s="35">
        <f>IF(AND(D90/Frequency!$N$7&gt;20, D90/Frequency!$N$7&lt;=30),1,0)*E90</f>
        <v>0</v>
      </c>
      <c r="X90" s="35">
        <f t="shared" si="62"/>
        <v>0</v>
      </c>
      <c r="Y90" s="35">
        <f>IF(AND(D90/Frequency!$N$7&gt;30, D90/Frequency!$N$7&lt;=50),1,0)*E90</f>
        <v>0</v>
      </c>
      <c r="Z90" s="35">
        <f t="shared" si="63"/>
        <v>0</v>
      </c>
      <c r="AA90" s="35">
        <f>IF(AND(D90/Frequency!$N$7&gt;50, D90/Frequency!$N$7&lt;=100),1,0)*E90</f>
        <v>0</v>
      </c>
      <c r="AB90" s="35">
        <f t="shared" si="64"/>
        <v>0</v>
      </c>
      <c r="AC90" s="35">
        <f>IF(D90/Frequency!$N$7&gt;100,1,0)*E90</f>
        <v>0</v>
      </c>
      <c r="AD90" s="35">
        <f t="shared" si="65"/>
        <v>0</v>
      </c>
      <c r="AE90" s="22">
        <f t="shared" si="66"/>
        <v>10</v>
      </c>
      <c r="AF90" s="22">
        <f t="shared" si="67"/>
        <v>0</v>
      </c>
      <c r="AG90" s="22">
        <f t="shared" si="68"/>
        <v>0</v>
      </c>
      <c r="AH90" s="22">
        <f t="shared" si="69"/>
        <v>0</v>
      </c>
      <c r="AI90" s="35">
        <f t="shared" si="70"/>
        <v>0</v>
      </c>
      <c r="AJ90" s="35">
        <f t="shared" si="71"/>
        <v>0</v>
      </c>
      <c r="AK90" s="35">
        <f t="shared" si="72"/>
        <v>0</v>
      </c>
      <c r="AL90">
        <f t="shared" si="73"/>
        <v>0</v>
      </c>
      <c r="AM90">
        <f t="shared" si="74"/>
        <v>0</v>
      </c>
      <c r="AN90">
        <f t="shared" si="75"/>
        <v>0</v>
      </c>
      <c r="AO90">
        <f t="shared" si="76"/>
        <v>0</v>
      </c>
      <c r="AP90">
        <f t="shared" si="77"/>
        <v>0</v>
      </c>
      <c r="AQ90">
        <f t="shared" si="78"/>
        <v>0</v>
      </c>
      <c r="AR90">
        <f t="shared" si="79"/>
        <v>0</v>
      </c>
      <c r="AS90">
        <f t="shared" si="80"/>
        <v>0</v>
      </c>
      <c r="AT90">
        <f t="shared" si="81"/>
        <v>0</v>
      </c>
      <c r="AU90">
        <f t="shared" si="82"/>
        <v>1</v>
      </c>
      <c r="AV90">
        <v>0</v>
      </c>
      <c r="AW90">
        <v>0</v>
      </c>
      <c r="AX90">
        <f t="shared" si="83"/>
        <v>0</v>
      </c>
      <c r="AY90">
        <f t="shared" si="84"/>
        <v>0</v>
      </c>
      <c r="AZ90">
        <f t="shared" si="85"/>
        <v>0</v>
      </c>
      <c r="BA90">
        <f t="shared" si="86"/>
        <v>0</v>
      </c>
      <c r="BB90">
        <f t="shared" si="87"/>
        <v>0</v>
      </c>
      <c r="BC90">
        <f t="shared" si="88"/>
        <v>0</v>
      </c>
      <c r="BD90">
        <f t="shared" si="89"/>
        <v>0</v>
      </c>
      <c r="BE90">
        <f t="shared" si="90"/>
        <v>0</v>
      </c>
      <c r="BF90">
        <f t="shared" si="91"/>
        <v>0</v>
      </c>
      <c r="BG90">
        <f t="shared" si="92"/>
        <v>0</v>
      </c>
      <c r="BH90">
        <f t="shared" si="93"/>
        <v>0</v>
      </c>
      <c r="BI90">
        <f t="shared" si="94"/>
        <v>0</v>
      </c>
      <c r="BJ90">
        <v>0</v>
      </c>
      <c r="BK90" t="str">
        <f t="shared" si="106"/>
        <v>Big Win</v>
      </c>
      <c r="BL90" s="40" t="str">
        <f t="shared" si="107"/>
        <v>Free Plays A</v>
      </c>
      <c r="BM90">
        <f>(D90/Frequency!$N$7-Summary!$C$7)^2*E90</f>
        <v>3671.0559999999996</v>
      </c>
      <c r="BN90">
        <f t="shared" si="95"/>
        <v>200</v>
      </c>
      <c r="BO90">
        <f t="shared" si="96"/>
        <v>0</v>
      </c>
      <c r="BP90">
        <f t="shared" si="97"/>
        <v>0</v>
      </c>
      <c r="BQ90">
        <f t="shared" si="98"/>
        <v>10</v>
      </c>
      <c r="BR90">
        <f t="shared" si="99"/>
        <v>200</v>
      </c>
      <c r="BS90">
        <f t="shared" si="100"/>
        <v>0</v>
      </c>
      <c r="BT90">
        <f t="shared" si="101"/>
        <v>0</v>
      </c>
      <c r="BU90">
        <f t="shared" si="102"/>
        <v>0</v>
      </c>
      <c r="BV90">
        <f t="shared" si="103"/>
        <v>0</v>
      </c>
      <c r="BW90">
        <f t="shared" si="104"/>
        <v>0</v>
      </c>
      <c r="BX90">
        <f t="shared" si="105"/>
        <v>0</v>
      </c>
    </row>
    <row r="91" spans="2:76">
      <c r="B91" s="19">
        <f>Tiers!B92</f>
        <v>89</v>
      </c>
      <c r="C91" s="118" t="str">
        <f>Tiers!X92</f>
        <v>freeplayA-35|||||||||</v>
      </c>
      <c r="D91" s="21">
        <f>Tiers!C92</f>
        <v>0.2</v>
      </c>
      <c r="E91" s="22">
        <f>Frequency!E93</f>
        <v>10</v>
      </c>
      <c r="F91" s="22">
        <f t="shared" si="55"/>
        <v>2</v>
      </c>
      <c r="G91" s="20">
        <f>IF(AND(D91/Summary!$C$4&gt;0, D91/Summary!$C$4&lt;5),E91,0) * D91</f>
        <v>2</v>
      </c>
      <c r="H91" s="20">
        <f>IF(AND(D91/Summary!$C$4&gt;= 5, D91/Summary!$C$4&lt;10),E91,0) * D91</f>
        <v>0</v>
      </c>
      <c r="I91" s="20">
        <f>IF(AND(D91/Summary!$C$4&gt;=10, D91/Summary!$C$4&lt;25),E91,0)*D91</f>
        <v>0</v>
      </c>
      <c r="J91" s="20">
        <f>IF(D91/Summary!$C$4&gt;=25,E91,0)*D91</f>
        <v>0</v>
      </c>
      <c r="K91" s="35">
        <f>IF(AND(D91/Frequency!$N$7&gt;0, D91/Frequency!$N$7&lt;1),E91,0)</f>
        <v>10</v>
      </c>
      <c r="L91" s="35">
        <f t="shared" si="56"/>
        <v>2</v>
      </c>
      <c r="M91" s="35">
        <f>IF(D91/Frequency!$N$7=1,1,0)*E91</f>
        <v>0</v>
      </c>
      <c r="N91" s="35">
        <f t="shared" si="57"/>
        <v>0</v>
      </c>
      <c r="O91" s="35">
        <f>IF(AND(D91/Frequency!$N$7&gt;1, D91/Frequency!$N$7&lt;=2),1,0)*E91</f>
        <v>0</v>
      </c>
      <c r="P91" s="35">
        <f t="shared" si="58"/>
        <v>0</v>
      </c>
      <c r="Q91" s="35">
        <f>IF(AND(D91/Frequency!$N$7&gt;2,D91/Frequency!$N$7&lt;=5),1,0)*E91</f>
        <v>0</v>
      </c>
      <c r="R91" s="35">
        <f t="shared" si="59"/>
        <v>0</v>
      </c>
      <c r="S91" s="35">
        <f>IF(AND(D91/Frequency!$N$7&gt;5, D91/Frequency!$N$7&lt;=10),1,0)*E91</f>
        <v>0</v>
      </c>
      <c r="T91" s="35">
        <f t="shared" si="60"/>
        <v>0</v>
      </c>
      <c r="U91" s="35">
        <f>IF(AND(D91/Frequency!$N$7&gt;10, D91/Frequency!$N$7&lt;=20),1,0)*E91</f>
        <v>0</v>
      </c>
      <c r="V91" s="35">
        <f t="shared" si="61"/>
        <v>0</v>
      </c>
      <c r="W91" s="35">
        <f>IF(AND(D91/Frequency!$N$7&gt;20, D91/Frequency!$N$7&lt;=30),1,0)*E91</f>
        <v>0</v>
      </c>
      <c r="X91" s="35">
        <f t="shared" si="62"/>
        <v>0</v>
      </c>
      <c r="Y91" s="35">
        <f>IF(AND(D91/Frequency!$N$7&gt;30, D91/Frequency!$N$7&lt;=50),1,0)*E91</f>
        <v>0</v>
      </c>
      <c r="Z91" s="35">
        <f t="shared" si="63"/>
        <v>0</v>
      </c>
      <c r="AA91" s="35">
        <f>IF(AND(D91/Frequency!$N$7&gt;50, D91/Frequency!$N$7&lt;=100),1,0)*E91</f>
        <v>0</v>
      </c>
      <c r="AB91" s="35">
        <f t="shared" si="64"/>
        <v>0</v>
      </c>
      <c r="AC91" s="35">
        <f>IF(D91/Frequency!$N$7&gt;100,1,0)*E91</f>
        <v>0</v>
      </c>
      <c r="AD91" s="35">
        <f t="shared" si="65"/>
        <v>0</v>
      </c>
      <c r="AE91" s="22">
        <f t="shared" si="66"/>
        <v>10</v>
      </c>
      <c r="AF91" s="22">
        <f t="shared" si="67"/>
        <v>0</v>
      </c>
      <c r="AG91" s="22">
        <f t="shared" si="68"/>
        <v>0</v>
      </c>
      <c r="AH91" s="22">
        <f t="shared" si="69"/>
        <v>0</v>
      </c>
      <c r="AI91" s="35">
        <f t="shared" si="70"/>
        <v>0</v>
      </c>
      <c r="AJ91" s="35">
        <f t="shared" si="71"/>
        <v>0</v>
      </c>
      <c r="AK91" s="35">
        <f t="shared" si="72"/>
        <v>0</v>
      </c>
      <c r="AL91">
        <f t="shared" si="73"/>
        <v>0</v>
      </c>
      <c r="AM91">
        <f t="shared" si="74"/>
        <v>0</v>
      </c>
      <c r="AN91">
        <f t="shared" si="75"/>
        <v>0</v>
      </c>
      <c r="AO91">
        <f t="shared" si="76"/>
        <v>0</v>
      </c>
      <c r="AP91">
        <f t="shared" si="77"/>
        <v>0</v>
      </c>
      <c r="AQ91">
        <f t="shared" si="78"/>
        <v>0</v>
      </c>
      <c r="AR91">
        <f t="shared" si="79"/>
        <v>0</v>
      </c>
      <c r="AS91">
        <f t="shared" si="80"/>
        <v>0</v>
      </c>
      <c r="AT91">
        <f t="shared" si="81"/>
        <v>0</v>
      </c>
      <c r="AU91">
        <f t="shared" si="82"/>
        <v>1</v>
      </c>
      <c r="AV91">
        <v>0</v>
      </c>
      <c r="AW91">
        <v>0</v>
      </c>
      <c r="AX91">
        <f t="shared" si="83"/>
        <v>0</v>
      </c>
      <c r="AY91">
        <f t="shared" si="84"/>
        <v>0</v>
      </c>
      <c r="AZ91">
        <f t="shared" si="85"/>
        <v>0</v>
      </c>
      <c r="BA91">
        <f t="shared" si="86"/>
        <v>0</v>
      </c>
      <c r="BB91">
        <f t="shared" si="87"/>
        <v>0</v>
      </c>
      <c r="BC91">
        <f t="shared" si="88"/>
        <v>0</v>
      </c>
      <c r="BD91">
        <f t="shared" si="89"/>
        <v>0</v>
      </c>
      <c r="BE91">
        <f t="shared" si="90"/>
        <v>0</v>
      </c>
      <c r="BF91">
        <f t="shared" si="91"/>
        <v>0</v>
      </c>
      <c r="BG91">
        <f t="shared" si="92"/>
        <v>0</v>
      </c>
      <c r="BH91">
        <f t="shared" si="93"/>
        <v>0</v>
      </c>
      <c r="BI91">
        <f t="shared" si="94"/>
        <v>0</v>
      </c>
      <c r="BJ91">
        <v>0</v>
      </c>
      <c r="BK91" t="str">
        <f t="shared" si="106"/>
        <v>Less than Stake</v>
      </c>
      <c r="BL91" s="40" t="str">
        <f t="shared" si="107"/>
        <v>Free Plays A</v>
      </c>
      <c r="BM91">
        <f>(D91/Frequency!$N$7-Summary!$C$7)^2*E91</f>
        <v>4.0959999999999983</v>
      </c>
      <c r="BN91">
        <f t="shared" si="95"/>
        <v>2</v>
      </c>
      <c r="BO91">
        <f t="shared" si="96"/>
        <v>0</v>
      </c>
      <c r="BP91">
        <f t="shared" si="97"/>
        <v>0</v>
      </c>
      <c r="BQ91">
        <f t="shared" si="98"/>
        <v>10</v>
      </c>
      <c r="BR91">
        <f t="shared" si="99"/>
        <v>2</v>
      </c>
      <c r="BS91">
        <f t="shared" si="100"/>
        <v>0</v>
      </c>
      <c r="BT91">
        <f t="shared" si="101"/>
        <v>0</v>
      </c>
      <c r="BU91">
        <f t="shared" si="102"/>
        <v>0</v>
      </c>
      <c r="BV91">
        <f t="shared" si="103"/>
        <v>0</v>
      </c>
      <c r="BW91">
        <f t="shared" si="104"/>
        <v>0</v>
      </c>
      <c r="BX91">
        <f t="shared" si="105"/>
        <v>0</v>
      </c>
    </row>
    <row r="92" spans="2:76">
      <c r="B92" s="19">
        <f>Tiers!B93</f>
        <v>90</v>
      </c>
      <c r="C92" s="118" t="str">
        <f>Tiers!X93</f>
        <v>freeplayA-36|||||||||</v>
      </c>
      <c r="D92" s="21">
        <f>Tiers!C93</f>
        <v>2</v>
      </c>
      <c r="E92" s="22">
        <f>Frequency!E94</f>
        <v>10</v>
      </c>
      <c r="F92" s="22">
        <f t="shared" si="55"/>
        <v>20</v>
      </c>
      <c r="G92" s="20">
        <f>IF(AND(D92/Summary!$C$4&gt;0, D92/Summary!$C$4&lt;5),E92,0) * D92</f>
        <v>20</v>
      </c>
      <c r="H92" s="20">
        <f>IF(AND(D92/Summary!$C$4&gt;= 5, D92/Summary!$C$4&lt;10),E92,0) * D92</f>
        <v>0</v>
      </c>
      <c r="I92" s="20">
        <f>IF(AND(D92/Summary!$C$4&gt;=10, D92/Summary!$C$4&lt;25),E92,0)*D92</f>
        <v>0</v>
      </c>
      <c r="J92" s="20">
        <f>IF(D92/Summary!$C$4&gt;=25,E92,0)*D92</f>
        <v>0</v>
      </c>
      <c r="K92" s="35">
        <f>IF(AND(D92/Frequency!$N$7&gt;0, D92/Frequency!$N$7&lt;1),E92,0)</f>
        <v>0</v>
      </c>
      <c r="L92" s="35">
        <f t="shared" si="56"/>
        <v>0</v>
      </c>
      <c r="M92" s="35">
        <f>IF(D92/Frequency!$N$7=1,1,0)*E92</f>
        <v>0</v>
      </c>
      <c r="N92" s="35">
        <f t="shared" si="57"/>
        <v>0</v>
      </c>
      <c r="O92" s="35">
        <f>IF(AND(D92/Frequency!$N$7&gt;1, D92/Frequency!$N$7&lt;=2),1,0)*E92</f>
        <v>10</v>
      </c>
      <c r="P92" s="35">
        <f t="shared" si="58"/>
        <v>20</v>
      </c>
      <c r="Q92" s="35">
        <f>IF(AND(D92/Frequency!$N$7&gt;2,D92/Frequency!$N$7&lt;=5),1,0)*E92</f>
        <v>0</v>
      </c>
      <c r="R92" s="35">
        <f t="shared" si="59"/>
        <v>0</v>
      </c>
      <c r="S92" s="35">
        <f>IF(AND(D92/Frequency!$N$7&gt;5, D92/Frequency!$N$7&lt;=10),1,0)*E92</f>
        <v>0</v>
      </c>
      <c r="T92" s="35">
        <f t="shared" si="60"/>
        <v>0</v>
      </c>
      <c r="U92" s="35">
        <f>IF(AND(D92/Frequency!$N$7&gt;10, D92/Frequency!$N$7&lt;=20),1,0)*E92</f>
        <v>0</v>
      </c>
      <c r="V92" s="35">
        <f t="shared" si="61"/>
        <v>0</v>
      </c>
      <c r="W92" s="35">
        <f>IF(AND(D92/Frequency!$N$7&gt;20, D92/Frequency!$N$7&lt;=30),1,0)*E92</f>
        <v>0</v>
      </c>
      <c r="X92" s="35">
        <f t="shared" si="62"/>
        <v>0</v>
      </c>
      <c r="Y92" s="35">
        <f>IF(AND(D92/Frequency!$N$7&gt;30, D92/Frequency!$N$7&lt;=50),1,0)*E92</f>
        <v>0</v>
      </c>
      <c r="Z92" s="35">
        <f t="shared" si="63"/>
        <v>0</v>
      </c>
      <c r="AA92" s="35">
        <f>IF(AND(D92/Frequency!$N$7&gt;50, D92/Frequency!$N$7&lt;=100),1,0)*E92</f>
        <v>0</v>
      </c>
      <c r="AB92" s="35">
        <f t="shared" si="64"/>
        <v>0</v>
      </c>
      <c r="AC92" s="35">
        <f>IF(D92/Frequency!$N$7&gt;100,1,0)*E92</f>
        <v>0</v>
      </c>
      <c r="AD92" s="35">
        <f t="shared" si="65"/>
        <v>0</v>
      </c>
      <c r="AE92" s="22">
        <f t="shared" si="66"/>
        <v>10</v>
      </c>
      <c r="AF92" s="22">
        <f t="shared" si="67"/>
        <v>0</v>
      </c>
      <c r="AG92" s="22">
        <f t="shared" si="68"/>
        <v>0</v>
      </c>
      <c r="AH92" s="22">
        <f t="shared" si="69"/>
        <v>0</v>
      </c>
      <c r="AI92" s="35">
        <f t="shared" si="70"/>
        <v>0</v>
      </c>
      <c r="AJ92" s="35">
        <f t="shared" si="71"/>
        <v>0</v>
      </c>
      <c r="AK92" s="35">
        <f t="shared" si="72"/>
        <v>0</v>
      </c>
      <c r="AL92">
        <f t="shared" si="73"/>
        <v>0</v>
      </c>
      <c r="AM92">
        <f t="shared" si="74"/>
        <v>0</v>
      </c>
      <c r="AN92">
        <f t="shared" si="75"/>
        <v>0</v>
      </c>
      <c r="AO92">
        <f t="shared" si="76"/>
        <v>0</v>
      </c>
      <c r="AP92">
        <f t="shared" si="77"/>
        <v>0</v>
      </c>
      <c r="AQ92">
        <f t="shared" si="78"/>
        <v>0</v>
      </c>
      <c r="AR92">
        <f t="shared" si="79"/>
        <v>0</v>
      </c>
      <c r="AS92">
        <f t="shared" si="80"/>
        <v>0</v>
      </c>
      <c r="AT92">
        <f t="shared" si="81"/>
        <v>0</v>
      </c>
      <c r="AU92">
        <f t="shared" si="82"/>
        <v>1</v>
      </c>
      <c r="AV92">
        <v>0</v>
      </c>
      <c r="AW92">
        <v>0</v>
      </c>
      <c r="AX92">
        <f t="shared" si="83"/>
        <v>0</v>
      </c>
      <c r="AY92">
        <f t="shared" si="84"/>
        <v>0</v>
      </c>
      <c r="AZ92">
        <f t="shared" si="85"/>
        <v>0</v>
      </c>
      <c r="BA92">
        <f t="shared" si="86"/>
        <v>0</v>
      </c>
      <c r="BB92">
        <f t="shared" si="87"/>
        <v>0</v>
      </c>
      <c r="BC92">
        <f t="shared" si="88"/>
        <v>0</v>
      </c>
      <c r="BD92">
        <f t="shared" si="89"/>
        <v>0</v>
      </c>
      <c r="BE92">
        <f t="shared" si="90"/>
        <v>0</v>
      </c>
      <c r="BF92">
        <f t="shared" si="91"/>
        <v>0</v>
      </c>
      <c r="BG92">
        <f t="shared" si="92"/>
        <v>0</v>
      </c>
      <c r="BH92">
        <f t="shared" si="93"/>
        <v>0</v>
      </c>
      <c r="BI92">
        <f t="shared" si="94"/>
        <v>0</v>
      </c>
      <c r="BJ92">
        <v>0</v>
      </c>
      <c r="BK92" t="str">
        <f t="shared" si="106"/>
        <v>Standard Win</v>
      </c>
      <c r="BL92" s="40" t="str">
        <f t="shared" si="107"/>
        <v>Free Plays A</v>
      </c>
      <c r="BM92">
        <f>(D92/Frequency!$N$7-Summary!$C$7)^2*E92</f>
        <v>13.456000000000003</v>
      </c>
      <c r="BN92">
        <f t="shared" si="95"/>
        <v>20</v>
      </c>
      <c r="BO92">
        <f t="shared" si="96"/>
        <v>0</v>
      </c>
      <c r="BP92">
        <f t="shared" si="97"/>
        <v>0</v>
      </c>
      <c r="BQ92">
        <f t="shared" si="98"/>
        <v>10</v>
      </c>
      <c r="BR92">
        <f t="shared" si="99"/>
        <v>20</v>
      </c>
      <c r="BS92">
        <f t="shared" si="100"/>
        <v>0</v>
      </c>
      <c r="BT92">
        <f t="shared" si="101"/>
        <v>0</v>
      </c>
      <c r="BU92">
        <f t="shared" si="102"/>
        <v>0</v>
      </c>
      <c r="BV92">
        <f t="shared" si="103"/>
        <v>0</v>
      </c>
      <c r="BW92">
        <f t="shared" si="104"/>
        <v>0</v>
      </c>
      <c r="BX92">
        <f t="shared" si="105"/>
        <v>0</v>
      </c>
    </row>
    <row r="93" spans="2:76">
      <c r="B93" s="19">
        <f>Tiers!B94</f>
        <v>91</v>
      </c>
      <c r="C93" s="118" t="str">
        <f>Tiers!X94</f>
        <v>freeplayA-37|||||||||</v>
      </c>
      <c r="D93" s="21">
        <f>Tiers!C94</f>
        <v>1</v>
      </c>
      <c r="E93" s="22">
        <f>Frequency!E95</f>
        <v>10</v>
      </c>
      <c r="F93" s="22">
        <f t="shared" si="55"/>
        <v>10</v>
      </c>
      <c r="G93" s="20">
        <f>IF(AND(D93/Summary!$C$4&gt;0, D93/Summary!$C$4&lt;5),E93,0) * D93</f>
        <v>10</v>
      </c>
      <c r="H93" s="20">
        <f>IF(AND(D93/Summary!$C$4&gt;= 5, D93/Summary!$C$4&lt;10),E93,0) * D93</f>
        <v>0</v>
      </c>
      <c r="I93" s="20">
        <f>IF(AND(D93/Summary!$C$4&gt;=10, D93/Summary!$C$4&lt;25),E93,0)*D93</f>
        <v>0</v>
      </c>
      <c r="J93" s="20">
        <f>IF(D93/Summary!$C$4&gt;=25,E93,0)*D93</f>
        <v>0</v>
      </c>
      <c r="K93" s="35">
        <f>IF(AND(D93/Frequency!$N$7&gt;0, D93/Frequency!$N$7&lt;1),E93,0)</f>
        <v>0</v>
      </c>
      <c r="L93" s="35">
        <f t="shared" si="56"/>
        <v>0</v>
      </c>
      <c r="M93" s="35">
        <f>IF(D93/Frequency!$N$7=1,1,0)*E93</f>
        <v>10</v>
      </c>
      <c r="N93" s="35">
        <f t="shared" si="57"/>
        <v>10</v>
      </c>
      <c r="O93" s="35">
        <f>IF(AND(D93/Frequency!$N$7&gt;1, D93/Frequency!$N$7&lt;=2),1,0)*E93</f>
        <v>0</v>
      </c>
      <c r="P93" s="35">
        <f t="shared" si="58"/>
        <v>0</v>
      </c>
      <c r="Q93" s="35">
        <f>IF(AND(D93/Frequency!$N$7&gt;2,D93/Frequency!$N$7&lt;=5),1,0)*E93</f>
        <v>0</v>
      </c>
      <c r="R93" s="35">
        <f t="shared" si="59"/>
        <v>0</v>
      </c>
      <c r="S93" s="35">
        <f>IF(AND(D93/Frequency!$N$7&gt;5, D93/Frequency!$N$7&lt;=10),1,0)*E93</f>
        <v>0</v>
      </c>
      <c r="T93" s="35">
        <f t="shared" si="60"/>
        <v>0</v>
      </c>
      <c r="U93" s="35">
        <f>IF(AND(D93/Frequency!$N$7&gt;10, D93/Frequency!$N$7&lt;=20),1,0)*E93</f>
        <v>0</v>
      </c>
      <c r="V93" s="35">
        <f t="shared" si="61"/>
        <v>0</v>
      </c>
      <c r="W93" s="35">
        <f>IF(AND(D93/Frequency!$N$7&gt;20, D93/Frequency!$N$7&lt;=30),1,0)*E93</f>
        <v>0</v>
      </c>
      <c r="X93" s="35">
        <f t="shared" si="62"/>
        <v>0</v>
      </c>
      <c r="Y93" s="35">
        <f>IF(AND(D93/Frequency!$N$7&gt;30, D93/Frequency!$N$7&lt;=50),1,0)*E93</f>
        <v>0</v>
      </c>
      <c r="Z93" s="35">
        <f t="shared" si="63"/>
        <v>0</v>
      </c>
      <c r="AA93" s="35">
        <f>IF(AND(D93/Frequency!$N$7&gt;50, D93/Frequency!$N$7&lt;=100),1,0)*E93</f>
        <v>0</v>
      </c>
      <c r="AB93" s="35">
        <f t="shared" si="64"/>
        <v>0</v>
      </c>
      <c r="AC93" s="35">
        <f>IF(D93/Frequency!$N$7&gt;100,1,0)*E93</f>
        <v>0</v>
      </c>
      <c r="AD93" s="35">
        <f t="shared" si="65"/>
        <v>0</v>
      </c>
      <c r="AE93" s="22">
        <f t="shared" si="66"/>
        <v>10</v>
      </c>
      <c r="AF93" s="22">
        <f t="shared" si="67"/>
        <v>0</v>
      </c>
      <c r="AG93" s="22">
        <f t="shared" si="68"/>
        <v>0</v>
      </c>
      <c r="AH93" s="22">
        <f t="shared" si="69"/>
        <v>0</v>
      </c>
      <c r="AI93" s="35">
        <f t="shared" si="70"/>
        <v>0</v>
      </c>
      <c r="AJ93" s="35">
        <f t="shared" si="71"/>
        <v>0</v>
      </c>
      <c r="AK93" s="35">
        <f t="shared" si="72"/>
        <v>0</v>
      </c>
      <c r="AL93">
        <f t="shared" si="73"/>
        <v>0</v>
      </c>
      <c r="AM93">
        <f t="shared" si="74"/>
        <v>0</v>
      </c>
      <c r="AN93">
        <f t="shared" si="75"/>
        <v>0</v>
      </c>
      <c r="AO93">
        <f t="shared" si="76"/>
        <v>0</v>
      </c>
      <c r="AP93">
        <f t="shared" si="77"/>
        <v>0</v>
      </c>
      <c r="AQ93">
        <f t="shared" si="78"/>
        <v>0</v>
      </c>
      <c r="AR93">
        <f t="shared" si="79"/>
        <v>0</v>
      </c>
      <c r="AS93">
        <f t="shared" si="80"/>
        <v>0</v>
      </c>
      <c r="AT93">
        <f t="shared" si="81"/>
        <v>0</v>
      </c>
      <c r="AU93">
        <f t="shared" si="82"/>
        <v>1</v>
      </c>
      <c r="AV93">
        <v>0</v>
      </c>
      <c r="AW93">
        <v>0</v>
      </c>
      <c r="AX93">
        <f t="shared" si="83"/>
        <v>0</v>
      </c>
      <c r="AY93">
        <f t="shared" si="84"/>
        <v>0</v>
      </c>
      <c r="AZ93">
        <f t="shared" si="85"/>
        <v>0</v>
      </c>
      <c r="BA93">
        <f t="shared" si="86"/>
        <v>0</v>
      </c>
      <c r="BB93">
        <f t="shared" si="87"/>
        <v>0</v>
      </c>
      <c r="BC93">
        <f t="shared" si="88"/>
        <v>0</v>
      </c>
      <c r="BD93">
        <f t="shared" si="89"/>
        <v>0</v>
      </c>
      <c r="BE93">
        <f t="shared" si="90"/>
        <v>0</v>
      </c>
      <c r="BF93">
        <f t="shared" si="91"/>
        <v>0</v>
      </c>
      <c r="BG93">
        <f t="shared" si="92"/>
        <v>0</v>
      </c>
      <c r="BH93">
        <f t="shared" si="93"/>
        <v>0</v>
      </c>
      <c r="BI93">
        <f t="shared" si="94"/>
        <v>0</v>
      </c>
      <c r="BJ93">
        <v>0</v>
      </c>
      <c r="BK93" t="str">
        <f t="shared" si="106"/>
        <v>Stake Back</v>
      </c>
      <c r="BL93" s="40" t="str">
        <f t="shared" si="107"/>
        <v>Free Plays A</v>
      </c>
      <c r="BM93">
        <f>(D93/Frequency!$N$7-Summary!$C$7)^2*E93</f>
        <v>0.25600000000000012</v>
      </c>
      <c r="BN93">
        <f t="shared" si="95"/>
        <v>10</v>
      </c>
      <c r="BO93">
        <f t="shared" si="96"/>
        <v>0</v>
      </c>
      <c r="BP93">
        <f t="shared" si="97"/>
        <v>0</v>
      </c>
      <c r="BQ93">
        <f t="shared" si="98"/>
        <v>10</v>
      </c>
      <c r="BR93">
        <f t="shared" si="99"/>
        <v>10</v>
      </c>
      <c r="BS93">
        <f t="shared" si="100"/>
        <v>0</v>
      </c>
      <c r="BT93">
        <f t="shared" si="101"/>
        <v>0</v>
      </c>
      <c r="BU93">
        <f t="shared" si="102"/>
        <v>0</v>
      </c>
      <c r="BV93">
        <f t="shared" si="103"/>
        <v>0</v>
      </c>
      <c r="BW93">
        <f t="shared" si="104"/>
        <v>0</v>
      </c>
      <c r="BX93">
        <f t="shared" si="105"/>
        <v>0</v>
      </c>
    </row>
    <row r="94" spans="2:76">
      <c r="B94" s="19">
        <f>Tiers!B95</f>
        <v>92</v>
      </c>
      <c r="C94" s="118" t="str">
        <f>Tiers!X95</f>
        <v>freeplayA-38|||||||||</v>
      </c>
      <c r="D94" s="21">
        <f>Tiers!C95</f>
        <v>5</v>
      </c>
      <c r="E94" s="22">
        <f>Frequency!E96</f>
        <v>10</v>
      </c>
      <c r="F94" s="22">
        <f t="shared" si="55"/>
        <v>50</v>
      </c>
      <c r="G94" s="20">
        <f>IF(AND(D94/Summary!$C$4&gt;0, D94/Summary!$C$4&lt;5),E94,0) * D94</f>
        <v>0</v>
      </c>
      <c r="H94" s="20">
        <f>IF(AND(D94/Summary!$C$4&gt;= 5, D94/Summary!$C$4&lt;10),E94,0) * D94</f>
        <v>50</v>
      </c>
      <c r="I94" s="20">
        <f>IF(AND(D94/Summary!$C$4&gt;=10, D94/Summary!$C$4&lt;25),E94,0)*D94</f>
        <v>0</v>
      </c>
      <c r="J94" s="20">
        <f>IF(D94/Summary!$C$4&gt;=25,E94,0)*D94</f>
        <v>0</v>
      </c>
      <c r="K94" s="35">
        <f>IF(AND(D94/Frequency!$N$7&gt;0, D94/Frequency!$N$7&lt;1),E94,0)</f>
        <v>0</v>
      </c>
      <c r="L94" s="35">
        <f t="shared" si="56"/>
        <v>0</v>
      </c>
      <c r="M94" s="35">
        <f>IF(D94/Frequency!$N$7=1,1,0)*E94</f>
        <v>0</v>
      </c>
      <c r="N94" s="35">
        <f t="shared" si="57"/>
        <v>0</v>
      </c>
      <c r="O94" s="35">
        <f>IF(AND(D94/Frequency!$N$7&gt;1, D94/Frequency!$N$7&lt;=2),1,0)*E94</f>
        <v>0</v>
      </c>
      <c r="P94" s="35">
        <f t="shared" si="58"/>
        <v>0</v>
      </c>
      <c r="Q94" s="35">
        <f>IF(AND(D94/Frequency!$N$7&gt;2,D94/Frequency!$N$7&lt;=5),1,0)*E94</f>
        <v>10</v>
      </c>
      <c r="R94" s="35">
        <f t="shared" si="59"/>
        <v>50</v>
      </c>
      <c r="S94" s="35">
        <f>IF(AND(D94/Frequency!$N$7&gt;5, D94/Frequency!$N$7&lt;=10),1,0)*E94</f>
        <v>0</v>
      </c>
      <c r="T94" s="35">
        <f t="shared" si="60"/>
        <v>0</v>
      </c>
      <c r="U94" s="35">
        <f>IF(AND(D94/Frequency!$N$7&gt;10, D94/Frequency!$N$7&lt;=20),1,0)*E94</f>
        <v>0</v>
      </c>
      <c r="V94" s="35">
        <f t="shared" si="61"/>
        <v>0</v>
      </c>
      <c r="W94" s="35">
        <f>IF(AND(D94/Frequency!$N$7&gt;20, D94/Frequency!$N$7&lt;=30),1,0)*E94</f>
        <v>0</v>
      </c>
      <c r="X94" s="35">
        <f t="shared" si="62"/>
        <v>0</v>
      </c>
      <c r="Y94" s="35">
        <f>IF(AND(D94/Frequency!$N$7&gt;30, D94/Frequency!$N$7&lt;=50),1,0)*E94</f>
        <v>0</v>
      </c>
      <c r="Z94" s="35">
        <f t="shared" si="63"/>
        <v>0</v>
      </c>
      <c r="AA94" s="35">
        <f>IF(AND(D94/Frequency!$N$7&gt;50, D94/Frequency!$N$7&lt;=100),1,0)*E94</f>
        <v>0</v>
      </c>
      <c r="AB94" s="35">
        <f t="shared" si="64"/>
        <v>0</v>
      </c>
      <c r="AC94" s="35">
        <f>IF(D94/Frequency!$N$7&gt;100,1,0)*E94</f>
        <v>0</v>
      </c>
      <c r="AD94" s="35">
        <f t="shared" si="65"/>
        <v>0</v>
      </c>
      <c r="AE94" s="22">
        <f t="shared" si="66"/>
        <v>10</v>
      </c>
      <c r="AF94" s="22">
        <f t="shared" si="67"/>
        <v>0</v>
      </c>
      <c r="AG94" s="22">
        <f t="shared" si="68"/>
        <v>0</v>
      </c>
      <c r="AH94" s="22">
        <f t="shared" si="69"/>
        <v>0</v>
      </c>
      <c r="AI94" s="35">
        <f t="shared" si="70"/>
        <v>0</v>
      </c>
      <c r="AJ94" s="35">
        <f t="shared" si="71"/>
        <v>0</v>
      </c>
      <c r="AK94" s="35">
        <f t="shared" si="72"/>
        <v>0</v>
      </c>
      <c r="AL94">
        <f t="shared" si="73"/>
        <v>0</v>
      </c>
      <c r="AM94">
        <f t="shared" si="74"/>
        <v>0</v>
      </c>
      <c r="AN94">
        <f t="shared" si="75"/>
        <v>0</v>
      </c>
      <c r="AO94">
        <f t="shared" si="76"/>
        <v>0</v>
      </c>
      <c r="AP94">
        <f t="shared" si="77"/>
        <v>0</v>
      </c>
      <c r="AQ94">
        <f t="shared" si="78"/>
        <v>0</v>
      </c>
      <c r="AR94">
        <f t="shared" si="79"/>
        <v>0</v>
      </c>
      <c r="AS94">
        <f t="shared" si="80"/>
        <v>0</v>
      </c>
      <c r="AT94">
        <f t="shared" si="81"/>
        <v>0</v>
      </c>
      <c r="AU94">
        <f t="shared" si="82"/>
        <v>1</v>
      </c>
      <c r="AV94">
        <v>0</v>
      </c>
      <c r="AW94">
        <v>0</v>
      </c>
      <c r="AX94">
        <f t="shared" si="83"/>
        <v>0</v>
      </c>
      <c r="AY94">
        <f t="shared" si="84"/>
        <v>0</v>
      </c>
      <c r="AZ94">
        <f t="shared" si="85"/>
        <v>0</v>
      </c>
      <c r="BA94">
        <f t="shared" si="86"/>
        <v>0</v>
      </c>
      <c r="BB94">
        <f t="shared" si="87"/>
        <v>0</v>
      </c>
      <c r="BC94">
        <f t="shared" si="88"/>
        <v>0</v>
      </c>
      <c r="BD94">
        <f t="shared" si="89"/>
        <v>0</v>
      </c>
      <c r="BE94">
        <f t="shared" si="90"/>
        <v>0</v>
      </c>
      <c r="BF94">
        <f t="shared" si="91"/>
        <v>0</v>
      </c>
      <c r="BG94">
        <f t="shared" si="92"/>
        <v>0</v>
      </c>
      <c r="BH94">
        <f t="shared" si="93"/>
        <v>0</v>
      </c>
      <c r="BI94">
        <f t="shared" si="94"/>
        <v>0</v>
      </c>
      <c r="BJ94">
        <v>0</v>
      </c>
      <c r="BK94" t="str">
        <f t="shared" si="106"/>
        <v>Standard Win</v>
      </c>
      <c r="BL94" s="40" t="str">
        <f t="shared" si="107"/>
        <v>Free Plays A</v>
      </c>
      <c r="BM94">
        <f>(D94/Frequency!$N$7-Summary!$C$7)^2*E94</f>
        <v>173.05600000000001</v>
      </c>
      <c r="BN94">
        <f t="shared" si="95"/>
        <v>50</v>
      </c>
      <c r="BO94">
        <f t="shared" si="96"/>
        <v>0</v>
      </c>
      <c r="BP94">
        <f t="shared" si="97"/>
        <v>0</v>
      </c>
      <c r="BQ94">
        <f t="shared" si="98"/>
        <v>10</v>
      </c>
      <c r="BR94">
        <f t="shared" si="99"/>
        <v>50</v>
      </c>
      <c r="BS94">
        <f t="shared" si="100"/>
        <v>0</v>
      </c>
      <c r="BT94">
        <f t="shared" si="101"/>
        <v>0</v>
      </c>
      <c r="BU94">
        <f t="shared" si="102"/>
        <v>0</v>
      </c>
      <c r="BV94">
        <f t="shared" si="103"/>
        <v>0</v>
      </c>
      <c r="BW94">
        <f t="shared" si="104"/>
        <v>0</v>
      </c>
      <c r="BX94">
        <f t="shared" si="105"/>
        <v>0</v>
      </c>
    </row>
    <row r="95" spans="2:76">
      <c r="B95" s="19">
        <f>Tiers!B96</f>
        <v>93</v>
      </c>
      <c r="C95" s="118" t="str">
        <f>Tiers!X96</f>
        <v>freeplayA-39|||||||||</v>
      </c>
      <c r="D95" s="21">
        <f>Tiers!C96</f>
        <v>3</v>
      </c>
      <c r="E95" s="22">
        <f>Frequency!E97</f>
        <v>10</v>
      </c>
      <c r="F95" s="22">
        <f t="shared" si="55"/>
        <v>30</v>
      </c>
      <c r="G95" s="20">
        <f>IF(AND(D95/Summary!$C$4&gt;0, D95/Summary!$C$4&lt;5),E95,0) * D95</f>
        <v>30</v>
      </c>
      <c r="H95" s="20">
        <f>IF(AND(D95/Summary!$C$4&gt;= 5, D95/Summary!$C$4&lt;10),E95,0) * D95</f>
        <v>0</v>
      </c>
      <c r="I95" s="20">
        <f>IF(AND(D95/Summary!$C$4&gt;=10, D95/Summary!$C$4&lt;25),E95,0)*D95</f>
        <v>0</v>
      </c>
      <c r="J95" s="20">
        <f>IF(D95/Summary!$C$4&gt;=25,E95,0)*D95</f>
        <v>0</v>
      </c>
      <c r="K95" s="35">
        <f>IF(AND(D95/Frequency!$N$7&gt;0, D95/Frequency!$N$7&lt;1),E95,0)</f>
        <v>0</v>
      </c>
      <c r="L95" s="35">
        <f t="shared" si="56"/>
        <v>0</v>
      </c>
      <c r="M95" s="35">
        <f>IF(D95/Frequency!$N$7=1,1,0)*E95</f>
        <v>0</v>
      </c>
      <c r="N95" s="35">
        <f t="shared" si="57"/>
        <v>0</v>
      </c>
      <c r="O95" s="35">
        <f>IF(AND(D95/Frequency!$N$7&gt;1, D95/Frequency!$N$7&lt;=2),1,0)*E95</f>
        <v>0</v>
      </c>
      <c r="P95" s="35">
        <f t="shared" si="58"/>
        <v>0</v>
      </c>
      <c r="Q95" s="35">
        <f>IF(AND(D95/Frequency!$N$7&gt;2,D95/Frequency!$N$7&lt;=5),1,0)*E95</f>
        <v>10</v>
      </c>
      <c r="R95" s="35">
        <f t="shared" si="59"/>
        <v>30</v>
      </c>
      <c r="S95" s="35">
        <f>IF(AND(D95/Frequency!$N$7&gt;5, D95/Frequency!$N$7&lt;=10),1,0)*E95</f>
        <v>0</v>
      </c>
      <c r="T95" s="35">
        <f t="shared" si="60"/>
        <v>0</v>
      </c>
      <c r="U95" s="35">
        <f>IF(AND(D95/Frequency!$N$7&gt;10, D95/Frequency!$N$7&lt;=20),1,0)*E95</f>
        <v>0</v>
      </c>
      <c r="V95" s="35">
        <f t="shared" si="61"/>
        <v>0</v>
      </c>
      <c r="W95" s="35">
        <f>IF(AND(D95/Frequency!$N$7&gt;20, D95/Frequency!$N$7&lt;=30),1,0)*E95</f>
        <v>0</v>
      </c>
      <c r="X95" s="35">
        <f t="shared" si="62"/>
        <v>0</v>
      </c>
      <c r="Y95" s="35">
        <f>IF(AND(D95/Frequency!$N$7&gt;30, D95/Frequency!$N$7&lt;=50),1,0)*E95</f>
        <v>0</v>
      </c>
      <c r="Z95" s="35">
        <f t="shared" si="63"/>
        <v>0</v>
      </c>
      <c r="AA95" s="35">
        <f>IF(AND(D95/Frequency!$N$7&gt;50, D95/Frequency!$N$7&lt;=100),1,0)*E95</f>
        <v>0</v>
      </c>
      <c r="AB95" s="35">
        <f t="shared" si="64"/>
        <v>0</v>
      </c>
      <c r="AC95" s="35">
        <f>IF(D95/Frequency!$N$7&gt;100,1,0)*E95</f>
        <v>0</v>
      </c>
      <c r="AD95" s="35">
        <f t="shared" si="65"/>
        <v>0</v>
      </c>
      <c r="AE95" s="22">
        <f t="shared" si="66"/>
        <v>10</v>
      </c>
      <c r="AF95" s="22">
        <f t="shared" si="67"/>
        <v>0</v>
      </c>
      <c r="AG95" s="22">
        <f t="shared" si="68"/>
        <v>0</v>
      </c>
      <c r="AH95" s="22">
        <f t="shared" si="69"/>
        <v>0</v>
      </c>
      <c r="AI95" s="35">
        <f t="shared" si="70"/>
        <v>0</v>
      </c>
      <c r="AJ95" s="35">
        <f t="shared" si="71"/>
        <v>0</v>
      </c>
      <c r="AK95" s="35">
        <f t="shared" si="72"/>
        <v>0</v>
      </c>
      <c r="AL95">
        <f t="shared" si="73"/>
        <v>0</v>
      </c>
      <c r="AM95">
        <f t="shared" si="74"/>
        <v>0</v>
      </c>
      <c r="AN95">
        <f t="shared" si="75"/>
        <v>0</v>
      </c>
      <c r="AO95">
        <f t="shared" si="76"/>
        <v>0</v>
      </c>
      <c r="AP95">
        <f t="shared" si="77"/>
        <v>0</v>
      </c>
      <c r="AQ95">
        <f t="shared" si="78"/>
        <v>0</v>
      </c>
      <c r="AR95">
        <f t="shared" si="79"/>
        <v>0</v>
      </c>
      <c r="AS95">
        <f t="shared" si="80"/>
        <v>0</v>
      </c>
      <c r="AT95">
        <f t="shared" si="81"/>
        <v>0</v>
      </c>
      <c r="AU95">
        <f t="shared" si="82"/>
        <v>1</v>
      </c>
      <c r="AV95">
        <v>0</v>
      </c>
      <c r="AW95">
        <v>0</v>
      </c>
      <c r="AX95">
        <f t="shared" si="83"/>
        <v>0</v>
      </c>
      <c r="AY95">
        <f t="shared" si="84"/>
        <v>0</v>
      </c>
      <c r="AZ95">
        <f t="shared" si="85"/>
        <v>0</v>
      </c>
      <c r="BA95">
        <f t="shared" si="86"/>
        <v>0</v>
      </c>
      <c r="BB95">
        <f t="shared" si="87"/>
        <v>0</v>
      </c>
      <c r="BC95">
        <f t="shared" si="88"/>
        <v>0</v>
      </c>
      <c r="BD95">
        <f t="shared" si="89"/>
        <v>0</v>
      </c>
      <c r="BE95">
        <f t="shared" si="90"/>
        <v>0</v>
      </c>
      <c r="BF95">
        <f t="shared" si="91"/>
        <v>0</v>
      </c>
      <c r="BG95">
        <f t="shared" si="92"/>
        <v>0</v>
      </c>
      <c r="BH95">
        <f t="shared" si="93"/>
        <v>0</v>
      </c>
      <c r="BI95">
        <f t="shared" si="94"/>
        <v>0</v>
      </c>
      <c r="BJ95">
        <v>0</v>
      </c>
      <c r="BK95" t="str">
        <f t="shared" si="106"/>
        <v>Standard Win</v>
      </c>
      <c r="BL95" s="40" t="str">
        <f t="shared" si="107"/>
        <v>Free Plays A</v>
      </c>
      <c r="BM95">
        <f>(D95/Frequency!$N$7-Summary!$C$7)^2*E95</f>
        <v>46.656000000000006</v>
      </c>
      <c r="BN95">
        <f t="shared" si="95"/>
        <v>30</v>
      </c>
      <c r="BO95">
        <f t="shared" si="96"/>
        <v>0</v>
      </c>
      <c r="BP95">
        <f t="shared" si="97"/>
        <v>0</v>
      </c>
      <c r="BQ95">
        <f t="shared" si="98"/>
        <v>10</v>
      </c>
      <c r="BR95">
        <f t="shared" si="99"/>
        <v>30</v>
      </c>
      <c r="BS95">
        <f t="shared" si="100"/>
        <v>0</v>
      </c>
      <c r="BT95">
        <f t="shared" si="101"/>
        <v>0</v>
      </c>
      <c r="BU95">
        <f t="shared" si="102"/>
        <v>0</v>
      </c>
      <c r="BV95">
        <f t="shared" si="103"/>
        <v>0</v>
      </c>
      <c r="BW95">
        <f t="shared" si="104"/>
        <v>0</v>
      </c>
      <c r="BX95">
        <f t="shared" si="105"/>
        <v>0</v>
      </c>
    </row>
    <row r="96" spans="2:76">
      <c r="B96" s="19">
        <f>Tiers!B97</f>
        <v>94</v>
      </c>
      <c r="C96" s="118" t="str">
        <f>Tiers!X97</f>
        <v>freeplayA-40|||||||||</v>
      </c>
      <c r="D96" s="21">
        <f>Tiers!C97</f>
        <v>0.2</v>
      </c>
      <c r="E96" s="22">
        <f>Frequency!E98</f>
        <v>10</v>
      </c>
      <c r="F96" s="22">
        <f t="shared" si="55"/>
        <v>2</v>
      </c>
      <c r="G96" s="20">
        <f>IF(AND(D96/Summary!$C$4&gt;0, D96/Summary!$C$4&lt;5),E96,0) * D96</f>
        <v>2</v>
      </c>
      <c r="H96" s="20">
        <f>IF(AND(D96/Summary!$C$4&gt;= 5, D96/Summary!$C$4&lt;10),E96,0) * D96</f>
        <v>0</v>
      </c>
      <c r="I96" s="20">
        <f>IF(AND(D96/Summary!$C$4&gt;=10, D96/Summary!$C$4&lt;25),E96,0)*D96</f>
        <v>0</v>
      </c>
      <c r="J96" s="20">
        <f>IF(D96/Summary!$C$4&gt;=25,E96,0)*D96</f>
        <v>0</v>
      </c>
      <c r="K96" s="35">
        <f>IF(AND(D96/Frequency!$N$7&gt;0, D96/Frequency!$N$7&lt;1),E96,0)</f>
        <v>10</v>
      </c>
      <c r="L96" s="35">
        <f t="shared" si="56"/>
        <v>2</v>
      </c>
      <c r="M96" s="35">
        <f>IF(D96/Frequency!$N$7=1,1,0)*E96</f>
        <v>0</v>
      </c>
      <c r="N96" s="35">
        <f t="shared" si="57"/>
        <v>0</v>
      </c>
      <c r="O96" s="35">
        <f>IF(AND(D96/Frequency!$N$7&gt;1, D96/Frequency!$N$7&lt;=2),1,0)*E96</f>
        <v>0</v>
      </c>
      <c r="P96" s="35">
        <f t="shared" si="58"/>
        <v>0</v>
      </c>
      <c r="Q96" s="35">
        <f>IF(AND(D96/Frequency!$N$7&gt;2,D96/Frequency!$N$7&lt;=5),1,0)*E96</f>
        <v>0</v>
      </c>
      <c r="R96" s="35">
        <f t="shared" si="59"/>
        <v>0</v>
      </c>
      <c r="S96" s="35">
        <f>IF(AND(D96/Frequency!$N$7&gt;5, D96/Frequency!$N$7&lt;=10),1,0)*E96</f>
        <v>0</v>
      </c>
      <c r="T96" s="35">
        <f t="shared" si="60"/>
        <v>0</v>
      </c>
      <c r="U96" s="35">
        <f>IF(AND(D96/Frequency!$N$7&gt;10, D96/Frequency!$N$7&lt;=20),1,0)*E96</f>
        <v>0</v>
      </c>
      <c r="V96" s="35">
        <f t="shared" si="61"/>
        <v>0</v>
      </c>
      <c r="W96" s="35">
        <f>IF(AND(D96/Frequency!$N$7&gt;20, D96/Frequency!$N$7&lt;=30),1,0)*E96</f>
        <v>0</v>
      </c>
      <c r="X96" s="35">
        <f t="shared" si="62"/>
        <v>0</v>
      </c>
      <c r="Y96" s="35">
        <f>IF(AND(D96/Frequency!$N$7&gt;30, D96/Frequency!$N$7&lt;=50),1,0)*E96</f>
        <v>0</v>
      </c>
      <c r="Z96" s="35">
        <f t="shared" si="63"/>
        <v>0</v>
      </c>
      <c r="AA96" s="35">
        <f>IF(AND(D96/Frequency!$N$7&gt;50, D96/Frequency!$N$7&lt;=100),1,0)*E96</f>
        <v>0</v>
      </c>
      <c r="AB96" s="35">
        <f t="shared" si="64"/>
        <v>0</v>
      </c>
      <c r="AC96" s="35">
        <f>IF(D96/Frequency!$N$7&gt;100,1,0)*E96</f>
        <v>0</v>
      </c>
      <c r="AD96" s="35">
        <f t="shared" si="65"/>
        <v>0</v>
      </c>
      <c r="AE96" s="22">
        <f t="shared" si="66"/>
        <v>10</v>
      </c>
      <c r="AF96" s="22">
        <f t="shared" si="67"/>
        <v>0</v>
      </c>
      <c r="AG96" s="22">
        <f t="shared" si="68"/>
        <v>0</v>
      </c>
      <c r="AH96" s="22">
        <f t="shared" si="69"/>
        <v>0</v>
      </c>
      <c r="AI96" s="35">
        <f t="shared" si="70"/>
        <v>0</v>
      </c>
      <c r="AJ96" s="35">
        <f t="shared" si="71"/>
        <v>0</v>
      </c>
      <c r="AK96" s="35">
        <f t="shared" si="72"/>
        <v>0</v>
      </c>
      <c r="AL96">
        <f t="shared" si="73"/>
        <v>0</v>
      </c>
      <c r="AM96">
        <f t="shared" si="74"/>
        <v>0</v>
      </c>
      <c r="AN96">
        <f t="shared" si="75"/>
        <v>0</v>
      </c>
      <c r="AO96">
        <f t="shared" si="76"/>
        <v>0</v>
      </c>
      <c r="AP96">
        <f t="shared" si="77"/>
        <v>0</v>
      </c>
      <c r="AQ96">
        <f t="shared" si="78"/>
        <v>0</v>
      </c>
      <c r="AR96">
        <f t="shared" si="79"/>
        <v>0</v>
      </c>
      <c r="AS96">
        <f t="shared" si="80"/>
        <v>0</v>
      </c>
      <c r="AT96">
        <f t="shared" si="81"/>
        <v>0</v>
      </c>
      <c r="AU96">
        <f t="shared" si="82"/>
        <v>1</v>
      </c>
      <c r="AV96">
        <v>0</v>
      </c>
      <c r="AW96">
        <v>0</v>
      </c>
      <c r="AX96">
        <f t="shared" si="83"/>
        <v>0</v>
      </c>
      <c r="AY96">
        <f t="shared" si="84"/>
        <v>0</v>
      </c>
      <c r="AZ96">
        <f t="shared" si="85"/>
        <v>0</v>
      </c>
      <c r="BA96">
        <f t="shared" si="86"/>
        <v>0</v>
      </c>
      <c r="BB96">
        <f t="shared" si="87"/>
        <v>0</v>
      </c>
      <c r="BC96">
        <f t="shared" si="88"/>
        <v>0</v>
      </c>
      <c r="BD96">
        <f t="shared" si="89"/>
        <v>0</v>
      </c>
      <c r="BE96">
        <f t="shared" si="90"/>
        <v>0</v>
      </c>
      <c r="BF96">
        <f t="shared" si="91"/>
        <v>0</v>
      </c>
      <c r="BG96">
        <f t="shared" si="92"/>
        <v>0</v>
      </c>
      <c r="BH96">
        <f t="shared" si="93"/>
        <v>0</v>
      </c>
      <c r="BI96">
        <f t="shared" si="94"/>
        <v>0</v>
      </c>
      <c r="BJ96">
        <v>0</v>
      </c>
      <c r="BK96" t="str">
        <f t="shared" si="106"/>
        <v>Less than Stake</v>
      </c>
      <c r="BL96" s="40" t="str">
        <f t="shared" si="107"/>
        <v>Free Plays A</v>
      </c>
      <c r="BM96">
        <f>(D96/Frequency!$N$7-Summary!$C$7)^2*E96</f>
        <v>4.0959999999999983</v>
      </c>
      <c r="BN96">
        <f t="shared" si="95"/>
        <v>2</v>
      </c>
      <c r="BO96">
        <f t="shared" si="96"/>
        <v>0</v>
      </c>
      <c r="BP96">
        <f t="shared" si="97"/>
        <v>0</v>
      </c>
      <c r="BQ96">
        <f t="shared" si="98"/>
        <v>10</v>
      </c>
      <c r="BR96">
        <f t="shared" si="99"/>
        <v>2</v>
      </c>
      <c r="BS96">
        <f t="shared" si="100"/>
        <v>0</v>
      </c>
      <c r="BT96">
        <f t="shared" si="101"/>
        <v>0</v>
      </c>
      <c r="BU96">
        <f t="shared" si="102"/>
        <v>0</v>
      </c>
      <c r="BV96">
        <f t="shared" si="103"/>
        <v>0</v>
      </c>
      <c r="BW96">
        <f t="shared" si="104"/>
        <v>0</v>
      </c>
      <c r="BX96">
        <f t="shared" si="105"/>
        <v>0</v>
      </c>
    </row>
    <row r="97" spans="2:76">
      <c r="B97" s="19">
        <f>Tiers!B98</f>
        <v>95</v>
      </c>
      <c r="C97" s="118" t="str">
        <f>Tiers!X98</f>
        <v>freeplayA-41|||||||||</v>
      </c>
      <c r="D97" s="21">
        <f>Tiers!C98</f>
        <v>1</v>
      </c>
      <c r="E97" s="22">
        <f>Frequency!E99</f>
        <v>10</v>
      </c>
      <c r="F97" s="22">
        <f t="shared" si="55"/>
        <v>10</v>
      </c>
      <c r="G97" s="20">
        <f>IF(AND(D97/Summary!$C$4&gt;0, D97/Summary!$C$4&lt;5),E97,0) * D97</f>
        <v>10</v>
      </c>
      <c r="H97" s="20">
        <f>IF(AND(D97/Summary!$C$4&gt;= 5, D97/Summary!$C$4&lt;10),E97,0) * D97</f>
        <v>0</v>
      </c>
      <c r="I97" s="20">
        <f>IF(AND(D97/Summary!$C$4&gt;=10, D97/Summary!$C$4&lt;25),E97,0)*D97</f>
        <v>0</v>
      </c>
      <c r="J97" s="20">
        <f>IF(D97/Summary!$C$4&gt;=25,E97,0)*D97</f>
        <v>0</v>
      </c>
      <c r="K97" s="35">
        <f>IF(AND(D97/Frequency!$N$7&gt;0, D97/Frequency!$N$7&lt;1),E97,0)</f>
        <v>0</v>
      </c>
      <c r="L97" s="35">
        <f t="shared" si="56"/>
        <v>0</v>
      </c>
      <c r="M97" s="35">
        <f>IF(D97/Frequency!$N$7=1,1,0)*E97</f>
        <v>10</v>
      </c>
      <c r="N97" s="35">
        <f t="shared" si="57"/>
        <v>10</v>
      </c>
      <c r="O97" s="35">
        <f>IF(AND(D97/Frequency!$N$7&gt;1, D97/Frequency!$N$7&lt;=2),1,0)*E97</f>
        <v>0</v>
      </c>
      <c r="P97" s="35">
        <f t="shared" si="58"/>
        <v>0</v>
      </c>
      <c r="Q97" s="35">
        <f>IF(AND(D97/Frequency!$N$7&gt;2,D97/Frequency!$N$7&lt;=5),1,0)*E97</f>
        <v>0</v>
      </c>
      <c r="R97" s="35">
        <f t="shared" si="59"/>
        <v>0</v>
      </c>
      <c r="S97" s="35">
        <f>IF(AND(D97/Frequency!$N$7&gt;5, D97/Frequency!$N$7&lt;=10),1,0)*E97</f>
        <v>0</v>
      </c>
      <c r="T97" s="35">
        <f t="shared" si="60"/>
        <v>0</v>
      </c>
      <c r="U97" s="35">
        <f>IF(AND(D97/Frequency!$N$7&gt;10, D97/Frequency!$N$7&lt;=20),1,0)*E97</f>
        <v>0</v>
      </c>
      <c r="V97" s="35">
        <f t="shared" si="61"/>
        <v>0</v>
      </c>
      <c r="W97" s="35">
        <f>IF(AND(D97/Frequency!$N$7&gt;20, D97/Frequency!$N$7&lt;=30),1,0)*E97</f>
        <v>0</v>
      </c>
      <c r="X97" s="35">
        <f t="shared" si="62"/>
        <v>0</v>
      </c>
      <c r="Y97" s="35">
        <f>IF(AND(D97/Frequency!$N$7&gt;30, D97/Frequency!$N$7&lt;=50),1,0)*E97</f>
        <v>0</v>
      </c>
      <c r="Z97" s="35">
        <f t="shared" si="63"/>
        <v>0</v>
      </c>
      <c r="AA97" s="35">
        <f>IF(AND(D97/Frequency!$N$7&gt;50, D97/Frequency!$N$7&lt;=100),1,0)*E97</f>
        <v>0</v>
      </c>
      <c r="AB97" s="35">
        <f t="shared" si="64"/>
        <v>0</v>
      </c>
      <c r="AC97" s="35">
        <f>IF(D97/Frequency!$N$7&gt;100,1,0)*E97</f>
        <v>0</v>
      </c>
      <c r="AD97" s="35">
        <f t="shared" si="65"/>
        <v>0</v>
      </c>
      <c r="AE97" s="22">
        <f t="shared" si="66"/>
        <v>10</v>
      </c>
      <c r="AF97" s="22">
        <f t="shared" si="67"/>
        <v>0</v>
      </c>
      <c r="AG97" s="22">
        <f t="shared" si="68"/>
        <v>0</v>
      </c>
      <c r="AH97" s="22">
        <f t="shared" si="69"/>
        <v>0</v>
      </c>
      <c r="AI97" s="35">
        <f t="shared" si="70"/>
        <v>0</v>
      </c>
      <c r="AJ97" s="35">
        <f t="shared" si="71"/>
        <v>0</v>
      </c>
      <c r="AK97" s="35">
        <f t="shared" si="72"/>
        <v>0</v>
      </c>
      <c r="AL97">
        <f t="shared" si="73"/>
        <v>0</v>
      </c>
      <c r="AM97">
        <f t="shared" si="74"/>
        <v>0</v>
      </c>
      <c r="AN97">
        <f t="shared" si="75"/>
        <v>0</v>
      </c>
      <c r="AO97">
        <f t="shared" si="76"/>
        <v>0</v>
      </c>
      <c r="AP97">
        <f t="shared" si="77"/>
        <v>0</v>
      </c>
      <c r="AQ97">
        <f t="shared" si="78"/>
        <v>0</v>
      </c>
      <c r="AR97">
        <f t="shared" si="79"/>
        <v>0</v>
      </c>
      <c r="AS97">
        <f t="shared" si="80"/>
        <v>0</v>
      </c>
      <c r="AT97">
        <f t="shared" si="81"/>
        <v>0</v>
      </c>
      <c r="AU97">
        <f t="shared" si="82"/>
        <v>1</v>
      </c>
      <c r="AV97">
        <v>0</v>
      </c>
      <c r="AW97">
        <v>0</v>
      </c>
      <c r="AX97">
        <f t="shared" si="83"/>
        <v>0</v>
      </c>
      <c r="AY97">
        <f t="shared" si="84"/>
        <v>0</v>
      </c>
      <c r="AZ97">
        <f t="shared" si="85"/>
        <v>0</v>
      </c>
      <c r="BA97">
        <f t="shared" si="86"/>
        <v>0</v>
      </c>
      <c r="BB97">
        <f t="shared" si="87"/>
        <v>0</v>
      </c>
      <c r="BC97">
        <f t="shared" si="88"/>
        <v>0</v>
      </c>
      <c r="BD97">
        <f t="shared" si="89"/>
        <v>0</v>
      </c>
      <c r="BE97">
        <f t="shared" si="90"/>
        <v>0</v>
      </c>
      <c r="BF97">
        <f t="shared" si="91"/>
        <v>0</v>
      </c>
      <c r="BG97">
        <f t="shared" si="92"/>
        <v>0</v>
      </c>
      <c r="BH97">
        <f t="shared" si="93"/>
        <v>0</v>
      </c>
      <c r="BI97">
        <f t="shared" si="94"/>
        <v>0</v>
      </c>
      <c r="BJ97">
        <v>0</v>
      </c>
      <c r="BK97" t="str">
        <f t="shared" si="106"/>
        <v>Stake Back</v>
      </c>
      <c r="BL97" s="40" t="str">
        <f t="shared" si="107"/>
        <v>Free Plays A</v>
      </c>
      <c r="BM97">
        <f>(D97/Frequency!$N$7-Summary!$C$7)^2*E97</f>
        <v>0.25600000000000012</v>
      </c>
      <c r="BN97">
        <f t="shared" si="95"/>
        <v>10</v>
      </c>
      <c r="BO97">
        <f t="shared" si="96"/>
        <v>0</v>
      </c>
      <c r="BP97">
        <f t="shared" si="97"/>
        <v>0</v>
      </c>
      <c r="BQ97">
        <f t="shared" si="98"/>
        <v>10</v>
      </c>
      <c r="BR97">
        <f t="shared" si="99"/>
        <v>10</v>
      </c>
      <c r="BS97">
        <f t="shared" si="100"/>
        <v>0</v>
      </c>
      <c r="BT97">
        <f t="shared" si="101"/>
        <v>0</v>
      </c>
      <c r="BU97">
        <f t="shared" si="102"/>
        <v>0</v>
      </c>
      <c r="BV97">
        <f t="shared" si="103"/>
        <v>0</v>
      </c>
      <c r="BW97">
        <f t="shared" si="104"/>
        <v>0</v>
      </c>
      <c r="BX97">
        <f t="shared" si="105"/>
        <v>0</v>
      </c>
    </row>
    <row r="98" spans="2:76">
      <c r="B98" s="19">
        <f>Tiers!B99</f>
        <v>96</v>
      </c>
      <c r="C98" s="118" t="str">
        <f>Tiers!X99</f>
        <v>freeplayA-42|||||||||</v>
      </c>
      <c r="D98" s="21">
        <f>Tiers!C99</f>
        <v>5</v>
      </c>
      <c r="E98" s="22">
        <f>Frequency!E100</f>
        <v>10</v>
      </c>
      <c r="F98" s="22">
        <f t="shared" si="55"/>
        <v>50</v>
      </c>
      <c r="G98" s="20">
        <f>IF(AND(D98/Summary!$C$4&gt;0, D98/Summary!$C$4&lt;5),E98,0) * D98</f>
        <v>0</v>
      </c>
      <c r="H98" s="20">
        <f>IF(AND(D98/Summary!$C$4&gt;= 5, D98/Summary!$C$4&lt;10),E98,0) * D98</f>
        <v>50</v>
      </c>
      <c r="I98" s="20">
        <f>IF(AND(D98/Summary!$C$4&gt;=10, D98/Summary!$C$4&lt;25),E98,0)*D98</f>
        <v>0</v>
      </c>
      <c r="J98" s="20">
        <f>IF(D98/Summary!$C$4&gt;=25,E98,0)*D98</f>
        <v>0</v>
      </c>
      <c r="K98" s="35">
        <f>IF(AND(D98/Frequency!$N$7&gt;0, D98/Frequency!$N$7&lt;1),E98,0)</f>
        <v>0</v>
      </c>
      <c r="L98" s="35">
        <f t="shared" si="56"/>
        <v>0</v>
      </c>
      <c r="M98" s="35">
        <f>IF(D98/Frequency!$N$7=1,1,0)*E98</f>
        <v>0</v>
      </c>
      <c r="N98" s="35">
        <f t="shared" si="57"/>
        <v>0</v>
      </c>
      <c r="O98" s="35">
        <f>IF(AND(D98/Frequency!$N$7&gt;1, D98/Frequency!$N$7&lt;=2),1,0)*E98</f>
        <v>0</v>
      </c>
      <c r="P98" s="35">
        <f t="shared" si="58"/>
        <v>0</v>
      </c>
      <c r="Q98" s="35">
        <f>IF(AND(D98/Frequency!$N$7&gt;2,D98/Frequency!$N$7&lt;=5),1,0)*E98</f>
        <v>10</v>
      </c>
      <c r="R98" s="35">
        <f t="shared" si="59"/>
        <v>50</v>
      </c>
      <c r="S98" s="35">
        <f>IF(AND(D98/Frequency!$N$7&gt;5, D98/Frequency!$N$7&lt;=10),1,0)*E98</f>
        <v>0</v>
      </c>
      <c r="T98" s="35">
        <f t="shared" si="60"/>
        <v>0</v>
      </c>
      <c r="U98" s="35">
        <f>IF(AND(D98/Frequency!$N$7&gt;10, D98/Frequency!$N$7&lt;=20),1,0)*E98</f>
        <v>0</v>
      </c>
      <c r="V98" s="35">
        <f t="shared" si="61"/>
        <v>0</v>
      </c>
      <c r="W98" s="35">
        <f>IF(AND(D98/Frequency!$N$7&gt;20, D98/Frequency!$N$7&lt;=30),1,0)*E98</f>
        <v>0</v>
      </c>
      <c r="X98" s="35">
        <f t="shared" si="62"/>
        <v>0</v>
      </c>
      <c r="Y98" s="35">
        <f>IF(AND(D98/Frequency!$N$7&gt;30, D98/Frequency!$N$7&lt;=50),1,0)*E98</f>
        <v>0</v>
      </c>
      <c r="Z98" s="35">
        <f t="shared" si="63"/>
        <v>0</v>
      </c>
      <c r="AA98" s="35">
        <f>IF(AND(D98/Frequency!$N$7&gt;50, D98/Frequency!$N$7&lt;=100),1,0)*E98</f>
        <v>0</v>
      </c>
      <c r="AB98" s="35">
        <f t="shared" si="64"/>
        <v>0</v>
      </c>
      <c r="AC98" s="35">
        <f>IF(D98/Frequency!$N$7&gt;100,1,0)*E98</f>
        <v>0</v>
      </c>
      <c r="AD98" s="35">
        <f t="shared" si="65"/>
        <v>0</v>
      </c>
      <c r="AE98" s="22">
        <f t="shared" si="66"/>
        <v>10</v>
      </c>
      <c r="AF98" s="22">
        <f t="shared" si="67"/>
        <v>0</v>
      </c>
      <c r="AG98" s="22">
        <f t="shared" si="68"/>
        <v>0</v>
      </c>
      <c r="AH98" s="22">
        <f t="shared" si="69"/>
        <v>0</v>
      </c>
      <c r="AI98" s="35">
        <f t="shared" si="70"/>
        <v>0</v>
      </c>
      <c r="AJ98" s="35">
        <f t="shared" si="71"/>
        <v>0</v>
      </c>
      <c r="AK98" s="35">
        <f t="shared" si="72"/>
        <v>0</v>
      </c>
      <c r="AL98">
        <f t="shared" si="73"/>
        <v>0</v>
      </c>
      <c r="AM98">
        <f t="shared" si="74"/>
        <v>0</v>
      </c>
      <c r="AN98">
        <f t="shared" si="75"/>
        <v>0</v>
      </c>
      <c r="AO98">
        <f t="shared" si="76"/>
        <v>0</v>
      </c>
      <c r="AP98">
        <f t="shared" si="77"/>
        <v>0</v>
      </c>
      <c r="AQ98">
        <f t="shared" si="78"/>
        <v>0</v>
      </c>
      <c r="AR98">
        <f t="shared" si="79"/>
        <v>0</v>
      </c>
      <c r="AS98">
        <f t="shared" si="80"/>
        <v>0</v>
      </c>
      <c r="AT98">
        <f t="shared" si="81"/>
        <v>0</v>
      </c>
      <c r="AU98">
        <f t="shared" si="82"/>
        <v>1</v>
      </c>
      <c r="AV98">
        <v>0</v>
      </c>
      <c r="AW98">
        <v>0</v>
      </c>
      <c r="AX98">
        <f t="shared" si="83"/>
        <v>0</v>
      </c>
      <c r="AY98">
        <f t="shared" si="84"/>
        <v>0</v>
      </c>
      <c r="AZ98">
        <f t="shared" si="85"/>
        <v>0</v>
      </c>
      <c r="BA98">
        <f t="shared" si="86"/>
        <v>0</v>
      </c>
      <c r="BB98">
        <f t="shared" si="87"/>
        <v>0</v>
      </c>
      <c r="BC98">
        <f t="shared" si="88"/>
        <v>0</v>
      </c>
      <c r="BD98">
        <f t="shared" si="89"/>
        <v>0</v>
      </c>
      <c r="BE98">
        <f t="shared" si="90"/>
        <v>0</v>
      </c>
      <c r="BF98">
        <f t="shared" si="91"/>
        <v>0</v>
      </c>
      <c r="BG98">
        <f t="shared" si="92"/>
        <v>0</v>
      </c>
      <c r="BH98">
        <f t="shared" si="93"/>
        <v>0</v>
      </c>
      <c r="BI98">
        <f t="shared" si="94"/>
        <v>0</v>
      </c>
      <c r="BJ98">
        <v>0</v>
      </c>
      <c r="BK98" t="str">
        <f t="shared" si="106"/>
        <v>Standard Win</v>
      </c>
      <c r="BL98" s="40" t="str">
        <f t="shared" si="107"/>
        <v>Free Plays A</v>
      </c>
      <c r="BM98">
        <f>(D98/Frequency!$N$7-Summary!$C$7)^2*E98</f>
        <v>173.05600000000001</v>
      </c>
      <c r="BN98">
        <f t="shared" si="95"/>
        <v>50</v>
      </c>
      <c r="BO98">
        <f t="shared" si="96"/>
        <v>0</v>
      </c>
      <c r="BP98">
        <f t="shared" si="97"/>
        <v>0</v>
      </c>
      <c r="BQ98">
        <f t="shared" si="98"/>
        <v>10</v>
      </c>
      <c r="BR98">
        <f t="shared" si="99"/>
        <v>50</v>
      </c>
      <c r="BS98">
        <f t="shared" si="100"/>
        <v>0</v>
      </c>
      <c r="BT98">
        <f t="shared" si="101"/>
        <v>0</v>
      </c>
      <c r="BU98">
        <f t="shared" si="102"/>
        <v>0</v>
      </c>
      <c r="BV98">
        <f t="shared" si="103"/>
        <v>0</v>
      </c>
      <c r="BW98">
        <f t="shared" si="104"/>
        <v>0</v>
      </c>
      <c r="BX98">
        <f t="shared" si="105"/>
        <v>0</v>
      </c>
    </row>
    <row r="99" spans="2:76">
      <c r="B99" s="19">
        <f>Tiers!B100</f>
        <v>97</v>
      </c>
      <c r="C99" s="118" t="str">
        <f>Tiers!X100</f>
        <v>freeplayA-43|||||||||</v>
      </c>
      <c r="D99" s="21">
        <f>Tiers!C100</f>
        <v>3</v>
      </c>
      <c r="E99" s="22">
        <f>Frequency!E101</f>
        <v>10</v>
      </c>
      <c r="F99" s="22">
        <f t="shared" si="55"/>
        <v>30</v>
      </c>
      <c r="G99" s="20">
        <f>IF(AND(D99/Summary!$C$4&gt;0, D99/Summary!$C$4&lt;5),E99,0) * D99</f>
        <v>30</v>
      </c>
      <c r="H99" s="20">
        <f>IF(AND(D99/Summary!$C$4&gt;= 5, D99/Summary!$C$4&lt;10),E99,0) * D99</f>
        <v>0</v>
      </c>
      <c r="I99" s="20">
        <f>IF(AND(D99/Summary!$C$4&gt;=10, D99/Summary!$C$4&lt;25),E99,0)*D99</f>
        <v>0</v>
      </c>
      <c r="J99" s="20">
        <f>IF(D99/Summary!$C$4&gt;=25,E99,0)*D99</f>
        <v>0</v>
      </c>
      <c r="K99" s="35">
        <f>IF(AND(D99/Frequency!$N$7&gt;0, D99/Frequency!$N$7&lt;1),E99,0)</f>
        <v>0</v>
      </c>
      <c r="L99" s="35">
        <f t="shared" si="56"/>
        <v>0</v>
      </c>
      <c r="M99" s="35">
        <f>IF(D99/Frequency!$N$7=1,1,0)*E99</f>
        <v>0</v>
      </c>
      <c r="N99" s="35">
        <f t="shared" si="57"/>
        <v>0</v>
      </c>
      <c r="O99" s="35">
        <f>IF(AND(D99/Frequency!$N$7&gt;1, D99/Frequency!$N$7&lt;=2),1,0)*E99</f>
        <v>0</v>
      </c>
      <c r="P99" s="35">
        <f t="shared" si="58"/>
        <v>0</v>
      </c>
      <c r="Q99" s="35">
        <f>IF(AND(D99/Frequency!$N$7&gt;2,D99/Frequency!$N$7&lt;=5),1,0)*E99</f>
        <v>10</v>
      </c>
      <c r="R99" s="35">
        <f t="shared" si="59"/>
        <v>30</v>
      </c>
      <c r="S99" s="35">
        <f>IF(AND(D99/Frequency!$N$7&gt;5, D99/Frequency!$N$7&lt;=10),1,0)*E99</f>
        <v>0</v>
      </c>
      <c r="T99" s="35">
        <f t="shared" si="60"/>
        <v>0</v>
      </c>
      <c r="U99" s="35">
        <f>IF(AND(D99/Frequency!$N$7&gt;10, D99/Frequency!$N$7&lt;=20),1,0)*E99</f>
        <v>0</v>
      </c>
      <c r="V99" s="35">
        <f t="shared" si="61"/>
        <v>0</v>
      </c>
      <c r="W99" s="35">
        <f>IF(AND(D99/Frequency!$N$7&gt;20, D99/Frequency!$N$7&lt;=30),1,0)*E99</f>
        <v>0</v>
      </c>
      <c r="X99" s="35">
        <f t="shared" si="62"/>
        <v>0</v>
      </c>
      <c r="Y99" s="35">
        <f>IF(AND(D99/Frequency!$N$7&gt;30, D99/Frequency!$N$7&lt;=50),1,0)*E99</f>
        <v>0</v>
      </c>
      <c r="Z99" s="35">
        <f t="shared" si="63"/>
        <v>0</v>
      </c>
      <c r="AA99" s="35">
        <f>IF(AND(D99/Frequency!$N$7&gt;50, D99/Frequency!$N$7&lt;=100),1,0)*E99</f>
        <v>0</v>
      </c>
      <c r="AB99" s="35">
        <f t="shared" si="64"/>
        <v>0</v>
      </c>
      <c r="AC99" s="35">
        <f>IF(D99/Frequency!$N$7&gt;100,1,0)*E99</f>
        <v>0</v>
      </c>
      <c r="AD99" s="35">
        <f t="shared" si="65"/>
        <v>0</v>
      </c>
      <c r="AE99" s="22">
        <f t="shared" si="66"/>
        <v>10</v>
      </c>
      <c r="AF99" s="22">
        <f t="shared" si="67"/>
        <v>0</v>
      </c>
      <c r="AG99" s="22">
        <f t="shared" si="68"/>
        <v>0</v>
      </c>
      <c r="AH99" s="22">
        <f t="shared" si="69"/>
        <v>0</v>
      </c>
      <c r="AI99" s="35">
        <f t="shared" si="70"/>
        <v>0</v>
      </c>
      <c r="AJ99" s="35">
        <f t="shared" si="71"/>
        <v>0</v>
      </c>
      <c r="AK99" s="35">
        <f t="shared" si="72"/>
        <v>0</v>
      </c>
      <c r="AL99">
        <f t="shared" si="73"/>
        <v>0</v>
      </c>
      <c r="AM99">
        <f t="shared" si="74"/>
        <v>0</v>
      </c>
      <c r="AN99">
        <f t="shared" si="75"/>
        <v>0</v>
      </c>
      <c r="AO99">
        <f t="shared" si="76"/>
        <v>0</v>
      </c>
      <c r="AP99">
        <f t="shared" si="77"/>
        <v>0</v>
      </c>
      <c r="AQ99">
        <f t="shared" si="78"/>
        <v>0</v>
      </c>
      <c r="AR99">
        <f t="shared" si="79"/>
        <v>0</v>
      </c>
      <c r="AS99">
        <f t="shared" si="80"/>
        <v>0</v>
      </c>
      <c r="AT99">
        <f t="shared" si="81"/>
        <v>0</v>
      </c>
      <c r="AU99">
        <f t="shared" si="82"/>
        <v>1</v>
      </c>
      <c r="AV99">
        <v>0</v>
      </c>
      <c r="AW99">
        <v>0</v>
      </c>
      <c r="AX99">
        <f t="shared" si="83"/>
        <v>0</v>
      </c>
      <c r="AY99">
        <f t="shared" si="84"/>
        <v>0</v>
      </c>
      <c r="AZ99">
        <f t="shared" si="85"/>
        <v>0</v>
      </c>
      <c r="BA99">
        <f t="shared" si="86"/>
        <v>0</v>
      </c>
      <c r="BB99">
        <f t="shared" si="87"/>
        <v>0</v>
      </c>
      <c r="BC99">
        <f t="shared" si="88"/>
        <v>0</v>
      </c>
      <c r="BD99">
        <f t="shared" si="89"/>
        <v>0</v>
      </c>
      <c r="BE99">
        <f t="shared" si="90"/>
        <v>0</v>
      </c>
      <c r="BF99">
        <f t="shared" si="91"/>
        <v>0</v>
      </c>
      <c r="BG99">
        <f t="shared" si="92"/>
        <v>0</v>
      </c>
      <c r="BH99">
        <f t="shared" si="93"/>
        <v>0</v>
      </c>
      <c r="BI99">
        <f t="shared" si="94"/>
        <v>0</v>
      </c>
      <c r="BJ99">
        <v>0</v>
      </c>
      <c r="BK99" t="str">
        <f t="shared" ref="BK99:BK129" si="108">IF(D99 &lt; $D$417, $C$417,
IF(D99 = $D$418, $C$418,
IF(D99 &lt; $D$419, $C$419,
IF(D99 &lt; $D$420, $C$420,
IF(D99 &lt; $D$421, $C$421, $C$422)))))</f>
        <v>Standard Win</v>
      </c>
      <c r="BL99" s="40" t="str">
        <f t="shared" ref="BL99:BL129" si="109">IF(AU99 = 1,$C$426,
IF(AV99 = 1,$C$427,
IF(AW99 = 1,$C$428,
IF(AX99 = 1,$C$429,
IF(BA99 = 1,$C$430,
IF(BD99 = 1,$C$431,
IF(BG99 = 1,$C$432,
IF(ISNUMBER(SEARCH("|||||||||",C99)), $C$433,$C$434))))))))</f>
        <v>Free Plays A</v>
      </c>
      <c r="BM99">
        <f>(D99/Frequency!$N$7-Summary!$C$7)^2*E99</f>
        <v>46.656000000000006</v>
      </c>
      <c r="BN99">
        <f t="shared" si="95"/>
        <v>30</v>
      </c>
      <c r="BO99">
        <f t="shared" si="96"/>
        <v>0</v>
      </c>
      <c r="BP99">
        <f t="shared" si="97"/>
        <v>0</v>
      </c>
      <c r="BQ99">
        <f t="shared" si="98"/>
        <v>10</v>
      </c>
      <c r="BR99">
        <f t="shared" si="99"/>
        <v>30</v>
      </c>
      <c r="BS99">
        <f t="shared" si="100"/>
        <v>0</v>
      </c>
      <c r="BT99">
        <f t="shared" si="101"/>
        <v>0</v>
      </c>
      <c r="BU99">
        <f t="shared" si="102"/>
        <v>0</v>
      </c>
      <c r="BV99">
        <f t="shared" si="103"/>
        <v>0</v>
      </c>
      <c r="BW99">
        <f t="shared" si="104"/>
        <v>0</v>
      </c>
      <c r="BX99">
        <f t="shared" si="105"/>
        <v>0</v>
      </c>
    </row>
    <row r="100" spans="2:76">
      <c r="B100" s="19">
        <f>Tiers!B101</f>
        <v>98</v>
      </c>
      <c r="C100" s="118" t="str">
        <f>Tiers!X101</f>
        <v>freeplayA-44|||||||||</v>
      </c>
      <c r="D100" s="21">
        <f>Tiers!C101</f>
        <v>0.2</v>
      </c>
      <c r="E100" s="22">
        <f>Frequency!E102</f>
        <v>10</v>
      </c>
      <c r="F100" s="22">
        <f t="shared" si="55"/>
        <v>2</v>
      </c>
      <c r="G100" s="20">
        <f>IF(AND(D100/Summary!$C$4&gt;0, D100/Summary!$C$4&lt;5),E100,0) * D100</f>
        <v>2</v>
      </c>
      <c r="H100" s="20">
        <f>IF(AND(D100/Summary!$C$4&gt;= 5, D100/Summary!$C$4&lt;10),E100,0) * D100</f>
        <v>0</v>
      </c>
      <c r="I100" s="20">
        <f>IF(AND(D100/Summary!$C$4&gt;=10, D100/Summary!$C$4&lt;25),E100,0)*D100</f>
        <v>0</v>
      </c>
      <c r="J100" s="20">
        <f>IF(D100/Summary!$C$4&gt;=25,E100,0)*D100</f>
        <v>0</v>
      </c>
      <c r="K100" s="35">
        <f>IF(AND(D100/Frequency!$N$7&gt;0, D100/Frequency!$N$7&lt;1),E100,0)</f>
        <v>10</v>
      </c>
      <c r="L100" s="35">
        <f t="shared" si="56"/>
        <v>2</v>
      </c>
      <c r="M100" s="35">
        <f>IF(D100/Frequency!$N$7=1,1,0)*E100</f>
        <v>0</v>
      </c>
      <c r="N100" s="35">
        <f t="shared" si="57"/>
        <v>0</v>
      </c>
      <c r="O100" s="35">
        <f>IF(AND(D100/Frequency!$N$7&gt;1, D100/Frequency!$N$7&lt;=2),1,0)*E100</f>
        <v>0</v>
      </c>
      <c r="P100" s="35">
        <f t="shared" si="58"/>
        <v>0</v>
      </c>
      <c r="Q100" s="35">
        <f>IF(AND(D100/Frequency!$N$7&gt;2,D100/Frequency!$N$7&lt;=5),1,0)*E100</f>
        <v>0</v>
      </c>
      <c r="R100" s="35">
        <f t="shared" si="59"/>
        <v>0</v>
      </c>
      <c r="S100" s="35">
        <f>IF(AND(D100/Frequency!$N$7&gt;5, D100/Frequency!$N$7&lt;=10),1,0)*E100</f>
        <v>0</v>
      </c>
      <c r="T100" s="35">
        <f t="shared" si="60"/>
        <v>0</v>
      </c>
      <c r="U100" s="35">
        <f>IF(AND(D100/Frequency!$N$7&gt;10, D100/Frequency!$N$7&lt;=20),1,0)*E100</f>
        <v>0</v>
      </c>
      <c r="V100" s="35">
        <f t="shared" si="61"/>
        <v>0</v>
      </c>
      <c r="W100" s="35">
        <f>IF(AND(D100/Frequency!$N$7&gt;20, D100/Frequency!$N$7&lt;=30),1,0)*E100</f>
        <v>0</v>
      </c>
      <c r="X100" s="35">
        <f t="shared" si="62"/>
        <v>0</v>
      </c>
      <c r="Y100" s="35">
        <f>IF(AND(D100/Frequency!$N$7&gt;30, D100/Frequency!$N$7&lt;=50),1,0)*E100</f>
        <v>0</v>
      </c>
      <c r="Z100" s="35">
        <f t="shared" si="63"/>
        <v>0</v>
      </c>
      <c r="AA100" s="35">
        <f>IF(AND(D100/Frequency!$N$7&gt;50, D100/Frequency!$N$7&lt;=100),1,0)*E100</f>
        <v>0</v>
      </c>
      <c r="AB100" s="35">
        <f t="shared" si="64"/>
        <v>0</v>
      </c>
      <c r="AC100" s="35">
        <f>IF(D100/Frequency!$N$7&gt;100,1,0)*E100</f>
        <v>0</v>
      </c>
      <c r="AD100" s="35">
        <f t="shared" si="65"/>
        <v>0</v>
      </c>
      <c r="AE100" s="22">
        <f t="shared" si="66"/>
        <v>10</v>
      </c>
      <c r="AF100" s="22">
        <f t="shared" si="67"/>
        <v>0</v>
      </c>
      <c r="AG100" s="22">
        <f t="shared" si="68"/>
        <v>0</v>
      </c>
      <c r="AH100" s="22">
        <f t="shared" si="69"/>
        <v>0</v>
      </c>
      <c r="AI100" s="35">
        <f t="shared" si="70"/>
        <v>0</v>
      </c>
      <c r="AJ100" s="35">
        <f t="shared" si="71"/>
        <v>0</v>
      </c>
      <c r="AK100" s="35">
        <f t="shared" si="72"/>
        <v>0</v>
      </c>
      <c r="AL100">
        <f t="shared" si="73"/>
        <v>0</v>
      </c>
      <c r="AM100">
        <f t="shared" si="74"/>
        <v>0</v>
      </c>
      <c r="AN100">
        <f t="shared" si="75"/>
        <v>0</v>
      </c>
      <c r="AO100">
        <f t="shared" si="76"/>
        <v>0</v>
      </c>
      <c r="AP100">
        <f t="shared" si="77"/>
        <v>0</v>
      </c>
      <c r="AQ100">
        <f t="shared" si="78"/>
        <v>0</v>
      </c>
      <c r="AR100">
        <f t="shared" si="79"/>
        <v>0</v>
      </c>
      <c r="AS100">
        <f t="shared" si="80"/>
        <v>0</v>
      </c>
      <c r="AT100">
        <f t="shared" si="81"/>
        <v>0</v>
      </c>
      <c r="AU100">
        <f t="shared" si="82"/>
        <v>1</v>
      </c>
      <c r="AV100">
        <v>0</v>
      </c>
      <c r="AW100">
        <v>0</v>
      </c>
      <c r="AX100">
        <f t="shared" si="83"/>
        <v>0</v>
      </c>
      <c r="AY100">
        <f t="shared" si="84"/>
        <v>0</v>
      </c>
      <c r="AZ100">
        <f t="shared" si="85"/>
        <v>0</v>
      </c>
      <c r="BA100">
        <f t="shared" si="86"/>
        <v>0</v>
      </c>
      <c r="BB100">
        <f t="shared" si="87"/>
        <v>0</v>
      </c>
      <c r="BC100">
        <f t="shared" si="88"/>
        <v>0</v>
      </c>
      <c r="BD100">
        <f t="shared" si="89"/>
        <v>0</v>
      </c>
      <c r="BE100">
        <f t="shared" si="90"/>
        <v>0</v>
      </c>
      <c r="BF100">
        <f t="shared" si="91"/>
        <v>0</v>
      </c>
      <c r="BG100">
        <f t="shared" si="92"/>
        <v>0</v>
      </c>
      <c r="BH100">
        <f t="shared" si="93"/>
        <v>0</v>
      </c>
      <c r="BI100">
        <f t="shared" si="94"/>
        <v>0</v>
      </c>
      <c r="BJ100">
        <v>0</v>
      </c>
      <c r="BK100" t="str">
        <f t="shared" si="108"/>
        <v>Less than Stake</v>
      </c>
      <c r="BL100" s="40" t="str">
        <f t="shared" si="109"/>
        <v>Free Plays A</v>
      </c>
      <c r="BM100">
        <f>(D100/Frequency!$N$7-Summary!$C$7)^2*E100</f>
        <v>4.0959999999999983</v>
      </c>
      <c r="BN100">
        <f t="shared" si="95"/>
        <v>2</v>
      </c>
      <c r="BO100">
        <f t="shared" si="96"/>
        <v>0</v>
      </c>
      <c r="BP100">
        <f t="shared" si="97"/>
        <v>0</v>
      </c>
      <c r="BQ100">
        <f t="shared" si="98"/>
        <v>10</v>
      </c>
      <c r="BR100">
        <f t="shared" si="99"/>
        <v>2</v>
      </c>
      <c r="BS100">
        <f t="shared" si="100"/>
        <v>0</v>
      </c>
      <c r="BT100">
        <f t="shared" si="101"/>
        <v>0</v>
      </c>
      <c r="BU100">
        <f t="shared" si="102"/>
        <v>0</v>
      </c>
      <c r="BV100">
        <f t="shared" si="103"/>
        <v>0</v>
      </c>
      <c r="BW100">
        <f t="shared" si="104"/>
        <v>0</v>
      </c>
      <c r="BX100">
        <f t="shared" si="105"/>
        <v>0</v>
      </c>
    </row>
    <row r="101" spans="2:76">
      <c r="B101" s="19">
        <f>Tiers!B102</f>
        <v>99</v>
      </c>
      <c r="C101" s="20" t="str">
        <f>Tiers!X102</f>
        <v>main-0|main-0||||||||</v>
      </c>
      <c r="D101" s="21">
        <f>Tiers!C102</f>
        <v>0.2</v>
      </c>
      <c r="E101" s="22">
        <f>Frequency!E103</f>
        <v>6000</v>
      </c>
      <c r="F101" s="22">
        <f t="shared" si="55"/>
        <v>1200</v>
      </c>
      <c r="G101" s="20">
        <f>IF(AND(D101/Summary!$C$4&gt;0, D101/Summary!$C$4&lt;5),E101,0) * D101</f>
        <v>1200</v>
      </c>
      <c r="H101" s="20">
        <f>IF(AND(D101/Summary!$C$4&gt;= 5, D101/Summary!$C$4&lt;10),E101,0) * D101</f>
        <v>0</v>
      </c>
      <c r="I101" s="20">
        <f>IF(AND(D101/Summary!$C$4&gt;=10, D101/Summary!$C$4&lt;25),E101,0)*D101</f>
        <v>0</v>
      </c>
      <c r="J101" s="20">
        <f>IF(D101/Summary!$C$4&gt;=25,E101,0)*D101</f>
        <v>0</v>
      </c>
      <c r="K101" s="35">
        <f>IF(AND(D101/Frequency!$N$7&gt;0, D101/Frequency!$N$7&lt;1),E101,0)</f>
        <v>6000</v>
      </c>
      <c r="L101" s="35">
        <f t="shared" si="56"/>
        <v>1200</v>
      </c>
      <c r="M101" s="35">
        <f>IF(D101/Frequency!$N$7=1,1,0)*E101</f>
        <v>0</v>
      </c>
      <c r="N101" s="35">
        <f t="shared" si="57"/>
        <v>0</v>
      </c>
      <c r="O101" s="35">
        <f>IF(AND(D101/Frequency!$N$7&gt;1, D101/Frequency!$N$7&lt;=2),1,0)*E101</f>
        <v>0</v>
      </c>
      <c r="P101" s="35">
        <f t="shared" si="58"/>
        <v>0</v>
      </c>
      <c r="Q101" s="35">
        <f>IF(AND(D101/Frequency!$N$7&gt;2,D101/Frequency!$N$7&lt;=5),1,0)*E101</f>
        <v>0</v>
      </c>
      <c r="R101" s="35">
        <f t="shared" si="59"/>
        <v>0</v>
      </c>
      <c r="S101" s="35">
        <f>IF(AND(D101/Frequency!$N$7&gt;5, D101/Frequency!$N$7&lt;=10),1,0)*E101</f>
        <v>0</v>
      </c>
      <c r="T101" s="35">
        <f t="shared" si="60"/>
        <v>0</v>
      </c>
      <c r="U101" s="35">
        <f>IF(AND(D101/Frequency!$N$7&gt;10, D101/Frequency!$N$7&lt;=20),1,0)*E101</f>
        <v>0</v>
      </c>
      <c r="V101" s="35">
        <f t="shared" si="61"/>
        <v>0</v>
      </c>
      <c r="W101" s="35">
        <f>IF(AND(D101/Frequency!$N$7&gt;20, D101/Frequency!$N$7&lt;=30),1,0)*E101</f>
        <v>0</v>
      </c>
      <c r="X101" s="35">
        <f t="shared" si="62"/>
        <v>0</v>
      </c>
      <c r="Y101" s="35">
        <f>IF(AND(D101/Frequency!$N$7&gt;30, D101/Frequency!$N$7&lt;=50),1,0)*E101</f>
        <v>0</v>
      </c>
      <c r="Z101" s="35">
        <f t="shared" si="63"/>
        <v>0</v>
      </c>
      <c r="AA101" s="35">
        <f>IF(AND(D101/Frequency!$N$7&gt;50, D101/Frequency!$N$7&lt;=100),1,0)*E101</f>
        <v>0</v>
      </c>
      <c r="AB101" s="35">
        <f t="shared" si="64"/>
        <v>0</v>
      </c>
      <c r="AC101" s="35">
        <f>IF(D101/Frequency!$N$7&gt;100,1,0)*E101</f>
        <v>0</v>
      </c>
      <c r="AD101" s="35">
        <f t="shared" si="65"/>
        <v>0</v>
      </c>
      <c r="AE101" s="22">
        <f t="shared" si="66"/>
        <v>0</v>
      </c>
      <c r="AF101" s="22">
        <f t="shared" si="67"/>
        <v>0</v>
      </c>
      <c r="AG101" s="22">
        <f t="shared" si="68"/>
        <v>0</v>
      </c>
      <c r="AH101" s="22">
        <f t="shared" si="69"/>
        <v>0</v>
      </c>
      <c r="AI101" s="35">
        <f t="shared" si="70"/>
        <v>1</v>
      </c>
      <c r="AJ101" s="35">
        <f t="shared" si="71"/>
        <v>6000</v>
      </c>
      <c r="AK101" s="35">
        <f t="shared" si="72"/>
        <v>1200</v>
      </c>
      <c r="AL101">
        <f t="shared" si="73"/>
        <v>0</v>
      </c>
      <c r="AM101">
        <f t="shared" si="74"/>
        <v>0</v>
      </c>
      <c r="AN101">
        <f t="shared" si="75"/>
        <v>0</v>
      </c>
      <c r="AO101">
        <f t="shared" si="76"/>
        <v>0</v>
      </c>
      <c r="AP101">
        <f t="shared" si="77"/>
        <v>0</v>
      </c>
      <c r="AQ101">
        <f t="shared" si="78"/>
        <v>0</v>
      </c>
      <c r="AR101">
        <f t="shared" si="79"/>
        <v>0</v>
      </c>
      <c r="AS101">
        <f t="shared" si="80"/>
        <v>0</v>
      </c>
      <c r="AT101">
        <f t="shared" si="81"/>
        <v>0</v>
      </c>
      <c r="AU101">
        <f t="shared" si="82"/>
        <v>0</v>
      </c>
      <c r="AV101">
        <v>0</v>
      </c>
      <c r="AW101">
        <v>0</v>
      </c>
      <c r="AX101">
        <f t="shared" si="83"/>
        <v>0</v>
      </c>
      <c r="AY101">
        <f t="shared" si="84"/>
        <v>0</v>
      </c>
      <c r="AZ101">
        <f t="shared" si="85"/>
        <v>0</v>
      </c>
      <c r="BA101">
        <f t="shared" si="86"/>
        <v>0</v>
      </c>
      <c r="BB101">
        <f t="shared" si="87"/>
        <v>0</v>
      </c>
      <c r="BC101">
        <f t="shared" si="88"/>
        <v>0</v>
      </c>
      <c r="BD101">
        <f t="shared" si="89"/>
        <v>0</v>
      </c>
      <c r="BE101">
        <f t="shared" si="90"/>
        <v>0</v>
      </c>
      <c r="BF101">
        <f t="shared" si="91"/>
        <v>0</v>
      </c>
      <c r="BG101">
        <f t="shared" si="92"/>
        <v>0</v>
      </c>
      <c r="BH101">
        <f t="shared" si="93"/>
        <v>0</v>
      </c>
      <c r="BI101">
        <f t="shared" si="94"/>
        <v>0</v>
      </c>
      <c r="BJ101">
        <v>0</v>
      </c>
      <c r="BK101" t="str">
        <f t="shared" si="108"/>
        <v>Less than Stake</v>
      </c>
      <c r="BL101" s="40" t="str">
        <f t="shared" si="109"/>
        <v>Combo Win</v>
      </c>
      <c r="BM101">
        <f>(D101/Frequency!$N$7-Summary!$C$7)^2*E101</f>
        <v>2457.599999999999</v>
      </c>
      <c r="BN101">
        <f t="shared" si="95"/>
        <v>0</v>
      </c>
      <c r="BO101">
        <f t="shared" si="96"/>
        <v>0</v>
      </c>
      <c r="BP101">
        <f t="shared" si="97"/>
        <v>0</v>
      </c>
      <c r="BQ101">
        <f t="shared" si="98"/>
        <v>0</v>
      </c>
      <c r="BR101">
        <f t="shared" si="99"/>
        <v>0</v>
      </c>
      <c r="BS101">
        <f t="shared" si="100"/>
        <v>0</v>
      </c>
      <c r="BT101">
        <f t="shared" si="101"/>
        <v>0</v>
      </c>
      <c r="BU101">
        <f t="shared" si="102"/>
        <v>0</v>
      </c>
      <c r="BV101">
        <f t="shared" si="103"/>
        <v>0</v>
      </c>
      <c r="BW101">
        <f t="shared" si="104"/>
        <v>0</v>
      </c>
      <c r="BX101">
        <f t="shared" si="105"/>
        <v>0</v>
      </c>
    </row>
    <row r="102" spans="2:76">
      <c r="B102" s="19">
        <f>Tiers!B103</f>
        <v>100</v>
      </c>
      <c r="C102" s="20" t="str">
        <f>Tiers!X103</f>
        <v>main-0|main-1||||||||</v>
      </c>
      <c r="D102" s="21">
        <f>Tiers!C103</f>
        <v>0.30000000000000004</v>
      </c>
      <c r="E102" s="22">
        <f>Frequency!E104</f>
        <v>6000</v>
      </c>
      <c r="F102" s="22">
        <f t="shared" si="55"/>
        <v>1800.0000000000002</v>
      </c>
      <c r="G102" s="20">
        <f>IF(AND(D102/Summary!$C$4&gt;0, D102/Summary!$C$4&lt;5),E102,0) * D102</f>
        <v>1800.0000000000002</v>
      </c>
      <c r="H102" s="20">
        <f>IF(AND(D102/Summary!$C$4&gt;= 5, D102/Summary!$C$4&lt;10),E102,0) * D102</f>
        <v>0</v>
      </c>
      <c r="I102" s="20">
        <f>IF(AND(D102/Summary!$C$4&gt;=10, D102/Summary!$C$4&lt;25),E102,0)*D102</f>
        <v>0</v>
      </c>
      <c r="J102" s="20">
        <f>IF(D102/Summary!$C$4&gt;=25,E102,0)*D102</f>
        <v>0</v>
      </c>
      <c r="K102" s="35">
        <f>IF(AND(D102/Frequency!$N$7&gt;0, D102/Frequency!$N$7&lt;1),E102,0)</f>
        <v>6000</v>
      </c>
      <c r="L102" s="35">
        <f t="shared" si="56"/>
        <v>1800.0000000000002</v>
      </c>
      <c r="M102" s="35">
        <f>IF(D102/Frequency!$N$7=1,1,0)*E102</f>
        <v>0</v>
      </c>
      <c r="N102" s="35">
        <f t="shared" si="57"/>
        <v>0</v>
      </c>
      <c r="O102" s="35">
        <f>IF(AND(D102/Frequency!$N$7&gt;1, D102/Frequency!$N$7&lt;=2),1,0)*E102</f>
        <v>0</v>
      </c>
      <c r="P102" s="35">
        <f t="shared" si="58"/>
        <v>0</v>
      </c>
      <c r="Q102" s="35">
        <f>IF(AND(D102/Frequency!$N$7&gt;2,D102/Frequency!$N$7&lt;=5),1,0)*E102</f>
        <v>0</v>
      </c>
      <c r="R102" s="35">
        <f t="shared" si="59"/>
        <v>0</v>
      </c>
      <c r="S102" s="35">
        <f>IF(AND(D102/Frequency!$N$7&gt;5, D102/Frequency!$N$7&lt;=10),1,0)*E102</f>
        <v>0</v>
      </c>
      <c r="T102" s="35">
        <f t="shared" si="60"/>
        <v>0</v>
      </c>
      <c r="U102" s="35">
        <f>IF(AND(D102/Frequency!$N$7&gt;10, D102/Frequency!$N$7&lt;=20),1,0)*E102</f>
        <v>0</v>
      </c>
      <c r="V102" s="35">
        <f t="shared" si="61"/>
        <v>0</v>
      </c>
      <c r="W102" s="35">
        <f>IF(AND(D102/Frequency!$N$7&gt;20, D102/Frequency!$N$7&lt;=30),1,0)*E102</f>
        <v>0</v>
      </c>
      <c r="X102" s="35">
        <f t="shared" si="62"/>
        <v>0</v>
      </c>
      <c r="Y102" s="35">
        <f>IF(AND(D102/Frequency!$N$7&gt;30, D102/Frequency!$N$7&lt;=50),1,0)*E102</f>
        <v>0</v>
      </c>
      <c r="Z102" s="35">
        <f t="shared" si="63"/>
        <v>0</v>
      </c>
      <c r="AA102" s="35">
        <f>IF(AND(D102/Frequency!$N$7&gt;50, D102/Frequency!$N$7&lt;=100),1,0)*E102</f>
        <v>0</v>
      </c>
      <c r="AB102" s="35">
        <f t="shared" si="64"/>
        <v>0</v>
      </c>
      <c r="AC102" s="35">
        <f>IF(D102/Frequency!$N$7&gt;100,1,0)*E102</f>
        <v>0</v>
      </c>
      <c r="AD102" s="35">
        <f t="shared" si="65"/>
        <v>0</v>
      </c>
      <c r="AE102" s="22">
        <f t="shared" si="66"/>
        <v>0</v>
      </c>
      <c r="AF102" s="22">
        <f t="shared" si="67"/>
        <v>0</v>
      </c>
      <c r="AG102" s="22">
        <f t="shared" si="68"/>
        <v>0</v>
      </c>
      <c r="AH102" s="22">
        <f t="shared" si="69"/>
        <v>0</v>
      </c>
      <c r="AI102" s="35">
        <f t="shared" si="70"/>
        <v>1</v>
      </c>
      <c r="AJ102" s="35">
        <f t="shared" si="71"/>
        <v>6000</v>
      </c>
      <c r="AK102" s="35">
        <f t="shared" si="72"/>
        <v>1800.0000000000002</v>
      </c>
      <c r="AL102">
        <f t="shared" si="73"/>
        <v>0</v>
      </c>
      <c r="AM102">
        <f t="shared" si="74"/>
        <v>0</v>
      </c>
      <c r="AN102">
        <f t="shared" si="75"/>
        <v>0</v>
      </c>
      <c r="AO102">
        <f t="shared" si="76"/>
        <v>0</v>
      </c>
      <c r="AP102">
        <f t="shared" si="77"/>
        <v>0</v>
      </c>
      <c r="AQ102">
        <f t="shared" si="78"/>
        <v>0</v>
      </c>
      <c r="AR102">
        <f t="shared" si="79"/>
        <v>0</v>
      </c>
      <c r="AS102">
        <f t="shared" si="80"/>
        <v>0</v>
      </c>
      <c r="AT102">
        <f t="shared" si="81"/>
        <v>0</v>
      </c>
      <c r="AU102">
        <f t="shared" si="82"/>
        <v>0</v>
      </c>
      <c r="AV102">
        <v>0</v>
      </c>
      <c r="AW102">
        <v>0</v>
      </c>
      <c r="AX102">
        <f t="shared" si="83"/>
        <v>0</v>
      </c>
      <c r="AY102">
        <f t="shared" si="84"/>
        <v>0</v>
      </c>
      <c r="AZ102">
        <f t="shared" si="85"/>
        <v>0</v>
      </c>
      <c r="BA102">
        <f t="shared" si="86"/>
        <v>0</v>
      </c>
      <c r="BB102">
        <f t="shared" si="87"/>
        <v>0</v>
      </c>
      <c r="BC102">
        <f t="shared" si="88"/>
        <v>0</v>
      </c>
      <c r="BD102">
        <f t="shared" si="89"/>
        <v>0</v>
      </c>
      <c r="BE102">
        <f t="shared" si="90"/>
        <v>0</v>
      </c>
      <c r="BF102">
        <f t="shared" si="91"/>
        <v>0</v>
      </c>
      <c r="BG102">
        <f t="shared" si="92"/>
        <v>0</v>
      </c>
      <c r="BH102">
        <f t="shared" si="93"/>
        <v>0</v>
      </c>
      <c r="BI102">
        <f t="shared" si="94"/>
        <v>0</v>
      </c>
      <c r="BJ102">
        <v>0</v>
      </c>
      <c r="BK102" t="str">
        <f t="shared" si="108"/>
        <v>Less than Stake</v>
      </c>
      <c r="BL102" s="40" t="str">
        <f t="shared" si="109"/>
        <v>Combo Win</v>
      </c>
      <c r="BM102">
        <f>(D102/Frequency!$N$7-Summary!$C$7)^2*E102</f>
        <v>1749.5999999999995</v>
      </c>
      <c r="BN102">
        <f t="shared" si="95"/>
        <v>0</v>
      </c>
      <c r="BO102">
        <f t="shared" si="96"/>
        <v>0</v>
      </c>
      <c r="BP102">
        <f t="shared" si="97"/>
        <v>0</v>
      </c>
      <c r="BQ102">
        <f t="shared" si="98"/>
        <v>0</v>
      </c>
      <c r="BR102">
        <f t="shared" si="99"/>
        <v>0</v>
      </c>
      <c r="BS102">
        <f t="shared" si="100"/>
        <v>0</v>
      </c>
      <c r="BT102">
        <f t="shared" si="101"/>
        <v>0</v>
      </c>
      <c r="BU102">
        <f t="shared" si="102"/>
        <v>0</v>
      </c>
      <c r="BV102">
        <f t="shared" si="103"/>
        <v>0</v>
      </c>
      <c r="BW102">
        <f t="shared" si="104"/>
        <v>0</v>
      </c>
      <c r="BX102">
        <f t="shared" si="105"/>
        <v>0</v>
      </c>
    </row>
    <row r="103" spans="2:76">
      <c r="B103" s="19">
        <f>Tiers!B104</f>
        <v>101</v>
      </c>
      <c r="C103" s="20" t="str">
        <f>Tiers!X104</f>
        <v>main-1|main-1||||||||</v>
      </c>
      <c r="D103" s="21">
        <f>Tiers!C104</f>
        <v>0.4</v>
      </c>
      <c r="E103" s="22">
        <f>Frequency!E105</f>
        <v>6000</v>
      </c>
      <c r="F103" s="22">
        <f t="shared" si="55"/>
        <v>2400</v>
      </c>
      <c r="G103" s="20">
        <f>IF(AND(D103/Summary!$C$4&gt;0, D103/Summary!$C$4&lt;5),E103,0) * D103</f>
        <v>2400</v>
      </c>
      <c r="H103" s="20">
        <f>IF(AND(D103/Summary!$C$4&gt;= 5, D103/Summary!$C$4&lt;10),E103,0) * D103</f>
        <v>0</v>
      </c>
      <c r="I103" s="20">
        <f>IF(AND(D103/Summary!$C$4&gt;=10, D103/Summary!$C$4&lt;25),E103,0)*D103</f>
        <v>0</v>
      </c>
      <c r="J103" s="20">
        <f>IF(D103/Summary!$C$4&gt;=25,E103,0)*D103</f>
        <v>0</v>
      </c>
      <c r="K103" s="35">
        <f>IF(AND(D103/Frequency!$N$7&gt;0, D103/Frequency!$N$7&lt;1),E103,0)</f>
        <v>6000</v>
      </c>
      <c r="L103" s="35">
        <f t="shared" si="56"/>
        <v>2400</v>
      </c>
      <c r="M103" s="35">
        <f>IF(D103/Frequency!$N$7=1,1,0)*E103</f>
        <v>0</v>
      </c>
      <c r="N103" s="35">
        <f t="shared" si="57"/>
        <v>0</v>
      </c>
      <c r="O103" s="35">
        <f>IF(AND(D103/Frequency!$N$7&gt;1, D103/Frequency!$N$7&lt;=2),1,0)*E103</f>
        <v>0</v>
      </c>
      <c r="P103" s="35">
        <f t="shared" si="58"/>
        <v>0</v>
      </c>
      <c r="Q103" s="35">
        <f>IF(AND(D103/Frequency!$N$7&gt;2,D103/Frequency!$N$7&lt;=5),1,0)*E103</f>
        <v>0</v>
      </c>
      <c r="R103" s="35">
        <f t="shared" si="59"/>
        <v>0</v>
      </c>
      <c r="S103" s="35">
        <f>IF(AND(D103/Frequency!$N$7&gt;5, D103/Frequency!$N$7&lt;=10),1,0)*E103</f>
        <v>0</v>
      </c>
      <c r="T103" s="35">
        <f t="shared" si="60"/>
        <v>0</v>
      </c>
      <c r="U103" s="35">
        <f>IF(AND(D103/Frequency!$N$7&gt;10, D103/Frequency!$N$7&lt;=20),1,0)*E103</f>
        <v>0</v>
      </c>
      <c r="V103" s="35">
        <f t="shared" si="61"/>
        <v>0</v>
      </c>
      <c r="W103" s="35">
        <f>IF(AND(D103/Frequency!$N$7&gt;20, D103/Frequency!$N$7&lt;=30),1,0)*E103</f>
        <v>0</v>
      </c>
      <c r="X103" s="35">
        <f t="shared" si="62"/>
        <v>0</v>
      </c>
      <c r="Y103" s="35">
        <f>IF(AND(D103/Frequency!$N$7&gt;30, D103/Frequency!$N$7&lt;=50),1,0)*E103</f>
        <v>0</v>
      </c>
      <c r="Z103" s="35">
        <f t="shared" si="63"/>
        <v>0</v>
      </c>
      <c r="AA103" s="35">
        <f>IF(AND(D103/Frequency!$N$7&gt;50, D103/Frequency!$N$7&lt;=100),1,0)*E103</f>
        <v>0</v>
      </c>
      <c r="AB103" s="35">
        <f t="shared" si="64"/>
        <v>0</v>
      </c>
      <c r="AC103" s="35">
        <f>IF(D103/Frequency!$N$7&gt;100,1,0)*E103</f>
        <v>0</v>
      </c>
      <c r="AD103" s="35">
        <f t="shared" si="65"/>
        <v>0</v>
      </c>
      <c r="AE103" s="22">
        <f t="shared" si="66"/>
        <v>0</v>
      </c>
      <c r="AF103" s="22">
        <f t="shared" si="67"/>
        <v>0</v>
      </c>
      <c r="AG103" s="22">
        <f t="shared" si="68"/>
        <v>0</v>
      </c>
      <c r="AH103" s="22">
        <f t="shared" si="69"/>
        <v>0</v>
      </c>
      <c r="AI103" s="35">
        <f t="shared" si="70"/>
        <v>1</v>
      </c>
      <c r="AJ103" s="35">
        <f t="shared" si="71"/>
        <v>6000</v>
      </c>
      <c r="AK103" s="35">
        <f t="shared" si="72"/>
        <v>2400</v>
      </c>
      <c r="AL103">
        <f t="shared" si="73"/>
        <v>0</v>
      </c>
      <c r="AM103">
        <f t="shared" si="74"/>
        <v>0</v>
      </c>
      <c r="AN103">
        <f t="shared" si="75"/>
        <v>0</v>
      </c>
      <c r="AO103">
        <f t="shared" si="76"/>
        <v>0</v>
      </c>
      <c r="AP103">
        <f t="shared" si="77"/>
        <v>0</v>
      </c>
      <c r="AQ103">
        <f t="shared" si="78"/>
        <v>0</v>
      </c>
      <c r="AR103">
        <f t="shared" si="79"/>
        <v>0</v>
      </c>
      <c r="AS103">
        <f t="shared" si="80"/>
        <v>0</v>
      </c>
      <c r="AT103">
        <f t="shared" si="81"/>
        <v>0</v>
      </c>
      <c r="AU103">
        <f t="shared" si="82"/>
        <v>0</v>
      </c>
      <c r="AV103">
        <v>0</v>
      </c>
      <c r="AW103">
        <v>0</v>
      </c>
      <c r="AX103">
        <f t="shared" si="83"/>
        <v>0</v>
      </c>
      <c r="AY103">
        <f t="shared" si="84"/>
        <v>0</v>
      </c>
      <c r="AZ103">
        <f t="shared" si="85"/>
        <v>0</v>
      </c>
      <c r="BA103">
        <f t="shared" si="86"/>
        <v>0</v>
      </c>
      <c r="BB103">
        <f t="shared" si="87"/>
        <v>0</v>
      </c>
      <c r="BC103">
        <f t="shared" si="88"/>
        <v>0</v>
      </c>
      <c r="BD103">
        <f t="shared" si="89"/>
        <v>0</v>
      </c>
      <c r="BE103">
        <f t="shared" si="90"/>
        <v>0</v>
      </c>
      <c r="BF103">
        <f t="shared" si="91"/>
        <v>0</v>
      </c>
      <c r="BG103">
        <f t="shared" si="92"/>
        <v>0</v>
      </c>
      <c r="BH103">
        <f t="shared" si="93"/>
        <v>0</v>
      </c>
      <c r="BI103">
        <f t="shared" si="94"/>
        <v>0</v>
      </c>
      <c r="BJ103">
        <v>0</v>
      </c>
      <c r="BK103" t="str">
        <f t="shared" si="108"/>
        <v>Less than Stake</v>
      </c>
      <c r="BL103" s="40" t="str">
        <f t="shared" si="109"/>
        <v>Combo Win</v>
      </c>
      <c r="BM103">
        <f>(D103/Frequency!$N$7-Summary!$C$7)^2*E103</f>
        <v>1161.5999999999999</v>
      </c>
      <c r="BN103">
        <f t="shared" si="95"/>
        <v>0</v>
      </c>
      <c r="BO103">
        <f t="shared" si="96"/>
        <v>0</v>
      </c>
      <c r="BP103">
        <f t="shared" si="97"/>
        <v>0</v>
      </c>
      <c r="BQ103">
        <f t="shared" si="98"/>
        <v>0</v>
      </c>
      <c r="BR103">
        <f t="shared" si="99"/>
        <v>0</v>
      </c>
      <c r="BS103">
        <f t="shared" si="100"/>
        <v>0</v>
      </c>
      <c r="BT103">
        <f t="shared" si="101"/>
        <v>0</v>
      </c>
      <c r="BU103">
        <f t="shared" si="102"/>
        <v>0</v>
      </c>
      <c r="BV103">
        <f t="shared" si="103"/>
        <v>0</v>
      </c>
      <c r="BW103">
        <f t="shared" si="104"/>
        <v>0</v>
      </c>
      <c r="BX103">
        <f t="shared" si="105"/>
        <v>0</v>
      </c>
    </row>
    <row r="104" spans="2:76">
      <c r="B104" s="19">
        <f>Tiers!B105</f>
        <v>102</v>
      </c>
      <c r="C104" s="20" t="str">
        <f>Tiers!X105</f>
        <v>main-0|main-2||||||||</v>
      </c>
      <c r="D104" s="21">
        <f>Tiers!C105</f>
        <v>0.6</v>
      </c>
      <c r="E104" s="22">
        <f>Frequency!E106</f>
        <v>5000</v>
      </c>
      <c r="F104" s="22">
        <f t="shared" si="55"/>
        <v>3000</v>
      </c>
      <c r="G104" s="20">
        <f>IF(AND(D104/Summary!$C$4&gt;0, D104/Summary!$C$4&lt;5),E104,0) * D104</f>
        <v>3000</v>
      </c>
      <c r="H104" s="20">
        <f>IF(AND(D104/Summary!$C$4&gt;= 5, D104/Summary!$C$4&lt;10),E104,0) * D104</f>
        <v>0</v>
      </c>
      <c r="I104" s="20">
        <f>IF(AND(D104/Summary!$C$4&gt;=10, D104/Summary!$C$4&lt;25),E104,0)*D104</f>
        <v>0</v>
      </c>
      <c r="J104" s="20">
        <f>IF(D104/Summary!$C$4&gt;=25,E104,0)*D104</f>
        <v>0</v>
      </c>
      <c r="K104" s="35">
        <f>IF(AND(D104/Frequency!$N$7&gt;0, D104/Frequency!$N$7&lt;1),E104,0)</f>
        <v>5000</v>
      </c>
      <c r="L104" s="35">
        <f t="shared" si="56"/>
        <v>3000</v>
      </c>
      <c r="M104" s="35">
        <f>IF(D104/Frequency!$N$7=1,1,0)*E104</f>
        <v>0</v>
      </c>
      <c r="N104" s="35">
        <f t="shared" si="57"/>
        <v>0</v>
      </c>
      <c r="O104" s="35">
        <f>IF(AND(D104/Frequency!$N$7&gt;1, D104/Frequency!$N$7&lt;=2),1,0)*E104</f>
        <v>0</v>
      </c>
      <c r="P104" s="35">
        <f t="shared" si="58"/>
        <v>0</v>
      </c>
      <c r="Q104" s="35">
        <f>IF(AND(D104/Frequency!$N$7&gt;2,D104/Frequency!$N$7&lt;=5),1,0)*E104</f>
        <v>0</v>
      </c>
      <c r="R104" s="35">
        <f t="shared" si="59"/>
        <v>0</v>
      </c>
      <c r="S104" s="35">
        <f>IF(AND(D104/Frequency!$N$7&gt;5, D104/Frequency!$N$7&lt;=10),1,0)*E104</f>
        <v>0</v>
      </c>
      <c r="T104" s="35">
        <f t="shared" si="60"/>
        <v>0</v>
      </c>
      <c r="U104" s="35">
        <f>IF(AND(D104/Frequency!$N$7&gt;10, D104/Frequency!$N$7&lt;=20),1,0)*E104</f>
        <v>0</v>
      </c>
      <c r="V104" s="35">
        <f t="shared" si="61"/>
        <v>0</v>
      </c>
      <c r="W104" s="35">
        <f>IF(AND(D104/Frequency!$N$7&gt;20, D104/Frequency!$N$7&lt;=30),1,0)*E104</f>
        <v>0</v>
      </c>
      <c r="X104" s="35">
        <f t="shared" si="62"/>
        <v>0</v>
      </c>
      <c r="Y104" s="35">
        <f>IF(AND(D104/Frequency!$N$7&gt;30, D104/Frequency!$N$7&lt;=50),1,0)*E104</f>
        <v>0</v>
      </c>
      <c r="Z104" s="35">
        <f t="shared" si="63"/>
        <v>0</v>
      </c>
      <c r="AA104" s="35">
        <f>IF(AND(D104/Frequency!$N$7&gt;50, D104/Frequency!$N$7&lt;=100),1,0)*E104</f>
        <v>0</v>
      </c>
      <c r="AB104" s="35">
        <f t="shared" si="64"/>
        <v>0</v>
      </c>
      <c r="AC104" s="35">
        <f>IF(D104/Frequency!$N$7&gt;100,1,0)*E104</f>
        <v>0</v>
      </c>
      <c r="AD104" s="35">
        <f t="shared" si="65"/>
        <v>0</v>
      </c>
      <c r="AE104" s="22">
        <f t="shared" si="66"/>
        <v>0</v>
      </c>
      <c r="AF104" s="22">
        <f t="shared" si="67"/>
        <v>0</v>
      </c>
      <c r="AG104" s="22">
        <f t="shared" si="68"/>
        <v>0</v>
      </c>
      <c r="AH104" s="22">
        <f t="shared" si="69"/>
        <v>0</v>
      </c>
      <c r="AI104" s="35">
        <f t="shared" si="70"/>
        <v>1</v>
      </c>
      <c r="AJ104" s="35">
        <f t="shared" si="71"/>
        <v>5000</v>
      </c>
      <c r="AK104" s="35">
        <f t="shared" si="72"/>
        <v>3000</v>
      </c>
      <c r="AL104">
        <f t="shared" si="73"/>
        <v>0</v>
      </c>
      <c r="AM104">
        <f t="shared" si="74"/>
        <v>0</v>
      </c>
      <c r="AN104">
        <f t="shared" si="75"/>
        <v>0</v>
      </c>
      <c r="AO104">
        <f t="shared" si="76"/>
        <v>0</v>
      </c>
      <c r="AP104">
        <f t="shared" si="77"/>
        <v>0</v>
      </c>
      <c r="AQ104">
        <f t="shared" si="78"/>
        <v>0</v>
      </c>
      <c r="AR104">
        <f t="shared" si="79"/>
        <v>0</v>
      </c>
      <c r="AS104">
        <f t="shared" si="80"/>
        <v>0</v>
      </c>
      <c r="AT104">
        <f t="shared" si="81"/>
        <v>0</v>
      </c>
      <c r="AU104">
        <f t="shared" si="82"/>
        <v>0</v>
      </c>
      <c r="AV104">
        <v>0</v>
      </c>
      <c r="AW104">
        <v>0</v>
      </c>
      <c r="AX104">
        <f t="shared" si="83"/>
        <v>0</v>
      </c>
      <c r="AY104">
        <f t="shared" si="84"/>
        <v>0</v>
      </c>
      <c r="AZ104">
        <f t="shared" si="85"/>
        <v>0</v>
      </c>
      <c r="BA104">
        <f t="shared" si="86"/>
        <v>0</v>
      </c>
      <c r="BB104">
        <f t="shared" si="87"/>
        <v>0</v>
      </c>
      <c r="BC104">
        <f t="shared" si="88"/>
        <v>0</v>
      </c>
      <c r="BD104">
        <f t="shared" si="89"/>
        <v>0</v>
      </c>
      <c r="BE104">
        <f t="shared" si="90"/>
        <v>0</v>
      </c>
      <c r="BF104">
        <f t="shared" si="91"/>
        <v>0</v>
      </c>
      <c r="BG104">
        <f t="shared" si="92"/>
        <v>0</v>
      </c>
      <c r="BH104">
        <f t="shared" si="93"/>
        <v>0</v>
      </c>
      <c r="BI104">
        <f t="shared" si="94"/>
        <v>0</v>
      </c>
      <c r="BJ104">
        <v>0</v>
      </c>
      <c r="BK104" t="str">
        <f t="shared" si="108"/>
        <v>Less than Stake</v>
      </c>
      <c r="BL104" s="40" t="str">
        <f t="shared" si="109"/>
        <v>Combo Win</v>
      </c>
      <c r="BM104">
        <f>(D104/Frequency!$N$7-Summary!$C$7)^2*E104</f>
        <v>288</v>
      </c>
      <c r="BN104">
        <f t="shared" si="95"/>
        <v>0</v>
      </c>
      <c r="BO104">
        <f t="shared" si="96"/>
        <v>0</v>
      </c>
      <c r="BP104">
        <f t="shared" si="97"/>
        <v>0</v>
      </c>
      <c r="BQ104">
        <f t="shared" si="98"/>
        <v>0</v>
      </c>
      <c r="BR104">
        <f t="shared" si="99"/>
        <v>0</v>
      </c>
      <c r="BS104">
        <f t="shared" si="100"/>
        <v>0</v>
      </c>
      <c r="BT104">
        <f t="shared" si="101"/>
        <v>0</v>
      </c>
      <c r="BU104">
        <f t="shared" si="102"/>
        <v>0</v>
      </c>
      <c r="BV104">
        <f t="shared" si="103"/>
        <v>0</v>
      </c>
      <c r="BW104">
        <f t="shared" si="104"/>
        <v>0</v>
      </c>
      <c r="BX104">
        <f t="shared" si="105"/>
        <v>0</v>
      </c>
    </row>
    <row r="105" spans="2:76">
      <c r="B105" s="19">
        <f>Tiers!B106</f>
        <v>103</v>
      </c>
      <c r="C105" s="20" t="str">
        <f>Tiers!X106</f>
        <v>main-1|main-2||||||||</v>
      </c>
      <c r="D105" s="21">
        <f>Tiers!C106</f>
        <v>0.7</v>
      </c>
      <c r="E105" s="22">
        <f>Frequency!E107</f>
        <v>5000</v>
      </c>
      <c r="F105" s="22">
        <f t="shared" si="55"/>
        <v>3500</v>
      </c>
      <c r="G105" s="20">
        <f>IF(AND(D105/Summary!$C$4&gt;0, D105/Summary!$C$4&lt;5),E105,0) * D105</f>
        <v>3500</v>
      </c>
      <c r="H105" s="20">
        <f>IF(AND(D105/Summary!$C$4&gt;= 5, D105/Summary!$C$4&lt;10),E105,0) * D105</f>
        <v>0</v>
      </c>
      <c r="I105" s="20">
        <f>IF(AND(D105/Summary!$C$4&gt;=10, D105/Summary!$C$4&lt;25),E105,0)*D105</f>
        <v>0</v>
      </c>
      <c r="J105" s="20">
        <f>IF(D105/Summary!$C$4&gt;=25,E105,0)*D105</f>
        <v>0</v>
      </c>
      <c r="K105" s="35">
        <f>IF(AND(D105/Frequency!$N$7&gt;0, D105/Frequency!$N$7&lt;1),E105,0)</f>
        <v>5000</v>
      </c>
      <c r="L105" s="35">
        <f t="shared" si="56"/>
        <v>3500</v>
      </c>
      <c r="M105" s="35">
        <f>IF(D105/Frequency!$N$7=1,1,0)*E105</f>
        <v>0</v>
      </c>
      <c r="N105" s="35">
        <f t="shared" si="57"/>
        <v>0</v>
      </c>
      <c r="O105" s="35">
        <f>IF(AND(D105/Frequency!$N$7&gt;1, D105/Frequency!$N$7&lt;=2),1,0)*E105</f>
        <v>0</v>
      </c>
      <c r="P105" s="35">
        <f t="shared" si="58"/>
        <v>0</v>
      </c>
      <c r="Q105" s="35">
        <f>IF(AND(D105/Frequency!$N$7&gt;2,D105/Frequency!$N$7&lt;=5),1,0)*E105</f>
        <v>0</v>
      </c>
      <c r="R105" s="35">
        <f t="shared" si="59"/>
        <v>0</v>
      </c>
      <c r="S105" s="35">
        <f>IF(AND(D105/Frequency!$N$7&gt;5, D105/Frequency!$N$7&lt;=10),1,0)*E105</f>
        <v>0</v>
      </c>
      <c r="T105" s="35">
        <f t="shared" si="60"/>
        <v>0</v>
      </c>
      <c r="U105" s="35">
        <f>IF(AND(D105/Frequency!$N$7&gt;10, D105/Frequency!$N$7&lt;=20),1,0)*E105</f>
        <v>0</v>
      </c>
      <c r="V105" s="35">
        <f t="shared" si="61"/>
        <v>0</v>
      </c>
      <c r="W105" s="35">
        <f>IF(AND(D105/Frequency!$N$7&gt;20, D105/Frequency!$N$7&lt;=30),1,0)*E105</f>
        <v>0</v>
      </c>
      <c r="X105" s="35">
        <f t="shared" si="62"/>
        <v>0</v>
      </c>
      <c r="Y105" s="35">
        <f>IF(AND(D105/Frequency!$N$7&gt;30, D105/Frequency!$N$7&lt;=50),1,0)*E105</f>
        <v>0</v>
      </c>
      <c r="Z105" s="35">
        <f t="shared" si="63"/>
        <v>0</v>
      </c>
      <c r="AA105" s="35">
        <f>IF(AND(D105/Frequency!$N$7&gt;50, D105/Frequency!$N$7&lt;=100),1,0)*E105</f>
        <v>0</v>
      </c>
      <c r="AB105" s="35">
        <f t="shared" si="64"/>
        <v>0</v>
      </c>
      <c r="AC105" s="35">
        <f>IF(D105/Frequency!$N$7&gt;100,1,0)*E105</f>
        <v>0</v>
      </c>
      <c r="AD105" s="35">
        <f t="shared" si="65"/>
        <v>0</v>
      </c>
      <c r="AE105" s="22">
        <f t="shared" si="66"/>
        <v>0</v>
      </c>
      <c r="AF105" s="22">
        <f t="shared" si="67"/>
        <v>0</v>
      </c>
      <c r="AG105" s="22">
        <f t="shared" si="68"/>
        <v>0</v>
      </c>
      <c r="AH105" s="22">
        <f t="shared" si="69"/>
        <v>0</v>
      </c>
      <c r="AI105" s="35">
        <f t="shared" si="70"/>
        <v>1</v>
      </c>
      <c r="AJ105" s="35">
        <f t="shared" si="71"/>
        <v>5000</v>
      </c>
      <c r="AK105" s="35">
        <f t="shared" si="72"/>
        <v>3500</v>
      </c>
      <c r="AL105">
        <f t="shared" si="73"/>
        <v>0</v>
      </c>
      <c r="AM105">
        <f t="shared" si="74"/>
        <v>0</v>
      </c>
      <c r="AN105">
        <f t="shared" si="75"/>
        <v>0</v>
      </c>
      <c r="AO105">
        <f t="shared" si="76"/>
        <v>0</v>
      </c>
      <c r="AP105">
        <f t="shared" si="77"/>
        <v>0</v>
      </c>
      <c r="AQ105">
        <f t="shared" si="78"/>
        <v>0</v>
      </c>
      <c r="AR105">
        <f t="shared" si="79"/>
        <v>0</v>
      </c>
      <c r="AS105">
        <f t="shared" si="80"/>
        <v>0</v>
      </c>
      <c r="AT105">
        <f t="shared" si="81"/>
        <v>0</v>
      </c>
      <c r="AU105">
        <f t="shared" si="82"/>
        <v>0</v>
      </c>
      <c r="AV105">
        <v>0</v>
      </c>
      <c r="AW105">
        <v>0</v>
      </c>
      <c r="AX105">
        <f t="shared" si="83"/>
        <v>0</v>
      </c>
      <c r="AY105">
        <f t="shared" si="84"/>
        <v>0</v>
      </c>
      <c r="AZ105">
        <f t="shared" si="85"/>
        <v>0</v>
      </c>
      <c r="BA105">
        <f t="shared" si="86"/>
        <v>0</v>
      </c>
      <c r="BB105">
        <f t="shared" si="87"/>
        <v>0</v>
      </c>
      <c r="BC105">
        <f t="shared" si="88"/>
        <v>0</v>
      </c>
      <c r="BD105">
        <f t="shared" si="89"/>
        <v>0</v>
      </c>
      <c r="BE105">
        <f t="shared" si="90"/>
        <v>0</v>
      </c>
      <c r="BF105">
        <f t="shared" si="91"/>
        <v>0</v>
      </c>
      <c r="BG105">
        <f t="shared" si="92"/>
        <v>0</v>
      </c>
      <c r="BH105">
        <f t="shared" si="93"/>
        <v>0</v>
      </c>
      <c r="BI105">
        <f t="shared" si="94"/>
        <v>0</v>
      </c>
      <c r="BJ105">
        <v>0</v>
      </c>
      <c r="BK105" t="str">
        <f t="shared" si="108"/>
        <v>Less than Stake</v>
      </c>
      <c r="BL105" s="40" t="str">
        <f t="shared" si="109"/>
        <v>Combo Win</v>
      </c>
      <c r="BM105">
        <f>(D105/Frequency!$N$7-Summary!$C$7)^2*E105</f>
        <v>98.000000000000014</v>
      </c>
      <c r="BN105">
        <f t="shared" si="95"/>
        <v>0</v>
      </c>
      <c r="BO105">
        <f t="shared" si="96"/>
        <v>0</v>
      </c>
      <c r="BP105">
        <f t="shared" si="97"/>
        <v>0</v>
      </c>
      <c r="BQ105">
        <f t="shared" si="98"/>
        <v>0</v>
      </c>
      <c r="BR105">
        <f t="shared" si="99"/>
        <v>0</v>
      </c>
      <c r="BS105">
        <f t="shared" si="100"/>
        <v>0</v>
      </c>
      <c r="BT105">
        <f t="shared" si="101"/>
        <v>0</v>
      </c>
      <c r="BU105">
        <f t="shared" si="102"/>
        <v>0</v>
      </c>
      <c r="BV105">
        <f t="shared" si="103"/>
        <v>0</v>
      </c>
      <c r="BW105">
        <f t="shared" si="104"/>
        <v>0</v>
      </c>
      <c r="BX105">
        <f t="shared" si="105"/>
        <v>0</v>
      </c>
    </row>
    <row r="106" spans="2:76">
      <c r="B106" s="19">
        <f>Tiers!B107</f>
        <v>104</v>
      </c>
      <c r="C106" s="20" t="str">
        <f>Tiers!X107</f>
        <v>main-3|main-0||||||||</v>
      </c>
      <c r="D106" s="21">
        <f>Tiers!C107</f>
        <v>1.1000000000000001</v>
      </c>
      <c r="E106" s="22">
        <f>Frequency!E108</f>
        <v>19000</v>
      </c>
      <c r="F106" s="22">
        <f t="shared" si="55"/>
        <v>20900</v>
      </c>
      <c r="G106" s="20">
        <f>IF(AND(D106/Summary!$C$4&gt;0, D106/Summary!$C$4&lt;5),E106,0) * D106</f>
        <v>20900</v>
      </c>
      <c r="H106" s="20">
        <f>IF(AND(D106/Summary!$C$4&gt;= 5, D106/Summary!$C$4&lt;10),E106,0) * D106</f>
        <v>0</v>
      </c>
      <c r="I106" s="20">
        <f>IF(AND(D106/Summary!$C$4&gt;=10, D106/Summary!$C$4&lt;25),E106,0)*D106</f>
        <v>0</v>
      </c>
      <c r="J106" s="20">
        <f>IF(D106/Summary!$C$4&gt;=25,E106,0)*D106</f>
        <v>0</v>
      </c>
      <c r="K106" s="35">
        <f>IF(AND(D106/Frequency!$N$7&gt;0, D106/Frequency!$N$7&lt;1),E106,0)</f>
        <v>0</v>
      </c>
      <c r="L106" s="35">
        <f t="shared" si="56"/>
        <v>0</v>
      </c>
      <c r="M106" s="35">
        <f>IF(D106/Frequency!$N$7=1,1,0)*E106</f>
        <v>0</v>
      </c>
      <c r="N106" s="35">
        <f t="shared" si="57"/>
        <v>0</v>
      </c>
      <c r="O106" s="35">
        <f>IF(AND(D106/Frequency!$N$7&gt;1, D106/Frequency!$N$7&lt;=2),1,0)*E106</f>
        <v>19000</v>
      </c>
      <c r="P106" s="35">
        <f t="shared" si="58"/>
        <v>20900</v>
      </c>
      <c r="Q106" s="35">
        <f>IF(AND(D106/Frequency!$N$7&gt;2,D106/Frequency!$N$7&lt;=5),1,0)*E106</f>
        <v>0</v>
      </c>
      <c r="R106" s="35">
        <f t="shared" si="59"/>
        <v>0</v>
      </c>
      <c r="S106" s="35">
        <f>IF(AND(D106/Frequency!$N$7&gt;5, D106/Frequency!$N$7&lt;=10),1,0)*E106</f>
        <v>0</v>
      </c>
      <c r="T106" s="35">
        <f t="shared" si="60"/>
        <v>0</v>
      </c>
      <c r="U106" s="35">
        <f>IF(AND(D106/Frequency!$N$7&gt;10, D106/Frequency!$N$7&lt;=20),1,0)*E106</f>
        <v>0</v>
      </c>
      <c r="V106" s="35">
        <f t="shared" si="61"/>
        <v>0</v>
      </c>
      <c r="W106" s="35">
        <f>IF(AND(D106/Frequency!$N$7&gt;20, D106/Frequency!$N$7&lt;=30),1,0)*E106</f>
        <v>0</v>
      </c>
      <c r="X106" s="35">
        <f t="shared" si="62"/>
        <v>0</v>
      </c>
      <c r="Y106" s="35">
        <f>IF(AND(D106/Frequency!$N$7&gt;30, D106/Frequency!$N$7&lt;=50),1,0)*E106</f>
        <v>0</v>
      </c>
      <c r="Z106" s="35">
        <f t="shared" si="63"/>
        <v>0</v>
      </c>
      <c r="AA106" s="35">
        <f>IF(AND(D106/Frequency!$N$7&gt;50, D106/Frequency!$N$7&lt;=100),1,0)*E106</f>
        <v>0</v>
      </c>
      <c r="AB106" s="35">
        <f t="shared" si="64"/>
        <v>0</v>
      </c>
      <c r="AC106" s="35">
        <f>IF(D106/Frequency!$N$7&gt;100,1,0)*E106</f>
        <v>0</v>
      </c>
      <c r="AD106" s="35">
        <f t="shared" si="65"/>
        <v>0</v>
      </c>
      <c r="AE106" s="22">
        <f t="shared" si="66"/>
        <v>0</v>
      </c>
      <c r="AF106" s="22">
        <f t="shared" si="67"/>
        <v>0</v>
      </c>
      <c r="AG106" s="22">
        <f t="shared" si="68"/>
        <v>0</v>
      </c>
      <c r="AH106" s="22">
        <f t="shared" si="69"/>
        <v>0</v>
      </c>
      <c r="AI106" s="35">
        <f t="shared" si="70"/>
        <v>1</v>
      </c>
      <c r="AJ106" s="35">
        <f t="shared" si="71"/>
        <v>19000</v>
      </c>
      <c r="AK106" s="35">
        <f t="shared" si="72"/>
        <v>20900</v>
      </c>
      <c r="AL106">
        <f t="shared" si="73"/>
        <v>0</v>
      </c>
      <c r="AM106">
        <f t="shared" si="74"/>
        <v>0</v>
      </c>
      <c r="AN106">
        <f t="shared" si="75"/>
        <v>0</v>
      </c>
      <c r="AO106">
        <f t="shared" si="76"/>
        <v>0</v>
      </c>
      <c r="AP106">
        <f t="shared" si="77"/>
        <v>0</v>
      </c>
      <c r="AQ106">
        <f t="shared" si="78"/>
        <v>0</v>
      </c>
      <c r="AR106">
        <f t="shared" si="79"/>
        <v>0</v>
      </c>
      <c r="AS106">
        <f t="shared" si="80"/>
        <v>0</v>
      </c>
      <c r="AT106">
        <f t="shared" si="81"/>
        <v>0</v>
      </c>
      <c r="AU106">
        <f t="shared" si="82"/>
        <v>0</v>
      </c>
      <c r="AV106">
        <v>0</v>
      </c>
      <c r="AW106">
        <v>0</v>
      </c>
      <c r="AX106">
        <f t="shared" si="83"/>
        <v>0</v>
      </c>
      <c r="AY106">
        <f t="shared" si="84"/>
        <v>0</v>
      </c>
      <c r="AZ106">
        <f t="shared" si="85"/>
        <v>0</v>
      </c>
      <c r="BA106">
        <f t="shared" si="86"/>
        <v>0</v>
      </c>
      <c r="BB106">
        <f t="shared" si="87"/>
        <v>0</v>
      </c>
      <c r="BC106">
        <f t="shared" si="88"/>
        <v>0</v>
      </c>
      <c r="BD106">
        <f t="shared" si="89"/>
        <v>0</v>
      </c>
      <c r="BE106">
        <f t="shared" si="90"/>
        <v>0</v>
      </c>
      <c r="BF106">
        <f t="shared" si="91"/>
        <v>0</v>
      </c>
      <c r="BG106">
        <f t="shared" si="92"/>
        <v>0</v>
      </c>
      <c r="BH106">
        <f t="shared" si="93"/>
        <v>0</v>
      </c>
      <c r="BI106">
        <f t="shared" si="94"/>
        <v>0</v>
      </c>
      <c r="BJ106">
        <v>0</v>
      </c>
      <c r="BK106" t="str">
        <f t="shared" si="108"/>
        <v>Standard Win</v>
      </c>
      <c r="BL106" s="40" t="str">
        <f t="shared" si="109"/>
        <v>Combo Win</v>
      </c>
      <c r="BM106">
        <f>(D106/Frequency!$N$7-Summary!$C$7)^2*E106</f>
        <v>1284.4000000000012</v>
      </c>
      <c r="BN106">
        <f t="shared" si="95"/>
        <v>0</v>
      </c>
      <c r="BO106">
        <f t="shared" si="96"/>
        <v>0</v>
      </c>
      <c r="BP106">
        <f t="shared" si="97"/>
        <v>0</v>
      </c>
      <c r="BQ106">
        <f t="shared" si="98"/>
        <v>0</v>
      </c>
      <c r="BR106">
        <f t="shared" si="99"/>
        <v>0</v>
      </c>
      <c r="BS106">
        <f t="shared" si="100"/>
        <v>0</v>
      </c>
      <c r="BT106">
        <f t="shared" si="101"/>
        <v>0</v>
      </c>
      <c r="BU106">
        <f t="shared" si="102"/>
        <v>0</v>
      </c>
      <c r="BV106">
        <f t="shared" si="103"/>
        <v>0</v>
      </c>
      <c r="BW106">
        <f t="shared" si="104"/>
        <v>0</v>
      </c>
      <c r="BX106">
        <f t="shared" si="105"/>
        <v>0</v>
      </c>
    </row>
    <row r="107" spans="2:76">
      <c r="B107" s="19">
        <f>Tiers!B108</f>
        <v>105</v>
      </c>
      <c r="C107" s="20" t="str">
        <f>Tiers!X108</f>
        <v>main-3|main-1||||||||</v>
      </c>
      <c r="D107" s="21">
        <f>Tiers!C108</f>
        <v>1.2</v>
      </c>
      <c r="E107" s="22">
        <f>Frequency!E109</f>
        <v>20000</v>
      </c>
      <c r="F107" s="22">
        <f t="shared" si="55"/>
        <v>24000</v>
      </c>
      <c r="G107" s="20">
        <f>IF(AND(D107/Summary!$C$4&gt;0, D107/Summary!$C$4&lt;5),E107,0) * D107</f>
        <v>24000</v>
      </c>
      <c r="H107" s="20">
        <f>IF(AND(D107/Summary!$C$4&gt;= 5, D107/Summary!$C$4&lt;10),E107,0) * D107</f>
        <v>0</v>
      </c>
      <c r="I107" s="20">
        <f>IF(AND(D107/Summary!$C$4&gt;=10, D107/Summary!$C$4&lt;25),E107,0)*D107</f>
        <v>0</v>
      </c>
      <c r="J107" s="20">
        <f>IF(D107/Summary!$C$4&gt;=25,E107,0)*D107</f>
        <v>0</v>
      </c>
      <c r="K107" s="35">
        <f>IF(AND(D107/Frequency!$N$7&gt;0, D107/Frequency!$N$7&lt;1),E107,0)</f>
        <v>0</v>
      </c>
      <c r="L107" s="35">
        <f t="shared" si="56"/>
        <v>0</v>
      </c>
      <c r="M107" s="35">
        <f>IF(D107/Frequency!$N$7=1,1,0)*E107</f>
        <v>0</v>
      </c>
      <c r="N107" s="35">
        <f t="shared" si="57"/>
        <v>0</v>
      </c>
      <c r="O107" s="35">
        <f>IF(AND(D107/Frequency!$N$7&gt;1, D107/Frequency!$N$7&lt;=2),1,0)*E107</f>
        <v>20000</v>
      </c>
      <c r="P107" s="35">
        <f t="shared" si="58"/>
        <v>24000</v>
      </c>
      <c r="Q107" s="35">
        <f>IF(AND(D107/Frequency!$N$7&gt;2,D107/Frequency!$N$7&lt;=5),1,0)*E107</f>
        <v>0</v>
      </c>
      <c r="R107" s="35">
        <f t="shared" si="59"/>
        <v>0</v>
      </c>
      <c r="S107" s="35">
        <f>IF(AND(D107/Frequency!$N$7&gt;5, D107/Frequency!$N$7&lt;=10),1,0)*E107</f>
        <v>0</v>
      </c>
      <c r="T107" s="35">
        <f t="shared" si="60"/>
        <v>0</v>
      </c>
      <c r="U107" s="35">
        <f>IF(AND(D107/Frequency!$N$7&gt;10, D107/Frequency!$N$7&lt;=20),1,0)*E107</f>
        <v>0</v>
      </c>
      <c r="V107" s="35">
        <f t="shared" si="61"/>
        <v>0</v>
      </c>
      <c r="W107" s="35">
        <f>IF(AND(D107/Frequency!$N$7&gt;20, D107/Frequency!$N$7&lt;=30),1,0)*E107</f>
        <v>0</v>
      </c>
      <c r="X107" s="35">
        <f t="shared" si="62"/>
        <v>0</v>
      </c>
      <c r="Y107" s="35">
        <f>IF(AND(D107/Frequency!$N$7&gt;30, D107/Frequency!$N$7&lt;=50),1,0)*E107</f>
        <v>0</v>
      </c>
      <c r="Z107" s="35">
        <f t="shared" si="63"/>
        <v>0</v>
      </c>
      <c r="AA107" s="35">
        <f>IF(AND(D107/Frequency!$N$7&gt;50, D107/Frequency!$N$7&lt;=100),1,0)*E107</f>
        <v>0</v>
      </c>
      <c r="AB107" s="35">
        <f t="shared" si="64"/>
        <v>0</v>
      </c>
      <c r="AC107" s="35">
        <f>IF(D107/Frequency!$N$7&gt;100,1,0)*E107</f>
        <v>0</v>
      </c>
      <c r="AD107" s="35">
        <f t="shared" si="65"/>
        <v>0</v>
      </c>
      <c r="AE107" s="22">
        <f t="shared" si="66"/>
        <v>0</v>
      </c>
      <c r="AF107" s="22">
        <f t="shared" si="67"/>
        <v>0</v>
      </c>
      <c r="AG107" s="22">
        <f t="shared" si="68"/>
        <v>0</v>
      </c>
      <c r="AH107" s="22">
        <f t="shared" si="69"/>
        <v>0</v>
      </c>
      <c r="AI107" s="35">
        <f t="shared" si="70"/>
        <v>1</v>
      </c>
      <c r="AJ107" s="35">
        <f t="shared" si="71"/>
        <v>20000</v>
      </c>
      <c r="AK107" s="35">
        <f t="shared" si="72"/>
        <v>24000</v>
      </c>
      <c r="AL107">
        <f t="shared" si="73"/>
        <v>0</v>
      </c>
      <c r="AM107">
        <f t="shared" si="74"/>
        <v>0</v>
      </c>
      <c r="AN107">
        <f t="shared" si="75"/>
        <v>0</v>
      </c>
      <c r="AO107">
        <f t="shared" si="76"/>
        <v>0</v>
      </c>
      <c r="AP107">
        <f t="shared" si="77"/>
        <v>0</v>
      </c>
      <c r="AQ107">
        <f t="shared" si="78"/>
        <v>0</v>
      </c>
      <c r="AR107">
        <f t="shared" si="79"/>
        <v>0</v>
      </c>
      <c r="AS107">
        <f t="shared" si="80"/>
        <v>0</v>
      </c>
      <c r="AT107">
        <f t="shared" si="81"/>
        <v>0</v>
      </c>
      <c r="AU107">
        <f t="shared" si="82"/>
        <v>0</v>
      </c>
      <c r="AV107">
        <v>0</v>
      </c>
      <c r="AW107">
        <v>0</v>
      </c>
      <c r="AX107">
        <f t="shared" si="83"/>
        <v>0</v>
      </c>
      <c r="AY107">
        <f t="shared" si="84"/>
        <v>0</v>
      </c>
      <c r="AZ107">
        <f t="shared" si="85"/>
        <v>0</v>
      </c>
      <c r="BA107">
        <f t="shared" si="86"/>
        <v>0</v>
      </c>
      <c r="BB107">
        <f t="shared" si="87"/>
        <v>0</v>
      </c>
      <c r="BC107">
        <f t="shared" si="88"/>
        <v>0</v>
      </c>
      <c r="BD107">
        <f t="shared" si="89"/>
        <v>0</v>
      </c>
      <c r="BE107">
        <f t="shared" si="90"/>
        <v>0</v>
      </c>
      <c r="BF107">
        <f t="shared" si="91"/>
        <v>0</v>
      </c>
      <c r="BG107">
        <f t="shared" si="92"/>
        <v>0</v>
      </c>
      <c r="BH107">
        <f t="shared" si="93"/>
        <v>0</v>
      </c>
      <c r="BI107">
        <f t="shared" si="94"/>
        <v>0</v>
      </c>
      <c r="BJ107">
        <v>0</v>
      </c>
      <c r="BK107" t="str">
        <f t="shared" si="108"/>
        <v>Standard Win</v>
      </c>
      <c r="BL107" s="40" t="str">
        <f t="shared" si="109"/>
        <v>Combo Win</v>
      </c>
      <c r="BM107">
        <f>(D107/Frequency!$N$7-Summary!$C$7)^2*E107</f>
        <v>2592</v>
      </c>
      <c r="BN107">
        <f t="shared" si="95"/>
        <v>0</v>
      </c>
      <c r="BO107">
        <f t="shared" si="96"/>
        <v>0</v>
      </c>
      <c r="BP107">
        <f t="shared" si="97"/>
        <v>0</v>
      </c>
      <c r="BQ107">
        <f t="shared" si="98"/>
        <v>0</v>
      </c>
      <c r="BR107">
        <f t="shared" si="99"/>
        <v>0</v>
      </c>
      <c r="BS107">
        <f t="shared" si="100"/>
        <v>0</v>
      </c>
      <c r="BT107">
        <f t="shared" si="101"/>
        <v>0</v>
      </c>
      <c r="BU107">
        <f t="shared" si="102"/>
        <v>0</v>
      </c>
      <c r="BV107">
        <f t="shared" si="103"/>
        <v>0</v>
      </c>
      <c r="BW107">
        <f t="shared" si="104"/>
        <v>0</v>
      </c>
      <c r="BX107">
        <f t="shared" si="105"/>
        <v>0</v>
      </c>
    </row>
    <row r="108" spans="2:76">
      <c r="B108" s="19">
        <f>Tiers!B109</f>
        <v>106</v>
      </c>
      <c r="C108" s="20" t="str">
        <f>Tiers!X109</f>
        <v>main-1|main-5||||||||</v>
      </c>
      <c r="D108" s="21">
        <f>Tiers!C109</f>
        <v>5.2</v>
      </c>
      <c r="E108" s="22">
        <f>Frequency!E110</f>
        <v>100</v>
      </c>
      <c r="F108" s="22">
        <f t="shared" si="55"/>
        <v>520</v>
      </c>
      <c r="G108" s="20">
        <f>IF(AND(D108/Summary!$C$4&gt;0, D108/Summary!$C$4&lt;5),E108,0) * D108</f>
        <v>0</v>
      </c>
      <c r="H108" s="20">
        <f>IF(AND(D108/Summary!$C$4&gt;= 5, D108/Summary!$C$4&lt;10),E108,0) * D108</f>
        <v>520</v>
      </c>
      <c r="I108" s="20">
        <f>IF(AND(D108/Summary!$C$4&gt;=10, D108/Summary!$C$4&lt;25),E108,0)*D108</f>
        <v>0</v>
      </c>
      <c r="J108" s="20">
        <f>IF(D108/Summary!$C$4&gt;=25,E108,0)*D108</f>
        <v>0</v>
      </c>
      <c r="K108" s="35">
        <f>IF(AND(D108/Frequency!$N$7&gt;0, D108/Frequency!$N$7&lt;1),E108,0)</f>
        <v>0</v>
      </c>
      <c r="L108" s="35">
        <f t="shared" si="56"/>
        <v>0</v>
      </c>
      <c r="M108" s="35">
        <f>IF(D108/Frequency!$N$7=1,1,0)*E108</f>
        <v>0</v>
      </c>
      <c r="N108" s="35">
        <f t="shared" si="57"/>
        <v>0</v>
      </c>
      <c r="O108" s="35">
        <f>IF(AND(D108/Frequency!$N$7&gt;1, D108/Frequency!$N$7&lt;=2),1,0)*E108</f>
        <v>0</v>
      </c>
      <c r="P108" s="35">
        <f t="shared" si="58"/>
        <v>0</v>
      </c>
      <c r="Q108" s="35">
        <f>IF(AND(D108/Frequency!$N$7&gt;2,D108/Frequency!$N$7&lt;=5),1,0)*E108</f>
        <v>0</v>
      </c>
      <c r="R108" s="35">
        <f t="shared" si="59"/>
        <v>0</v>
      </c>
      <c r="S108" s="35">
        <f>IF(AND(D108/Frequency!$N$7&gt;5, D108/Frequency!$N$7&lt;=10),1,0)*E108</f>
        <v>100</v>
      </c>
      <c r="T108" s="35">
        <f t="shared" si="60"/>
        <v>520</v>
      </c>
      <c r="U108" s="35">
        <f>IF(AND(D108/Frequency!$N$7&gt;10, D108/Frequency!$N$7&lt;=20),1,0)*E108</f>
        <v>0</v>
      </c>
      <c r="V108" s="35">
        <f t="shared" si="61"/>
        <v>0</v>
      </c>
      <c r="W108" s="35">
        <f>IF(AND(D108/Frequency!$N$7&gt;20, D108/Frequency!$N$7&lt;=30),1,0)*E108</f>
        <v>0</v>
      </c>
      <c r="X108" s="35">
        <f t="shared" si="62"/>
        <v>0</v>
      </c>
      <c r="Y108" s="35">
        <f>IF(AND(D108/Frequency!$N$7&gt;30, D108/Frequency!$N$7&lt;=50),1,0)*E108</f>
        <v>0</v>
      </c>
      <c r="Z108" s="35">
        <f t="shared" si="63"/>
        <v>0</v>
      </c>
      <c r="AA108" s="35">
        <f>IF(AND(D108/Frequency!$N$7&gt;50, D108/Frequency!$N$7&lt;=100),1,0)*E108</f>
        <v>0</v>
      </c>
      <c r="AB108" s="35">
        <f t="shared" si="64"/>
        <v>0</v>
      </c>
      <c r="AC108" s="35">
        <f>IF(D108/Frequency!$N$7&gt;100,1,0)*E108</f>
        <v>0</v>
      </c>
      <c r="AD108" s="35">
        <f t="shared" si="65"/>
        <v>0</v>
      </c>
      <c r="AE108" s="22">
        <f t="shared" si="66"/>
        <v>0</v>
      </c>
      <c r="AF108" s="22">
        <f t="shared" si="67"/>
        <v>0</v>
      </c>
      <c r="AG108" s="22">
        <f t="shared" si="68"/>
        <v>0</v>
      </c>
      <c r="AH108" s="22">
        <f t="shared" si="69"/>
        <v>0</v>
      </c>
      <c r="AI108" s="35">
        <f t="shared" si="70"/>
        <v>1</v>
      </c>
      <c r="AJ108" s="35">
        <f t="shared" si="71"/>
        <v>100</v>
      </c>
      <c r="AK108" s="35">
        <f t="shared" si="72"/>
        <v>520</v>
      </c>
      <c r="AL108">
        <f t="shared" si="73"/>
        <v>0</v>
      </c>
      <c r="AM108">
        <f t="shared" si="74"/>
        <v>0</v>
      </c>
      <c r="AN108">
        <f t="shared" si="75"/>
        <v>0</v>
      </c>
      <c r="AO108">
        <f t="shared" si="76"/>
        <v>0</v>
      </c>
      <c r="AP108">
        <f t="shared" si="77"/>
        <v>0</v>
      </c>
      <c r="AQ108">
        <f t="shared" si="78"/>
        <v>0</v>
      </c>
      <c r="AR108">
        <f t="shared" si="79"/>
        <v>0</v>
      </c>
      <c r="AS108">
        <f t="shared" si="80"/>
        <v>0</v>
      </c>
      <c r="AT108">
        <f t="shared" si="81"/>
        <v>0</v>
      </c>
      <c r="AU108">
        <f t="shared" si="82"/>
        <v>0</v>
      </c>
      <c r="AV108">
        <v>0</v>
      </c>
      <c r="AW108">
        <v>0</v>
      </c>
      <c r="AX108">
        <f t="shared" si="83"/>
        <v>0</v>
      </c>
      <c r="AY108">
        <f t="shared" si="84"/>
        <v>0</v>
      </c>
      <c r="AZ108">
        <f t="shared" si="85"/>
        <v>0</v>
      </c>
      <c r="BA108">
        <f t="shared" si="86"/>
        <v>0</v>
      </c>
      <c r="BB108">
        <f t="shared" si="87"/>
        <v>0</v>
      </c>
      <c r="BC108">
        <f t="shared" si="88"/>
        <v>0</v>
      </c>
      <c r="BD108">
        <f t="shared" si="89"/>
        <v>0</v>
      </c>
      <c r="BE108">
        <f t="shared" si="90"/>
        <v>0</v>
      </c>
      <c r="BF108">
        <f t="shared" si="91"/>
        <v>0</v>
      </c>
      <c r="BG108">
        <f t="shared" si="92"/>
        <v>0</v>
      </c>
      <c r="BH108">
        <f t="shared" si="93"/>
        <v>0</v>
      </c>
      <c r="BI108">
        <f t="shared" si="94"/>
        <v>0</v>
      </c>
      <c r="BJ108">
        <v>0</v>
      </c>
      <c r="BK108" t="str">
        <f t="shared" si="108"/>
        <v>Standard Win</v>
      </c>
      <c r="BL108" s="40" t="str">
        <f t="shared" si="109"/>
        <v>Combo Win</v>
      </c>
      <c r="BM108">
        <f>(D108/Frequency!$N$7-Summary!$C$7)^2*E108</f>
        <v>1900.9600000000003</v>
      </c>
      <c r="BN108">
        <f t="shared" si="95"/>
        <v>0</v>
      </c>
      <c r="BO108">
        <f t="shared" si="96"/>
        <v>0</v>
      </c>
      <c r="BP108">
        <f t="shared" si="97"/>
        <v>0</v>
      </c>
      <c r="BQ108">
        <f t="shared" si="98"/>
        <v>0</v>
      </c>
      <c r="BR108">
        <f t="shared" si="99"/>
        <v>0</v>
      </c>
      <c r="BS108">
        <f t="shared" si="100"/>
        <v>0</v>
      </c>
      <c r="BT108">
        <f t="shared" si="101"/>
        <v>0</v>
      </c>
      <c r="BU108">
        <f t="shared" si="102"/>
        <v>0</v>
      </c>
      <c r="BV108">
        <f t="shared" si="103"/>
        <v>0</v>
      </c>
      <c r="BW108">
        <f t="shared" si="104"/>
        <v>0</v>
      </c>
      <c r="BX108">
        <f t="shared" si="105"/>
        <v>0</v>
      </c>
    </row>
    <row r="109" spans="2:76">
      <c r="B109" s="19">
        <f>Tiers!B110</f>
        <v>107</v>
      </c>
      <c r="C109" s="20" t="str">
        <f>Tiers!X110</f>
        <v>main-4|main-19||||||||</v>
      </c>
      <c r="D109" s="21">
        <f>Tiers!C110</f>
        <v>7</v>
      </c>
      <c r="E109" s="22">
        <f>Frequency!E111</f>
        <v>10</v>
      </c>
      <c r="F109" s="22">
        <f t="shared" si="55"/>
        <v>70</v>
      </c>
      <c r="G109" s="20">
        <f>IF(AND(D109/Summary!$C$4&gt;0, D109/Summary!$C$4&lt;5),E109,0) * D109</f>
        <v>0</v>
      </c>
      <c r="H109" s="20">
        <f>IF(AND(D109/Summary!$C$4&gt;= 5, D109/Summary!$C$4&lt;10),E109,0) * D109</f>
        <v>70</v>
      </c>
      <c r="I109" s="20">
        <f>IF(AND(D109/Summary!$C$4&gt;=10, D109/Summary!$C$4&lt;25),E109,0)*D109</f>
        <v>0</v>
      </c>
      <c r="J109" s="20">
        <f>IF(D109/Summary!$C$4&gt;=25,E109,0)*D109</f>
        <v>0</v>
      </c>
      <c r="K109" s="35">
        <f>IF(AND(D109/Frequency!$N$7&gt;0, D109/Frequency!$N$7&lt;1),E109,0)</f>
        <v>0</v>
      </c>
      <c r="L109" s="35">
        <f t="shared" si="56"/>
        <v>0</v>
      </c>
      <c r="M109" s="35">
        <f>IF(D109/Frequency!$N$7=1,1,0)*E109</f>
        <v>0</v>
      </c>
      <c r="N109" s="35">
        <f t="shared" si="57"/>
        <v>0</v>
      </c>
      <c r="O109" s="35">
        <f>IF(AND(D109/Frequency!$N$7&gt;1, D109/Frequency!$N$7&lt;=2),1,0)*E109</f>
        <v>0</v>
      </c>
      <c r="P109" s="35">
        <f t="shared" si="58"/>
        <v>0</v>
      </c>
      <c r="Q109" s="35">
        <f>IF(AND(D109/Frequency!$N$7&gt;2,D109/Frequency!$N$7&lt;=5),1,0)*E109</f>
        <v>0</v>
      </c>
      <c r="R109" s="35">
        <f t="shared" si="59"/>
        <v>0</v>
      </c>
      <c r="S109" s="35">
        <f>IF(AND(D109/Frequency!$N$7&gt;5, D109/Frequency!$N$7&lt;=10),1,0)*E109</f>
        <v>10</v>
      </c>
      <c r="T109" s="35">
        <f t="shared" si="60"/>
        <v>70</v>
      </c>
      <c r="U109" s="35">
        <f>IF(AND(D109/Frequency!$N$7&gt;10, D109/Frequency!$N$7&lt;=20),1,0)*E109</f>
        <v>0</v>
      </c>
      <c r="V109" s="35">
        <f t="shared" si="61"/>
        <v>0</v>
      </c>
      <c r="W109" s="35">
        <f>IF(AND(D109/Frequency!$N$7&gt;20, D109/Frequency!$N$7&lt;=30),1,0)*E109</f>
        <v>0</v>
      </c>
      <c r="X109" s="35">
        <f t="shared" si="62"/>
        <v>0</v>
      </c>
      <c r="Y109" s="35">
        <f>IF(AND(D109/Frequency!$N$7&gt;30, D109/Frequency!$N$7&lt;=50),1,0)*E109</f>
        <v>0</v>
      </c>
      <c r="Z109" s="35">
        <f t="shared" si="63"/>
        <v>0</v>
      </c>
      <c r="AA109" s="35">
        <f>IF(AND(D109/Frequency!$N$7&gt;50, D109/Frequency!$N$7&lt;=100),1,0)*E109</f>
        <v>0</v>
      </c>
      <c r="AB109" s="35">
        <f t="shared" si="64"/>
        <v>0</v>
      </c>
      <c r="AC109" s="35">
        <f>IF(D109/Frequency!$N$7&gt;100,1,0)*E109</f>
        <v>0</v>
      </c>
      <c r="AD109" s="35">
        <f t="shared" si="65"/>
        <v>0</v>
      </c>
      <c r="AE109" s="22">
        <f t="shared" si="66"/>
        <v>0</v>
      </c>
      <c r="AF109" s="22">
        <f t="shared" si="67"/>
        <v>0</v>
      </c>
      <c r="AG109" s="22">
        <f t="shared" si="68"/>
        <v>0</v>
      </c>
      <c r="AH109" s="22">
        <f t="shared" si="69"/>
        <v>0</v>
      </c>
      <c r="AI109" s="35">
        <f t="shared" si="70"/>
        <v>1</v>
      </c>
      <c r="AJ109" s="35">
        <f t="shared" si="71"/>
        <v>10</v>
      </c>
      <c r="AK109" s="35">
        <f t="shared" si="72"/>
        <v>70</v>
      </c>
      <c r="AL109">
        <f t="shared" si="73"/>
        <v>0</v>
      </c>
      <c r="AM109">
        <f t="shared" si="74"/>
        <v>0</v>
      </c>
      <c r="AN109">
        <f t="shared" si="75"/>
        <v>0</v>
      </c>
      <c r="AO109">
        <f t="shared" si="76"/>
        <v>0</v>
      </c>
      <c r="AP109">
        <f t="shared" si="77"/>
        <v>0</v>
      </c>
      <c r="AQ109">
        <f t="shared" si="78"/>
        <v>0</v>
      </c>
      <c r="AR109">
        <f t="shared" si="79"/>
        <v>0</v>
      </c>
      <c r="AS109">
        <f t="shared" si="80"/>
        <v>0</v>
      </c>
      <c r="AT109">
        <f t="shared" si="81"/>
        <v>0</v>
      </c>
      <c r="AU109">
        <f t="shared" si="82"/>
        <v>0</v>
      </c>
      <c r="AV109">
        <v>0</v>
      </c>
      <c r="AW109">
        <v>0</v>
      </c>
      <c r="AX109">
        <f t="shared" si="83"/>
        <v>0</v>
      </c>
      <c r="AY109">
        <f t="shared" si="84"/>
        <v>0</v>
      </c>
      <c r="AZ109">
        <f t="shared" si="85"/>
        <v>0</v>
      </c>
      <c r="BA109">
        <f t="shared" si="86"/>
        <v>0</v>
      </c>
      <c r="BB109">
        <f t="shared" si="87"/>
        <v>0</v>
      </c>
      <c r="BC109">
        <f t="shared" si="88"/>
        <v>0</v>
      </c>
      <c r="BD109">
        <f t="shared" si="89"/>
        <v>0</v>
      </c>
      <c r="BE109">
        <f t="shared" si="90"/>
        <v>0</v>
      </c>
      <c r="BF109">
        <f t="shared" si="91"/>
        <v>0</v>
      </c>
      <c r="BG109">
        <f t="shared" si="92"/>
        <v>0</v>
      </c>
      <c r="BH109">
        <f t="shared" si="93"/>
        <v>0</v>
      </c>
      <c r="BI109">
        <f t="shared" si="94"/>
        <v>0</v>
      </c>
      <c r="BJ109">
        <v>0</v>
      </c>
      <c r="BK109" t="str">
        <f t="shared" si="108"/>
        <v>Standard Win</v>
      </c>
      <c r="BL109" s="40" t="str">
        <f t="shared" si="109"/>
        <v>Combo Win</v>
      </c>
      <c r="BM109">
        <f>(D109/Frequency!$N$7-Summary!$C$7)^2*E109</f>
        <v>379.45600000000002</v>
      </c>
      <c r="BN109">
        <f t="shared" si="95"/>
        <v>0</v>
      </c>
      <c r="BO109">
        <f t="shared" si="96"/>
        <v>0</v>
      </c>
      <c r="BP109">
        <f t="shared" si="97"/>
        <v>0</v>
      </c>
      <c r="BQ109">
        <f t="shared" si="98"/>
        <v>0</v>
      </c>
      <c r="BR109">
        <f t="shared" si="99"/>
        <v>0</v>
      </c>
      <c r="BS109">
        <f t="shared" si="100"/>
        <v>0</v>
      </c>
      <c r="BT109">
        <f t="shared" si="101"/>
        <v>0</v>
      </c>
      <c r="BU109">
        <f t="shared" si="102"/>
        <v>0</v>
      </c>
      <c r="BV109">
        <f t="shared" si="103"/>
        <v>0</v>
      </c>
      <c r="BW109">
        <f t="shared" si="104"/>
        <v>0</v>
      </c>
      <c r="BX109">
        <f t="shared" si="105"/>
        <v>0</v>
      </c>
    </row>
    <row r="110" spans="2:76">
      <c r="B110" s="19">
        <f>Tiers!B111</f>
        <v>108</v>
      </c>
      <c r="C110" s="20" t="str">
        <f>Tiers!X111</f>
        <v>main-3|main-20||||||||</v>
      </c>
      <c r="D110" s="21">
        <f>Tiers!C111</f>
        <v>11</v>
      </c>
      <c r="E110" s="22">
        <f>Frequency!E112</f>
        <v>10</v>
      </c>
      <c r="F110" s="22">
        <f t="shared" si="55"/>
        <v>110</v>
      </c>
      <c r="G110" s="20">
        <f>IF(AND(D110/Summary!$C$4&gt;0, D110/Summary!$C$4&lt;5),E110,0) * D110</f>
        <v>0</v>
      </c>
      <c r="H110" s="20">
        <f>IF(AND(D110/Summary!$C$4&gt;= 5, D110/Summary!$C$4&lt;10),E110,0) * D110</f>
        <v>0</v>
      </c>
      <c r="I110" s="20">
        <f>IF(AND(D110/Summary!$C$4&gt;=10, D110/Summary!$C$4&lt;25),E110,0)*D110</f>
        <v>110</v>
      </c>
      <c r="J110" s="20">
        <f>IF(D110/Summary!$C$4&gt;=25,E110,0)*D110</f>
        <v>0</v>
      </c>
      <c r="K110" s="35">
        <f>IF(AND(D110/Frequency!$N$7&gt;0, D110/Frequency!$N$7&lt;1),E110,0)</f>
        <v>0</v>
      </c>
      <c r="L110" s="35">
        <f t="shared" si="56"/>
        <v>0</v>
      </c>
      <c r="M110" s="35">
        <f>IF(D110/Frequency!$N$7=1,1,0)*E110</f>
        <v>0</v>
      </c>
      <c r="N110" s="35">
        <f t="shared" si="57"/>
        <v>0</v>
      </c>
      <c r="O110" s="35">
        <f>IF(AND(D110/Frequency!$N$7&gt;1, D110/Frequency!$N$7&lt;=2),1,0)*E110</f>
        <v>0</v>
      </c>
      <c r="P110" s="35">
        <f t="shared" si="58"/>
        <v>0</v>
      </c>
      <c r="Q110" s="35">
        <f>IF(AND(D110/Frequency!$N$7&gt;2,D110/Frequency!$N$7&lt;=5),1,0)*E110</f>
        <v>0</v>
      </c>
      <c r="R110" s="35">
        <f t="shared" si="59"/>
        <v>0</v>
      </c>
      <c r="S110" s="35">
        <f>IF(AND(D110/Frequency!$N$7&gt;5, D110/Frequency!$N$7&lt;=10),1,0)*E110</f>
        <v>0</v>
      </c>
      <c r="T110" s="35">
        <f t="shared" si="60"/>
        <v>0</v>
      </c>
      <c r="U110" s="35">
        <f>IF(AND(D110/Frequency!$N$7&gt;10, D110/Frequency!$N$7&lt;=20),1,0)*E110</f>
        <v>10</v>
      </c>
      <c r="V110" s="35">
        <f t="shared" si="61"/>
        <v>110</v>
      </c>
      <c r="W110" s="35">
        <f>IF(AND(D110/Frequency!$N$7&gt;20, D110/Frequency!$N$7&lt;=30),1,0)*E110</f>
        <v>0</v>
      </c>
      <c r="X110" s="35">
        <f t="shared" si="62"/>
        <v>0</v>
      </c>
      <c r="Y110" s="35">
        <f>IF(AND(D110/Frequency!$N$7&gt;30, D110/Frequency!$N$7&lt;=50),1,0)*E110</f>
        <v>0</v>
      </c>
      <c r="Z110" s="35">
        <f t="shared" si="63"/>
        <v>0</v>
      </c>
      <c r="AA110" s="35">
        <f>IF(AND(D110/Frequency!$N$7&gt;50, D110/Frequency!$N$7&lt;=100),1,0)*E110</f>
        <v>0</v>
      </c>
      <c r="AB110" s="35">
        <f t="shared" si="64"/>
        <v>0</v>
      </c>
      <c r="AC110" s="35">
        <f>IF(D110/Frequency!$N$7&gt;100,1,0)*E110</f>
        <v>0</v>
      </c>
      <c r="AD110" s="35">
        <f t="shared" si="65"/>
        <v>0</v>
      </c>
      <c r="AE110" s="22">
        <f t="shared" si="66"/>
        <v>0</v>
      </c>
      <c r="AF110" s="22">
        <f t="shared" si="67"/>
        <v>0</v>
      </c>
      <c r="AG110" s="22">
        <f t="shared" si="68"/>
        <v>0</v>
      </c>
      <c r="AH110" s="22">
        <f t="shared" si="69"/>
        <v>0</v>
      </c>
      <c r="AI110" s="35">
        <f t="shared" si="70"/>
        <v>1</v>
      </c>
      <c r="AJ110" s="35">
        <f t="shared" si="71"/>
        <v>10</v>
      </c>
      <c r="AK110" s="35">
        <f t="shared" si="72"/>
        <v>110</v>
      </c>
      <c r="AL110">
        <f t="shared" si="73"/>
        <v>0</v>
      </c>
      <c r="AM110">
        <f t="shared" si="74"/>
        <v>0</v>
      </c>
      <c r="AN110">
        <f t="shared" si="75"/>
        <v>0</v>
      </c>
      <c r="AO110">
        <f t="shared" si="76"/>
        <v>0</v>
      </c>
      <c r="AP110">
        <f t="shared" si="77"/>
        <v>0</v>
      </c>
      <c r="AQ110">
        <f t="shared" si="78"/>
        <v>0</v>
      </c>
      <c r="AR110">
        <f t="shared" si="79"/>
        <v>0</v>
      </c>
      <c r="AS110">
        <f t="shared" si="80"/>
        <v>0</v>
      </c>
      <c r="AT110">
        <f t="shared" si="81"/>
        <v>0</v>
      </c>
      <c r="AU110">
        <f t="shared" si="82"/>
        <v>0</v>
      </c>
      <c r="AV110">
        <v>0</v>
      </c>
      <c r="AW110">
        <v>0</v>
      </c>
      <c r="AX110">
        <f t="shared" si="83"/>
        <v>0</v>
      </c>
      <c r="AY110">
        <f t="shared" si="84"/>
        <v>0</v>
      </c>
      <c r="AZ110">
        <f t="shared" si="85"/>
        <v>0</v>
      </c>
      <c r="BA110">
        <f t="shared" si="86"/>
        <v>0</v>
      </c>
      <c r="BB110">
        <f t="shared" si="87"/>
        <v>0</v>
      </c>
      <c r="BC110">
        <f t="shared" si="88"/>
        <v>0</v>
      </c>
      <c r="BD110">
        <f t="shared" si="89"/>
        <v>0</v>
      </c>
      <c r="BE110">
        <f t="shared" si="90"/>
        <v>0</v>
      </c>
      <c r="BF110">
        <f t="shared" si="91"/>
        <v>0</v>
      </c>
      <c r="BG110">
        <f t="shared" si="92"/>
        <v>0</v>
      </c>
      <c r="BH110">
        <f t="shared" si="93"/>
        <v>0</v>
      </c>
      <c r="BI110">
        <f t="shared" si="94"/>
        <v>0</v>
      </c>
      <c r="BJ110">
        <v>0</v>
      </c>
      <c r="BK110" t="str">
        <f t="shared" si="108"/>
        <v>Big Win</v>
      </c>
      <c r="BL110" s="40" t="str">
        <f t="shared" si="109"/>
        <v>Combo Win</v>
      </c>
      <c r="BM110">
        <f>(D110/Frequency!$N$7-Summary!$C$7)^2*E110</f>
        <v>1032.2560000000001</v>
      </c>
      <c r="BN110">
        <f t="shared" si="95"/>
        <v>0</v>
      </c>
      <c r="BO110">
        <f t="shared" si="96"/>
        <v>0</v>
      </c>
      <c r="BP110">
        <f t="shared" si="97"/>
        <v>0</v>
      </c>
      <c r="BQ110">
        <f t="shared" si="98"/>
        <v>0</v>
      </c>
      <c r="BR110">
        <f t="shared" si="99"/>
        <v>0</v>
      </c>
      <c r="BS110">
        <f t="shared" si="100"/>
        <v>0</v>
      </c>
      <c r="BT110">
        <f t="shared" si="101"/>
        <v>0</v>
      </c>
      <c r="BU110">
        <f t="shared" si="102"/>
        <v>0</v>
      </c>
      <c r="BV110">
        <f t="shared" si="103"/>
        <v>0</v>
      </c>
      <c r="BW110">
        <f t="shared" si="104"/>
        <v>0</v>
      </c>
      <c r="BX110">
        <f t="shared" si="105"/>
        <v>0</v>
      </c>
    </row>
    <row r="111" spans="2:76">
      <c r="B111" s="19">
        <f>Tiers!B112</f>
        <v>109</v>
      </c>
      <c r="C111" s="20" t="str">
        <f>Tiers!X112</f>
        <v>main-4|main-5||||||||</v>
      </c>
      <c r="D111" s="21">
        <f>Tiers!C112</f>
        <v>7</v>
      </c>
      <c r="E111" s="22">
        <f>Frequency!E113</f>
        <v>10</v>
      </c>
      <c r="F111" s="22">
        <f t="shared" si="55"/>
        <v>70</v>
      </c>
      <c r="G111" s="20">
        <f>IF(AND(D111/Summary!$C$4&gt;0, D111/Summary!$C$4&lt;5),E111,0) * D111</f>
        <v>0</v>
      </c>
      <c r="H111" s="20">
        <f>IF(AND(D111/Summary!$C$4&gt;= 5, D111/Summary!$C$4&lt;10),E111,0) * D111</f>
        <v>70</v>
      </c>
      <c r="I111" s="20">
        <f>IF(AND(D111/Summary!$C$4&gt;=10, D111/Summary!$C$4&lt;25),E111,0)*D111</f>
        <v>0</v>
      </c>
      <c r="J111" s="20">
        <f>IF(D111/Summary!$C$4&gt;=25,E111,0)*D111</f>
        <v>0</v>
      </c>
      <c r="K111" s="35">
        <f>IF(AND(D111/Frequency!$N$7&gt;0, D111/Frequency!$N$7&lt;1),E111,0)</f>
        <v>0</v>
      </c>
      <c r="L111" s="35">
        <f t="shared" si="56"/>
        <v>0</v>
      </c>
      <c r="M111" s="35">
        <f>IF(D111/Frequency!$N$7=1,1,0)*E111</f>
        <v>0</v>
      </c>
      <c r="N111" s="35">
        <f t="shared" si="57"/>
        <v>0</v>
      </c>
      <c r="O111" s="35">
        <f>IF(AND(D111/Frequency!$N$7&gt;1, D111/Frequency!$N$7&lt;=2),1,0)*E111</f>
        <v>0</v>
      </c>
      <c r="P111" s="35">
        <f t="shared" si="58"/>
        <v>0</v>
      </c>
      <c r="Q111" s="35">
        <f>IF(AND(D111/Frequency!$N$7&gt;2,D111/Frequency!$N$7&lt;=5),1,0)*E111</f>
        <v>0</v>
      </c>
      <c r="R111" s="35">
        <f t="shared" si="59"/>
        <v>0</v>
      </c>
      <c r="S111" s="35">
        <f>IF(AND(D111/Frequency!$N$7&gt;5, D111/Frequency!$N$7&lt;=10),1,0)*E111</f>
        <v>10</v>
      </c>
      <c r="T111" s="35">
        <f t="shared" si="60"/>
        <v>70</v>
      </c>
      <c r="U111" s="35">
        <f>IF(AND(D111/Frequency!$N$7&gt;10, D111/Frequency!$N$7&lt;=20),1,0)*E111</f>
        <v>0</v>
      </c>
      <c r="V111" s="35">
        <f t="shared" si="61"/>
        <v>0</v>
      </c>
      <c r="W111" s="35">
        <f>IF(AND(D111/Frequency!$N$7&gt;20, D111/Frequency!$N$7&lt;=30),1,0)*E111</f>
        <v>0</v>
      </c>
      <c r="X111" s="35">
        <f t="shared" si="62"/>
        <v>0</v>
      </c>
      <c r="Y111" s="35">
        <f>IF(AND(D111/Frequency!$N$7&gt;30, D111/Frequency!$N$7&lt;=50),1,0)*E111</f>
        <v>0</v>
      </c>
      <c r="Z111" s="35">
        <f t="shared" si="63"/>
        <v>0</v>
      </c>
      <c r="AA111" s="35">
        <f>IF(AND(D111/Frequency!$N$7&gt;50, D111/Frequency!$N$7&lt;=100),1,0)*E111</f>
        <v>0</v>
      </c>
      <c r="AB111" s="35">
        <f t="shared" si="64"/>
        <v>0</v>
      </c>
      <c r="AC111" s="35">
        <f>IF(D111/Frequency!$N$7&gt;100,1,0)*E111</f>
        <v>0</v>
      </c>
      <c r="AD111" s="35">
        <f t="shared" si="65"/>
        <v>0</v>
      </c>
      <c r="AE111" s="22">
        <f t="shared" si="66"/>
        <v>0</v>
      </c>
      <c r="AF111" s="22">
        <f t="shared" si="67"/>
        <v>0</v>
      </c>
      <c r="AG111" s="22">
        <f t="shared" si="68"/>
        <v>0</v>
      </c>
      <c r="AH111" s="22">
        <f t="shared" si="69"/>
        <v>0</v>
      </c>
      <c r="AI111" s="35">
        <f t="shared" si="70"/>
        <v>1</v>
      </c>
      <c r="AJ111" s="35">
        <f t="shared" si="71"/>
        <v>10</v>
      </c>
      <c r="AK111" s="35">
        <f t="shared" si="72"/>
        <v>70</v>
      </c>
      <c r="AL111">
        <f t="shared" si="73"/>
        <v>0</v>
      </c>
      <c r="AM111">
        <f t="shared" si="74"/>
        <v>0</v>
      </c>
      <c r="AN111">
        <f t="shared" si="75"/>
        <v>0</v>
      </c>
      <c r="AO111">
        <f t="shared" si="76"/>
        <v>0</v>
      </c>
      <c r="AP111">
        <f t="shared" si="77"/>
        <v>0</v>
      </c>
      <c r="AQ111">
        <f t="shared" si="78"/>
        <v>0</v>
      </c>
      <c r="AR111">
        <f t="shared" si="79"/>
        <v>0</v>
      </c>
      <c r="AS111">
        <f t="shared" si="80"/>
        <v>0</v>
      </c>
      <c r="AT111">
        <f t="shared" si="81"/>
        <v>0</v>
      </c>
      <c r="AU111">
        <f t="shared" si="82"/>
        <v>0</v>
      </c>
      <c r="AV111">
        <v>0</v>
      </c>
      <c r="AW111">
        <v>0</v>
      </c>
      <c r="AX111">
        <f t="shared" si="83"/>
        <v>0</v>
      </c>
      <c r="AY111">
        <f t="shared" si="84"/>
        <v>0</v>
      </c>
      <c r="AZ111">
        <f t="shared" si="85"/>
        <v>0</v>
      </c>
      <c r="BA111">
        <f t="shared" si="86"/>
        <v>0</v>
      </c>
      <c r="BB111">
        <f t="shared" si="87"/>
        <v>0</v>
      </c>
      <c r="BC111">
        <f t="shared" si="88"/>
        <v>0</v>
      </c>
      <c r="BD111">
        <f t="shared" si="89"/>
        <v>0</v>
      </c>
      <c r="BE111">
        <f t="shared" si="90"/>
        <v>0</v>
      </c>
      <c r="BF111">
        <f t="shared" si="91"/>
        <v>0</v>
      </c>
      <c r="BG111">
        <f t="shared" si="92"/>
        <v>0</v>
      </c>
      <c r="BH111">
        <f t="shared" si="93"/>
        <v>0</v>
      </c>
      <c r="BI111">
        <f t="shared" si="94"/>
        <v>0</v>
      </c>
      <c r="BJ111">
        <v>0</v>
      </c>
      <c r="BK111" t="str">
        <f t="shared" si="108"/>
        <v>Standard Win</v>
      </c>
      <c r="BL111" s="40" t="str">
        <f t="shared" si="109"/>
        <v>Combo Win</v>
      </c>
      <c r="BM111">
        <f>(D111/Frequency!$N$7-Summary!$C$7)^2*E111</f>
        <v>379.45600000000002</v>
      </c>
      <c r="BN111">
        <f t="shared" si="95"/>
        <v>0</v>
      </c>
      <c r="BO111">
        <f t="shared" si="96"/>
        <v>0</v>
      </c>
      <c r="BP111">
        <f t="shared" si="97"/>
        <v>0</v>
      </c>
      <c r="BQ111">
        <f t="shared" si="98"/>
        <v>0</v>
      </c>
      <c r="BR111">
        <f t="shared" si="99"/>
        <v>0</v>
      </c>
      <c r="BS111">
        <f t="shared" si="100"/>
        <v>0</v>
      </c>
      <c r="BT111">
        <f t="shared" si="101"/>
        <v>0</v>
      </c>
      <c r="BU111">
        <f t="shared" si="102"/>
        <v>0</v>
      </c>
      <c r="BV111">
        <f t="shared" si="103"/>
        <v>0</v>
      </c>
      <c r="BW111">
        <f t="shared" si="104"/>
        <v>0</v>
      </c>
      <c r="BX111">
        <f t="shared" si="105"/>
        <v>0</v>
      </c>
    </row>
    <row r="112" spans="2:76">
      <c r="B112" s="19">
        <f>Tiers!B113</f>
        <v>110</v>
      </c>
      <c r="C112" s="20" t="str">
        <f>Tiers!X113</f>
        <v>main-5|main-25||||||||</v>
      </c>
      <c r="D112" s="21">
        <f>Tiers!C113</f>
        <v>10</v>
      </c>
      <c r="E112" s="22">
        <f>Frequency!E114</f>
        <v>10</v>
      </c>
      <c r="F112" s="22">
        <f t="shared" si="55"/>
        <v>100</v>
      </c>
      <c r="G112" s="20">
        <f>IF(AND(D112/Summary!$C$4&gt;0, D112/Summary!$C$4&lt;5),E112,0) * D112</f>
        <v>0</v>
      </c>
      <c r="H112" s="20">
        <f>IF(AND(D112/Summary!$C$4&gt;= 5, D112/Summary!$C$4&lt;10),E112,0) * D112</f>
        <v>0</v>
      </c>
      <c r="I112" s="20">
        <f>IF(AND(D112/Summary!$C$4&gt;=10, D112/Summary!$C$4&lt;25),E112,0)*D112</f>
        <v>100</v>
      </c>
      <c r="J112" s="20">
        <f>IF(D112/Summary!$C$4&gt;=25,E112,0)*D112</f>
        <v>0</v>
      </c>
      <c r="K112" s="35">
        <f>IF(AND(D112/Frequency!$N$7&gt;0, D112/Frequency!$N$7&lt;1),E112,0)</f>
        <v>0</v>
      </c>
      <c r="L112" s="35">
        <f t="shared" si="56"/>
        <v>0</v>
      </c>
      <c r="M112" s="35">
        <f>IF(D112/Frequency!$N$7=1,1,0)*E112</f>
        <v>0</v>
      </c>
      <c r="N112" s="35">
        <f t="shared" si="57"/>
        <v>0</v>
      </c>
      <c r="O112" s="35">
        <f>IF(AND(D112/Frequency!$N$7&gt;1, D112/Frequency!$N$7&lt;=2),1,0)*E112</f>
        <v>0</v>
      </c>
      <c r="P112" s="35">
        <f t="shared" si="58"/>
        <v>0</v>
      </c>
      <c r="Q112" s="35">
        <f>IF(AND(D112/Frequency!$N$7&gt;2,D112/Frequency!$N$7&lt;=5),1,0)*E112</f>
        <v>0</v>
      </c>
      <c r="R112" s="35">
        <f t="shared" si="59"/>
        <v>0</v>
      </c>
      <c r="S112" s="35">
        <f>IF(AND(D112/Frequency!$N$7&gt;5, D112/Frequency!$N$7&lt;=10),1,0)*E112</f>
        <v>10</v>
      </c>
      <c r="T112" s="35">
        <f t="shared" si="60"/>
        <v>100</v>
      </c>
      <c r="U112" s="35">
        <f>IF(AND(D112/Frequency!$N$7&gt;10, D112/Frequency!$N$7&lt;=20),1,0)*E112</f>
        <v>0</v>
      </c>
      <c r="V112" s="35">
        <f t="shared" si="61"/>
        <v>0</v>
      </c>
      <c r="W112" s="35">
        <f>IF(AND(D112/Frequency!$N$7&gt;20, D112/Frequency!$N$7&lt;=30),1,0)*E112</f>
        <v>0</v>
      </c>
      <c r="X112" s="35">
        <f t="shared" si="62"/>
        <v>0</v>
      </c>
      <c r="Y112" s="35">
        <f>IF(AND(D112/Frequency!$N$7&gt;30, D112/Frequency!$N$7&lt;=50),1,0)*E112</f>
        <v>0</v>
      </c>
      <c r="Z112" s="35">
        <f t="shared" si="63"/>
        <v>0</v>
      </c>
      <c r="AA112" s="35">
        <f>IF(AND(D112/Frequency!$N$7&gt;50, D112/Frequency!$N$7&lt;=100),1,0)*E112</f>
        <v>0</v>
      </c>
      <c r="AB112" s="35">
        <f t="shared" si="64"/>
        <v>0</v>
      </c>
      <c r="AC112" s="35">
        <f>IF(D112/Frequency!$N$7&gt;100,1,0)*E112</f>
        <v>0</v>
      </c>
      <c r="AD112" s="35">
        <f t="shared" si="65"/>
        <v>0</v>
      </c>
      <c r="AE112" s="22">
        <f t="shared" si="66"/>
        <v>0</v>
      </c>
      <c r="AF112" s="22">
        <f t="shared" si="67"/>
        <v>0</v>
      </c>
      <c r="AG112" s="22">
        <f t="shared" si="68"/>
        <v>0</v>
      </c>
      <c r="AH112" s="22">
        <f t="shared" si="69"/>
        <v>0</v>
      </c>
      <c r="AI112" s="35">
        <f t="shared" si="70"/>
        <v>1</v>
      </c>
      <c r="AJ112" s="35">
        <f t="shared" si="71"/>
        <v>10</v>
      </c>
      <c r="AK112" s="35">
        <f t="shared" si="72"/>
        <v>100</v>
      </c>
      <c r="AL112">
        <f t="shared" si="73"/>
        <v>0</v>
      </c>
      <c r="AM112">
        <f t="shared" si="74"/>
        <v>0</v>
      </c>
      <c r="AN112">
        <f t="shared" si="75"/>
        <v>0</v>
      </c>
      <c r="AO112">
        <f t="shared" si="76"/>
        <v>0</v>
      </c>
      <c r="AP112">
        <f t="shared" si="77"/>
        <v>0</v>
      </c>
      <c r="AQ112">
        <f t="shared" si="78"/>
        <v>0</v>
      </c>
      <c r="AR112">
        <f t="shared" si="79"/>
        <v>0</v>
      </c>
      <c r="AS112">
        <f t="shared" si="80"/>
        <v>0</v>
      </c>
      <c r="AT112">
        <f t="shared" si="81"/>
        <v>0</v>
      </c>
      <c r="AU112">
        <f t="shared" si="82"/>
        <v>0</v>
      </c>
      <c r="AV112">
        <v>0</v>
      </c>
      <c r="AW112">
        <v>0</v>
      </c>
      <c r="AX112">
        <f t="shared" si="83"/>
        <v>0</v>
      </c>
      <c r="AY112">
        <f t="shared" si="84"/>
        <v>0</v>
      </c>
      <c r="AZ112">
        <f t="shared" si="85"/>
        <v>0</v>
      </c>
      <c r="BA112">
        <f t="shared" si="86"/>
        <v>0</v>
      </c>
      <c r="BB112">
        <f t="shared" si="87"/>
        <v>0</v>
      </c>
      <c r="BC112">
        <f t="shared" si="88"/>
        <v>0</v>
      </c>
      <c r="BD112">
        <f t="shared" si="89"/>
        <v>0</v>
      </c>
      <c r="BE112">
        <f t="shared" si="90"/>
        <v>0</v>
      </c>
      <c r="BF112">
        <f t="shared" si="91"/>
        <v>0</v>
      </c>
      <c r="BG112">
        <f t="shared" si="92"/>
        <v>0</v>
      </c>
      <c r="BH112">
        <f t="shared" si="93"/>
        <v>0</v>
      </c>
      <c r="BI112">
        <f t="shared" si="94"/>
        <v>0</v>
      </c>
      <c r="BJ112">
        <v>0</v>
      </c>
      <c r="BK112" t="str">
        <f t="shared" si="108"/>
        <v>Big Win</v>
      </c>
      <c r="BL112" s="40" t="str">
        <f t="shared" si="109"/>
        <v>Combo Win</v>
      </c>
      <c r="BM112">
        <f>(D112/Frequency!$N$7-Summary!$C$7)^2*E112</f>
        <v>839.05600000000004</v>
      </c>
      <c r="BN112">
        <f t="shared" si="95"/>
        <v>0</v>
      </c>
      <c r="BO112">
        <f t="shared" si="96"/>
        <v>0</v>
      </c>
      <c r="BP112">
        <f t="shared" si="97"/>
        <v>0</v>
      </c>
      <c r="BQ112">
        <f t="shared" si="98"/>
        <v>0</v>
      </c>
      <c r="BR112">
        <f t="shared" si="99"/>
        <v>0</v>
      </c>
      <c r="BS112">
        <f t="shared" si="100"/>
        <v>0</v>
      </c>
      <c r="BT112">
        <f t="shared" si="101"/>
        <v>0</v>
      </c>
      <c r="BU112">
        <f t="shared" si="102"/>
        <v>0</v>
      </c>
      <c r="BV112">
        <f t="shared" si="103"/>
        <v>0</v>
      </c>
      <c r="BW112">
        <f t="shared" si="104"/>
        <v>0</v>
      </c>
      <c r="BX112">
        <f t="shared" si="105"/>
        <v>0</v>
      </c>
    </row>
    <row r="113" spans="2:76">
      <c r="B113" s="19">
        <f>Tiers!B114</f>
        <v>111</v>
      </c>
      <c r="C113" s="20" t="str">
        <f>Tiers!X114</f>
        <v>main-5|main-26||||||||</v>
      </c>
      <c r="D113" s="21">
        <f>Tiers!C114</f>
        <v>15</v>
      </c>
      <c r="E113" s="22">
        <f>Frequency!E115</f>
        <v>10</v>
      </c>
      <c r="F113" s="22">
        <f t="shared" si="55"/>
        <v>150</v>
      </c>
      <c r="G113" s="20">
        <f>IF(AND(D113/Summary!$C$4&gt;0, D113/Summary!$C$4&lt;5),E113,0) * D113</f>
        <v>0</v>
      </c>
      <c r="H113" s="20">
        <f>IF(AND(D113/Summary!$C$4&gt;= 5, D113/Summary!$C$4&lt;10),E113,0) * D113</f>
        <v>0</v>
      </c>
      <c r="I113" s="20">
        <f>IF(AND(D113/Summary!$C$4&gt;=10, D113/Summary!$C$4&lt;25),E113,0)*D113</f>
        <v>150</v>
      </c>
      <c r="J113" s="20">
        <f>IF(D113/Summary!$C$4&gt;=25,E113,0)*D113</f>
        <v>0</v>
      </c>
      <c r="K113" s="35">
        <f>IF(AND(D113/Frequency!$N$7&gt;0, D113/Frequency!$N$7&lt;1),E113,0)</f>
        <v>0</v>
      </c>
      <c r="L113" s="35">
        <f t="shared" si="56"/>
        <v>0</v>
      </c>
      <c r="M113" s="35">
        <f>IF(D113/Frequency!$N$7=1,1,0)*E113</f>
        <v>0</v>
      </c>
      <c r="N113" s="35">
        <f t="shared" si="57"/>
        <v>0</v>
      </c>
      <c r="O113" s="35">
        <f>IF(AND(D113/Frequency!$N$7&gt;1, D113/Frequency!$N$7&lt;=2),1,0)*E113</f>
        <v>0</v>
      </c>
      <c r="P113" s="35">
        <f t="shared" si="58"/>
        <v>0</v>
      </c>
      <c r="Q113" s="35">
        <f>IF(AND(D113/Frequency!$N$7&gt;2,D113/Frequency!$N$7&lt;=5),1,0)*E113</f>
        <v>0</v>
      </c>
      <c r="R113" s="35">
        <f t="shared" si="59"/>
        <v>0</v>
      </c>
      <c r="S113" s="35">
        <f>IF(AND(D113/Frequency!$N$7&gt;5, D113/Frequency!$N$7&lt;=10),1,0)*E113</f>
        <v>0</v>
      </c>
      <c r="T113" s="35">
        <f t="shared" si="60"/>
        <v>0</v>
      </c>
      <c r="U113" s="35">
        <f>IF(AND(D113/Frequency!$N$7&gt;10, D113/Frequency!$N$7&lt;=20),1,0)*E113</f>
        <v>10</v>
      </c>
      <c r="V113" s="35">
        <f t="shared" si="61"/>
        <v>150</v>
      </c>
      <c r="W113" s="35">
        <f>IF(AND(D113/Frequency!$N$7&gt;20, D113/Frequency!$N$7&lt;=30),1,0)*E113</f>
        <v>0</v>
      </c>
      <c r="X113" s="35">
        <f t="shared" si="62"/>
        <v>0</v>
      </c>
      <c r="Y113" s="35">
        <f>IF(AND(D113/Frequency!$N$7&gt;30, D113/Frequency!$N$7&lt;=50),1,0)*E113</f>
        <v>0</v>
      </c>
      <c r="Z113" s="35">
        <f t="shared" si="63"/>
        <v>0</v>
      </c>
      <c r="AA113" s="35">
        <f>IF(AND(D113/Frequency!$N$7&gt;50, D113/Frequency!$N$7&lt;=100),1,0)*E113</f>
        <v>0</v>
      </c>
      <c r="AB113" s="35">
        <f t="shared" si="64"/>
        <v>0</v>
      </c>
      <c r="AC113" s="35">
        <f>IF(D113/Frequency!$N$7&gt;100,1,0)*E113</f>
        <v>0</v>
      </c>
      <c r="AD113" s="35">
        <f t="shared" si="65"/>
        <v>0</v>
      </c>
      <c r="AE113" s="22">
        <f t="shared" si="66"/>
        <v>0</v>
      </c>
      <c r="AF113" s="22">
        <f t="shared" si="67"/>
        <v>0</v>
      </c>
      <c r="AG113" s="22">
        <f t="shared" si="68"/>
        <v>0</v>
      </c>
      <c r="AH113" s="22">
        <f t="shared" si="69"/>
        <v>0</v>
      </c>
      <c r="AI113" s="35">
        <f t="shared" si="70"/>
        <v>1</v>
      </c>
      <c r="AJ113" s="35">
        <f t="shared" si="71"/>
        <v>10</v>
      </c>
      <c r="AK113" s="35">
        <f t="shared" si="72"/>
        <v>150</v>
      </c>
      <c r="AL113">
        <f t="shared" si="73"/>
        <v>0</v>
      </c>
      <c r="AM113">
        <f t="shared" si="74"/>
        <v>0</v>
      </c>
      <c r="AN113">
        <f t="shared" si="75"/>
        <v>0</v>
      </c>
      <c r="AO113">
        <f t="shared" si="76"/>
        <v>0</v>
      </c>
      <c r="AP113">
        <f t="shared" si="77"/>
        <v>0</v>
      </c>
      <c r="AQ113">
        <f t="shared" si="78"/>
        <v>0</v>
      </c>
      <c r="AR113">
        <f t="shared" si="79"/>
        <v>0</v>
      </c>
      <c r="AS113">
        <f t="shared" si="80"/>
        <v>0</v>
      </c>
      <c r="AT113">
        <f t="shared" si="81"/>
        <v>0</v>
      </c>
      <c r="AU113">
        <f t="shared" si="82"/>
        <v>0</v>
      </c>
      <c r="AV113">
        <v>0</v>
      </c>
      <c r="AW113">
        <v>0</v>
      </c>
      <c r="AX113">
        <f t="shared" si="83"/>
        <v>0</v>
      </c>
      <c r="AY113">
        <f t="shared" si="84"/>
        <v>0</v>
      </c>
      <c r="AZ113">
        <f t="shared" si="85"/>
        <v>0</v>
      </c>
      <c r="BA113">
        <f t="shared" si="86"/>
        <v>0</v>
      </c>
      <c r="BB113">
        <f t="shared" si="87"/>
        <v>0</v>
      </c>
      <c r="BC113">
        <f t="shared" si="88"/>
        <v>0</v>
      </c>
      <c r="BD113">
        <f t="shared" si="89"/>
        <v>0</v>
      </c>
      <c r="BE113">
        <f t="shared" si="90"/>
        <v>0</v>
      </c>
      <c r="BF113">
        <f t="shared" si="91"/>
        <v>0</v>
      </c>
      <c r="BG113">
        <f t="shared" si="92"/>
        <v>0</v>
      </c>
      <c r="BH113">
        <f t="shared" si="93"/>
        <v>0</v>
      </c>
      <c r="BI113">
        <f t="shared" si="94"/>
        <v>0</v>
      </c>
      <c r="BJ113">
        <v>0</v>
      </c>
      <c r="BK113" t="str">
        <f t="shared" si="108"/>
        <v>Big Win</v>
      </c>
      <c r="BL113" s="40" t="str">
        <f t="shared" si="109"/>
        <v>Combo Win</v>
      </c>
      <c r="BM113">
        <f>(D113/Frequency!$N$7-Summary!$C$7)^2*E113</f>
        <v>2005.056</v>
      </c>
      <c r="BN113">
        <f t="shared" si="95"/>
        <v>0</v>
      </c>
      <c r="BO113">
        <f t="shared" si="96"/>
        <v>0</v>
      </c>
      <c r="BP113">
        <f t="shared" si="97"/>
        <v>0</v>
      </c>
      <c r="BQ113">
        <f t="shared" si="98"/>
        <v>0</v>
      </c>
      <c r="BR113">
        <f t="shared" si="99"/>
        <v>0</v>
      </c>
      <c r="BS113">
        <f t="shared" si="100"/>
        <v>0</v>
      </c>
      <c r="BT113">
        <f t="shared" si="101"/>
        <v>0</v>
      </c>
      <c r="BU113">
        <f t="shared" si="102"/>
        <v>0</v>
      </c>
      <c r="BV113">
        <f t="shared" si="103"/>
        <v>0</v>
      </c>
      <c r="BW113">
        <f t="shared" si="104"/>
        <v>0</v>
      </c>
      <c r="BX113">
        <f t="shared" si="105"/>
        <v>0</v>
      </c>
    </row>
    <row r="114" spans="2:76">
      <c r="B114" s="19">
        <f>Tiers!B115</f>
        <v>112</v>
      </c>
      <c r="C114" s="20" t="str">
        <f>Tiers!X115</f>
        <v>main-0|main-27||||||||</v>
      </c>
      <c r="D114" s="21">
        <f>Tiers!C115</f>
        <v>20.100000000000001</v>
      </c>
      <c r="E114" s="22">
        <f>Frequency!E116</f>
        <v>10</v>
      </c>
      <c r="F114" s="22">
        <f t="shared" si="55"/>
        <v>201</v>
      </c>
      <c r="G114" s="20">
        <f>IF(AND(D114/Summary!$C$4&gt;0, D114/Summary!$C$4&lt;5),E114,0) * D114</f>
        <v>0</v>
      </c>
      <c r="H114" s="20">
        <f>IF(AND(D114/Summary!$C$4&gt;= 5, D114/Summary!$C$4&lt;10),E114,0) * D114</f>
        <v>0</v>
      </c>
      <c r="I114" s="20">
        <f>IF(AND(D114/Summary!$C$4&gt;=10, D114/Summary!$C$4&lt;25),E114,0)*D114</f>
        <v>201</v>
      </c>
      <c r="J114" s="20">
        <f>IF(D114/Summary!$C$4&gt;=25,E114,0)*D114</f>
        <v>0</v>
      </c>
      <c r="K114" s="35">
        <f>IF(AND(D114/Frequency!$N$7&gt;0, D114/Frequency!$N$7&lt;1),E114,0)</f>
        <v>0</v>
      </c>
      <c r="L114" s="35">
        <f t="shared" si="56"/>
        <v>0</v>
      </c>
      <c r="M114" s="35">
        <f>IF(D114/Frequency!$N$7=1,1,0)*E114</f>
        <v>0</v>
      </c>
      <c r="N114" s="35">
        <f t="shared" si="57"/>
        <v>0</v>
      </c>
      <c r="O114" s="35">
        <f>IF(AND(D114/Frequency!$N$7&gt;1, D114/Frequency!$N$7&lt;=2),1,0)*E114</f>
        <v>0</v>
      </c>
      <c r="P114" s="35">
        <f t="shared" si="58"/>
        <v>0</v>
      </c>
      <c r="Q114" s="35">
        <f>IF(AND(D114/Frequency!$N$7&gt;2,D114/Frequency!$N$7&lt;=5),1,0)*E114</f>
        <v>0</v>
      </c>
      <c r="R114" s="35">
        <f t="shared" si="59"/>
        <v>0</v>
      </c>
      <c r="S114" s="35">
        <f>IF(AND(D114/Frequency!$N$7&gt;5, D114/Frequency!$N$7&lt;=10),1,0)*E114</f>
        <v>0</v>
      </c>
      <c r="T114" s="35">
        <f t="shared" si="60"/>
        <v>0</v>
      </c>
      <c r="U114" s="35">
        <f>IF(AND(D114/Frequency!$N$7&gt;10, D114/Frequency!$N$7&lt;=20),1,0)*E114</f>
        <v>0</v>
      </c>
      <c r="V114" s="35">
        <f t="shared" si="61"/>
        <v>0</v>
      </c>
      <c r="W114" s="35">
        <f>IF(AND(D114/Frequency!$N$7&gt;20, D114/Frequency!$N$7&lt;=30),1,0)*E114</f>
        <v>10</v>
      </c>
      <c r="X114" s="35">
        <f t="shared" si="62"/>
        <v>201</v>
      </c>
      <c r="Y114" s="35">
        <f>IF(AND(D114/Frequency!$N$7&gt;30, D114/Frequency!$N$7&lt;=50),1,0)*E114</f>
        <v>0</v>
      </c>
      <c r="Z114" s="35">
        <f t="shared" si="63"/>
        <v>0</v>
      </c>
      <c r="AA114" s="35">
        <f>IF(AND(D114/Frequency!$N$7&gt;50, D114/Frequency!$N$7&lt;=100),1,0)*E114</f>
        <v>0</v>
      </c>
      <c r="AB114" s="35">
        <f t="shared" si="64"/>
        <v>0</v>
      </c>
      <c r="AC114" s="35">
        <f>IF(D114/Frequency!$N$7&gt;100,1,0)*E114</f>
        <v>0</v>
      </c>
      <c r="AD114" s="35">
        <f t="shared" si="65"/>
        <v>0</v>
      </c>
      <c r="AE114" s="22">
        <f t="shared" si="66"/>
        <v>0</v>
      </c>
      <c r="AF114" s="22">
        <f t="shared" si="67"/>
        <v>0</v>
      </c>
      <c r="AG114" s="22">
        <f t="shared" si="68"/>
        <v>0</v>
      </c>
      <c r="AH114" s="22">
        <f t="shared" si="69"/>
        <v>0</v>
      </c>
      <c r="AI114" s="35">
        <f t="shared" si="70"/>
        <v>1</v>
      </c>
      <c r="AJ114" s="35">
        <f t="shared" si="71"/>
        <v>10</v>
      </c>
      <c r="AK114" s="35">
        <f t="shared" si="72"/>
        <v>201</v>
      </c>
      <c r="AL114">
        <f t="shared" si="73"/>
        <v>0</v>
      </c>
      <c r="AM114">
        <f t="shared" si="74"/>
        <v>0</v>
      </c>
      <c r="AN114">
        <f t="shared" si="75"/>
        <v>0</v>
      </c>
      <c r="AO114">
        <f t="shared" si="76"/>
        <v>0</v>
      </c>
      <c r="AP114">
        <f t="shared" si="77"/>
        <v>0</v>
      </c>
      <c r="AQ114">
        <f t="shared" si="78"/>
        <v>0</v>
      </c>
      <c r="AR114">
        <f t="shared" si="79"/>
        <v>0</v>
      </c>
      <c r="AS114">
        <f t="shared" si="80"/>
        <v>0</v>
      </c>
      <c r="AT114">
        <f t="shared" si="81"/>
        <v>0</v>
      </c>
      <c r="AU114">
        <f t="shared" si="82"/>
        <v>0</v>
      </c>
      <c r="AV114">
        <v>0</v>
      </c>
      <c r="AW114">
        <v>0</v>
      </c>
      <c r="AX114">
        <f t="shared" si="83"/>
        <v>0</v>
      </c>
      <c r="AY114">
        <f t="shared" si="84"/>
        <v>0</v>
      </c>
      <c r="AZ114">
        <f t="shared" si="85"/>
        <v>0</v>
      </c>
      <c r="BA114">
        <f t="shared" si="86"/>
        <v>0</v>
      </c>
      <c r="BB114">
        <f t="shared" si="87"/>
        <v>0</v>
      </c>
      <c r="BC114">
        <f t="shared" si="88"/>
        <v>0</v>
      </c>
      <c r="BD114">
        <f t="shared" si="89"/>
        <v>0</v>
      </c>
      <c r="BE114">
        <f t="shared" si="90"/>
        <v>0</v>
      </c>
      <c r="BF114">
        <f t="shared" si="91"/>
        <v>0</v>
      </c>
      <c r="BG114">
        <f t="shared" si="92"/>
        <v>0</v>
      </c>
      <c r="BH114">
        <f t="shared" si="93"/>
        <v>0</v>
      </c>
      <c r="BI114">
        <f t="shared" si="94"/>
        <v>0</v>
      </c>
      <c r="BJ114">
        <v>0</v>
      </c>
      <c r="BK114" t="str">
        <f t="shared" si="108"/>
        <v>Big Win</v>
      </c>
      <c r="BL114" s="40" t="str">
        <f t="shared" si="109"/>
        <v>Combo Win</v>
      </c>
      <c r="BM114">
        <f>(D114/Frequency!$N$7-Summary!$C$7)^2*E114</f>
        <v>3709.4760000000006</v>
      </c>
      <c r="BN114">
        <f t="shared" si="95"/>
        <v>0</v>
      </c>
      <c r="BO114">
        <f t="shared" si="96"/>
        <v>0</v>
      </c>
      <c r="BP114">
        <f t="shared" si="97"/>
        <v>0</v>
      </c>
      <c r="BQ114">
        <f t="shared" si="98"/>
        <v>0</v>
      </c>
      <c r="BR114">
        <f t="shared" si="99"/>
        <v>0</v>
      </c>
      <c r="BS114">
        <f t="shared" si="100"/>
        <v>0</v>
      </c>
      <c r="BT114">
        <f t="shared" si="101"/>
        <v>0</v>
      </c>
      <c r="BU114">
        <f t="shared" si="102"/>
        <v>0</v>
      </c>
      <c r="BV114">
        <f t="shared" si="103"/>
        <v>0</v>
      </c>
      <c r="BW114">
        <f t="shared" si="104"/>
        <v>0</v>
      </c>
      <c r="BX114">
        <f t="shared" si="105"/>
        <v>0</v>
      </c>
    </row>
    <row r="115" spans="2:76">
      <c r="B115" s="19">
        <f>Tiers!B116</f>
        <v>113</v>
      </c>
      <c r="C115" s="20" t="str">
        <f>Tiers!X116</f>
        <v>main-4|main-21||||||||</v>
      </c>
      <c r="D115" s="21">
        <f>Tiers!C116</f>
        <v>22</v>
      </c>
      <c r="E115" s="22">
        <f>Frequency!E117</f>
        <v>10</v>
      </c>
      <c r="F115" s="22">
        <f t="shared" si="55"/>
        <v>220</v>
      </c>
      <c r="G115" s="20">
        <f>IF(AND(D115/Summary!$C$4&gt;0, D115/Summary!$C$4&lt;5),E115,0) * D115</f>
        <v>0</v>
      </c>
      <c r="H115" s="20">
        <f>IF(AND(D115/Summary!$C$4&gt;= 5, D115/Summary!$C$4&lt;10),E115,0) * D115</f>
        <v>0</v>
      </c>
      <c r="I115" s="20">
        <f>IF(AND(D115/Summary!$C$4&gt;=10, D115/Summary!$C$4&lt;25),E115,0)*D115</f>
        <v>220</v>
      </c>
      <c r="J115" s="20">
        <f>IF(D115/Summary!$C$4&gt;=25,E115,0)*D115</f>
        <v>0</v>
      </c>
      <c r="K115" s="35">
        <f>IF(AND(D115/Frequency!$N$7&gt;0, D115/Frequency!$N$7&lt;1),E115,0)</f>
        <v>0</v>
      </c>
      <c r="L115" s="35">
        <f t="shared" si="56"/>
        <v>0</v>
      </c>
      <c r="M115" s="35">
        <f>IF(D115/Frequency!$N$7=1,1,0)*E115</f>
        <v>0</v>
      </c>
      <c r="N115" s="35">
        <f t="shared" si="57"/>
        <v>0</v>
      </c>
      <c r="O115" s="35">
        <f>IF(AND(D115/Frequency!$N$7&gt;1, D115/Frequency!$N$7&lt;=2),1,0)*E115</f>
        <v>0</v>
      </c>
      <c r="P115" s="35">
        <f t="shared" si="58"/>
        <v>0</v>
      </c>
      <c r="Q115" s="35">
        <f>IF(AND(D115/Frequency!$N$7&gt;2,D115/Frequency!$N$7&lt;=5),1,0)*E115</f>
        <v>0</v>
      </c>
      <c r="R115" s="35">
        <f t="shared" si="59"/>
        <v>0</v>
      </c>
      <c r="S115" s="35">
        <f>IF(AND(D115/Frequency!$N$7&gt;5, D115/Frequency!$N$7&lt;=10),1,0)*E115</f>
        <v>0</v>
      </c>
      <c r="T115" s="35">
        <f t="shared" si="60"/>
        <v>0</v>
      </c>
      <c r="U115" s="35">
        <f>IF(AND(D115/Frequency!$N$7&gt;10, D115/Frequency!$N$7&lt;=20),1,0)*E115</f>
        <v>0</v>
      </c>
      <c r="V115" s="35">
        <f t="shared" si="61"/>
        <v>0</v>
      </c>
      <c r="W115" s="35">
        <f>IF(AND(D115/Frequency!$N$7&gt;20, D115/Frequency!$N$7&lt;=30),1,0)*E115</f>
        <v>10</v>
      </c>
      <c r="X115" s="35">
        <f t="shared" si="62"/>
        <v>220</v>
      </c>
      <c r="Y115" s="35">
        <f>IF(AND(D115/Frequency!$N$7&gt;30, D115/Frequency!$N$7&lt;=50),1,0)*E115</f>
        <v>0</v>
      </c>
      <c r="Z115" s="35">
        <f t="shared" si="63"/>
        <v>0</v>
      </c>
      <c r="AA115" s="35">
        <f>IF(AND(D115/Frequency!$N$7&gt;50, D115/Frequency!$N$7&lt;=100),1,0)*E115</f>
        <v>0</v>
      </c>
      <c r="AB115" s="35">
        <f t="shared" si="64"/>
        <v>0</v>
      </c>
      <c r="AC115" s="35">
        <f>IF(D115/Frequency!$N$7&gt;100,1,0)*E115</f>
        <v>0</v>
      </c>
      <c r="AD115" s="35">
        <f t="shared" si="65"/>
        <v>0</v>
      </c>
      <c r="AE115" s="22">
        <f t="shared" si="66"/>
        <v>0</v>
      </c>
      <c r="AF115" s="22">
        <f t="shared" si="67"/>
        <v>0</v>
      </c>
      <c r="AG115" s="22">
        <f t="shared" si="68"/>
        <v>0</v>
      </c>
      <c r="AH115" s="22">
        <f t="shared" si="69"/>
        <v>0</v>
      </c>
      <c r="AI115" s="35">
        <f t="shared" si="70"/>
        <v>1</v>
      </c>
      <c r="AJ115" s="35">
        <f t="shared" si="71"/>
        <v>10</v>
      </c>
      <c r="AK115" s="35">
        <f t="shared" si="72"/>
        <v>220</v>
      </c>
      <c r="AL115">
        <f t="shared" si="73"/>
        <v>0</v>
      </c>
      <c r="AM115">
        <f t="shared" si="74"/>
        <v>0</v>
      </c>
      <c r="AN115">
        <f t="shared" si="75"/>
        <v>0</v>
      </c>
      <c r="AO115">
        <f t="shared" si="76"/>
        <v>0</v>
      </c>
      <c r="AP115">
        <f t="shared" si="77"/>
        <v>0</v>
      </c>
      <c r="AQ115">
        <f t="shared" si="78"/>
        <v>0</v>
      </c>
      <c r="AR115">
        <f t="shared" si="79"/>
        <v>0</v>
      </c>
      <c r="AS115">
        <f t="shared" si="80"/>
        <v>0</v>
      </c>
      <c r="AT115">
        <f t="shared" si="81"/>
        <v>0</v>
      </c>
      <c r="AU115">
        <f t="shared" si="82"/>
        <v>0</v>
      </c>
      <c r="AV115">
        <v>0</v>
      </c>
      <c r="AW115">
        <v>0</v>
      </c>
      <c r="AX115">
        <f t="shared" si="83"/>
        <v>0</v>
      </c>
      <c r="AY115">
        <f t="shared" si="84"/>
        <v>0</v>
      </c>
      <c r="AZ115">
        <f t="shared" si="85"/>
        <v>0</v>
      </c>
      <c r="BA115">
        <f t="shared" si="86"/>
        <v>0</v>
      </c>
      <c r="BB115">
        <f t="shared" si="87"/>
        <v>0</v>
      </c>
      <c r="BC115">
        <f t="shared" si="88"/>
        <v>0</v>
      </c>
      <c r="BD115">
        <f t="shared" si="89"/>
        <v>0</v>
      </c>
      <c r="BE115">
        <f t="shared" si="90"/>
        <v>0</v>
      </c>
      <c r="BF115">
        <f t="shared" si="91"/>
        <v>0</v>
      </c>
      <c r="BG115">
        <f t="shared" si="92"/>
        <v>0</v>
      </c>
      <c r="BH115">
        <f t="shared" si="93"/>
        <v>0</v>
      </c>
      <c r="BI115">
        <f t="shared" si="94"/>
        <v>0</v>
      </c>
      <c r="BJ115">
        <v>0</v>
      </c>
      <c r="BK115" t="str">
        <f t="shared" si="108"/>
        <v>Big Win</v>
      </c>
      <c r="BL115" s="40" t="str">
        <f t="shared" si="109"/>
        <v>Combo Win</v>
      </c>
      <c r="BM115">
        <f>(D115/Frequency!$N$7-Summary!$C$7)^2*E115</f>
        <v>4477.4560000000001</v>
      </c>
      <c r="BN115">
        <f t="shared" si="95"/>
        <v>0</v>
      </c>
      <c r="BO115">
        <f t="shared" si="96"/>
        <v>0</v>
      </c>
      <c r="BP115">
        <f t="shared" si="97"/>
        <v>0</v>
      </c>
      <c r="BQ115">
        <f t="shared" si="98"/>
        <v>0</v>
      </c>
      <c r="BR115">
        <f t="shared" si="99"/>
        <v>0</v>
      </c>
      <c r="BS115">
        <f t="shared" si="100"/>
        <v>0</v>
      </c>
      <c r="BT115">
        <f t="shared" si="101"/>
        <v>0</v>
      </c>
      <c r="BU115">
        <f t="shared" si="102"/>
        <v>0</v>
      </c>
      <c r="BV115">
        <f t="shared" si="103"/>
        <v>0</v>
      </c>
      <c r="BW115">
        <f t="shared" si="104"/>
        <v>0</v>
      </c>
      <c r="BX115">
        <f t="shared" si="105"/>
        <v>0</v>
      </c>
    </row>
    <row r="116" spans="2:76">
      <c r="B116" s="19">
        <f>Tiers!B117</f>
        <v>114</v>
      </c>
      <c r="C116" s="20" t="str">
        <f>Tiers!X117</f>
        <v>main-0|main-18|main-4|||||||</v>
      </c>
      <c r="D116" s="21">
        <f>Tiers!C117</f>
        <v>5.0999999999999996</v>
      </c>
      <c r="E116" s="22">
        <f>Frequency!E118</f>
        <v>10</v>
      </c>
      <c r="F116" s="22">
        <f t="shared" si="55"/>
        <v>51</v>
      </c>
      <c r="G116" s="20">
        <f>IF(AND(D116/Summary!$C$4&gt;0, D116/Summary!$C$4&lt;5),E116,0) * D116</f>
        <v>0</v>
      </c>
      <c r="H116" s="20">
        <f>IF(AND(D116/Summary!$C$4&gt;= 5, D116/Summary!$C$4&lt;10),E116,0) * D116</f>
        <v>51</v>
      </c>
      <c r="I116" s="20">
        <f>IF(AND(D116/Summary!$C$4&gt;=10, D116/Summary!$C$4&lt;25),E116,0)*D116</f>
        <v>0</v>
      </c>
      <c r="J116" s="20">
        <f>IF(D116/Summary!$C$4&gt;=25,E116,0)*D116</f>
        <v>0</v>
      </c>
      <c r="K116" s="35">
        <f>IF(AND(D116/Frequency!$N$7&gt;0, D116/Frequency!$N$7&lt;1),E116,0)</f>
        <v>0</v>
      </c>
      <c r="L116" s="35">
        <f t="shared" si="56"/>
        <v>0</v>
      </c>
      <c r="M116" s="35">
        <f>IF(D116/Frequency!$N$7=1,1,0)*E116</f>
        <v>0</v>
      </c>
      <c r="N116" s="35">
        <f t="shared" si="57"/>
        <v>0</v>
      </c>
      <c r="O116" s="35">
        <f>IF(AND(D116/Frequency!$N$7&gt;1, D116/Frequency!$N$7&lt;=2),1,0)*E116</f>
        <v>0</v>
      </c>
      <c r="P116" s="35">
        <f t="shared" si="58"/>
        <v>0</v>
      </c>
      <c r="Q116" s="35">
        <f>IF(AND(D116/Frequency!$N$7&gt;2,D116/Frequency!$N$7&lt;=5),1,0)*E116</f>
        <v>0</v>
      </c>
      <c r="R116" s="35">
        <f t="shared" si="59"/>
        <v>0</v>
      </c>
      <c r="S116" s="35">
        <f>IF(AND(D116/Frequency!$N$7&gt;5, D116/Frequency!$N$7&lt;=10),1,0)*E116</f>
        <v>10</v>
      </c>
      <c r="T116" s="35">
        <f t="shared" si="60"/>
        <v>51</v>
      </c>
      <c r="U116" s="35">
        <f>IF(AND(D116/Frequency!$N$7&gt;10, D116/Frequency!$N$7&lt;=20),1,0)*E116</f>
        <v>0</v>
      </c>
      <c r="V116" s="35">
        <f t="shared" si="61"/>
        <v>0</v>
      </c>
      <c r="W116" s="35">
        <f>IF(AND(D116/Frequency!$N$7&gt;20, D116/Frequency!$N$7&lt;=30),1,0)*E116</f>
        <v>0</v>
      </c>
      <c r="X116" s="35">
        <f t="shared" si="62"/>
        <v>0</v>
      </c>
      <c r="Y116" s="35">
        <f>IF(AND(D116/Frequency!$N$7&gt;30, D116/Frequency!$N$7&lt;=50),1,0)*E116</f>
        <v>0</v>
      </c>
      <c r="Z116" s="35">
        <f t="shared" si="63"/>
        <v>0</v>
      </c>
      <c r="AA116" s="35">
        <f>IF(AND(D116/Frequency!$N$7&gt;50, D116/Frequency!$N$7&lt;=100),1,0)*E116</f>
        <v>0</v>
      </c>
      <c r="AB116" s="35">
        <f t="shared" si="64"/>
        <v>0</v>
      </c>
      <c r="AC116" s="35">
        <f>IF(D116/Frequency!$N$7&gt;100,1,0)*E116</f>
        <v>0</v>
      </c>
      <c r="AD116" s="35">
        <f t="shared" si="65"/>
        <v>0</v>
      </c>
      <c r="AE116" s="22">
        <f t="shared" si="66"/>
        <v>0</v>
      </c>
      <c r="AF116" s="22">
        <f t="shared" si="67"/>
        <v>0</v>
      </c>
      <c r="AG116" s="22">
        <f t="shared" si="68"/>
        <v>0</v>
      </c>
      <c r="AH116" s="22">
        <f t="shared" si="69"/>
        <v>0</v>
      </c>
      <c r="AI116" s="35">
        <f t="shared" si="70"/>
        <v>1</v>
      </c>
      <c r="AJ116" s="35">
        <f t="shared" si="71"/>
        <v>10</v>
      </c>
      <c r="AK116" s="35">
        <f t="shared" si="72"/>
        <v>51</v>
      </c>
      <c r="AL116">
        <f t="shared" si="73"/>
        <v>0</v>
      </c>
      <c r="AM116">
        <f t="shared" si="74"/>
        <v>0</v>
      </c>
      <c r="AN116">
        <f t="shared" si="75"/>
        <v>0</v>
      </c>
      <c r="AO116">
        <f t="shared" si="76"/>
        <v>0</v>
      </c>
      <c r="AP116">
        <f t="shared" si="77"/>
        <v>0</v>
      </c>
      <c r="AQ116">
        <f t="shared" si="78"/>
        <v>0</v>
      </c>
      <c r="AR116">
        <f t="shared" si="79"/>
        <v>0</v>
      </c>
      <c r="AS116">
        <f t="shared" si="80"/>
        <v>0</v>
      </c>
      <c r="AT116">
        <f t="shared" si="81"/>
        <v>0</v>
      </c>
      <c r="AU116">
        <f t="shared" si="82"/>
        <v>0</v>
      </c>
      <c r="AV116">
        <v>0</v>
      </c>
      <c r="AW116">
        <v>0</v>
      </c>
      <c r="AX116">
        <f t="shared" si="83"/>
        <v>0</v>
      </c>
      <c r="AY116">
        <f t="shared" si="84"/>
        <v>0</v>
      </c>
      <c r="AZ116">
        <f t="shared" si="85"/>
        <v>0</v>
      </c>
      <c r="BA116">
        <f t="shared" si="86"/>
        <v>0</v>
      </c>
      <c r="BB116">
        <f t="shared" si="87"/>
        <v>0</v>
      </c>
      <c r="BC116">
        <f t="shared" si="88"/>
        <v>0</v>
      </c>
      <c r="BD116">
        <f t="shared" si="89"/>
        <v>0</v>
      </c>
      <c r="BE116">
        <f t="shared" si="90"/>
        <v>0</v>
      </c>
      <c r="BF116">
        <f t="shared" si="91"/>
        <v>0</v>
      </c>
      <c r="BG116">
        <f t="shared" si="92"/>
        <v>0</v>
      </c>
      <c r="BH116">
        <f t="shared" si="93"/>
        <v>0</v>
      </c>
      <c r="BI116">
        <f t="shared" si="94"/>
        <v>0</v>
      </c>
      <c r="BJ116">
        <v>0</v>
      </c>
      <c r="BK116" t="str">
        <f t="shared" si="108"/>
        <v>Standard Win</v>
      </c>
      <c r="BL116" s="40" t="str">
        <f t="shared" si="109"/>
        <v>Combo Win</v>
      </c>
      <c r="BM116">
        <f>(D116/Frequency!$N$7-Summary!$C$7)^2*E116</f>
        <v>181.47599999999997</v>
      </c>
      <c r="BN116">
        <f t="shared" si="95"/>
        <v>0</v>
      </c>
      <c r="BO116">
        <f t="shared" si="96"/>
        <v>0</v>
      </c>
      <c r="BP116">
        <f t="shared" si="97"/>
        <v>0</v>
      </c>
      <c r="BQ116">
        <f t="shared" si="98"/>
        <v>0</v>
      </c>
      <c r="BR116">
        <f t="shared" si="99"/>
        <v>0</v>
      </c>
      <c r="BS116">
        <f t="shared" si="100"/>
        <v>0</v>
      </c>
      <c r="BT116">
        <f t="shared" si="101"/>
        <v>0</v>
      </c>
      <c r="BU116">
        <f t="shared" si="102"/>
        <v>0</v>
      </c>
      <c r="BV116">
        <f t="shared" si="103"/>
        <v>0</v>
      </c>
      <c r="BW116">
        <f t="shared" si="104"/>
        <v>0</v>
      </c>
      <c r="BX116">
        <f t="shared" si="105"/>
        <v>0</v>
      </c>
    </row>
    <row r="117" spans="2:76">
      <c r="B117" s="19">
        <f>Tiers!B118</f>
        <v>115</v>
      </c>
      <c r="C117" s="20" t="str">
        <f>Tiers!X118</f>
        <v>main-1|main-25|main-18|||||||</v>
      </c>
      <c r="D117" s="21">
        <f>Tiers!C118</f>
        <v>8.1999999999999993</v>
      </c>
      <c r="E117" s="22">
        <f>Frequency!E119</f>
        <v>10</v>
      </c>
      <c r="F117" s="22">
        <f t="shared" si="55"/>
        <v>82</v>
      </c>
      <c r="G117" s="20">
        <f>IF(AND(D117/Summary!$C$4&gt;0, D117/Summary!$C$4&lt;5),E117,0) * D117</f>
        <v>0</v>
      </c>
      <c r="H117" s="20">
        <f>IF(AND(D117/Summary!$C$4&gt;= 5, D117/Summary!$C$4&lt;10),E117,0) * D117</f>
        <v>82</v>
      </c>
      <c r="I117" s="20">
        <f>IF(AND(D117/Summary!$C$4&gt;=10, D117/Summary!$C$4&lt;25),E117,0)*D117</f>
        <v>0</v>
      </c>
      <c r="J117" s="20">
        <f>IF(D117/Summary!$C$4&gt;=25,E117,0)*D117</f>
        <v>0</v>
      </c>
      <c r="K117" s="35">
        <f>IF(AND(D117/Frequency!$N$7&gt;0, D117/Frequency!$N$7&lt;1),E117,0)</f>
        <v>0</v>
      </c>
      <c r="L117" s="35">
        <f t="shared" si="56"/>
        <v>0</v>
      </c>
      <c r="M117" s="35">
        <f>IF(D117/Frequency!$N$7=1,1,0)*E117</f>
        <v>0</v>
      </c>
      <c r="N117" s="35">
        <f t="shared" si="57"/>
        <v>0</v>
      </c>
      <c r="O117" s="35">
        <f>IF(AND(D117/Frequency!$N$7&gt;1, D117/Frequency!$N$7&lt;=2),1,0)*E117</f>
        <v>0</v>
      </c>
      <c r="P117" s="35">
        <f t="shared" si="58"/>
        <v>0</v>
      </c>
      <c r="Q117" s="35">
        <f>IF(AND(D117/Frequency!$N$7&gt;2,D117/Frequency!$N$7&lt;=5),1,0)*E117</f>
        <v>0</v>
      </c>
      <c r="R117" s="35">
        <f t="shared" si="59"/>
        <v>0</v>
      </c>
      <c r="S117" s="35">
        <f>IF(AND(D117/Frequency!$N$7&gt;5, D117/Frequency!$N$7&lt;=10),1,0)*E117</f>
        <v>10</v>
      </c>
      <c r="T117" s="35">
        <f t="shared" si="60"/>
        <v>82</v>
      </c>
      <c r="U117" s="35">
        <f>IF(AND(D117/Frequency!$N$7&gt;10, D117/Frequency!$N$7&lt;=20),1,0)*E117</f>
        <v>0</v>
      </c>
      <c r="V117" s="35">
        <f t="shared" si="61"/>
        <v>0</v>
      </c>
      <c r="W117" s="35">
        <f>IF(AND(D117/Frequency!$N$7&gt;20, D117/Frequency!$N$7&lt;=30),1,0)*E117</f>
        <v>0</v>
      </c>
      <c r="X117" s="35">
        <f t="shared" si="62"/>
        <v>0</v>
      </c>
      <c r="Y117" s="35">
        <f>IF(AND(D117/Frequency!$N$7&gt;30, D117/Frequency!$N$7&lt;=50),1,0)*E117</f>
        <v>0</v>
      </c>
      <c r="Z117" s="35">
        <f t="shared" si="63"/>
        <v>0</v>
      </c>
      <c r="AA117" s="35">
        <f>IF(AND(D117/Frequency!$N$7&gt;50, D117/Frequency!$N$7&lt;=100),1,0)*E117</f>
        <v>0</v>
      </c>
      <c r="AB117" s="35">
        <f t="shared" si="64"/>
        <v>0</v>
      </c>
      <c r="AC117" s="35">
        <f>IF(D117/Frequency!$N$7&gt;100,1,0)*E117</f>
        <v>0</v>
      </c>
      <c r="AD117" s="35">
        <f t="shared" si="65"/>
        <v>0</v>
      </c>
      <c r="AE117" s="22">
        <f t="shared" si="66"/>
        <v>0</v>
      </c>
      <c r="AF117" s="22">
        <f t="shared" si="67"/>
        <v>0</v>
      </c>
      <c r="AG117" s="22">
        <f t="shared" si="68"/>
        <v>0</v>
      </c>
      <c r="AH117" s="22">
        <f t="shared" si="69"/>
        <v>0</v>
      </c>
      <c r="AI117" s="35">
        <f t="shared" si="70"/>
        <v>1</v>
      </c>
      <c r="AJ117" s="35">
        <f t="shared" si="71"/>
        <v>10</v>
      </c>
      <c r="AK117" s="35">
        <f t="shared" si="72"/>
        <v>82</v>
      </c>
      <c r="AL117">
        <f t="shared" si="73"/>
        <v>0</v>
      </c>
      <c r="AM117">
        <f t="shared" si="74"/>
        <v>0</v>
      </c>
      <c r="AN117">
        <f t="shared" si="75"/>
        <v>0</v>
      </c>
      <c r="AO117">
        <f t="shared" si="76"/>
        <v>0</v>
      </c>
      <c r="AP117">
        <f t="shared" si="77"/>
        <v>0</v>
      </c>
      <c r="AQ117">
        <f t="shared" si="78"/>
        <v>0</v>
      </c>
      <c r="AR117">
        <f t="shared" si="79"/>
        <v>0</v>
      </c>
      <c r="AS117">
        <f t="shared" si="80"/>
        <v>0</v>
      </c>
      <c r="AT117">
        <f t="shared" si="81"/>
        <v>0</v>
      </c>
      <c r="AU117">
        <f t="shared" si="82"/>
        <v>0</v>
      </c>
      <c r="AV117">
        <v>0</v>
      </c>
      <c r="AW117">
        <v>0</v>
      </c>
      <c r="AX117">
        <f t="shared" si="83"/>
        <v>0</v>
      </c>
      <c r="AY117">
        <f t="shared" si="84"/>
        <v>0</v>
      </c>
      <c r="AZ117">
        <f t="shared" si="85"/>
        <v>0</v>
      </c>
      <c r="BA117">
        <f t="shared" si="86"/>
        <v>0</v>
      </c>
      <c r="BB117">
        <f t="shared" si="87"/>
        <v>0</v>
      </c>
      <c r="BC117">
        <f t="shared" si="88"/>
        <v>0</v>
      </c>
      <c r="BD117">
        <f t="shared" si="89"/>
        <v>0</v>
      </c>
      <c r="BE117">
        <f t="shared" si="90"/>
        <v>0</v>
      </c>
      <c r="BF117">
        <f t="shared" si="91"/>
        <v>0</v>
      </c>
      <c r="BG117">
        <f t="shared" si="92"/>
        <v>0</v>
      </c>
      <c r="BH117">
        <f t="shared" si="93"/>
        <v>0</v>
      </c>
      <c r="BI117">
        <f t="shared" si="94"/>
        <v>0</v>
      </c>
      <c r="BJ117">
        <v>0</v>
      </c>
      <c r="BK117" t="str">
        <f t="shared" si="108"/>
        <v>Standard Win</v>
      </c>
      <c r="BL117" s="40" t="str">
        <f t="shared" si="109"/>
        <v>Combo Win</v>
      </c>
      <c r="BM117">
        <f>(D117/Frequency!$N$7-Summary!$C$7)^2*E117</f>
        <v>541.69599999999991</v>
      </c>
      <c r="BN117">
        <f t="shared" si="95"/>
        <v>0</v>
      </c>
      <c r="BO117">
        <f t="shared" si="96"/>
        <v>0</v>
      </c>
      <c r="BP117">
        <f t="shared" si="97"/>
        <v>0</v>
      </c>
      <c r="BQ117">
        <f t="shared" si="98"/>
        <v>0</v>
      </c>
      <c r="BR117">
        <f t="shared" si="99"/>
        <v>0</v>
      </c>
      <c r="BS117">
        <f t="shared" si="100"/>
        <v>0</v>
      </c>
      <c r="BT117">
        <f t="shared" si="101"/>
        <v>0</v>
      </c>
      <c r="BU117">
        <f t="shared" si="102"/>
        <v>0</v>
      </c>
      <c r="BV117">
        <f t="shared" si="103"/>
        <v>0</v>
      </c>
      <c r="BW117">
        <f t="shared" si="104"/>
        <v>0</v>
      </c>
      <c r="BX117">
        <f t="shared" si="105"/>
        <v>0</v>
      </c>
    </row>
    <row r="118" spans="2:76">
      <c r="B118" s="19">
        <f>Tiers!B119</f>
        <v>116</v>
      </c>
      <c r="C118" s="20" t="str">
        <f>Tiers!X119</f>
        <v>main-2|main-19|main-3|||||||</v>
      </c>
      <c r="D118" s="21">
        <f>Tiers!C119</f>
        <v>6.5</v>
      </c>
      <c r="E118" s="22">
        <f>Frequency!E120</f>
        <v>10</v>
      </c>
      <c r="F118" s="22">
        <f t="shared" si="55"/>
        <v>65</v>
      </c>
      <c r="G118" s="20">
        <f>IF(AND(D118/Summary!$C$4&gt;0, D118/Summary!$C$4&lt;5),E118,0) * D118</f>
        <v>0</v>
      </c>
      <c r="H118" s="20">
        <f>IF(AND(D118/Summary!$C$4&gt;= 5, D118/Summary!$C$4&lt;10),E118,0) * D118</f>
        <v>65</v>
      </c>
      <c r="I118" s="20">
        <f>IF(AND(D118/Summary!$C$4&gt;=10, D118/Summary!$C$4&lt;25),E118,0)*D118</f>
        <v>0</v>
      </c>
      <c r="J118" s="20">
        <f>IF(D118/Summary!$C$4&gt;=25,E118,0)*D118</f>
        <v>0</v>
      </c>
      <c r="K118" s="35">
        <f>IF(AND(D118/Frequency!$N$7&gt;0, D118/Frequency!$N$7&lt;1),E118,0)</f>
        <v>0</v>
      </c>
      <c r="L118" s="35">
        <f t="shared" si="56"/>
        <v>0</v>
      </c>
      <c r="M118" s="35">
        <f>IF(D118/Frequency!$N$7=1,1,0)*E118</f>
        <v>0</v>
      </c>
      <c r="N118" s="35">
        <f t="shared" si="57"/>
        <v>0</v>
      </c>
      <c r="O118" s="35">
        <f>IF(AND(D118/Frequency!$N$7&gt;1, D118/Frequency!$N$7&lt;=2),1,0)*E118</f>
        <v>0</v>
      </c>
      <c r="P118" s="35">
        <f t="shared" si="58"/>
        <v>0</v>
      </c>
      <c r="Q118" s="35">
        <f>IF(AND(D118/Frequency!$N$7&gt;2,D118/Frequency!$N$7&lt;=5),1,0)*E118</f>
        <v>0</v>
      </c>
      <c r="R118" s="35">
        <f t="shared" si="59"/>
        <v>0</v>
      </c>
      <c r="S118" s="35">
        <f>IF(AND(D118/Frequency!$N$7&gt;5, D118/Frequency!$N$7&lt;=10),1,0)*E118</f>
        <v>10</v>
      </c>
      <c r="T118" s="35">
        <f t="shared" si="60"/>
        <v>65</v>
      </c>
      <c r="U118" s="35">
        <f>IF(AND(D118/Frequency!$N$7&gt;10, D118/Frequency!$N$7&lt;=20),1,0)*E118</f>
        <v>0</v>
      </c>
      <c r="V118" s="35">
        <f t="shared" si="61"/>
        <v>0</v>
      </c>
      <c r="W118" s="35">
        <f>IF(AND(D118/Frequency!$N$7&gt;20, D118/Frequency!$N$7&lt;=30),1,0)*E118</f>
        <v>0</v>
      </c>
      <c r="X118" s="35">
        <f t="shared" si="62"/>
        <v>0</v>
      </c>
      <c r="Y118" s="35">
        <f>IF(AND(D118/Frequency!$N$7&gt;30, D118/Frequency!$N$7&lt;=50),1,0)*E118</f>
        <v>0</v>
      </c>
      <c r="Z118" s="35">
        <f t="shared" si="63"/>
        <v>0</v>
      </c>
      <c r="AA118" s="35">
        <f>IF(AND(D118/Frequency!$N$7&gt;50, D118/Frequency!$N$7&lt;=100),1,0)*E118</f>
        <v>0</v>
      </c>
      <c r="AB118" s="35">
        <f t="shared" si="64"/>
        <v>0</v>
      </c>
      <c r="AC118" s="35">
        <f>IF(D118/Frequency!$N$7&gt;100,1,0)*E118</f>
        <v>0</v>
      </c>
      <c r="AD118" s="35">
        <f t="shared" si="65"/>
        <v>0</v>
      </c>
      <c r="AE118" s="22">
        <f t="shared" si="66"/>
        <v>0</v>
      </c>
      <c r="AF118" s="22">
        <f t="shared" si="67"/>
        <v>0</v>
      </c>
      <c r="AG118" s="22">
        <f t="shared" si="68"/>
        <v>0</v>
      </c>
      <c r="AH118" s="22">
        <f t="shared" si="69"/>
        <v>0</v>
      </c>
      <c r="AI118" s="35">
        <f t="shared" si="70"/>
        <v>1</v>
      </c>
      <c r="AJ118" s="35">
        <f t="shared" si="71"/>
        <v>10</v>
      </c>
      <c r="AK118" s="35">
        <f t="shared" si="72"/>
        <v>65</v>
      </c>
      <c r="AL118">
        <f t="shared" si="73"/>
        <v>0</v>
      </c>
      <c r="AM118">
        <f t="shared" si="74"/>
        <v>0</v>
      </c>
      <c r="AN118">
        <f t="shared" si="75"/>
        <v>0</v>
      </c>
      <c r="AO118">
        <f t="shared" si="76"/>
        <v>0</v>
      </c>
      <c r="AP118">
        <f t="shared" si="77"/>
        <v>0</v>
      </c>
      <c r="AQ118">
        <f t="shared" si="78"/>
        <v>0</v>
      </c>
      <c r="AR118">
        <f t="shared" si="79"/>
        <v>0</v>
      </c>
      <c r="AS118">
        <f t="shared" si="80"/>
        <v>0</v>
      </c>
      <c r="AT118">
        <f t="shared" si="81"/>
        <v>0</v>
      </c>
      <c r="AU118">
        <f t="shared" si="82"/>
        <v>0</v>
      </c>
      <c r="AV118">
        <v>0</v>
      </c>
      <c r="AW118">
        <v>0</v>
      </c>
      <c r="AX118">
        <f t="shared" si="83"/>
        <v>0</v>
      </c>
      <c r="AY118">
        <f t="shared" si="84"/>
        <v>0</v>
      </c>
      <c r="AZ118">
        <f t="shared" si="85"/>
        <v>0</v>
      </c>
      <c r="BA118">
        <f t="shared" si="86"/>
        <v>0</v>
      </c>
      <c r="BB118">
        <f t="shared" si="87"/>
        <v>0</v>
      </c>
      <c r="BC118">
        <f t="shared" si="88"/>
        <v>0</v>
      </c>
      <c r="BD118">
        <f t="shared" si="89"/>
        <v>0</v>
      </c>
      <c r="BE118">
        <f t="shared" si="90"/>
        <v>0</v>
      </c>
      <c r="BF118">
        <f t="shared" si="91"/>
        <v>0</v>
      </c>
      <c r="BG118">
        <f t="shared" si="92"/>
        <v>0</v>
      </c>
      <c r="BH118">
        <f t="shared" si="93"/>
        <v>0</v>
      </c>
      <c r="BI118">
        <f t="shared" si="94"/>
        <v>0</v>
      </c>
      <c r="BJ118">
        <v>0</v>
      </c>
      <c r="BK118" t="str">
        <f t="shared" si="108"/>
        <v>Standard Win</v>
      </c>
      <c r="BL118" s="40" t="str">
        <f t="shared" si="109"/>
        <v>Combo Win</v>
      </c>
      <c r="BM118">
        <f>(D118/Frequency!$N$7-Summary!$C$7)^2*E118</f>
        <v>320.35599999999999</v>
      </c>
      <c r="BN118">
        <f t="shared" si="95"/>
        <v>0</v>
      </c>
      <c r="BO118">
        <f t="shared" si="96"/>
        <v>0</v>
      </c>
      <c r="BP118">
        <f t="shared" si="97"/>
        <v>0</v>
      </c>
      <c r="BQ118">
        <f t="shared" si="98"/>
        <v>0</v>
      </c>
      <c r="BR118">
        <f t="shared" si="99"/>
        <v>0</v>
      </c>
      <c r="BS118">
        <f t="shared" si="100"/>
        <v>0</v>
      </c>
      <c r="BT118">
        <f t="shared" si="101"/>
        <v>0</v>
      </c>
      <c r="BU118">
        <f t="shared" si="102"/>
        <v>0</v>
      </c>
      <c r="BV118">
        <f t="shared" si="103"/>
        <v>0</v>
      </c>
      <c r="BW118">
        <f t="shared" si="104"/>
        <v>0</v>
      </c>
      <c r="BX118">
        <f t="shared" si="105"/>
        <v>0</v>
      </c>
    </row>
    <row r="119" spans="2:76">
      <c r="B119" s="19">
        <f>Tiers!B120</f>
        <v>117</v>
      </c>
      <c r="C119" s="20" t="str">
        <f>Tiers!X120</f>
        <v>main-4|main-13|main-0|||||||</v>
      </c>
      <c r="D119" s="21">
        <f>Tiers!C120</f>
        <v>7.1</v>
      </c>
      <c r="E119" s="22">
        <f>Frequency!E121</f>
        <v>10</v>
      </c>
      <c r="F119" s="22">
        <f t="shared" si="55"/>
        <v>71</v>
      </c>
      <c r="G119" s="20">
        <f>IF(AND(D119/Summary!$C$4&gt;0, D119/Summary!$C$4&lt;5),E119,0) * D119</f>
        <v>0</v>
      </c>
      <c r="H119" s="20">
        <f>IF(AND(D119/Summary!$C$4&gt;= 5, D119/Summary!$C$4&lt;10),E119,0) * D119</f>
        <v>71</v>
      </c>
      <c r="I119" s="20">
        <f>IF(AND(D119/Summary!$C$4&gt;=10, D119/Summary!$C$4&lt;25),E119,0)*D119</f>
        <v>0</v>
      </c>
      <c r="J119" s="20">
        <f>IF(D119/Summary!$C$4&gt;=25,E119,0)*D119</f>
        <v>0</v>
      </c>
      <c r="K119" s="35">
        <f>IF(AND(D119/Frequency!$N$7&gt;0, D119/Frequency!$N$7&lt;1),E119,0)</f>
        <v>0</v>
      </c>
      <c r="L119" s="35">
        <f t="shared" si="56"/>
        <v>0</v>
      </c>
      <c r="M119" s="35">
        <f>IF(D119/Frequency!$N$7=1,1,0)*E119</f>
        <v>0</v>
      </c>
      <c r="N119" s="35">
        <f t="shared" si="57"/>
        <v>0</v>
      </c>
      <c r="O119" s="35">
        <f>IF(AND(D119/Frequency!$N$7&gt;1, D119/Frequency!$N$7&lt;=2),1,0)*E119</f>
        <v>0</v>
      </c>
      <c r="P119" s="35">
        <f t="shared" si="58"/>
        <v>0</v>
      </c>
      <c r="Q119" s="35">
        <f>IF(AND(D119/Frequency!$N$7&gt;2,D119/Frequency!$N$7&lt;=5),1,0)*E119</f>
        <v>0</v>
      </c>
      <c r="R119" s="35">
        <f t="shared" si="59"/>
        <v>0</v>
      </c>
      <c r="S119" s="35">
        <f>IF(AND(D119/Frequency!$N$7&gt;5, D119/Frequency!$N$7&lt;=10),1,0)*E119</f>
        <v>10</v>
      </c>
      <c r="T119" s="35">
        <f t="shared" si="60"/>
        <v>71</v>
      </c>
      <c r="U119" s="35">
        <f>IF(AND(D119/Frequency!$N$7&gt;10, D119/Frequency!$N$7&lt;=20),1,0)*E119</f>
        <v>0</v>
      </c>
      <c r="V119" s="35">
        <f t="shared" si="61"/>
        <v>0</v>
      </c>
      <c r="W119" s="35">
        <f>IF(AND(D119/Frequency!$N$7&gt;20, D119/Frequency!$N$7&lt;=30),1,0)*E119</f>
        <v>0</v>
      </c>
      <c r="X119" s="35">
        <f t="shared" si="62"/>
        <v>0</v>
      </c>
      <c r="Y119" s="35">
        <f>IF(AND(D119/Frequency!$N$7&gt;30, D119/Frequency!$N$7&lt;=50),1,0)*E119</f>
        <v>0</v>
      </c>
      <c r="Z119" s="35">
        <f t="shared" si="63"/>
        <v>0</v>
      </c>
      <c r="AA119" s="35">
        <f>IF(AND(D119/Frequency!$N$7&gt;50, D119/Frequency!$N$7&lt;=100),1,0)*E119</f>
        <v>0</v>
      </c>
      <c r="AB119" s="35">
        <f t="shared" si="64"/>
        <v>0</v>
      </c>
      <c r="AC119" s="35">
        <f>IF(D119/Frequency!$N$7&gt;100,1,0)*E119</f>
        <v>0</v>
      </c>
      <c r="AD119" s="35">
        <f t="shared" si="65"/>
        <v>0</v>
      </c>
      <c r="AE119" s="22">
        <f t="shared" si="66"/>
        <v>0</v>
      </c>
      <c r="AF119" s="22">
        <f t="shared" si="67"/>
        <v>0</v>
      </c>
      <c r="AG119" s="22">
        <f t="shared" si="68"/>
        <v>0</v>
      </c>
      <c r="AH119" s="22">
        <f t="shared" si="69"/>
        <v>0</v>
      </c>
      <c r="AI119" s="35">
        <f t="shared" si="70"/>
        <v>1</v>
      </c>
      <c r="AJ119" s="35">
        <f t="shared" si="71"/>
        <v>10</v>
      </c>
      <c r="AK119" s="35">
        <f t="shared" si="72"/>
        <v>71</v>
      </c>
      <c r="AL119">
        <f t="shared" si="73"/>
        <v>0</v>
      </c>
      <c r="AM119">
        <f t="shared" si="74"/>
        <v>0</v>
      </c>
      <c r="AN119">
        <f t="shared" si="75"/>
        <v>0</v>
      </c>
      <c r="AO119">
        <f t="shared" si="76"/>
        <v>0</v>
      </c>
      <c r="AP119">
        <f t="shared" si="77"/>
        <v>0</v>
      </c>
      <c r="AQ119">
        <f t="shared" si="78"/>
        <v>0</v>
      </c>
      <c r="AR119">
        <f t="shared" si="79"/>
        <v>0</v>
      </c>
      <c r="AS119">
        <f t="shared" si="80"/>
        <v>0</v>
      </c>
      <c r="AT119">
        <f t="shared" si="81"/>
        <v>0</v>
      </c>
      <c r="AU119">
        <f t="shared" si="82"/>
        <v>0</v>
      </c>
      <c r="AV119">
        <v>0</v>
      </c>
      <c r="AW119">
        <v>0</v>
      </c>
      <c r="AX119">
        <f t="shared" si="83"/>
        <v>0</v>
      </c>
      <c r="AY119">
        <f t="shared" si="84"/>
        <v>0</v>
      </c>
      <c r="AZ119">
        <f t="shared" si="85"/>
        <v>0</v>
      </c>
      <c r="BA119">
        <f t="shared" si="86"/>
        <v>0</v>
      </c>
      <c r="BB119">
        <f t="shared" si="87"/>
        <v>0</v>
      </c>
      <c r="BC119">
        <f t="shared" si="88"/>
        <v>0</v>
      </c>
      <c r="BD119">
        <f t="shared" si="89"/>
        <v>0</v>
      </c>
      <c r="BE119">
        <f t="shared" si="90"/>
        <v>0</v>
      </c>
      <c r="BF119">
        <f t="shared" si="91"/>
        <v>0</v>
      </c>
      <c r="BG119">
        <f t="shared" si="92"/>
        <v>0</v>
      </c>
      <c r="BH119">
        <f t="shared" si="93"/>
        <v>0</v>
      </c>
      <c r="BI119">
        <f t="shared" si="94"/>
        <v>0</v>
      </c>
      <c r="BJ119">
        <v>0</v>
      </c>
      <c r="BK119" t="str">
        <f t="shared" si="108"/>
        <v>Standard Win</v>
      </c>
      <c r="BL119" s="40" t="str">
        <f t="shared" si="109"/>
        <v>Combo Win</v>
      </c>
      <c r="BM119">
        <f>(D119/Frequency!$N$7-Summary!$C$7)^2*E119</f>
        <v>391.87599999999998</v>
      </c>
      <c r="BN119">
        <f t="shared" si="95"/>
        <v>0</v>
      </c>
      <c r="BO119">
        <f t="shared" si="96"/>
        <v>0</v>
      </c>
      <c r="BP119">
        <f t="shared" si="97"/>
        <v>0</v>
      </c>
      <c r="BQ119">
        <f t="shared" si="98"/>
        <v>0</v>
      </c>
      <c r="BR119">
        <f t="shared" si="99"/>
        <v>0</v>
      </c>
      <c r="BS119">
        <f t="shared" si="100"/>
        <v>0</v>
      </c>
      <c r="BT119">
        <f t="shared" si="101"/>
        <v>0</v>
      </c>
      <c r="BU119">
        <f t="shared" si="102"/>
        <v>0</v>
      </c>
      <c r="BV119">
        <f t="shared" si="103"/>
        <v>0</v>
      </c>
      <c r="BW119">
        <f t="shared" si="104"/>
        <v>0</v>
      </c>
      <c r="BX119">
        <f t="shared" si="105"/>
        <v>0</v>
      </c>
    </row>
    <row r="120" spans="2:76">
      <c r="B120" s="19">
        <f>Tiers!B121</f>
        <v>118</v>
      </c>
      <c r="C120" s="20" t="str">
        <f>Tiers!X121</f>
        <v>main-1|main-18|main-26|||||||</v>
      </c>
      <c r="D120" s="21">
        <f>Tiers!C121</f>
        <v>13.2</v>
      </c>
      <c r="E120" s="22">
        <f>Frequency!E122</f>
        <v>10</v>
      </c>
      <c r="F120" s="22">
        <f t="shared" si="55"/>
        <v>132</v>
      </c>
      <c r="G120" s="20">
        <f>IF(AND(D120/Summary!$C$4&gt;0, D120/Summary!$C$4&lt;5),E120,0) * D120</f>
        <v>0</v>
      </c>
      <c r="H120" s="20">
        <f>IF(AND(D120/Summary!$C$4&gt;= 5, D120/Summary!$C$4&lt;10),E120,0) * D120</f>
        <v>0</v>
      </c>
      <c r="I120" s="20">
        <f>IF(AND(D120/Summary!$C$4&gt;=10, D120/Summary!$C$4&lt;25),E120,0)*D120</f>
        <v>132</v>
      </c>
      <c r="J120" s="20">
        <f>IF(D120/Summary!$C$4&gt;=25,E120,0)*D120</f>
        <v>0</v>
      </c>
      <c r="K120" s="35">
        <f>IF(AND(D120/Frequency!$N$7&gt;0, D120/Frequency!$N$7&lt;1),E120,0)</f>
        <v>0</v>
      </c>
      <c r="L120" s="35">
        <f t="shared" si="56"/>
        <v>0</v>
      </c>
      <c r="M120" s="35">
        <f>IF(D120/Frequency!$N$7=1,1,0)*E120</f>
        <v>0</v>
      </c>
      <c r="N120" s="35">
        <f t="shared" si="57"/>
        <v>0</v>
      </c>
      <c r="O120" s="35">
        <f>IF(AND(D120/Frequency!$N$7&gt;1, D120/Frequency!$N$7&lt;=2),1,0)*E120</f>
        <v>0</v>
      </c>
      <c r="P120" s="35">
        <f t="shared" si="58"/>
        <v>0</v>
      </c>
      <c r="Q120" s="35">
        <f>IF(AND(D120/Frequency!$N$7&gt;2,D120/Frequency!$N$7&lt;=5),1,0)*E120</f>
        <v>0</v>
      </c>
      <c r="R120" s="35">
        <f t="shared" si="59"/>
        <v>0</v>
      </c>
      <c r="S120" s="35">
        <f>IF(AND(D120/Frequency!$N$7&gt;5, D120/Frequency!$N$7&lt;=10),1,0)*E120</f>
        <v>0</v>
      </c>
      <c r="T120" s="35">
        <f t="shared" si="60"/>
        <v>0</v>
      </c>
      <c r="U120" s="35">
        <f>IF(AND(D120/Frequency!$N$7&gt;10, D120/Frequency!$N$7&lt;=20),1,0)*E120</f>
        <v>10</v>
      </c>
      <c r="V120" s="35">
        <f t="shared" si="61"/>
        <v>132</v>
      </c>
      <c r="W120" s="35">
        <f>IF(AND(D120/Frequency!$N$7&gt;20, D120/Frequency!$N$7&lt;=30),1,0)*E120</f>
        <v>0</v>
      </c>
      <c r="X120" s="35">
        <f t="shared" si="62"/>
        <v>0</v>
      </c>
      <c r="Y120" s="35">
        <f>IF(AND(D120/Frequency!$N$7&gt;30, D120/Frequency!$N$7&lt;=50),1,0)*E120</f>
        <v>0</v>
      </c>
      <c r="Z120" s="35">
        <f t="shared" si="63"/>
        <v>0</v>
      </c>
      <c r="AA120" s="35">
        <f>IF(AND(D120/Frequency!$N$7&gt;50, D120/Frequency!$N$7&lt;=100),1,0)*E120</f>
        <v>0</v>
      </c>
      <c r="AB120" s="35">
        <f t="shared" si="64"/>
        <v>0</v>
      </c>
      <c r="AC120" s="35">
        <f>IF(D120/Frequency!$N$7&gt;100,1,0)*E120</f>
        <v>0</v>
      </c>
      <c r="AD120" s="35">
        <f t="shared" si="65"/>
        <v>0</v>
      </c>
      <c r="AE120" s="22">
        <f t="shared" si="66"/>
        <v>0</v>
      </c>
      <c r="AF120" s="22">
        <f t="shared" si="67"/>
        <v>0</v>
      </c>
      <c r="AG120" s="22">
        <f t="shared" si="68"/>
        <v>0</v>
      </c>
      <c r="AH120" s="22">
        <f t="shared" si="69"/>
        <v>0</v>
      </c>
      <c r="AI120" s="35">
        <f t="shared" si="70"/>
        <v>1</v>
      </c>
      <c r="AJ120" s="35">
        <f t="shared" si="71"/>
        <v>10</v>
      </c>
      <c r="AK120" s="35">
        <f t="shared" si="72"/>
        <v>132</v>
      </c>
      <c r="AL120">
        <f t="shared" si="73"/>
        <v>0</v>
      </c>
      <c r="AM120">
        <f t="shared" si="74"/>
        <v>0</v>
      </c>
      <c r="AN120">
        <f t="shared" si="75"/>
        <v>0</v>
      </c>
      <c r="AO120">
        <f t="shared" si="76"/>
        <v>0</v>
      </c>
      <c r="AP120">
        <f t="shared" si="77"/>
        <v>0</v>
      </c>
      <c r="AQ120">
        <f t="shared" si="78"/>
        <v>0</v>
      </c>
      <c r="AR120">
        <f t="shared" si="79"/>
        <v>0</v>
      </c>
      <c r="AS120">
        <f t="shared" si="80"/>
        <v>0</v>
      </c>
      <c r="AT120">
        <f t="shared" si="81"/>
        <v>0</v>
      </c>
      <c r="AU120">
        <f t="shared" si="82"/>
        <v>0</v>
      </c>
      <c r="AV120">
        <v>0</v>
      </c>
      <c r="AW120">
        <v>0</v>
      </c>
      <c r="AX120">
        <f t="shared" si="83"/>
        <v>0</v>
      </c>
      <c r="AY120">
        <f t="shared" si="84"/>
        <v>0</v>
      </c>
      <c r="AZ120">
        <f t="shared" si="85"/>
        <v>0</v>
      </c>
      <c r="BA120">
        <f t="shared" si="86"/>
        <v>0</v>
      </c>
      <c r="BB120">
        <f t="shared" si="87"/>
        <v>0</v>
      </c>
      <c r="BC120">
        <f t="shared" si="88"/>
        <v>0</v>
      </c>
      <c r="BD120">
        <f t="shared" si="89"/>
        <v>0</v>
      </c>
      <c r="BE120">
        <f t="shared" si="90"/>
        <v>0</v>
      </c>
      <c r="BF120">
        <f t="shared" si="91"/>
        <v>0</v>
      </c>
      <c r="BG120">
        <f t="shared" si="92"/>
        <v>0</v>
      </c>
      <c r="BH120">
        <f t="shared" si="93"/>
        <v>0</v>
      </c>
      <c r="BI120">
        <f t="shared" si="94"/>
        <v>0</v>
      </c>
      <c r="BJ120">
        <v>0</v>
      </c>
      <c r="BK120" t="str">
        <f t="shared" si="108"/>
        <v>Big Win</v>
      </c>
      <c r="BL120" s="40" t="str">
        <f t="shared" si="109"/>
        <v>Combo Win</v>
      </c>
      <c r="BM120">
        <f>(D120/Frequency!$N$7-Summary!$C$7)^2*E120</f>
        <v>1527.6959999999999</v>
      </c>
      <c r="BN120">
        <f t="shared" si="95"/>
        <v>0</v>
      </c>
      <c r="BO120">
        <f t="shared" si="96"/>
        <v>0</v>
      </c>
      <c r="BP120">
        <f t="shared" si="97"/>
        <v>0</v>
      </c>
      <c r="BQ120">
        <f t="shared" si="98"/>
        <v>0</v>
      </c>
      <c r="BR120">
        <f t="shared" si="99"/>
        <v>0</v>
      </c>
      <c r="BS120">
        <f t="shared" si="100"/>
        <v>0</v>
      </c>
      <c r="BT120">
        <f t="shared" si="101"/>
        <v>0</v>
      </c>
      <c r="BU120">
        <f t="shared" si="102"/>
        <v>0</v>
      </c>
      <c r="BV120">
        <f t="shared" si="103"/>
        <v>0</v>
      </c>
      <c r="BW120">
        <f t="shared" si="104"/>
        <v>0</v>
      </c>
      <c r="BX120">
        <f t="shared" si="105"/>
        <v>0</v>
      </c>
    </row>
    <row r="121" spans="2:76">
      <c r="B121" s="19">
        <f>Tiers!B122</f>
        <v>119</v>
      </c>
      <c r="C121" s="20" t="str">
        <f>Tiers!X122</f>
        <v>main-5|main-25|main-0|||||||</v>
      </c>
      <c r="D121" s="21">
        <f>Tiers!C122</f>
        <v>10.1</v>
      </c>
      <c r="E121" s="22">
        <f>Frequency!E123</f>
        <v>10</v>
      </c>
      <c r="F121" s="22">
        <f t="shared" si="55"/>
        <v>101</v>
      </c>
      <c r="G121" s="20">
        <f>IF(AND(D121/Summary!$C$4&gt;0, D121/Summary!$C$4&lt;5),E121,0) * D121</f>
        <v>0</v>
      </c>
      <c r="H121" s="20">
        <f>IF(AND(D121/Summary!$C$4&gt;= 5, D121/Summary!$C$4&lt;10),E121,0) * D121</f>
        <v>0</v>
      </c>
      <c r="I121" s="20">
        <f>IF(AND(D121/Summary!$C$4&gt;=10, D121/Summary!$C$4&lt;25),E121,0)*D121</f>
        <v>101</v>
      </c>
      <c r="J121" s="20">
        <f>IF(D121/Summary!$C$4&gt;=25,E121,0)*D121</f>
        <v>0</v>
      </c>
      <c r="K121" s="35">
        <f>IF(AND(D121/Frequency!$N$7&gt;0, D121/Frequency!$N$7&lt;1),E121,0)</f>
        <v>0</v>
      </c>
      <c r="L121" s="35">
        <f t="shared" si="56"/>
        <v>0</v>
      </c>
      <c r="M121" s="35">
        <f>IF(D121/Frequency!$N$7=1,1,0)*E121</f>
        <v>0</v>
      </c>
      <c r="N121" s="35">
        <f t="shared" si="57"/>
        <v>0</v>
      </c>
      <c r="O121" s="35">
        <f>IF(AND(D121/Frequency!$N$7&gt;1, D121/Frequency!$N$7&lt;=2),1,0)*E121</f>
        <v>0</v>
      </c>
      <c r="P121" s="35">
        <f t="shared" si="58"/>
        <v>0</v>
      </c>
      <c r="Q121" s="35">
        <f>IF(AND(D121/Frequency!$N$7&gt;2,D121/Frequency!$N$7&lt;=5),1,0)*E121</f>
        <v>0</v>
      </c>
      <c r="R121" s="35">
        <f t="shared" si="59"/>
        <v>0</v>
      </c>
      <c r="S121" s="35">
        <f>IF(AND(D121/Frequency!$N$7&gt;5, D121/Frequency!$N$7&lt;=10),1,0)*E121</f>
        <v>0</v>
      </c>
      <c r="T121" s="35">
        <f t="shared" si="60"/>
        <v>0</v>
      </c>
      <c r="U121" s="35">
        <f>IF(AND(D121/Frequency!$N$7&gt;10, D121/Frequency!$N$7&lt;=20),1,0)*E121</f>
        <v>10</v>
      </c>
      <c r="V121" s="35">
        <f t="shared" si="61"/>
        <v>101</v>
      </c>
      <c r="W121" s="35">
        <f>IF(AND(D121/Frequency!$N$7&gt;20, D121/Frequency!$N$7&lt;=30),1,0)*E121</f>
        <v>0</v>
      </c>
      <c r="X121" s="35">
        <f t="shared" si="62"/>
        <v>0</v>
      </c>
      <c r="Y121" s="35">
        <f>IF(AND(D121/Frequency!$N$7&gt;30, D121/Frequency!$N$7&lt;=50),1,0)*E121</f>
        <v>0</v>
      </c>
      <c r="Z121" s="35">
        <f t="shared" si="63"/>
        <v>0</v>
      </c>
      <c r="AA121" s="35">
        <f>IF(AND(D121/Frequency!$N$7&gt;50, D121/Frequency!$N$7&lt;=100),1,0)*E121</f>
        <v>0</v>
      </c>
      <c r="AB121" s="35">
        <f t="shared" si="64"/>
        <v>0</v>
      </c>
      <c r="AC121" s="35">
        <f>IF(D121/Frequency!$N$7&gt;100,1,0)*E121</f>
        <v>0</v>
      </c>
      <c r="AD121" s="35">
        <f t="shared" si="65"/>
        <v>0</v>
      </c>
      <c r="AE121" s="22">
        <f t="shared" si="66"/>
        <v>0</v>
      </c>
      <c r="AF121" s="22">
        <f t="shared" si="67"/>
        <v>0</v>
      </c>
      <c r="AG121" s="22">
        <f t="shared" si="68"/>
        <v>0</v>
      </c>
      <c r="AH121" s="22">
        <f t="shared" si="69"/>
        <v>0</v>
      </c>
      <c r="AI121" s="35">
        <f t="shared" si="70"/>
        <v>1</v>
      </c>
      <c r="AJ121" s="35">
        <f t="shared" si="71"/>
        <v>10</v>
      </c>
      <c r="AK121" s="35">
        <f t="shared" si="72"/>
        <v>101</v>
      </c>
      <c r="AL121">
        <f t="shared" si="73"/>
        <v>0</v>
      </c>
      <c r="AM121">
        <f t="shared" si="74"/>
        <v>0</v>
      </c>
      <c r="AN121">
        <f t="shared" si="75"/>
        <v>0</v>
      </c>
      <c r="AO121">
        <f t="shared" si="76"/>
        <v>0</v>
      </c>
      <c r="AP121">
        <f t="shared" si="77"/>
        <v>0</v>
      </c>
      <c r="AQ121">
        <f t="shared" si="78"/>
        <v>0</v>
      </c>
      <c r="AR121">
        <f t="shared" si="79"/>
        <v>0</v>
      </c>
      <c r="AS121">
        <f t="shared" si="80"/>
        <v>0</v>
      </c>
      <c r="AT121">
        <f t="shared" si="81"/>
        <v>0</v>
      </c>
      <c r="AU121">
        <f t="shared" si="82"/>
        <v>0</v>
      </c>
      <c r="AV121">
        <v>0</v>
      </c>
      <c r="AW121">
        <v>0</v>
      </c>
      <c r="AX121">
        <f t="shared" si="83"/>
        <v>0</v>
      </c>
      <c r="AY121">
        <f t="shared" si="84"/>
        <v>0</v>
      </c>
      <c r="AZ121">
        <f t="shared" si="85"/>
        <v>0</v>
      </c>
      <c r="BA121">
        <f t="shared" si="86"/>
        <v>0</v>
      </c>
      <c r="BB121">
        <f t="shared" si="87"/>
        <v>0</v>
      </c>
      <c r="BC121">
        <f t="shared" si="88"/>
        <v>0</v>
      </c>
      <c r="BD121">
        <f t="shared" si="89"/>
        <v>0</v>
      </c>
      <c r="BE121">
        <f t="shared" si="90"/>
        <v>0</v>
      </c>
      <c r="BF121">
        <f t="shared" si="91"/>
        <v>0</v>
      </c>
      <c r="BG121">
        <f t="shared" si="92"/>
        <v>0</v>
      </c>
      <c r="BH121">
        <f t="shared" si="93"/>
        <v>0</v>
      </c>
      <c r="BI121">
        <f t="shared" si="94"/>
        <v>0</v>
      </c>
      <c r="BJ121">
        <v>0</v>
      </c>
      <c r="BK121" t="str">
        <f t="shared" si="108"/>
        <v>Big Win</v>
      </c>
      <c r="BL121" s="40" t="str">
        <f t="shared" si="109"/>
        <v>Combo Win</v>
      </c>
      <c r="BM121">
        <f>(D121/Frequency!$N$7-Summary!$C$7)^2*E121</f>
        <v>857.47599999999989</v>
      </c>
      <c r="BN121">
        <f t="shared" si="95"/>
        <v>0</v>
      </c>
      <c r="BO121">
        <f t="shared" si="96"/>
        <v>0</v>
      </c>
      <c r="BP121">
        <f t="shared" si="97"/>
        <v>0</v>
      </c>
      <c r="BQ121">
        <f t="shared" si="98"/>
        <v>0</v>
      </c>
      <c r="BR121">
        <f t="shared" si="99"/>
        <v>0</v>
      </c>
      <c r="BS121">
        <f t="shared" si="100"/>
        <v>0</v>
      </c>
      <c r="BT121">
        <f t="shared" si="101"/>
        <v>0</v>
      </c>
      <c r="BU121">
        <f t="shared" si="102"/>
        <v>0</v>
      </c>
      <c r="BV121">
        <f t="shared" si="103"/>
        <v>0</v>
      </c>
      <c r="BW121">
        <f t="shared" si="104"/>
        <v>0</v>
      </c>
      <c r="BX121">
        <f t="shared" si="105"/>
        <v>0</v>
      </c>
    </row>
    <row r="122" spans="2:76">
      <c r="B122" s="19">
        <f>Tiers!B123</f>
        <v>120</v>
      </c>
      <c r="C122" s="20" t="str">
        <f>Tiers!X123</f>
        <v>main-4|main-0|main-20|||||||</v>
      </c>
      <c r="D122" s="21">
        <f>Tiers!C123</f>
        <v>12.1</v>
      </c>
      <c r="E122" s="22">
        <f>Frequency!E124</f>
        <v>10</v>
      </c>
      <c r="F122" s="22">
        <f t="shared" si="55"/>
        <v>121</v>
      </c>
      <c r="G122" s="20">
        <f>IF(AND(D122/Summary!$C$4&gt;0, D122/Summary!$C$4&lt;5),E122,0) * D122</f>
        <v>0</v>
      </c>
      <c r="H122" s="20">
        <f>IF(AND(D122/Summary!$C$4&gt;= 5, D122/Summary!$C$4&lt;10),E122,0) * D122</f>
        <v>0</v>
      </c>
      <c r="I122" s="20">
        <f>IF(AND(D122/Summary!$C$4&gt;=10, D122/Summary!$C$4&lt;25),E122,0)*D122</f>
        <v>121</v>
      </c>
      <c r="J122" s="20">
        <f>IF(D122/Summary!$C$4&gt;=25,E122,0)*D122</f>
        <v>0</v>
      </c>
      <c r="K122" s="35">
        <f>IF(AND(D122/Frequency!$N$7&gt;0, D122/Frequency!$N$7&lt;1),E122,0)</f>
        <v>0</v>
      </c>
      <c r="L122" s="35">
        <f t="shared" si="56"/>
        <v>0</v>
      </c>
      <c r="M122" s="35">
        <f>IF(D122/Frequency!$N$7=1,1,0)*E122</f>
        <v>0</v>
      </c>
      <c r="N122" s="35">
        <f t="shared" si="57"/>
        <v>0</v>
      </c>
      <c r="O122" s="35">
        <f>IF(AND(D122/Frequency!$N$7&gt;1, D122/Frequency!$N$7&lt;=2),1,0)*E122</f>
        <v>0</v>
      </c>
      <c r="P122" s="35">
        <f t="shared" si="58"/>
        <v>0</v>
      </c>
      <c r="Q122" s="35">
        <f>IF(AND(D122/Frequency!$N$7&gt;2,D122/Frequency!$N$7&lt;=5),1,0)*E122</f>
        <v>0</v>
      </c>
      <c r="R122" s="35">
        <f t="shared" si="59"/>
        <v>0</v>
      </c>
      <c r="S122" s="35">
        <f>IF(AND(D122/Frequency!$N$7&gt;5, D122/Frequency!$N$7&lt;=10),1,0)*E122</f>
        <v>0</v>
      </c>
      <c r="T122" s="35">
        <f t="shared" si="60"/>
        <v>0</v>
      </c>
      <c r="U122" s="35">
        <f>IF(AND(D122/Frequency!$N$7&gt;10, D122/Frequency!$N$7&lt;=20),1,0)*E122</f>
        <v>10</v>
      </c>
      <c r="V122" s="35">
        <f t="shared" si="61"/>
        <v>121</v>
      </c>
      <c r="W122" s="35">
        <f>IF(AND(D122/Frequency!$N$7&gt;20, D122/Frequency!$N$7&lt;=30),1,0)*E122</f>
        <v>0</v>
      </c>
      <c r="X122" s="35">
        <f t="shared" si="62"/>
        <v>0</v>
      </c>
      <c r="Y122" s="35">
        <f>IF(AND(D122/Frequency!$N$7&gt;30, D122/Frequency!$N$7&lt;=50),1,0)*E122</f>
        <v>0</v>
      </c>
      <c r="Z122" s="35">
        <f t="shared" si="63"/>
        <v>0</v>
      </c>
      <c r="AA122" s="35">
        <f>IF(AND(D122/Frequency!$N$7&gt;50, D122/Frequency!$N$7&lt;=100),1,0)*E122</f>
        <v>0</v>
      </c>
      <c r="AB122" s="35">
        <f t="shared" si="64"/>
        <v>0</v>
      </c>
      <c r="AC122" s="35">
        <f>IF(D122/Frequency!$N$7&gt;100,1,0)*E122</f>
        <v>0</v>
      </c>
      <c r="AD122" s="35">
        <f t="shared" si="65"/>
        <v>0</v>
      </c>
      <c r="AE122" s="22">
        <f t="shared" si="66"/>
        <v>0</v>
      </c>
      <c r="AF122" s="22">
        <f t="shared" si="67"/>
        <v>0</v>
      </c>
      <c r="AG122" s="22">
        <f t="shared" si="68"/>
        <v>0</v>
      </c>
      <c r="AH122" s="22">
        <f t="shared" si="69"/>
        <v>0</v>
      </c>
      <c r="AI122" s="35">
        <f t="shared" si="70"/>
        <v>1</v>
      </c>
      <c r="AJ122" s="35">
        <f t="shared" si="71"/>
        <v>10</v>
      </c>
      <c r="AK122" s="35">
        <f t="shared" si="72"/>
        <v>121</v>
      </c>
      <c r="AL122">
        <f t="shared" si="73"/>
        <v>0</v>
      </c>
      <c r="AM122">
        <f t="shared" si="74"/>
        <v>0</v>
      </c>
      <c r="AN122">
        <f t="shared" si="75"/>
        <v>0</v>
      </c>
      <c r="AO122">
        <f t="shared" si="76"/>
        <v>0</v>
      </c>
      <c r="AP122">
        <f t="shared" si="77"/>
        <v>0</v>
      </c>
      <c r="AQ122">
        <f t="shared" si="78"/>
        <v>0</v>
      </c>
      <c r="AR122">
        <f t="shared" si="79"/>
        <v>0</v>
      </c>
      <c r="AS122">
        <f t="shared" si="80"/>
        <v>0</v>
      </c>
      <c r="AT122">
        <f t="shared" si="81"/>
        <v>0</v>
      </c>
      <c r="AU122">
        <f t="shared" si="82"/>
        <v>0</v>
      </c>
      <c r="AV122">
        <v>0</v>
      </c>
      <c r="AW122">
        <v>0</v>
      </c>
      <c r="AX122">
        <f t="shared" si="83"/>
        <v>0</v>
      </c>
      <c r="AY122">
        <f t="shared" si="84"/>
        <v>0</v>
      </c>
      <c r="AZ122">
        <f t="shared" si="85"/>
        <v>0</v>
      </c>
      <c r="BA122">
        <f t="shared" si="86"/>
        <v>0</v>
      </c>
      <c r="BB122">
        <f t="shared" si="87"/>
        <v>0</v>
      </c>
      <c r="BC122">
        <f t="shared" si="88"/>
        <v>0</v>
      </c>
      <c r="BD122">
        <f t="shared" si="89"/>
        <v>0</v>
      </c>
      <c r="BE122">
        <f t="shared" si="90"/>
        <v>0</v>
      </c>
      <c r="BF122">
        <f t="shared" si="91"/>
        <v>0</v>
      </c>
      <c r="BG122">
        <f t="shared" si="92"/>
        <v>0</v>
      </c>
      <c r="BH122">
        <f t="shared" si="93"/>
        <v>0</v>
      </c>
      <c r="BI122">
        <f t="shared" si="94"/>
        <v>0</v>
      </c>
      <c r="BJ122">
        <v>0</v>
      </c>
      <c r="BK122" t="str">
        <f t="shared" si="108"/>
        <v>Big Win</v>
      </c>
      <c r="BL122" s="40" t="str">
        <f t="shared" si="109"/>
        <v>Combo Win</v>
      </c>
      <c r="BM122">
        <f>(D122/Frequency!$N$7-Summary!$C$7)^2*E122</f>
        <v>1267.876</v>
      </c>
      <c r="BN122">
        <f t="shared" si="95"/>
        <v>0</v>
      </c>
      <c r="BO122">
        <f t="shared" si="96"/>
        <v>0</v>
      </c>
      <c r="BP122">
        <f t="shared" si="97"/>
        <v>0</v>
      </c>
      <c r="BQ122">
        <f t="shared" si="98"/>
        <v>0</v>
      </c>
      <c r="BR122">
        <f t="shared" si="99"/>
        <v>0</v>
      </c>
      <c r="BS122">
        <f t="shared" si="100"/>
        <v>0</v>
      </c>
      <c r="BT122">
        <f t="shared" si="101"/>
        <v>0</v>
      </c>
      <c r="BU122">
        <f t="shared" si="102"/>
        <v>0</v>
      </c>
      <c r="BV122">
        <f t="shared" si="103"/>
        <v>0</v>
      </c>
      <c r="BW122">
        <f t="shared" si="104"/>
        <v>0</v>
      </c>
      <c r="BX122">
        <f t="shared" si="105"/>
        <v>0</v>
      </c>
    </row>
    <row r="123" spans="2:76">
      <c r="B123" s="19">
        <f>Tiers!B124</f>
        <v>121</v>
      </c>
      <c r="C123" s="20" t="str">
        <f>Tiers!X124</f>
        <v>main-11|main-25|main-5|||||||</v>
      </c>
      <c r="D123" s="21">
        <f>Tiers!C124</f>
        <v>12</v>
      </c>
      <c r="E123" s="22">
        <f>Frequency!E125</f>
        <v>10</v>
      </c>
      <c r="F123" s="22">
        <f t="shared" si="55"/>
        <v>120</v>
      </c>
      <c r="G123" s="20">
        <f>IF(AND(D123/Summary!$C$4&gt;0, D123/Summary!$C$4&lt;5),E123,0) * D123</f>
        <v>0</v>
      </c>
      <c r="H123" s="20">
        <f>IF(AND(D123/Summary!$C$4&gt;= 5, D123/Summary!$C$4&lt;10),E123,0) * D123</f>
        <v>0</v>
      </c>
      <c r="I123" s="20">
        <f>IF(AND(D123/Summary!$C$4&gt;=10, D123/Summary!$C$4&lt;25),E123,0)*D123</f>
        <v>120</v>
      </c>
      <c r="J123" s="20">
        <f>IF(D123/Summary!$C$4&gt;=25,E123,0)*D123</f>
        <v>0</v>
      </c>
      <c r="K123" s="35">
        <f>IF(AND(D123/Frequency!$N$7&gt;0, D123/Frequency!$N$7&lt;1),E123,0)</f>
        <v>0</v>
      </c>
      <c r="L123" s="35">
        <f t="shared" si="56"/>
        <v>0</v>
      </c>
      <c r="M123" s="35">
        <f>IF(D123/Frequency!$N$7=1,1,0)*E123</f>
        <v>0</v>
      </c>
      <c r="N123" s="35">
        <f t="shared" si="57"/>
        <v>0</v>
      </c>
      <c r="O123" s="35">
        <f>IF(AND(D123/Frequency!$N$7&gt;1, D123/Frequency!$N$7&lt;=2),1,0)*E123</f>
        <v>0</v>
      </c>
      <c r="P123" s="35">
        <f t="shared" si="58"/>
        <v>0</v>
      </c>
      <c r="Q123" s="35">
        <f>IF(AND(D123/Frequency!$N$7&gt;2,D123/Frequency!$N$7&lt;=5),1,0)*E123</f>
        <v>0</v>
      </c>
      <c r="R123" s="35">
        <f t="shared" si="59"/>
        <v>0</v>
      </c>
      <c r="S123" s="35">
        <f>IF(AND(D123/Frequency!$N$7&gt;5, D123/Frequency!$N$7&lt;=10),1,0)*E123</f>
        <v>0</v>
      </c>
      <c r="T123" s="35">
        <f t="shared" si="60"/>
        <v>0</v>
      </c>
      <c r="U123" s="35">
        <f>IF(AND(D123/Frequency!$N$7&gt;10, D123/Frequency!$N$7&lt;=20),1,0)*E123</f>
        <v>10</v>
      </c>
      <c r="V123" s="35">
        <f t="shared" si="61"/>
        <v>120</v>
      </c>
      <c r="W123" s="35">
        <f>IF(AND(D123/Frequency!$N$7&gt;20, D123/Frequency!$N$7&lt;=30),1,0)*E123</f>
        <v>0</v>
      </c>
      <c r="X123" s="35">
        <f t="shared" si="62"/>
        <v>0</v>
      </c>
      <c r="Y123" s="35">
        <f>IF(AND(D123/Frequency!$N$7&gt;30, D123/Frequency!$N$7&lt;=50),1,0)*E123</f>
        <v>0</v>
      </c>
      <c r="Z123" s="35">
        <f t="shared" si="63"/>
        <v>0</v>
      </c>
      <c r="AA123" s="35">
        <f>IF(AND(D123/Frequency!$N$7&gt;50, D123/Frequency!$N$7&lt;=100),1,0)*E123</f>
        <v>0</v>
      </c>
      <c r="AB123" s="35">
        <f t="shared" si="64"/>
        <v>0</v>
      </c>
      <c r="AC123" s="35">
        <f>IF(D123/Frequency!$N$7&gt;100,1,0)*E123</f>
        <v>0</v>
      </c>
      <c r="AD123" s="35">
        <f t="shared" si="65"/>
        <v>0</v>
      </c>
      <c r="AE123" s="22">
        <f t="shared" si="66"/>
        <v>0</v>
      </c>
      <c r="AF123" s="22">
        <f t="shared" si="67"/>
        <v>0</v>
      </c>
      <c r="AG123" s="22">
        <f t="shared" si="68"/>
        <v>0</v>
      </c>
      <c r="AH123" s="22">
        <f t="shared" si="69"/>
        <v>0</v>
      </c>
      <c r="AI123" s="35">
        <f t="shared" si="70"/>
        <v>1</v>
      </c>
      <c r="AJ123" s="35">
        <f t="shared" si="71"/>
        <v>10</v>
      </c>
      <c r="AK123" s="35">
        <f t="shared" si="72"/>
        <v>120</v>
      </c>
      <c r="AL123">
        <f t="shared" si="73"/>
        <v>0</v>
      </c>
      <c r="AM123">
        <f t="shared" si="74"/>
        <v>0</v>
      </c>
      <c r="AN123">
        <f t="shared" si="75"/>
        <v>0</v>
      </c>
      <c r="AO123">
        <f t="shared" si="76"/>
        <v>0</v>
      </c>
      <c r="AP123">
        <f t="shared" si="77"/>
        <v>0</v>
      </c>
      <c r="AQ123">
        <f t="shared" si="78"/>
        <v>0</v>
      </c>
      <c r="AR123">
        <f t="shared" si="79"/>
        <v>0</v>
      </c>
      <c r="AS123">
        <f t="shared" si="80"/>
        <v>0</v>
      </c>
      <c r="AT123">
        <f t="shared" si="81"/>
        <v>0</v>
      </c>
      <c r="AU123">
        <f t="shared" si="82"/>
        <v>0</v>
      </c>
      <c r="AV123">
        <v>0</v>
      </c>
      <c r="AW123">
        <v>0</v>
      </c>
      <c r="AX123">
        <f t="shared" si="83"/>
        <v>0</v>
      </c>
      <c r="AY123">
        <f t="shared" si="84"/>
        <v>0</v>
      </c>
      <c r="AZ123">
        <f t="shared" si="85"/>
        <v>0</v>
      </c>
      <c r="BA123">
        <f t="shared" si="86"/>
        <v>0</v>
      </c>
      <c r="BB123">
        <f t="shared" si="87"/>
        <v>0</v>
      </c>
      <c r="BC123">
        <f t="shared" si="88"/>
        <v>0</v>
      </c>
      <c r="BD123">
        <f t="shared" si="89"/>
        <v>0</v>
      </c>
      <c r="BE123">
        <f t="shared" si="90"/>
        <v>0</v>
      </c>
      <c r="BF123">
        <f t="shared" si="91"/>
        <v>0</v>
      </c>
      <c r="BG123">
        <f t="shared" si="92"/>
        <v>0</v>
      </c>
      <c r="BH123">
        <f t="shared" si="93"/>
        <v>0</v>
      </c>
      <c r="BI123">
        <f t="shared" si="94"/>
        <v>0</v>
      </c>
      <c r="BJ123">
        <v>0</v>
      </c>
      <c r="BK123" t="str">
        <f t="shared" si="108"/>
        <v>Big Win</v>
      </c>
      <c r="BL123" s="40" t="str">
        <f t="shared" si="109"/>
        <v>Combo Win</v>
      </c>
      <c r="BM123">
        <f>(D123/Frequency!$N$7-Summary!$C$7)^2*E123</f>
        <v>1245.4560000000001</v>
      </c>
      <c r="BN123">
        <f t="shared" si="95"/>
        <v>0</v>
      </c>
      <c r="BO123">
        <f t="shared" si="96"/>
        <v>0</v>
      </c>
      <c r="BP123">
        <f t="shared" si="97"/>
        <v>0</v>
      </c>
      <c r="BQ123">
        <f t="shared" si="98"/>
        <v>0</v>
      </c>
      <c r="BR123">
        <f t="shared" si="99"/>
        <v>0</v>
      </c>
      <c r="BS123">
        <f t="shared" si="100"/>
        <v>0</v>
      </c>
      <c r="BT123">
        <f t="shared" si="101"/>
        <v>0</v>
      </c>
      <c r="BU123">
        <f t="shared" si="102"/>
        <v>0</v>
      </c>
      <c r="BV123">
        <f t="shared" si="103"/>
        <v>0</v>
      </c>
      <c r="BW123">
        <f t="shared" si="104"/>
        <v>0</v>
      </c>
      <c r="BX123">
        <f t="shared" si="105"/>
        <v>0</v>
      </c>
    </row>
    <row r="124" spans="2:76">
      <c r="B124" s="19">
        <f>Tiers!B125</f>
        <v>122</v>
      </c>
      <c r="C124" s="20" t="str">
        <f>Tiers!X125</f>
        <v>main-18|main-19|main-5|||||||</v>
      </c>
      <c r="D124" s="21">
        <f>Tiers!C125</f>
        <v>13</v>
      </c>
      <c r="E124" s="22">
        <f>Frequency!E126</f>
        <v>10</v>
      </c>
      <c r="F124" s="22">
        <f t="shared" si="55"/>
        <v>130</v>
      </c>
      <c r="G124" s="20">
        <f>IF(AND(D124/Summary!$C$4&gt;0, D124/Summary!$C$4&lt;5),E124,0) * D124</f>
        <v>0</v>
      </c>
      <c r="H124" s="20">
        <f>IF(AND(D124/Summary!$C$4&gt;= 5, D124/Summary!$C$4&lt;10),E124,0) * D124</f>
        <v>0</v>
      </c>
      <c r="I124" s="20">
        <f>IF(AND(D124/Summary!$C$4&gt;=10, D124/Summary!$C$4&lt;25),E124,0)*D124</f>
        <v>130</v>
      </c>
      <c r="J124" s="20">
        <f>IF(D124/Summary!$C$4&gt;=25,E124,0)*D124</f>
        <v>0</v>
      </c>
      <c r="K124" s="35">
        <f>IF(AND(D124/Frequency!$N$7&gt;0, D124/Frequency!$N$7&lt;1),E124,0)</f>
        <v>0</v>
      </c>
      <c r="L124" s="35">
        <f t="shared" si="56"/>
        <v>0</v>
      </c>
      <c r="M124" s="35">
        <f>IF(D124/Frequency!$N$7=1,1,0)*E124</f>
        <v>0</v>
      </c>
      <c r="N124" s="35">
        <f t="shared" si="57"/>
        <v>0</v>
      </c>
      <c r="O124" s="35">
        <f>IF(AND(D124/Frequency!$N$7&gt;1, D124/Frequency!$N$7&lt;=2),1,0)*E124</f>
        <v>0</v>
      </c>
      <c r="P124" s="35">
        <f t="shared" si="58"/>
        <v>0</v>
      </c>
      <c r="Q124" s="35">
        <f>IF(AND(D124/Frequency!$N$7&gt;2,D124/Frequency!$N$7&lt;=5),1,0)*E124</f>
        <v>0</v>
      </c>
      <c r="R124" s="35">
        <f t="shared" si="59"/>
        <v>0</v>
      </c>
      <c r="S124" s="35">
        <f>IF(AND(D124/Frequency!$N$7&gt;5, D124/Frequency!$N$7&lt;=10),1,0)*E124</f>
        <v>0</v>
      </c>
      <c r="T124" s="35">
        <f t="shared" si="60"/>
        <v>0</v>
      </c>
      <c r="U124" s="35">
        <f>IF(AND(D124/Frequency!$N$7&gt;10, D124/Frequency!$N$7&lt;=20),1,0)*E124</f>
        <v>10</v>
      </c>
      <c r="V124" s="35">
        <f t="shared" si="61"/>
        <v>130</v>
      </c>
      <c r="W124" s="35">
        <f>IF(AND(D124/Frequency!$N$7&gt;20, D124/Frequency!$N$7&lt;=30),1,0)*E124</f>
        <v>0</v>
      </c>
      <c r="X124" s="35">
        <f t="shared" si="62"/>
        <v>0</v>
      </c>
      <c r="Y124" s="35">
        <f>IF(AND(D124/Frequency!$N$7&gt;30, D124/Frequency!$N$7&lt;=50),1,0)*E124</f>
        <v>0</v>
      </c>
      <c r="Z124" s="35">
        <f t="shared" si="63"/>
        <v>0</v>
      </c>
      <c r="AA124" s="35">
        <f>IF(AND(D124/Frequency!$N$7&gt;50, D124/Frequency!$N$7&lt;=100),1,0)*E124</f>
        <v>0</v>
      </c>
      <c r="AB124" s="35">
        <f t="shared" si="64"/>
        <v>0</v>
      </c>
      <c r="AC124" s="35">
        <f>IF(D124/Frequency!$N$7&gt;100,1,0)*E124</f>
        <v>0</v>
      </c>
      <c r="AD124" s="35">
        <f t="shared" si="65"/>
        <v>0</v>
      </c>
      <c r="AE124" s="22">
        <f t="shared" si="66"/>
        <v>0</v>
      </c>
      <c r="AF124" s="22">
        <f t="shared" si="67"/>
        <v>0</v>
      </c>
      <c r="AG124" s="22">
        <f t="shared" si="68"/>
        <v>0</v>
      </c>
      <c r="AH124" s="22">
        <f t="shared" si="69"/>
        <v>0</v>
      </c>
      <c r="AI124" s="35">
        <f t="shared" si="70"/>
        <v>1</v>
      </c>
      <c r="AJ124" s="35">
        <f t="shared" si="71"/>
        <v>10</v>
      </c>
      <c r="AK124" s="35">
        <f t="shared" si="72"/>
        <v>130</v>
      </c>
      <c r="AL124">
        <f t="shared" si="73"/>
        <v>0</v>
      </c>
      <c r="AM124">
        <f t="shared" si="74"/>
        <v>0</v>
      </c>
      <c r="AN124">
        <f t="shared" si="75"/>
        <v>0</v>
      </c>
      <c r="AO124">
        <f t="shared" si="76"/>
        <v>0</v>
      </c>
      <c r="AP124">
        <f t="shared" si="77"/>
        <v>0</v>
      </c>
      <c r="AQ124">
        <f t="shared" si="78"/>
        <v>0</v>
      </c>
      <c r="AR124">
        <f t="shared" si="79"/>
        <v>0</v>
      </c>
      <c r="AS124">
        <f t="shared" si="80"/>
        <v>0</v>
      </c>
      <c r="AT124">
        <f t="shared" si="81"/>
        <v>0</v>
      </c>
      <c r="AU124">
        <f t="shared" si="82"/>
        <v>0</v>
      </c>
      <c r="AV124">
        <v>0</v>
      </c>
      <c r="AW124">
        <v>0</v>
      </c>
      <c r="AX124">
        <f t="shared" si="83"/>
        <v>0</v>
      </c>
      <c r="AY124">
        <f t="shared" si="84"/>
        <v>0</v>
      </c>
      <c r="AZ124">
        <f t="shared" si="85"/>
        <v>0</v>
      </c>
      <c r="BA124">
        <f t="shared" si="86"/>
        <v>0</v>
      </c>
      <c r="BB124">
        <f t="shared" si="87"/>
        <v>0</v>
      </c>
      <c r="BC124">
        <f t="shared" si="88"/>
        <v>0</v>
      </c>
      <c r="BD124">
        <f t="shared" si="89"/>
        <v>0</v>
      </c>
      <c r="BE124">
        <f t="shared" si="90"/>
        <v>0</v>
      </c>
      <c r="BF124">
        <f t="shared" si="91"/>
        <v>0</v>
      </c>
      <c r="BG124">
        <f t="shared" si="92"/>
        <v>0</v>
      </c>
      <c r="BH124">
        <f t="shared" si="93"/>
        <v>0</v>
      </c>
      <c r="BI124">
        <f t="shared" si="94"/>
        <v>0</v>
      </c>
      <c r="BJ124">
        <v>0</v>
      </c>
      <c r="BK124" t="str">
        <f t="shared" si="108"/>
        <v>Big Win</v>
      </c>
      <c r="BL124" s="40" t="str">
        <f t="shared" si="109"/>
        <v>Combo Win</v>
      </c>
      <c r="BM124">
        <f>(D124/Frequency!$N$7-Summary!$C$7)^2*E124</f>
        <v>1478.6559999999999</v>
      </c>
      <c r="BN124">
        <f t="shared" si="95"/>
        <v>0</v>
      </c>
      <c r="BO124">
        <f t="shared" si="96"/>
        <v>0</v>
      </c>
      <c r="BP124">
        <f t="shared" si="97"/>
        <v>0</v>
      </c>
      <c r="BQ124">
        <f t="shared" si="98"/>
        <v>0</v>
      </c>
      <c r="BR124">
        <f t="shared" si="99"/>
        <v>0</v>
      </c>
      <c r="BS124">
        <f t="shared" si="100"/>
        <v>0</v>
      </c>
      <c r="BT124">
        <f t="shared" si="101"/>
        <v>0</v>
      </c>
      <c r="BU124">
        <f t="shared" si="102"/>
        <v>0</v>
      </c>
      <c r="BV124">
        <f t="shared" si="103"/>
        <v>0</v>
      </c>
      <c r="BW124">
        <f t="shared" si="104"/>
        <v>0</v>
      </c>
      <c r="BX124">
        <f t="shared" si="105"/>
        <v>0</v>
      </c>
    </row>
    <row r="125" spans="2:76">
      <c r="B125" s="19">
        <f>Tiers!B126</f>
        <v>123</v>
      </c>
      <c r="C125" s="20" t="str">
        <f>Tiers!X126</f>
        <v>main-3|main-20|main-4|||||||</v>
      </c>
      <c r="D125" s="21">
        <f>Tiers!C126</f>
        <v>13</v>
      </c>
      <c r="E125" s="22">
        <f>Frequency!E127</f>
        <v>10</v>
      </c>
      <c r="F125" s="22">
        <f t="shared" si="55"/>
        <v>130</v>
      </c>
      <c r="G125" s="20">
        <f>IF(AND(D125/Summary!$C$4&gt;0, D125/Summary!$C$4&lt;5),E125,0) * D125</f>
        <v>0</v>
      </c>
      <c r="H125" s="20">
        <f>IF(AND(D125/Summary!$C$4&gt;= 5, D125/Summary!$C$4&lt;10),E125,0) * D125</f>
        <v>0</v>
      </c>
      <c r="I125" s="20">
        <f>IF(AND(D125/Summary!$C$4&gt;=10, D125/Summary!$C$4&lt;25),E125,0)*D125</f>
        <v>130</v>
      </c>
      <c r="J125" s="20">
        <f>IF(D125/Summary!$C$4&gt;=25,E125,0)*D125</f>
        <v>0</v>
      </c>
      <c r="K125" s="35">
        <f>IF(AND(D125/Frequency!$N$7&gt;0, D125/Frequency!$N$7&lt;1),E125,0)</f>
        <v>0</v>
      </c>
      <c r="L125" s="35">
        <f t="shared" si="56"/>
        <v>0</v>
      </c>
      <c r="M125" s="35">
        <f>IF(D125/Frequency!$N$7=1,1,0)*E125</f>
        <v>0</v>
      </c>
      <c r="N125" s="35">
        <f t="shared" si="57"/>
        <v>0</v>
      </c>
      <c r="O125" s="35">
        <f>IF(AND(D125/Frequency!$N$7&gt;1, D125/Frequency!$N$7&lt;=2),1,0)*E125</f>
        <v>0</v>
      </c>
      <c r="P125" s="35">
        <f t="shared" si="58"/>
        <v>0</v>
      </c>
      <c r="Q125" s="35">
        <f>IF(AND(D125/Frequency!$N$7&gt;2,D125/Frequency!$N$7&lt;=5),1,0)*E125</f>
        <v>0</v>
      </c>
      <c r="R125" s="35">
        <f t="shared" si="59"/>
        <v>0</v>
      </c>
      <c r="S125" s="35">
        <f>IF(AND(D125/Frequency!$N$7&gt;5, D125/Frequency!$N$7&lt;=10),1,0)*E125</f>
        <v>0</v>
      </c>
      <c r="T125" s="35">
        <f t="shared" si="60"/>
        <v>0</v>
      </c>
      <c r="U125" s="35">
        <f>IF(AND(D125/Frequency!$N$7&gt;10, D125/Frequency!$N$7&lt;=20),1,0)*E125</f>
        <v>10</v>
      </c>
      <c r="V125" s="35">
        <f t="shared" si="61"/>
        <v>130</v>
      </c>
      <c r="W125" s="35">
        <f>IF(AND(D125/Frequency!$N$7&gt;20, D125/Frequency!$N$7&lt;=30),1,0)*E125</f>
        <v>0</v>
      </c>
      <c r="X125" s="35">
        <f t="shared" si="62"/>
        <v>0</v>
      </c>
      <c r="Y125" s="35">
        <f>IF(AND(D125/Frequency!$N$7&gt;30, D125/Frequency!$N$7&lt;=50),1,0)*E125</f>
        <v>0</v>
      </c>
      <c r="Z125" s="35">
        <f t="shared" si="63"/>
        <v>0</v>
      </c>
      <c r="AA125" s="35">
        <f>IF(AND(D125/Frequency!$N$7&gt;50, D125/Frequency!$N$7&lt;=100),1,0)*E125</f>
        <v>0</v>
      </c>
      <c r="AB125" s="35">
        <f t="shared" si="64"/>
        <v>0</v>
      </c>
      <c r="AC125" s="35">
        <f>IF(D125/Frequency!$N$7&gt;100,1,0)*E125</f>
        <v>0</v>
      </c>
      <c r="AD125" s="35">
        <f t="shared" si="65"/>
        <v>0</v>
      </c>
      <c r="AE125" s="22">
        <f t="shared" si="66"/>
        <v>0</v>
      </c>
      <c r="AF125" s="22">
        <f t="shared" si="67"/>
        <v>0</v>
      </c>
      <c r="AG125" s="22">
        <f t="shared" si="68"/>
        <v>0</v>
      </c>
      <c r="AH125" s="22">
        <f t="shared" si="69"/>
        <v>0</v>
      </c>
      <c r="AI125" s="35">
        <f t="shared" si="70"/>
        <v>1</v>
      </c>
      <c r="AJ125" s="35">
        <f t="shared" si="71"/>
        <v>10</v>
      </c>
      <c r="AK125" s="35">
        <f t="shared" si="72"/>
        <v>130</v>
      </c>
      <c r="AL125">
        <f t="shared" si="73"/>
        <v>0</v>
      </c>
      <c r="AM125">
        <f t="shared" si="74"/>
        <v>0</v>
      </c>
      <c r="AN125">
        <f t="shared" si="75"/>
        <v>0</v>
      </c>
      <c r="AO125">
        <f t="shared" si="76"/>
        <v>0</v>
      </c>
      <c r="AP125">
        <f t="shared" si="77"/>
        <v>0</v>
      </c>
      <c r="AQ125">
        <f t="shared" si="78"/>
        <v>0</v>
      </c>
      <c r="AR125">
        <f t="shared" si="79"/>
        <v>0</v>
      </c>
      <c r="AS125">
        <f t="shared" si="80"/>
        <v>0</v>
      </c>
      <c r="AT125">
        <f t="shared" si="81"/>
        <v>0</v>
      </c>
      <c r="AU125">
        <f t="shared" si="82"/>
        <v>0</v>
      </c>
      <c r="AV125">
        <v>0</v>
      </c>
      <c r="AW125">
        <v>0</v>
      </c>
      <c r="AX125">
        <f t="shared" si="83"/>
        <v>0</v>
      </c>
      <c r="AY125">
        <f t="shared" si="84"/>
        <v>0</v>
      </c>
      <c r="AZ125">
        <f t="shared" si="85"/>
        <v>0</v>
      </c>
      <c r="BA125">
        <f t="shared" si="86"/>
        <v>0</v>
      </c>
      <c r="BB125">
        <f t="shared" si="87"/>
        <v>0</v>
      </c>
      <c r="BC125">
        <f t="shared" si="88"/>
        <v>0</v>
      </c>
      <c r="BD125">
        <f t="shared" si="89"/>
        <v>0</v>
      </c>
      <c r="BE125">
        <f t="shared" si="90"/>
        <v>0</v>
      </c>
      <c r="BF125">
        <f t="shared" si="91"/>
        <v>0</v>
      </c>
      <c r="BG125">
        <f t="shared" si="92"/>
        <v>0</v>
      </c>
      <c r="BH125">
        <f t="shared" si="93"/>
        <v>0</v>
      </c>
      <c r="BI125">
        <f t="shared" si="94"/>
        <v>0</v>
      </c>
      <c r="BJ125">
        <v>0</v>
      </c>
      <c r="BK125" t="str">
        <f t="shared" si="108"/>
        <v>Big Win</v>
      </c>
      <c r="BL125" s="40" t="str">
        <f t="shared" si="109"/>
        <v>Combo Win</v>
      </c>
      <c r="BM125">
        <f>(D125/Frequency!$N$7-Summary!$C$7)^2*E125</f>
        <v>1478.6559999999999</v>
      </c>
      <c r="BN125">
        <f t="shared" si="95"/>
        <v>0</v>
      </c>
      <c r="BO125">
        <f t="shared" si="96"/>
        <v>0</v>
      </c>
      <c r="BP125">
        <f t="shared" si="97"/>
        <v>0</v>
      </c>
      <c r="BQ125">
        <f t="shared" si="98"/>
        <v>0</v>
      </c>
      <c r="BR125">
        <f t="shared" si="99"/>
        <v>0</v>
      </c>
      <c r="BS125">
        <f t="shared" si="100"/>
        <v>0</v>
      </c>
      <c r="BT125">
        <f t="shared" si="101"/>
        <v>0</v>
      </c>
      <c r="BU125">
        <f t="shared" si="102"/>
        <v>0</v>
      </c>
      <c r="BV125">
        <f t="shared" si="103"/>
        <v>0</v>
      </c>
      <c r="BW125">
        <f t="shared" si="104"/>
        <v>0</v>
      </c>
      <c r="BX125">
        <f t="shared" si="105"/>
        <v>0</v>
      </c>
    </row>
    <row r="126" spans="2:76">
      <c r="B126" s="19">
        <f>Tiers!B127</f>
        <v>124</v>
      </c>
      <c r="C126" s="20" t="str">
        <f>Tiers!X127</f>
        <v>main-3|main-5|main-19|||||||</v>
      </c>
      <c r="D126" s="21">
        <f>Tiers!C127</f>
        <v>11</v>
      </c>
      <c r="E126" s="22">
        <f>Frequency!E128</f>
        <v>10</v>
      </c>
      <c r="F126" s="22">
        <f t="shared" si="55"/>
        <v>110</v>
      </c>
      <c r="G126" s="20">
        <f>IF(AND(D126/Summary!$C$4&gt;0, D126/Summary!$C$4&lt;5),E126,0) * D126</f>
        <v>0</v>
      </c>
      <c r="H126" s="20">
        <f>IF(AND(D126/Summary!$C$4&gt;= 5, D126/Summary!$C$4&lt;10),E126,0) * D126</f>
        <v>0</v>
      </c>
      <c r="I126" s="20">
        <f>IF(AND(D126/Summary!$C$4&gt;=10, D126/Summary!$C$4&lt;25),E126,0)*D126</f>
        <v>110</v>
      </c>
      <c r="J126" s="20">
        <f>IF(D126/Summary!$C$4&gt;=25,E126,0)*D126</f>
        <v>0</v>
      </c>
      <c r="K126" s="35">
        <f>IF(AND(D126/Frequency!$N$7&gt;0, D126/Frequency!$N$7&lt;1),E126,0)</f>
        <v>0</v>
      </c>
      <c r="L126" s="35">
        <f t="shared" si="56"/>
        <v>0</v>
      </c>
      <c r="M126" s="35">
        <f>IF(D126/Frequency!$N$7=1,1,0)*E126</f>
        <v>0</v>
      </c>
      <c r="N126" s="35">
        <f t="shared" si="57"/>
        <v>0</v>
      </c>
      <c r="O126" s="35">
        <f>IF(AND(D126/Frequency!$N$7&gt;1, D126/Frequency!$N$7&lt;=2),1,0)*E126</f>
        <v>0</v>
      </c>
      <c r="P126" s="35">
        <f t="shared" si="58"/>
        <v>0</v>
      </c>
      <c r="Q126" s="35">
        <f>IF(AND(D126/Frequency!$N$7&gt;2,D126/Frequency!$N$7&lt;=5),1,0)*E126</f>
        <v>0</v>
      </c>
      <c r="R126" s="35">
        <f t="shared" si="59"/>
        <v>0</v>
      </c>
      <c r="S126" s="35">
        <f>IF(AND(D126/Frequency!$N$7&gt;5, D126/Frequency!$N$7&lt;=10),1,0)*E126</f>
        <v>0</v>
      </c>
      <c r="T126" s="35">
        <f t="shared" si="60"/>
        <v>0</v>
      </c>
      <c r="U126" s="35">
        <f>IF(AND(D126/Frequency!$N$7&gt;10, D126/Frequency!$N$7&lt;=20),1,0)*E126</f>
        <v>10</v>
      </c>
      <c r="V126" s="35">
        <f t="shared" si="61"/>
        <v>110</v>
      </c>
      <c r="W126" s="35">
        <f>IF(AND(D126/Frequency!$N$7&gt;20, D126/Frequency!$N$7&lt;=30),1,0)*E126</f>
        <v>0</v>
      </c>
      <c r="X126" s="35">
        <f t="shared" si="62"/>
        <v>0</v>
      </c>
      <c r="Y126" s="35">
        <f>IF(AND(D126/Frequency!$N$7&gt;30, D126/Frequency!$N$7&lt;=50),1,0)*E126</f>
        <v>0</v>
      </c>
      <c r="Z126" s="35">
        <f t="shared" si="63"/>
        <v>0</v>
      </c>
      <c r="AA126" s="35">
        <f>IF(AND(D126/Frequency!$N$7&gt;50, D126/Frequency!$N$7&lt;=100),1,0)*E126</f>
        <v>0</v>
      </c>
      <c r="AB126" s="35">
        <f t="shared" si="64"/>
        <v>0</v>
      </c>
      <c r="AC126" s="35">
        <f>IF(D126/Frequency!$N$7&gt;100,1,0)*E126</f>
        <v>0</v>
      </c>
      <c r="AD126" s="35">
        <f t="shared" si="65"/>
        <v>0</v>
      </c>
      <c r="AE126" s="22">
        <f t="shared" si="66"/>
        <v>0</v>
      </c>
      <c r="AF126" s="22">
        <f t="shared" si="67"/>
        <v>0</v>
      </c>
      <c r="AG126" s="22">
        <f t="shared" si="68"/>
        <v>0</v>
      </c>
      <c r="AH126" s="22">
        <f t="shared" si="69"/>
        <v>0</v>
      </c>
      <c r="AI126" s="35">
        <f t="shared" si="70"/>
        <v>1</v>
      </c>
      <c r="AJ126" s="35">
        <f t="shared" si="71"/>
        <v>10</v>
      </c>
      <c r="AK126" s="35">
        <f t="shared" si="72"/>
        <v>110</v>
      </c>
      <c r="AL126">
        <f t="shared" si="73"/>
        <v>0</v>
      </c>
      <c r="AM126">
        <f t="shared" si="74"/>
        <v>0</v>
      </c>
      <c r="AN126">
        <f t="shared" si="75"/>
        <v>0</v>
      </c>
      <c r="AO126">
        <f t="shared" si="76"/>
        <v>0</v>
      </c>
      <c r="AP126">
        <f t="shared" si="77"/>
        <v>0</v>
      </c>
      <c r="AQ126">
        <f t="shared" si="78"/>
        <v>0</v>
      </c>
      <c r="AR126">
        <f t="shared" si="79"/>
        <v>0</v>
      </c>
      <c r="AS126">
        <f t="shared" si="80"/>
        <v>0</v>
      </c>
      <c r="AT126">
        <f t="shared" si="81"/>
        <v>0</v>
      </c>
      <c r="AU126">
        <f t="shared" si="82"/>
        <v>0</v>
      </c>
      <c r="AV126">
        <v>0</v>
      </c>
      <c r="AW126">
        <v>0</v>
      </c>
      <c r="AX126">
        <f t="shared" si="83"/>
        <v>0</v>
      </c>
      <c r="AY126">
        <f t="shared" si="84"/>
        <v>0</v>
      </c>
      <c r="AZ126">
        <f t="shared" si="85"/>
        <v>0</v>
      </c>
      <c r="BA126">
        <f t="shared" si="86"/>
        <v>0</v>
      </c>
      <c r="BB126">
        <f t="shared" si="87"/>
        <v>0</v>
      </c>
      <c r="BC126">
        <f t="shared" si="88"/>
        <v>0</v>
      </c>
      <c r="BD126">
        <f t="shared" si="89"/>
        <v>0</v>
      </c>
      <c r="BE126">
        <f t="shared" si="90"/>
        <v>0</v>
      </c>
      <c r="BF126">
        <f t="shared" si="91"/>
        <v>0</v>
      </c>
      <c r="BG126">
        <f t="shared" si="92"/>
        <v>0</v>
      </c>
      <c r="BH126">
        <f t="shared" si="93"/>
        <v>0</v>
      </c>
      <c r="BI126">
        <f t="shared" si="94"/>
        <v>0</v>
      </c>
      <c r="BJ126">
        <v>0</v>
      </c>
      <c r="BK126" t="str">
        <f t="shared" si="108"/>
        <v>Big Win</v>
      </c>
      <c r="BL126" s="40" t="str">
        <f t="shared" si="109"/>
        <v>Combo Win</v>
      </c>
      <c r="BM126">
        <f>(D126/Frequency!$N$7-Summary!$C$7)^2*E126</f>
        <v>1032.2560000000001</v>
      </c>
      <c r="BN126">
        <f t="shared" si="95"/>
        <v>0</v>
      </c>
      <c r="BO126">
        <f t="shared" si="96"/>
        <v>0</v>
      </c>
      <c r="BP126">
        <f t="shared" si="97"/>
        <v>0</v>
      </c>
      <c r="BQ126">
        <f t="shared" si="98"/>
        <v>0</v>
      </c>
      <c r="BR126">
        <f t="shared" si="99"/>
        <v>0</v>
      </c>
      <c r="BS126">
        <f t="shared" si="100"/>
        <v>0</v>
      </c>
      <c r="BT126">
        <f t="shared" si="101"/>
        <v>0</v>
      </c>
      <c r="BU126">
        <f t="shared" si="102"/>
        <v>0</v>
      </c>
      <c r="BV126">
        <f t="shared" si="103"/>
        <v>0</v>
      </c>
      <c r="BW126">
        <f t="shared" si="104"/>
        <v>0</v>
      </c>
      <c r="BX126">
        <f t="shared" si="105"/>
        <v>0</v>
      </c>
    </row>
    <row r="127" spans="2:76">
      <c r="B127" s="19">
        <f>Tiers!B128</f>
        <v>125</v>
      </c>
      <c r="C127" s="20" t="str">
        <f>Tiers!X128</f>
        <v>main-5|main-26|main-1|||||||</v>
      </c>
      <c r="D127" s="21">
        <f>Tiers!C128</f>
        <v>15.2</v>
      </c>
      <c r="E127" s="22">
        <f>Frequency!E129</f>
        <v>10</v>
      </c>
      <c r="F127" s="22">
        <f t="shared" si="55"/>
        <v>152</v>
      </c>
      <c r="G127" s="20">
        <f>IF(AND(D127/Summary!$C$4&gt;0, D127/Summary!$C$4&lt;5),E127,0) * D127</f>
        <v>0</v>
      </c>
      <c r="H127" s="20">
        <f>IF(AND(D127/Summary!$C$4&gt;= 5, D127/Summary!$C$4&lt;10),E127,0) * D127</f>
        <v>0</v>
      </c>
      <c r="I127" s="20">
        <f>IF(AND(D127/Summary!$C$4&gt;=10, D127/Summary!$C$4&lt;25),E127,0)*D127</f>
        <v>152</v>
      </c>
      <c r="J127" s="20">
        <f>IF(D127/Summary!$C$4&gt;=25,E127,0)*D127</f>
        <v>0</v>
      </c>
      <c r="K127" s="35">
        <f>IF(AND(D127/Frequency!$N$7&gt;0, D127/Frequency!$N$7&lt;1),E127,0)</f>
        <v>0</v>
      </c>
      <c r="L127" s="35">
        <f t="shared" si="56"/>
        <v>0</v>
      </c>
      <c r="M127" s="35">
        <f>IF(D127/Frequency!$N$7=1,1,0)*E127</f>
        <v>0</v>
      </c>
      <c r="N127" s="35">
        <f t="shared" si="57"/>
        <v>0</v>
      </c>
      <c r="O127" s="35">
        <f>IF(AND(D127/Frequency!$N$7&gt;1, D127/Frequency!$N$7&lt;=2),1,0)*E127</f>
        <v>0</v>
      </c>
      <c r="P127" s="35">
        <f t="shared" si="58"/>
        <v>0</v>
      </c>
      <c r="Q127" s="35">
        <f>IF(AND(D127/Frequency!$N$7&gt;2,D127/Frequency!$N$7&lt;=5),1,0)*E127</f>
        <v>0</v>
      </c>
      <c r="R127" s="35">
        <f t="shared" si="59"/>
        <v>0</v>
      </c>
      <c r="S127" s="35">
        <f>IF(AND(D127/Frequency!$N$7&gt;5, D127/Frequency!$N$7&lt;=10),1,0)*E127</f>
        <v>0</v>
      </c>
      <c r="T127" s="35">
        <f t="shared" si="60"/>
        <v>0</v>
      </c>
      <c r="U127" s="35">
        <f>IF(AND(D127/Frequency!$N$7&gt;10, D127/Frequency!$N$7&lt;=20),1,0)*E127</f>
        <v>10</v>
      </c>
      <c r="V127" s="35">
        <f t="shared" si="61"/>
        <v>152</v>
      </c>
      <c r="W127" s="35">
        <f>IF(AND(D127/Frequency!$N$7&gt;20, D127/Frequency!$N$7&lt;=30),1,0)*E127</f>
        <v>0</v>
      </c>
      <c r="X127" s="35">
        <f t="shared" si="62"/>
        <v>0</v>
      </c>
      <c r="Y127" s="35">
        <f>IF(AND(D127/Frequency!$N$7&gt;30, D127/Frequency!$N$7&lt;=50),1,0)*E127</f>
        <v>0</v>
      </c>
      <c r="Z127" s="35">
        <f t="shared" si="63"/>
        <v>0</v>
      </c>
      <c r="AA127" s="35">
        <f>IF(AND(D127/Frequency!$N$7&gt;50, D127/Frequency!$N$7&lt;=100),1,0)*E127</f>
        <v>0</v>
      </c>
      <c r="AB127" s="35">
        <f t="shared" si="64"/>
        <v>0</v>
      </c>
      <c r="AC127" s="35">
        <f>IF(D127/Frequency!$N$7&gt;100,1,0)*E127</f>
        <v>0</v>
      </c>
      <c r="AD127" s="35">
        <f t="shared" si="65"/>
        <v>0</v>
      </c>
      <c r="AE127" s="22">
        <f t="shared" si="66"/>
        <v>0</v>
      </c>
      <c r="AF127" s="22">
        <f t="shared" si="67"/>
        <v>0</v>
      </c>
      <c r="AG127" s="22">
        <f t="shared" si="68"/>
        <v>0</v>
      </c>
      <c r="AH127" s="22">
        <f t="shared" si="69"/>
        <v>0</v>
      </c>
      <c r="AI127" s="35">
        <f t="shared" si="70"/>
        <v>1</v>
      </c>
      <c r="AJ127" s="35">
        <f t="shared" si="71"/>
        <v>10</v>
      </c>
      <c r="AK127" s="35">
        <f t="shared" si="72"/>
        <v>152</v>
      </c>
      <c r="AL127">
        <f t="shared" si="73"/>
        <v>0</v>
      </c>
      <c r="AM127">
        <f t="shared" si="74"/>
        <v>0</v>
      </c>
      <c r="AN127">
        <f t="shared" si="75"/>
        <v>0</v>
      </c>
      <c r="AO127">
        <f t="shared" si="76"/>
        <v>0</v>
      </c>
      <c r="AP127">
        <f t="shared" si="77"/>
        <v>0</v>
      </c>
      <c r="AQ127">
        <f t="shared" si="78"/>
        <v>0</v>
      </c>
      <c r="AR127">
        <f t="shared" si="79"/>
        <v>0</v>
      </c>
      <c r="AS127">
        <f t="shared" si="80"/>
        <v>0</v>
      </c>
      <c r="AT127">
        <f t="shared" si="81"/>
        <v>0</v>
      </c>
      <c r="AU127">
        <f t="shared" si="82"/>
        <v>0</v>
      </c>
      <c r="AV127">
        <v>0</v>
      </c>
      <c r="AW127">
        <v>0</v>
      </c>
      <c r="AX127">
        <f t="shared" si="83"/>
        <v>0</v>
      </c>
      <c r="AY127">
        <f t="shared" si="84"/>
        <v>0</v>
      </c>
      <c r="AZ127">
        <f t="shared" si="85"/>
        <v>0</v>
      </c>
      <c r="BA127">
        <f t="shared" si="86"/>
        <v>0</v>
      </c>
      <c r="BB127">
        <f t="shared" si="87"/>
        <v>0</v>
      </c>
      <c r="BC127">
        <f t="shared" si="88"/>
        <v>0</v>
      </c>
      <c r="BD127">
        <f t="shared" si="89"/>
        <v>0</v>
      </c>
      <c r="BE127">
        <f t="shared" si="90"/>
        <v>0</v>
      </c>
      <c r="BF127">
        <f t="shared" si="91"/>
        <v>0</v>
      </c>
      <c r="BG127">
        <f t="shared" si="92"/>
        <v>0</v>
      </c>
      <c r="BH127">
        <f t="shared" si="93"/>
        <v>0</v>
      </c>
      <c r="BI127">
        <f t="shared" si="94"/>
        <v>0</v>
      </c>
      <c r="BJ127">
        <v>0</v>
      </c>
      <c r="BK127" t="str">
        <f t="shared" si="108"/>
        <v>Big Win</v>
      </c>
      <c r="BL127" s="40" t="str">
        <f t="shared" si="109"/>
        <v>Combo Win</v>
      </c>
      <c r="BM127">
        <f>(D127/Frequency!$N$7-Summary!$C$7)^2*E127</f>
        <v>2062.096</v>
      </c>
      <c r="BN127">
        <f t="shared" si="95"/>
        <v>0</v>
      </c>
      <c r="BO127">
        <f t="shared" si="96"/>
        <v>0</v>
      </c>
      <c r="BP127">
        <f t="shared" si="97"/>
        <v>0</v>
      </c>
      <c r="BQ127">
        <f t="shared" si="98"/>
        <v>0</v>
      </c>
      <c r="BR127">
        <f t="shared" si="99"/>
        <v>0</v>
      </c>
      <c r="BS127">
        <f t="shared" si="100"/>
        <v>0</v>
      </c>
      <c r="BT127">
        <f t="shared" si="101"/>
        <v>0</v>
      </c>
      <c r="BU127">
        <f t="shared" si="102"/>
        <v>0</v>
      </c>
      <c r="BV127">
        <f t="shared" si="103"/>
        <v>0</v>
      </c>
      <c r="BW127">
        <f t="shared" si="104"/>
        <v>0</v>
      </c>
      <c r="BX127">
        <f t="shared" si="105"/>
        <v>0</v>
      </c>
    </row>
    <row r="128" spans="2:76">
      <c r="B128" s="19">
        <f>Tiers!B129</f>
        <v>126</v>
      </c>
      <c r="C128" s="20" t="str">
        <f>Tiers!X129</f>
        <v>main-5|main-25|main-19|||||||</v>
      </c>
      <c r="D128" s="21">
        <f>Tiers!C129</f>
        <v>15</v>
      </c>
      <c r="E128" s="22">
        <f>Frequency!E130</f>
        <v>10</v>
      </c>
      <c r="F128" s="22">
        <f t="shared" si="55"/>
        <v>150</v>
      </c>
      <c r="G128" s="20">
        <f>IF(AND(D128/Summary!$C$4&gt;0, D128/Summary!$C$4&lt;5),E128,0) * D128</f>
        <v>0</v>
      </c>
      <c r="H128" s="20">
        <f>IF(AND(D128/Summary!$C$4&gt;= 5, D128/Summary!$C$4&lt;10),E128,0) * D128</f>
        <v>0</v>
      </c>
      <c r="I128" s="20">
        <f>IF(AND(D128/Summary!$C$4&gt;=10, D128/Summary!$C$4&lt;25),E128,0)*D128</f>
        <v>150</v>
      </c>
      <c r="J128" s="20">
        <f>IF(D128/Summary!$C$4&gt;=25,E128,0)*D128</f>
        <v>0</v>
      </c>
      <c r="K128" s="35">
        <f>IF(AND(D128/Frequency!$N$7&gt;0, D128/Frequency!$N$7&lt;1),E128,0)</f>
        <v>0</v>
      </c>
      <c r="L128" s="35">
        <f t="shared" si="56"/>
        <v>0</v>
      </c>
      <c r="M128" s="35">
        <f>IF(D128/Frequency!$N$7=1,1,0)*E128</f>
        <v>0</v>
      </c>
      <c r="N128" s="35">
        <f t="shared" si="57"/>
        <v>0</v>
      </c>
      <c r="O128" s="35">
        <f>IF(AND(D128/Frequency!$N$7&gt;1, D128/Frequency!$N$7&lt;=2),1,0)*E128</f>
        <v>0</v>
      </c>
      <c r="P128" s="35">
        <f t="shared" si="58"/>
        <v>0</v>
      </c>
      <c r="Q128" s="35">
        <f>IF(AND(D128/Frequency!$N$7&gt;2,D128/Frequency!$N$7&lt;=5),1,0)*E128</f>
        <v>0</v>
      </c>
      <c r="R128" s="35">
        <f t="shared" si="59"/>
        <v>0</v>
      </c>
      <c r="S128" s="35">
        <f>IF(AND(D128/Frequency!$N$7&gt;5, D128/Frequency!$N$7&lt;=10),1,0)*E128</f>
        <v>0</v>
      </c>
      <c r="T128" s="35">
        <f t="shared" si="60"/>
        <v>0</v>
      </c>
      <c r="U128" s="35">
        <f>IF(AND(D128/Frequency!$N$7&gt;10, D128/Frequency!$N$7&lt;=20),1,0)*E128</f>
        <v>10</v>
      </c>
      <c r="V128" s="35">
        <f t="shared" si="61"/>
        <v>150</v>
      </c>
      <c r="W128" s="35">
        <f>IF(AND(D128/Frequency!$N$7&gt;20, D128/Frequency!$N$7&lt;=30),1,0)*E128</f>
        <v>0</v>
      </c>
      <c r="X128" s="35">
        <f t="shared" si="62"/>
        <v>0</v>
      </c>
      <c r="Y128" s="35">
        <f>IF(AND(D128/Frequency!$N$7&gt;30, D128/Frequency!$N$7&lt;=50),1,0)*E128</f>
        <v>0</v>
      </c>
      <c r="Z128" s="35">
        <f t="shared" si="63"/>
        <v>0</v>
      </c>
      <c r="AA128" s="35">
        <f>IF(AND(D128/Frequency!$N$7&gt;50, D128/Frequency!$N$7&lt;=100),1,0)*E128</f>
        <v>0</v>
      </c>
      <c r="AB128" s="35">
        <f t="shared" si="64"/>
        <v>0</v>
      </c>
      <c r="AC128" s="35">
        <f>IF(D128/Frequency!$N$7&gt;100,1,0)*E128</f>
        <v>0</v>
      </c>
      <c r="AD128" s="35">
        <f t="shared" si="65"/>
        <v>0</v>
      </c>
      <c r="AE128" s="22">
        <f t="shared" si="66"/>
        <v>0</v>
      </c>
      <c r="AF128" s="22">
        <f t="shared" si="67"/>
        <v>0</v>
      </c>
      <c r="AG128" s="22">
        <f t="shared" si="68"/>
        <v>0</v>
      </c>
      <c r="AH128" s="22">
        <f t="shared" si="69"/>
        <v>0</v>
      </c>
      <c r="AI128" s="35">
        <f t="shared" si="70"/>
        <v>1</v>
      </c>
      <c r="AJ128" s="35">
        <f t="shared" si="71"/>
        <v>10</v>
      </c>
      <c r="AK128" s="35">
        <f t="shared" si="72"/>
        <v>150</v>
      </c>
      <c r="AL128">
        <f t="shared" si="73"/>
        <v>0</v>
      </c>
      <c r="AM128">
        <f t="shared" si="74"/>
        <v>0</v>
      </c>
      <c r="AN128">
        <f t="shared" si="75"/>
        <v>0</v>
      </c>
      <c r="AO128">
        <f t="shared" si="76"/>
        <v>0</v>
      </c>
      <c r="AP128">
        <f t="shared" si="77"/>
        <v>0</v>
      </c>
      <c r="AQ128">
        <f t="shared" si="78"/>
        <v>0</v>
      </c>
      <c r="AR128">
        <f t="shared" si="79"/>
        <v>0</v>
      </c>
      <c r="AS128">
        <f t="shared" si="80"/>
        <v>0</v>
      </c>
      <c r="AT128">
        <f t="shared" si="81"/>
        <v>0</v>
      </c>
      <c r="AU128">
        <f t="shared" si="82"/>
        <v>0</v>
      </c>
      <c r="AV128">
        <v>0</v>
      </c>
      <c r="AW128">
        <v>0</v>
      </c>
      <c r="AX128">
        <f t="shared" si="83"/>
        <v>0</v>
      </c>
      <c r="AY128">
        <f t="shared" si="84"/>
        <v>0</v>
      </c>
      <c r="AZ128">
        <f t="shared" si="85"/>
        <v>0</v>
      </c>
      <c r="BA128">
        <f t="shared" si="86"/>
        <v>0</v>
      </c>
      <c r="BB128">
        <f t="shared" si="87"/>
        <v>0</v>
      </c>
      <c r="BC128">
        <f t="shared" si="88"/>
        <v>0</v>
      </c>
      <c r="BD128">
        <f t="shared" si="89"/>
        <v>0</v>
      </c>
      <c r="BE128">
        <f t="shared" si="90"/>
        <v>0</v>
      </c>
      <c r="BF128">
        <f t="shared" si="91"/>
        <v>0</v>
      </c>
      <c r="BG128">
        <f t="shared" si="92"/>
        <v>0</v>
      </c>
      <c r="BH128">
        <f t="shared" si="93"/>
        <v>0</v>
      </c>
      <c r="BI128">
        <f t="shared" si="94"/>
        <v>0</v>
      </c>
      <c r="BJ128">
        <v>0</v>
      </c>
      <c r="BK128" t="str">
        <f t="shared" si="108"/>
        <v>Big Win</v>
      </c>
      <c r="BL128" s="40" t="str">
        <f t="shared" si="109"/>
        <v>Combo Win</v>
      </c>
      <c r="BM128">
        <f>(D128/Frequency!$N$7-Summary!$C$7)^2*E128</f>
        <v>2005.056</v>
      </c>
      <c r="BN128">
        <f t="shared" si="95"/>
        <v>0</v>
      </c>
      <c r="BO128">
        <f t="shared" si="96"/>
        <v>0</v>
      </c>
      <c r="BP128">
        <f t="shared" si="97"/>
        <v>0</v>
      </c>
      <c r="BQ128">
        <f t="shared" si="98"/>
        <v>0</v>
      </c>
      <c r="BR128">
        <f t="shared" si="99"/>
        <v>0</v>
      </c>
      <c r="BS128">
        <f t="shared" si="100"/>
        <v>0</v>
      </c>
      <c r="BT128">
        <f t="shared" si="101"/>
        <v>0</v>
      </c>
      <c r="BU128">
        <f t="shared" si="102"/>
        <v>0</v>
      </c>
      <c r="BV128">
        <f t="shared" si="103"/>
        <v>0</v>
      </c>
      <c r="BW128">
        <f t="shared" si="104"/>
        <v>0</v>
      </c>
      <c r="BX128">
        <f t="shared" si="105"/>
        <v>0</v>
      </c>
    </row>
    <row r="129" spans="2:76">
      <c r="B129" s="19">
        <f>Tiers!B130</f>
        <v>127</v>
      </c>
      <c r="C129" s="20" t="str">
        <f>Tiers!X130</f>
        <v>main-4|main-19|main-5|||||||</v>
      </c>
      <c r="D129" s="21">
        <f>Tiers!C130</f>
        <v>12</v>
      </c>
      <c r="E129" s="22">
        <f>Frequency!E131</f>
        <v>10</v>
      </c>
      <c r="F129" s="22">
        <f t="shared" si="55"/>
        <v>120</v>
      </c>
      <c r="G129" s="20">
        <f>IF(AND(D129/Summary!$C$4&gt;0, D129/Summary!$C$4&lt;5),E129,0) * D129</f>
        <v>0</v>
      </c>
      <c r="H129" s="20">
        <f>IF(AND(D129/Summary!$C$4&gt;= 5, D129/Summary!$C$4&lt;10),E129,0) * D129</f>
        <v>0</v>
      </c>
      <c r="I129" s="20">
        <f>IF(AND(D129/Summary!$C$4&gt;=10, D129/Summary!$C$4&lt;25),E129,0)*D129</f>
        <v>120</v>
      </c>
      <c r="J129" s="20">
        <f>IF(D129/Summary!$C$4&gt;=25,E129,0)*D129</f>
        <v>0</v>
      </c>
      <c r="K129" s="35">
        <f>IF(AND(D129/Frequency!$N$7&gt;0, D129/Frequency!$N$7&lt;1),E129,0)</f>
        <v>0</v>
      </c>
      <c r="L129" s="35">
        <f t="shared" si="56"/>
        <v>0</v>
      </c>
      <c r="M129" s="35">
        <f>IF(D129/Frequency!$N$7=1,1,0)*E129</f>
        <v>0</v>
      </c>
      <c r="N129" s="35">
        <f t="shared" si="57"/>
        <v>0</v>
      </c>
      <c r="O129" s="35">
        <f>IF(AND(D129/Frequency!$N$7&gt;1, D129/Frequency!$N$7&lt;=2),1,0)*E129</f>
        <v>0</v>
      </c>
      <c r="P129" s="35">
        <f t="shared" si="58"/>
        <v>0</v>
      </c>
      <c r="Q129" s="35">
        <f>IF(AND(D129/Frequency!$N$7&gt;2,D129/Frequency!$N$7&lt;=5),1,0)*E129</f>
        <v>0</v>
      </c>
      <c r="R129" s="35">
        <f t="shared" si="59"/>
        <v>0</v>
      </c>
      <c r="S129" s="35">
        <f>IF(AND(D129/Frequency!$N$7&gt;5, D129/Frequency!$N$7&lt;=10),1,0)*E129</f>
        <v>0</v>
      </c>
      <c r="T129" s="35">
        <f t="shared" si="60"/>
        <v>0</v>
      </c>
      <c r="U129" s="35">
        <f>IF(AND(D129/Frequency!$N$7&gt;10, D129/Frequency!$N$7&lt;=20),1,0)*E129</f>
        <v>10</v>
      </c>
      <c r="V129" s="35">
        <f t="shared" si="61"/>
        <v>120</v>
      </c>
      <c r="W129" s="35">
        <f>IF(AND(D129/Frequency!$N$7&gt;20, D129/Frequency!$N$7&lt;=30),1,0)*E129</f>
        <v>0</v>
      </c>
      <c r="X129" s="35">
        <f t="shared" si="62"/>
        <v>0</v>
      </c>
      <c r="Y129" s="35">
        <f>IF(AND(D129/Frequency!$N$7&gt;30, D129/Frequency!$N$7&lt;=50),1,0)*E129</f>
        <v>0</v>
      </c>
      <c r="Z129" s="35">
        <f t="shared" si="63"/>
        <v>0</v>
      </c>
      <c r="AA129" s="35">
        <f>IF(AND(D129/Frequency!$N$7&gt;50, D129/Frequency!$N$7&lt;=100),1,0)*E129</f>
        <v>0</v>
      </c>
      <c r="AB129" s="35">
        <f t="shared" si="64"/>
        <v>0</v>
      </c>
      <c r="AC129" s="35">
        <f>IF(D129/Frequency!$N$7&gt;100,1,0)*E129</f>
        <v>0</v>
      </c>
      <c r="AD129" s="35">
        <f t="shared" si="65"/>
        <v>0</v>
      </c>
      <c r="AE129" s="22">
        <f t="shared" si="66"/>
        <v>0</v>
      </c>
      <c r="AF129" s="22">
        <f t="shared" si="67"/>
        <v>0</v>
      </c>
      <c r="AG129" s="22">
        <f t="shared" si="68"/>
        <v>0</v>
      </c>
      <c r="AH129" s="22">
        <f t="shared" si="69"/>
        <v>0</v>
      </c>
      <c r="AI129" s="35">
        <f t="shared" si="70"/>
        <v>1</v>
      </c>
      <c r="AJ129" s="35">
        <f t="shared" si="71"/>
        <v>10</v>
      </c>
      <c r="AK129" s="35">
        <f t="shared" si="72"/>
        <v>120</v>
      </c>
      <c r="AL129">
        <f t="shared" si="73"/>
        <v>0</v>
      </c>
      <c r="AM129">
        <f t="shared" si="74"/>
        <v>0</v>
      </c>
      <c r="AN129">
        <f t="shared" si="75"/>
        <v>0</v>
      </c>
      <c r="AO129">
        <f t="shared" si="76"/>
        <v>0</v>
      </c>
      <c r="AP129">
        <f t="shared" si="77"/>
        <v>0</v>
      </c>
      <c r="AQ129">
        <f t="shared" si="78"/>
        <v>0</v>
      </c>
      <c r="AR129">
        <f t="shared" si="79"/>
        <v>0</v>
      </c>
      <c r="AS129">
        <f t="shared" si="80"/>
        <v>0</v>
      </c>
      <c r="AT129">
        <f t="shared" si="81"/>
        <v>0</v>
      </c>
      <c r="AU129">
        <f t="shared" si="82"/>
        <v>0</v>
      </c>
      <c r="AV129">
        <v>0</v>
      </c>
      <c r="AW129">
        <v>0</v>
      </c>
      <c r="AX129">
        <f t="shared" si="83"/>
        <v>0</v>
      </c>
      <c r="AY129">
        <f t="shared" si="84"/>
        <v>0</v>
      </c>
      <c r="AZ129">
        <f t="shared" si="85"/>
        <v>0</v>
      </c>
      <c r="BA129">
        <f t="shared" si="86"/>
        <v>0</v>
      </c>
      <c r="BB129">
        <f t="shared" si="87"/>
        <v>0</v>
      </c>
      <c r="BC129">
        <f t="shared" si="88"/>
        <v>0</v>
      </c>
      <c r="BD129">
        <f t="shared" si="89"/>
        <v>0</v>
      </c>
      <c r="BE129">
        <f t="shared" si="90"/>
        <v>0</v>
      </c>
      <c r="BF129">
        <f t="shared" si="91"/>
        <v>0</v>
      </c>
      <c r="BG129">
        <f t="shared" si="92"/>
        <v>0</v>
      </c>
      <c r="BH129">
        <f t="shared" si="93"/>
        <v>0</v>
      </c>
      <c r="BI129">
        <f t="shared" si="94"/>
        <v>0</v>
      </c>
      <c r="BJ129">
        <v>0</v>
      </c>
      <c r="BK129" t="str">
        <f t="shared" si="108"/>
        <v>Big Win</v>
      </c>
      <c r="BL129" s="40" t="str">
        <f t="shared" si="109"/>
        <v>Combo Win</v>
      </c>
      <c r="BM129">
        <f>(D129/Frequency!$N$7-Summary!$C$7)^2*E129</f>
        <v>1245.4560000000001</v>
      </c>
      <c r="BN129">
        <f t="shared" si="95"/>
        <v>0</v>
      </c>
      <c r="BO129">
        <f t="shared" si="96"/>
        <v>0</v>
      </c>
      <c r="BP129">
        <f t="shared" si="97"/>
        <v>0</v>
      </c>
      <c r="BQ129">
        <f t="shared" si="98"/>
        <v>0</v>
      </c>
      <c r="BR129">
        <f t="shared" si="99"/>
        <v>0</v>
      </c>
      <c r="BS129">
        <f t="shared" si="100"/>
        <v>0</v>
      </c>
      <c r="BT129">
        <f t="shared" si="101"/>
        <v>0</v>
      </c>
      <c r="BU129">
        <f t="shared" si="102"/>
        <v>0</v>
      </c>
      <c r="BV129">
        <f t="shared" si="103"/>
        <v>0</v>
      </c>
      <c r="BW129">
        <f t="shared" si="104"/>
        <v>0</v>
      </c>
      <c r="BX129">
        <f t="shared" si="105"/>
        <v>0</v>
      </c>
    </row>
    <row r="130" spans="2:76">
      <c r="B130" s="19">
        <f>Tiers!B131</f>
        <v>128</v>
      </c>
      <c r="C130" s="20" t="str">
        <f>Tiers!X131</f>
        <v>main-0|main-27|main-2|||||||</v>
      </c>
      <c r="D130" s="21">
        <f>Tiers!C131</f>
        <v>20.6</v>
      </c>
      <c r="E130" s="22">
        <f>Frequency!E132</f>
        <v>10</v>
      </c>
      <c r="F130" s="22">
        <f t="shared" ref="F130:F193" si="110">E130*D130</f>
        <v>206</v>
      </c>
      <c r="G130" s="20">
        <f>IF(AND(D130/Summary!$C$4&gt;0, D130/Summary!$C$4&lt;5),E130,0) * D130</f>
        <v>0</v>
      </c>
      <c r="H130" s="20">
        <f>IF(AND(D130/Summary!$C$4&gt;= 5, D130/Summary!$C$4&lt;10),E130,0) * D130</f>
        <v>0</v>
      </c>
      <c r="I130" s="20">
        <f>IF(AND(D130/Summary!$C$4&gt;=10, D130/Summary!$C$4&lt;25),E130,0)*D130</f>
        <v>206</v>
      </c>
      <c r="J130" s="20">
        <f>IF(D130/Summary!$C$4&gt;=25,E130,0)*D130</f>
        <v>0</v>
      </c>
      <c r="K130" s="35">
        <f>IF(AND(D130/Frequency!$N$7&gt;0, D130/Frequency!$N$7&lt;1),E130,0)</f>
        <v>0</v>
      </c>
      <c r="L130" s="35">
        <f t="shared" ref="L130:L193" si="111">IF(K130&gt;0,D130*E130,0)</f>
        <v>0</v>
      </c>
      <c r="M130" s="35">
        <f>IF(D130/Frequency!$N$7=1,1,0)*E130</f>
        <v>0</v>
      </c>
      <c r="N130" s="35">
        <f t="shared" ref="N130:N193" si="112">IF(M130&gt;0,D130*E130,0)</f>
        <v>0</v>
      </c>
      <c r="O130" s="35">
        <f>IF(AND(D130/Frequency!$N$7&gt;1, D130/Frequency!$N$7&lt;=2),1,0)*E130</f>
        <v>0</v>
      </c>
      <c r="P130" s="35">
        <f t="shared" ref="P130:P193" si="113">IF(O130&gt;0,D130*E130,0)</f>
        <v>0</v>
      </c>
      <c r="Q130" s="35">
        <f>IF(AND(D130/Frequency!$N$7&gt;2,D130/Frequency!$N$7&lt;=5),1,0)*E130</f>
        <v>0</v>
      </c>
      <c r="R130" s="35">
        <f t="shared" ref="R130:R193" si="114">IF(Q130&gt;0,D130*E130,0)</f>
        <v>0</v>
      </c>
      <c r="S130" s="35">
        <f>IF(AND(D130/Frequency!$N$7&gt;5, D130/Frequency!$N$7&lt;=10),1,0)*E130</f>
        <v>0</v>
      </c>
      <c r="T130" s="35">
        <f t="shared" ref="T130:T193" si="115">IF(S130&gt;0,D130*E130,0)</f>
        <v>0</v>
      </c>
      <c r="U130" s="35">
        <f>IF(AND(D130/Frequency!$N$7&gt;10, D130/Frequency!$N$7&lt;=20),1,0)*E130</f>
        <v>0</v>
      </c>
      <c r="V130" s="35">
        <f t="shared" ref="V130:V193" si="116">IF(U130&gt;0,D130*E130,0)</f>
        <v>0</v>
      </c>
      <c r="W130" s="35">
        <f>IF(AND(D130/Frequency!$N$7&gt;20, D130/Frequency!$N$7&lt;=30),1,0)*E130</f>
        <v>10</v>
      </c>
      <c r="X130" s="35">
        <f t="shared" ref="X130:X193" si="117">IF(W130&gt;0,D130*E130,0)</f>
        <v>206</v>
      </c>
      <c r="Y130" s="35">
        <f>IF(AND(D130/Frequency!$N$7&gt;30, D130/Frequency!$N$7&lt;=50),1,0)*E130</f>
        <v>0</v>
      </c>
      <c r="Z130" s="35">
        <f t="shared" ref="Z130:Z193" si="118">IF(Y130&gt;0,D130*E130,0)</f>
        <v>0</v>
      </c>
      <c r="AA130" s="35">
        <f>IF(AND(D130/Frequency!$N$7&gt;50, D130/Frequency!$N$7&lt;=100),1,0)*E130</f>
        <v>0</v>
      </c>
      <c r="AB130" s="35">
        <f t="shared" ref="AB130:AB193" si="119">IF(AA130&gt;0,D130*E130,0)</f>
        <v>0</v>
      </c>
      <c r="AC130" s="35">
        <f>IF(D130/Frequency!$N$7&gt;100,1,0)*E130</f>
        <v>0</v>
      </c>
      <c r="AD130" s="35">
        <f t="shared" ref="AD130:AD193" si="120">IF(AC130&gt;0,D130*E130,0)</f>
        <v>0</v>
      </c>
      <c r="AE130" s="22">
        <f t="shared" ref="AE130:AE193" si="121">IF(AU130&gt;0,E130,0)</f>
        <v>0</v>
      </c>
      <c r="AF130" s="22">
        <f t="shared" ref="AF130:AF193" si="122">IF(AX130+BA130&gt;0,E130,0)</f>
        <v>0</v>
      </c>
      <c r="AG130" s="22">
        <f t="shared" ref="AG130:AG193" si="123">AF130*D130</f>
        <v>0</v>
      </c>
      <c r="AH130" s="22">
        <f t="shared" ref="AH130:AH193" si="124">IF(BG130&gt;0,E130,0)</f>
        <v>0</v>
      </c>
      <c r="AI130" s="35">
        <f t="shared" ref="AI130:AI193" si="125">IF(ISNUMBER(SEARCH("|||||||||",C130)),0,1)</f>
        <v>1</v>
      </c>
      <c r="AJ130" s="35">
        <f t="shared" ref="AJ130:AJ193" si="126">IF(AI130=1, E130,0)</f>
        <v>10</v>
      </c>
      <c r="AK130" s="35">
        <f t="shared" ref="AK130:AK193" si="127">IF(AJ130&gt;0,D130*E130,0)</f>
        <v>206</v>
      </c>
      <c r="AL130">
        <f t="shared" ref="AL130:AL193" si="128">IF(ISNUMBER(SEARCH("wild",C130)),1,0)</f>
        <v>0</v>
      </c>
      <c r="AM130">
        <f t="shared" ref="AM130:AM193" si="129">IF(AL130=1, E130,0)</f>
        <v>0</v>
      </c>
      <c r="AN130">
        <f t="shared" ref="AN130:AN193" si="130">IF(AM130&gt;0,D130*E130,0)</f>
        <v>0</v>
      </c>
      <c r="AO130">
        <f t="shared" ref="AO130:AO193" si="131">IF(ISNUMBER(SEARCH("wild-",C130)),1,0)</f>
        <v>0</v>
      </c>
      <c r="AP130">
        <f t="shared" ref="AP130:AP193" si="132">IF(AO130=1, E130,0)</f>
        <v>0</v>
      </c>
      <c r="AQ130">
        <f t="shared" ref="AQ130:AQ193" si="133">IF(AP130&gt;0,D130*E130,0)</f>
        <v>0</v>
      </c>
      <c r="AR130">
        <f t="shared" ref="AR130:AR193" si="134">IF(ISNUMBER(SEARCH("wildX",C130)),1,0)</f>
        <v>0</v>
      </c>
      <c r="AS130">
        <f t="shared" ref="AS130:AS193" si="135">IF(AR130=1, E130,0)</f>
        <v>0</v>
      </c>
      <c r="AT130">
        <f t="shared" ref="AT130:AT193" si="136">IF(AS130&gt;0,D130*E130,0)</f>
        <v>0</v>
      </c>
      <c r="AU130">
        <f t="shared" ref="AU130:AU193" si="137">IF(ISNUMBER(SEARCH("FreePlay",C130)),1,0)</f>
        <v>0</v>
      </c>
      <c r="AV130">
        <v>0</v>
      </c>
      <c r="AW130">
        <v>0</v>
      </c>
      <c r="AX130">
        <f t="shared" ref="AX130:AX193" si="138">IF(ISNUMBER(SEARCH("bonusA",C130)),1,0)</f>
        <v>0</v>
      </c>
      <c r="AY130">
        <f t="shared" ref="AY130:AY193" si="139">AX130*E130</f>
        <v>0</v>
      </c>
      <c r="AZ130">
        <f t="shared" ref="AZ130:AZ193" si="140">AY130*D130</f>
        <v>0</v>
      </c>
      <c r="BA130">
        <f t="shared" ref="BA130:BA193" si="141">IF(ISNUMBER(SEARCH("bonusB",C130)),1,0)</f>
        <v>0</v>
      </c>
      <c r="BB130">
        <f t="shared" ref="BB130:BB193" si="142">BA130*E130</f>
        <v>0</v>
      </c>
      <c r="BC130">
        <f t="shared" ref="BC130:BC193" si="143">BB130*D130</f>
        <v>0</v>
      </c>
      <c r="BD130">
        <f t="shared" ref="BD130:BD193" si="144">IF(ISNUMBER(SEARCH("bonusC",C130)),1,0)</f>
        <v>0</v>
      </c>
      <c r="BE130">
        <f t="shared" ref="BE130:BE193" si="145">BD130*E130</f>
        <v>0</v>
      </c>
      <c r="BF130">
        <f t="shared" ref="BF130:BF193" si="146">BE130*D130</f>
        <v>0</v>
      </c>
      <c r="BG130">
        <f t="shared" ref="BG130:BG193" si="147">IF(ISNUMBER(SEARCH("Instant",C130)),1,0)</f>
        <v>0</v>
      </c>
      <c r="BH130">
        <f t="shared" ref="BH130:BH193" si="148">BG130*E130</f>
        <v>0</v>
      </c>
      <c r="BI130">
        <f t="shared" ref="BI130:BI193" si="149">BH130*D130</f>
        <v>0</v>
      </c>
      <c r="BJ130">
        <v>0</v>
      </c>
      <c r="BK130" t="str">
        <f>IF(D130 &lt; $D$417, $C$417,
      IF(D130 = $D$418, $C$418,
          IF(D130 &lt; $D$419, $C$419,
              IF(D130 &lt; $D$420, $C$420,
                 IF(D130 &lt; $D$421, $C$421, $C$422)))))</f>
        <v>Big Win</v>
      </c>
      <c r="BL130" s="40" t="str">
        <f>IF(AU130 = 1,$C$426,
      IF(AV130 = 1,$C$427,
          IF(AW130 = 1,$C$428,
              IF(AX130 = 1,$C$429,
                  IF(BA130 = 1,$C$430,
                     IF(BD130 = 1,$C$431,
                        IF(BG130 = 1,$C$432,
                           IF(ISNUMBER(SEARCH("|||||||||",C130)), $C$433,$C$434))))))))</f>
        <v>Combo Win</v>
      </c>
      <c r="BM130">
        <f>(D130/Frequency!$N$7-Summary!$C$7)^2*E130</f>
        <v>3904.5760000000009</v>
      </c>
      <c r="BN130">
        <f t="shared" ref="BN130:BN193" si="150">IF(AU130=1, E130*D130,0)</f>
        <v>0</v>
      </c>
      <c r="BO130">
        <f t="shared" ref="BO130:BO193" si="151">IF(BG130=1, D130*E130,0)</f>
        <v>0</v>
      </c>
      <c r="BP130">
        <f t="shared" ref="BP130:BP193" si="152">IF(BJ130&gt;0,BJ130*E130,0)</f>
        <v>0</v>
      </c>
      <c r="BQ130">
        <f t="shared" ref="BQ130:BQ193" si="153">IF(AND(AU130=1, AI130=0),E130,0)</f>
        <v>0</v>
      </c>
      <c r="BR130">
        <f t="shared" ref="BR130:BR193" si="154">IF(BQ130&gt;0,E130*D130,0)</f>
        <v>0</v>
      </c>
      <c r="BS130">
        <f t="shared" ref="BS130:BS193" si="155">IF(AND(AU130=1, AI130=1),E130,0)</f>
        <v>0</v>
      </c>
      <c r="BT130">
        <f t="shared" ref="BT130:BT193" si="156">IF(BS130&gt;0,E130*D130,0)</f>
        <v>0</v>
      </c>
      <c r="BU130">
        <f t="shared" ref="BU130:BU193" si="157">IF(AND(AX130+BA130=1, AI130=0),E130,0)</f>
        <v>0</v>
      </c>
      <c r="BV130">
        <f t="shared" ref="BV130:BV193" si="158">IF(BU130&gt;0,E130*D130,0)</f>
        <v>0</v>
      </c>
      <c r="BW130">
        <f t="shared" ref="BW130:BW193" si="159">IF(AND(AX130+BA130=1, AI130=1),E130,0)</f>
        <v>0</v>
      </c>
      <c r="BX130">
        <f t="shared" ref="BX130:BX193" si="160">IF(BW130&gt;0,E130*D130,0)</f>
        <v>0</v>
      </c>
    </row>
    <row r="131" spans="2:76">
      <c r="B131" s="19">
        <f>Tiers!B132</f>
        <v>129</v>
      </c>
      <c r="C131" s="20" t="str">
        <f>Tiers!X132</f>
        <v>main-4|main-14|main-15|||||||</v>
      </c>
      <c r="D131" s="21">
        <f>Tiers!C132</f>
        <v>32</v>
      </c>
      <c r="E131" s="22">
        <f>Frequency!E133</f>
        <v>10</v>
      </c>
      <c r="F131" s="22">
        <f t="shared" si="110"/>
        <v>320</v>
      </c>
      <c r="G131" s="20">
        <f>IF(AND(D131/Summary!$C$4&gt;0, D131/Summary!$C$4&lt;5),E131,0) * D131</f>
        <v>0</v>
      </c>
      <c r="H131" s="20">
        <f>IF(AND(D131/Summary!$C$4&gt;= 5, D131/Summary!$C$4&lt;10),E131,0) * D131</f>
        <v>0</v>
      </c>
      <c r="I131" s="20">
        <f>IF(AND(D131/Summary!$C$4&gt;=10, D131/Summary!$C$4&lt;25),E131,0)*D131</f>
        <v>0</v>
      </c>
      <c r="J131" s="20">
        <f>IF(D131/Summary!$C$4&gt;=25,E131,0)*D131</f>
        <v>320</v>
      </c>
      <c r="K131" s="35">
        <f>IF(AND(D131/Frequency!$N$7&gt;0, D131/Frequency!$N$7&lt;1),E131,0)</f>
        <v>0</v>
      </c>
      <c r="L131" s="35">
        <f t="shared" si="111"/>
        <v>0</v>
      </c>
      <c r="M131" s="35">
        <f>IF(D131/Frequency!$N$7=1,1,0)*E131</f>
        <v>0</v>
      </c>
      <c r="N131" s="35">
        <f t="shared" si="112"/>
        <v>0</v>
      </c>
      <c r="O131" s="35">
        <f>IF(AND(D131/Frequency!$N$7&gt;1, D131/Frequency!$N$7&lt;=2),1,0)*E131</f>
        <v>0</v>
      </c>
      <c r="P131" s="35">
        <f t="shared" si="113"/>
        <v>0</v>
      </c>
      <c r="Q131" s="35">
        <f>IF(AND(D131/Frequency!$N$7&gt;2,D131/Frequency!$N$7&lt;=5),1,0)*E131</f>
        <v>0</v>
      </c>
      <c r="R131" s="35">
        <f t="shared" si="114"/>
        <v>0</v>
      </c>
      <c r="S131" s="35">
        <f>IF(AND(D131/Frequency!$N$7&gt;5, D131/Frequency!$N$7&lt;=10),1,0)*E131</f>
        <v>0</v>
      </c>
      <c r="T131" s="35">
        <f t="shared" si="115"/>
        <v>0</v>
      </c>
      <c r="U131" s="35">
        <f>IF(AND(D131/Frequency!$N$7&gt;10, D131/Frequency!$N$7&lt;=20),1,0)*E131</f>
        <v>0</v>
      </c>
      <c r="V131" s="35">
        <f t="shared" si="116"/>
        <v>0</v>
      </c>
      <c r="W131" s="35">
        <f>IF(AND(D131/Frequency!$N$7&gt;20, D131/Frequency!$N$7&lt;=30),1,0)*E131</f>
        <v>0</v>
      </c>
      <c r="X131" s="35">
        <f t="shared" si="117"/>
        <v>0</v>
      </c>
      <c r="Y131" s="35">
        <f>IF(AND(D131/Frequency!$N$7&gt;30, D131/Frequency!$N$7&lt;=50),1,0)*E131</f>
        <v>10</v>
      </c>
      <c r="Z131" s="35">
        <f t="shared" si="118"/>
        <v>320</v>
      </c>
      <c r="AA131" s="35">
        <f>IF(AND(D131/Frequency!$N$7&gt;50, D131/Frequency!$N$7&lt;=100),1,0)*E131</f>
        <v>0</v>
      </c>
      <c r="AB131" s="35">
        <f t="shared" si="119"/>
        <v>0</v>
      </c>
      <c r="AC131" s="35">
        <f>IF(D131/Frequency!$N$7&gt;100,1,0)*E131</f>
        <v>0</v>
      </c>
      <c r="AD131" s="35">
        <f t="shared" si="120"/>
        <v>0</v>
      </c>
      <c r="AE131" s="22">
        <f t="shared" si="121"/>
        <v>0</v>
      </c>
      <c r="AF131" s="22">
        <f t="shared" si="122"/>
        <v>0</v>
      </c>
      <c r="AG131" s="22">
        <f t="shared" si="123"/>
        <v>0</v>
      </c>
      <c r="AH131" s="22">
        <f t="shared" si="124"/>
        <v>0</v>
      </c>
      <c r="AI131" s="35">
        <f t="shared" si="125"/>
        <v>1</v>
      </c>
      <c r="AJ131" s="35">
        <f t="shared" si="126"/>
        <v>10</v>
      </c>
      <c r="AK131" s="35">
        <f t="shared" si="127"/>
        <v>320</v>
      </c>
      <c r="AL131">
        <f t="shared" si="128"/>
        <v>0</v>
      </c>
      <c r="AM131">
        <f t="shared" si="129"/>
        <v>0</v>
      </c>
      <c r="AN131">
        <f t="shared" si="130"/>
        <v>0</v>
      </c>
      <c r="AO131">
        <f t="shared" si="131"/>
        <v>0</v>
      </c>
      <c r="AP131">
        <f t="shared" si="132"/>
        <v>0</v>
      </c>
      <c r="AQ131">
        <f t="shared" si="133"/>
        <v>0</v>
      </c>
      <c r="AR131">
        <f t="shared" si="134"/>
        <v>0</v>
      </c>
      <c r="AS131">
        <f t="shared" si="135"/>
        <v>0</v>
      </c>
      <c r="AT131">
        <f t="shared" si="136"/>
        <v>0</v>
      </c>
      <c r="AU131">
        <f t="shared" si="137"/>
        <v>0</v>
      </c>
      <c r="AV131">
        <v>0</v>
      </c>
      <c r="AW131">
        <v>0</v>
      </c>
      <c r="AX131">
        <f t="shared" si="138"/>
        <v>0</v>
      </c>
      <c r="AY131">
        <f t="shared" si="139"/>
        <v>0</v>
      </c>
      <c r="AZ131">
        <f t="shared" si="140"/>
        <v>0</v>
      </c>
      <c r="BA131">
        <f t="shared" si="141"/>
        <v>0</v>
      </c>
      <c r="BB131">
        <f t="shared" si="142"/>
        <v>0</v>
      </c>
      <c r="BC131">
        <f t="shared" si="143"/>
        <v>0</v>
      </c>
      <c r="BD131">
        <f t="shared" si="144"/>
        <v>0</v>
      </c>
      <c r="BE131">
        <f t="shared" si="145"/>
        <v>0</v>
      </c>
      <c r="BF131">
        <f t="shared" si="146"/>
        <v>0</v>
      </c>
      <c r="BG131">
        <f t="shared" si="147"/>
        <v>0</v>
      </c>
      <c r="BH131">
        <f t="shared" si="148"/>
        <v>0</v>
      </c>
      <c r="BI131">
        <f t="shared" si="149"/>
        <v>0</v>
      </c>
      <c r="BJ131">
        <v>0</v>
      </c>
      <c r="BK131" t="str">
        <f t="shared" ref="BK131:BK162" si="161">IF(D131 &lt; $D$417, $C$417,
IF(D131 = $D$418, $C$418,
IF(D131 &lt; $D$419, $C$419,
IF(D131 &lt; $D$420, $C$420,
IF(D131 &lt; $D$421, $C$421, $C$422)))))</f>
        <v>Big Win</v>
      </c>
      <c r="BL131" s="40" t="str">
        <f t="shared" ref="BL131:BL162" si="162">IF(AU131 = 1,$C$426,
IF(AV131 = 1,$C$427,
IF(AW131 = 1,$C$428,
IF(AX131 = 1,$C$429,
IF(BA131 = 1,$C$430,
IF(BD131 = 1,$C$431,
IF(BG131 = 1,$C$432,
IF(ISNUMBER(SEARCH("|||||||||",C131)), $C$433,$C$434))))))))</f>
        <v>Combo Win</v>
      </c>
      <c r="BM131">
        <f>(D131/Frequency!$N$7-Summary!$C$7)^2*E131</f>
        <v>9709.4560000000001</v>
      </c>
      <c r="BN131">
        <f t="shared" si="150"/>
        <v>0</v>
      </c>
      <c r="BO131">
        <f t="shared" si="151"/>
        <v>0</v>
      </c>
      <c r="BP131">
        <f t="shared" si="152"/>
        <v>0</v>
      </c>
      <c r="BQ131">
        <f t="shared" si="153"/>
        <v>0</v>
      </c>
      <c r="BR131">
        <f t="shared" si="154"/>
        <v>0</v>
      </c>
      <c r="BS131">
        <f t="shared" si="155"/>
        <v>0</v>
      </c>
      <c r="BT131">
        <f t="shared" si="156"/>
        <v>0</v>
      </c>
      <c r="BU131">
        <f t="shared" si="157"/>
        <v>0</v>
      </c>
      <c r="BV131">
        <f t="shared" si="158"/>
        <v>0</v>
      </c>
      <c r="BW131">
        <f t="shared" si="159"/>
        <v>0</v>
      </c>
      <c r="BX131">
        <f t="shared" si="160"/>
        <v>0</v>
      </c>
    </row>
    <row r="132" spans="2:76">
      <c r="B132" s="19">
        <f>Tiers!B133</f>
        <v>130</v>
      </c>
      <c r="C132" s="20" t="str">
        <f>Tiers!X133</f>
        <v>main-4|main-28|main-3|||||||</v>
      </c>
      <c r="D132" s="21">
        <f>Tiers!C133</f>
        <v>103</v>
      </c>
      <c r="E132" s="22">
        <f>Frequency!E134</f>
        <v>2</v>
      </c>
      <c r="F132" s="22">
        <f t="shared" si="110"/>
        <v>206</v>
      </c>
      <c r="G132" s="20">
        <f>IF(AND(D132/Summary!$C$4&gt;0, D132/Summary!$C$4&lt;5),E132,0) * D132</f>
        <v>0</v>
      </c>
      <c r="H132" s="20">
        <f>IF(AND(D132/Summary!$C$4&gt;= 5, D132/Summary!$C$4&lt;10),E132,0) * D132</f>
        <v>0</v>
      </c>
      <c r="I132" s="20">
        <f>IF(AND(D132/Summary!$C$4&gt;=10, D132/Summary!$C$4&lt;25),E132,0)*D132</f>
        <v>0</v>
      </c>
      <c r="J132" s="20">
        <f>IF(D132/Summary!$C$4&gt;=25,E132,0)*D132</f>
        <v>206</v>
      </c>
      <c r="K132" s="35">
        <f>IF(AND(D132/Frequency!$N$7&gt;0, D132/Frequency!$N$7&lt;1),E132,0)</f>
        <v>0</v>
      </c>
      <c r="L132" s="35">
        <f t="shared" si="111"/>
        <v>0</v>
      </c>
      <c r="M132" s="35">
        <f>IF(D132/Frequency!$N$7=1,1,0)*E132</f>
        <v>0</v>
      </c>
      <c r="N132" s="35">
        <f t="shared" si="112"/>
        <v>0</v>
      </c>
      <c r="O132" s="35">
        <f>IF(AND(D132/Frequency!$N$7&gt;1, D132/Frequency!$N$7&lt;=2),1,0)*E132</f>
        <v>0</v>
      </c>
      <c r="P132" s="35">
        <f t="shared" si="113"/>
        <v>0</v>
      </c>
      <c r="Q132" s="35">
        <f>IF(AND(D132/Frequency!$N$7&gt;2,D132/Frequency!$N$7&lt;=5),1,0)*E132</f>
        <v>0</v>
      </c>
      <c r="R132" s="35">
        <f t="shared" si="114"/>
        <v>0</v>
      </c>
      <c r="S132" s="35">
        <f>IF(AND(D132/Frequency!$N$7&gt;5, D132/Frequency!$N$7&lt;=10),1,0)*E132</f>
        <v>0</v>
      </c>
      <c r="T132" s="35">
        <f t="shared" si="115"/>
        <v>0</v>
      </c>
      <c r="U132" s="35">
        <f>IF(AND(D132/Frequency!$N$7&gt;10, D132/Frequency!$N$7&lt;=20),1,0)*E132</f>
        <v>0</v>
      </c>
      <c r="V132" s="35">
        <f t="shared" si="116"/>
        <v>0</v>
      </c>
      <c r="W132" s="35">
        <f>IF(AND(D132/Frequency!$N$7&gt;20, D132/Frequency!$N$7&lt;=30),1,0)*E132</f>
        <v>0</v>
      </c>
      <c r="X132" s="35">
        <f t="shared" si="117"/>
        <v>0</v>
      </c>
      <c r="Y132" s="35">
        <f>IF(AND(D132/Frequency!$N$7&gt;30, D132/Frequency!$N$7&lt;=50),1,0)*E132</f>
        <v>0</v>
      </c>
      <c r="Z132" s="35">
        <f t="shared" si="118"/>
        <v>0</v>
      </c>
      <c r="AA132" s="35">
        <f>IF(AND(D132/Frequency!$N$7&gt;50, D132/Frequency!$N$7&lt;=100),1,0)*E132</f>
        <v>0</v>
      </c>
      <c r="AB132" s="35">
        <f t="shared" si="119"/>
        <v>0</v>
      </c>
      <c r="AC132" s="35">
        <f>IF(D132/Frequency!$N$7&gt;100,1,0)*E132</f>
        <v>2</v>
      </c>
      <c r="AD132" s="35">
        <f t="shared" si="120"/>
        <v>206</v>
      </c>
      <c r="AE132" s="22">
        <f t="shared" si="121"/>
        <v>0</v>
      </c>
      <c r="AF132" s="22">
        <f t="shared" si="122"/>
        <v>0</v>
      </c>
      <c r="AG132" s="22">
        <f t="shared" si="123"/>
        <v>0</v>
      </c>
      <c r="AH132" s="22">
        <f t="shared" si="124"/>
        <v>0</v>
      </c>
      <c r="AI132" s="35">
        <f t="shared" si="125"/>
        <v>1</v>
      </c>
      <c r="AJ132" s="35">
        <f t="shared" si="126"/>
        <v>2</v>
      </c>
      <c r="AK132" s="35">
        <f t="shared" si="127"/>
        <v>206</v>
      </c>
      <c r="AL132">
        <f t="shared" si="128"/>
        <v>0</v>
      </c>
      <c r="AM132">
        <f t="shared" si="129"/>
        <v>0</v>
      </c>
      <c r="AN132">
        <f t="shared" si="130"/>
        <v>0</v>
      </c>
      <c r="AO132">
        <f t="shared" si="131"/>
        <v>0</v>
      </c>
      <c r="AP132">
        <f t="shared" si="132"/>
        <v>0</v>
      </c>
      <c r="AQ132">
        <f t="shared" si="133"/>
        <v>0</v>
      </c>
      <c r="AR132">
        <f t="shared" si="134"/>
        <v>0</v>
      </c>
      <c r="AS132">
        <f t="shared" si="135"/>
        <v>0</v>
      </c>
      <c r="AT132">
        <f t="shared" si="136"/>
        <v>0</v>
      </c>
      <c r="AU132">
        <f t="shared" si="137"/>
        <v>0</v>
      </c>
      <c r="AV132">
        <v>0</v>
      </c>
      <c r="AW132">
        <v>0</v>
      </c>
      <c r="AX132">
        <f t="shared" si="138"/>
        <v>0</v>
      </c>
      <c r="AY132">
        <f t="shared" si="139"/>
        <v>0</v>
      </c>
      <c r="AZ132">
        <f t="shared" si="140"/>
        <v>0</v>
      </c>
      <c r="BA132">
        <f t="shared" si="141"/>
        <v>0</v>
      </c>
      <c r="BB132">
        <f t="shared" si="142"/>
        <v>0</v>
      </c>
      <c r="BC132">
        <f t="shared" si="143"/>
        <v>0</v>
      </c>
      <c r="BD132">
        <f t="shared" si="144"/>
        <v>0</v>
      </c>
      <c r="BE132">
        <f t="shared" si="145"/>
        <v>0</v>
      </c>
      <c r="BF132">
        <f t="shared" si="146"/>
        <v>0</v>
      </c>
      <c r="BG132">
        <f t="shared" si="147"/>
        <v>0</v>
      </c>
      <c r="BH132">
        <f t="shared" si="148"/>
        <v>0</v>
      </c>
      <c r="BI132">
        <f t="shared" si="149"/>
        <v>0</v>
      </c>
      <c r="BJ132">
        <v>0</v>
      </c>
      <c r="BK132" t="str">
        <f t="shared" si="161"/>
        <v>Huge Win</v>
      </c>
      <c r="BL132" s="40" t="str">
        <f t="shared" si="162"/>
        <v>Combo Win</v>
      </c>
      <c r="BM132">
        <f>(D132/Frequency!$N$7-Summary!$C$7)^2*E132</f>
        <v>20873.331199999997</v>
      </c>
      <c r="BN132">
        <f t="shared" si="150"/>
        <v>0</v>
      </c>
      <c r="BO132">
        <f t="shared" si="151"/>
        <v>0</v>
      </c>
      <c r="BP132">
        <f t="shared" si="152"/>
        <v>0</v>
      </c>
      <c r="BQ132">
        <f t="shared" si="153"/>
        <v>0</v>
      </c>
      <c r="BR132">
        <f t="shared" si="154"/>
        <v>0</v>
      </c>
      <c r="BS132">
        <f t="shared" si="155"/>
        <v>0</v>
      </c>
      <c r="BT132">
        <f t="shared" si="156"/>
        <v>0</v>
      </c>
      <c r="BU132">
        <f t="shared" si="157"/>
        <v>0</v>
      </c>
      <c r="BV132">
        <f t="shared" si="158"/>
        <v>0</v>
      </c>
      <c r="BW132">
        <f t="shared" si="159"/>
        <v>0</v>
      </c>
      <c r="BX132">
        <f t="shared" si="160"/>
        <v>0</v>
      </c>
    </row>
    <row r="133" spans="2:76">
      <c r="B133" s="19">
        <f>Tiers!B134</f>
        <v>131</v>
      </c>
      <c r="C133" s="20" t="str">
        <f>Tiers!X134</f>
        <v>main-4|main-0|main-1|main-18||||||</v>
      </c>
      <c r="D133" s="21">
        <f>Tiers!C134</f>
        <v>5.3000000000000007</v>
      </c>
      <c r="E133" s="22">
        <f>Frequency!E135</f>
        <v>10</v>
      </c>
      <c r="F133" s="22">
        <f t="shared" si="110"/>
        <v>53.000000000000007</v>
      </c>
      <c r="G133" s="20">
        <f>IF(AND(D133/Summary!$C$4&gt;0, D133/Summary!$C$4&lt;5),E133,0) * D133</f>
        <v>0</v>
      </c>
      <c r="H133" s="20">
        <f>IF(AND(D133/Summary!$C$4&gt;= 5, D133/Summary!$C$4&lt;10),E133,0) * D133</f>
        <v>53.000000000000007</v>
      </c>
      <c r="I133" s="20">
        <f>IF(AND(D133/Summary!$C$4&gt;=10, D133/Summary!$C$4&lt;25),E133,0)*D133</f>
        <v>0</v>
      </c>
      <c r="J133" s="20">
        <f>IF(D133/Summary!$C$4&gt;=25,E133,0)*D133</f>
        <v>0</v>
      </c>
      <c r="K133" s="35">
        <f>IF(AND(D133/Frequency!$N$7&gt;0, D133/Frequency!$N$7&lt;1),E133,0)</f>
        <v>0</v>
      </c>
      <c r="L133" s="35">
        <f t="shared" si="111"/>
        <v>0</v>
      </c>
      <c r="M133" s="35">
        <f>IF(D133/Frequency!$N$7=1,1,0)*E133</f>
        <v>0</v>
      </c>
      <c r="N133" s="35">
        <f t="shared" si="112"/>
        <v>0</v>
      </c>
      <c r="O133" s="35">
        <f>IF(AND(D133/Frequency!$N$7&gt;1, D133/Frequency!$N$7&lt;=2),1,0)*E133</f>
        <v>0</v>
      </c>
      <c r="P133" s="35">
        <f t="shared" si="113"/>
        <v>0</v>
      </c>
      <c r="Q133" s="35">
        <f>IF(AND(D133/Frequency!$N$7&gt;2,D133/Frequency!$N$7&lt;=5),1,0)*E133</f>
        <v>0</v>
      </c>
      <c r="R133" s="35">
        <f t="shared" si="114"/>
        <v>0</v>
      </c>
      <c r="S133" s="35">
        <f>IF(AND(D133/Frequency!$N$7&gt;5, D133/Frequency!$N$7&lt;=10),1,0)*E133</f>
        <v>10</v>
      </c>
      <c r="T133" s="35">
        <f t="shared" si="115"/>
        <v>53.000000000000007</v>
      </c>
      <c r="U133" s="35">
        <f>IF(AND(D133/Frequency!$N$7&gt;10, D133/Frequency!$N$7&lt;=20),1,0)*E133</f>
        <v>0</v>
      </c>
      <c r="V133" s="35">
        <f t="shared" si="116"/>
        <v>0</v>
      </c>
      <c r="W133" s="35">
        <f>IF(AND(D133/Frequency!$N$7&gt;20, D133/Frequency!$N$7&lt;=30),1,0)*E133</f>
        <v>0</v>
      </c>
      <c r="X133" s="35">
        <f t="shared" si="117"/>
        <v>0</v>
      </c>
      <c r="Y133" s="35">
        <f>IF(AND(D133/Frequency!$N$7&gt;30, D133/Frequency!$N$7&lt;=50),1,0)*E133</f>
        <v>0</v>
      </c>
      <c r="Z133" s="35">
        <f t="shared" si="118"/>
        <v>0</v>
      </c>
      <c r="AA133" s="35">
        <f>IF(AND(D133/Frequency!$N$7&gt;50, D133/Frequency!$N$7&lt;=100),1,0)*E133</f>
        <v>0</v>
      </c>
      <c r="AB133" s="35">
        <f t="shared" si="119"/>
        <v>0</v>
      </c>
      <c r="AC133" s="35">
        <f>IF(D133/Frequency!$N$7&gt;100,1,0)*E133</f>
        <v>0</v>
      </c>
      <c r="AD133" s="35">
        <f t="shared" si="120"/>
        <v>0</v>
      </c>
      <c r="AE133" s="22">
        <f t="shared" si="121"/>
        <v>0</v>
      </c>
      <c r="AF133" s="22">
        <f t="shared" si="122"/>
        <v>0</v>
      </c>
      <c r="AG133" s="22">
        <f t="shared" si="123"/>
        <v>0</v>
      </c>
      <c r="AH133" s="22">
        <f t="shared" si="124"/>
        <v>0</v>
      </c>
      <c r="AI133" s="35">
        <f t="shared" si="125"/>
        <v>1</v>
      </c>
      <c r="AJ133" s="35">
        <f t="shared" si="126"/>
        <v>10</v>
      </c>
      <c r="AK133" s="35">
        <f t="shared" si="127"/>
        <v>53.000000000000007</v>
      </c>
      <c r="AL133">
        <f t="shared" si="128"/>
        <v>0</v>
      </c>
      <c r="AM133">
        <f t="shared" si="129"/>
        <v>0</v>
      </c>
      <c r="AN133">
        <f t="shared" si="130"/>
        <v>0</v>
      </c>
      <c r="AO133">
        <f t="shared" si="131"/>
        <v>0</v>
      </c>
      <c r="AP133">
        <f t="shared" si="132"/>
        <v>0</v>
      </c>
      <c r="AQ133">
        <f t="shared" si="133"/>
        <v>0</v>
      </c>
      <c r="AR133">
        <f t="shared" si="134"/>
        <v>0</v>
      </c>
      <c r="AS133">
        <f t="shared" si="135"/>
        <v>0</v>
      </c>
      <c r="AT133">
        <f t="shared" si="136"/>
        <v>0</v>
      </c>
      <c r="AU133">
        <f t="shared" si="137"/>
        <v>0</v>
      </c>
      <c r="AV133">
        <v>0</v>
      </c>
      <c r="AW133">
        <v>0</v>
      </c>
      <c r="AX133">
        <f t="shared" si="138"/>
        <v>0</v>
      </c>
      <c r="AY133">
        <f t="shared" si="139"/>
        <v>0</v>
      </c>
      <c r="AZ133">
        <f t="shared" si="140"/>
        <v>0</v>
      </c>
      <c r="BA133">
        <f t="shared" si="141"/>
        <v>0</v>
      </c>
      <c r="BB133">
        <f t="shared" si="142"/>
        <v>0</v>
      </c>
      <c r="BC133">
        <f t="shared" si="143"/>
        <v>0</v>
      </c>
      <c r="BD133">
        <f t="shared" si="144"/>
        <v>0</v>
      </c>
      <c r="BE133">
        <f t="shared" si="145"/>
        <v>0</v>
      </c>
      <c r="BF133">
        <f t="shared" si="146"/>
        <v>0</v>
      </c>
      <c r="BG133">
        <f t="shared" si="147"/>
        <v>0</v>
      </c>
      <c r="BH133">
        <f t="shared" si="148"/>
        <v>0</v>
      </c>
      <c r="BI133">
        <f t="shared" si="149"/>
        <v>0</v>
      </c>
      <c r="BJ133">
        <v>0</v>
      </c>
      <c r="BK133" t="str">
        <f t="shared" si="161"/>
        <v>Standard Win</v>
      </c>
      <c r="BL133" s="40" t="str">
        <f t="shared" si="162"/>
        <v>Combo Win</v>
      </c>
      <c r="BM133">
        <f>(D133/Frequency!$N$7-Summary!$C$7)^2*E133</f>
        <v>198.91600000000008</v>
      </c>
      <c r="BN133">
        <f t="shared" si="150"/>
        <v>0</v>
      </c>
      <c r="BO133">
        <f t="shared" si="151"/>
        <v>0</v>
      </c>
      <c r="BP133">
        <f t="shared" si="152"/>
        <v>0</v>
      </c>
      <c r="BQ133">
        <f t="shared" si="153"/>
        <v>0</v>
      </c>
      <c r="BR133">
        <f t="shared" si="154"/>
        <v>0</v>
      </c>
      <c r="BS133">
        <f t="shared" si="155"/>
        <v>0</v>
      </c>
      <c r="BT133">
        <f t="shared" si="156"/>
        <v>0</v>
      </c>
      <c r="BU133">
        <f t="shared" si="157"/>
        <v>0</v>
      </c>
      <c r="BV133">
        <f t="shared" si="158"/>
        <v>0</v>
      </c>
      <c r="BW133">
        <f t="shared" si="159"/>
        <v>0</v>
      </c>
      <c r="BX133">
        <f t="shared" si="160"/>
        <v>0</v>
      </c>
    </row>
    <row r="134" spans="2:76">
      <c r="B134" s="19">
        <f>Tiers!B135</f>
        <v>132</v>
      </c>
      <c r="C134" s="20" t="str">
        <f>Tiers!X135</f>
        <v>main-0|main-4|main-0|main-19||||||</v>
      </c>
      <c r="D134" s="21">
        <f>Tiers!C135</f>
        <v>7.2</v>
      </c>
      <c r="E134" s="22">
        <f>Frequency!E136</f>
        <v>10</v>
      </c>
      <c r="F134" s="22">
        <f t="shared" si="110"/>
        <v>72</v>
      </c>
      <c r="G134" s="20">
        <f>IF(AND(D134/Summary!$C$4&gt;0, D134/Summary!$C$4&lt;5),E134,0) * D134</f>
        <v>0</v>
      </c>
      <c r="H134" s="20">
        <f>IF(AND(D134/Summary!$C$4&gt;= 5, D134/Summary!$C$4&lt;10),E134,0) * D134</f>
        <v>72</v>
      </c>
      <c r="I134" s="20">
        <f>IF(AND(D134/Summary!$C$4&gt;=10, D134/Summary!$C$4&lt;25),E134,0)*D134</f>
        <v>0</v>
      </c>
      <c r="J134" s="20">
        <f>IF(D134/Summary!$C$4&gt;=25,E134,0)*D134</f>
        <v>0</v>
      </c>
      <c r="K134" s="35">
        <f>IF(AND(D134/Frequency!$N$7&gt;0, D134/Frequency!$N$7&lt;1),E134,0)</f>
        <v>0</v>
      </c>
      <c r="L134" s="35">
        <f t="shared" si="111"/>
        <v>0</v>
      </c>
      <c r="M134" s="35">
        <f>IF(D134/Frequency!$N$7=1,1,0)*E134</f>
        <v>0</v>
      </c>
      <c r="N134" s="35">
        <f t="shared" si="112"/>
        <v>0</v>
      </c>
      <c r="O134" s="35">
        <f>IF(AND(D134/Frequency!$N$7&gt;1, D134/Frequency!$N$7&lt;=2),1,0)*E134</f>
        <v>0</v>
      </c>
      <c r="P134" s="35">
        <f t="shared" si="113"/>
        <v>0</v>
      </c>
      <c r="Q134" s="35">
        <f>IF(AND(D134/Frequency!$N$7&gt;2,D134/Frequency!$N$7&lt;=5),1,0)*E134</f>
        <v>0</v>
      </c>
      <c r="R134" s="35">
        <f t="shared" si="114"/>
        <v>0</v>
      </c>
      <c r="S134" s="35">
        <f>IF(AND(D134/Frequency!$N$7&gt;5, D134/Frequency!$N$7&lt;=10),1,0)*E134</f>
        <v>10</v>
      </c>
      <c r="T134" s="35">
        <f t="shared" si="115"/>
        <v>72</v>
      </c>
      <c r="U134" s="35">
        <f>IF(AND(D134/Frequency!$N$7&gt;10, D134/Frequency!$N$7&lt;=20),1,0)*E134</f>
        <v>0</v>
      </c>
      <c r="V134" s="35">
        <f t="shared" si="116"/>
        <v>0</v>
      </c>
      <c r="W134" s="35">
        <f>IF(AND(D134/Frequency!$N$7&gt;20, D134/Frequency!$N$7&lt;=30),1,0)*E134</f>
        <v>0</v>
      </c>
      <c r="X134" s="35">
        <f t="shared" si="117"/>
        <v>0</v>
      </c>
      <c r="Y134" s="35">
        <f>IF(AND(D134/Frequency!$N$7&gt;30, D134/Frequency!$N$7&lt;=50),1,0)*E134</f>
        <v>0</v>
      </c>
      <c r="Z134" s="35">
        <f t="shared" si="118"/>
        <v>0</v>
      </c>
      <c r="AA134" s="35">
        <f>IF(AND(D134/Frequency!$N$7&gt;50, D134/Frequency!$N$7&lt;=100),1,0)*E134</f>
        <v>0</v>
      </c>
      <c r="AB134" s="35">
        <f t="shared" si="119"/>
        <v>0</v>
      </c>
      <c r="AC134" s="35">
        <f>IF(D134/Frequency!$N$7&gt;100,1,0)*E134</f>
        <v>0</v>
      </c>
      <c r="AD134" s="35">
        <f t="shared" si="120"/>
        <v>0</v>
      </c>
      <c r="AE134" s="22">
        <f t="shared" si="121"/>
        <v>0</v>
      </c>
      <c r="AF134" s="22">
        <f t="shared" si="122"/>
        <v>0</v>
      </c>
      <c r="AG134" s="22">
        <f t="shared" si="123"/>
        <v>0</v>
      </c>
      <c r="AH134" s="22">
        <f t="shared" si="124"/>
        <v>0</v>
      </c>
      <c r="AI134" s="35">
        <f t="shared" si="125"/>
        <v>1</v>
      </c>
      <c r="AJ134" s="35">
        <f t="shared" si="126"/>
        <v>10</v>
      </c>
      <c r="AK134" s="35">
        <f t="shared" si="127"/>
        <v>72</v>
      </c>
      <c r="AL134">
        <f t="shared" si="128"/>
        <v>0</v>
      </c>
      <c r="AM134">
        <f t="shared" si="129"/>
        <v>0</v>
      </c>
      <c r="AN134">
        <f t="shared" si="130"/>
        <v>0</v>
      </c>
      <c r="AO134">
        <f t="shared" si="131"/>
        <v>0</v>
      </c>
      <c r="AP134">
        <f t="shared" si="132"/>
        <v>0</v>
      </c>
      <c r="AQ134">
        <f t="shared" si="133"/>
        <v>0</v>
      </c>
      <c r="AR134">
        <f t="shared" si="134"/>
        <v>0</v>
      </c>
      <c r="AS134">
        <f t="shared" si="135"/>
        <v>0</v>
      </c>
      <c r="AT134">
        <f t="shared" si="136"/>
        <v>0</v>
      </c>
      <c r="AU134">
        <f t="shared" si="137"/>
        <v>0</v>
      </c>
      <c r="AV134">
        <v>0</v>
      </c>
      <c r="AW134">
        <v>0</v>
      </c>
      <c r="AX134">
        <f t="shared" si="138"/>
        <v>0</v>
      </c>
      <c r="AY134">
        <f t="shared" si="139"/>
        <v>0</v>
      </c>
      <c r="AZ134">
        <f t="shared" si="140"/>
        <v>0</v>
      </c>
      <c r="BA134">
        <f t="shared" si="141"/>
        <v>0</v>
      </c>
      <c r="BB134">
        <f t="shared" si="142"/>
        <v>0</v>
      </c>
      <c r="BC134">
        <f t="shared" si="143"/>
        <v>0</v>
      </c>
      <c r="BD134">
        <f t="shared" si="144"/>
        <v>0</v>
      </c>
      <c r="BE134">
        <f t="shared" si="145"/>
        <v>0</v>
      </c>
      <c r="BF134">
        <f t="shared" si="146"/>
        <v>0</v>
      </c>
      <c r="BG134">
        <f t="shared" si="147"/>
        <v>0</v>
      </c>
      <c r="BH134">
        <f t="shared" si="148"/>
        <v>0</v>
      </c>
      <c r="BI134">
        <f t="shared" si="149"/>
        <v>0</v>
      </c>
      <c r="BJ134">
        <v>0</v>
      </c>
      <c r="BK134" t="str">
        <f t="shared" si="161"/>
        <v>Standard Win</v>
      </c>
      <c r="BL134" s="40" t="str">
        <f t="shared" si="162"/>
        <v>Combo Win</v>
      </c>
      <c r="BM134">
        <f>(D134/Frequency!$N$7-Summary!$C$7)^2*E134</f>
        <v>404.49600000000004</v>
      </c>
      <c r="BN134">
        <f t="shared" si="150"/>
        <v>0</v>
      </c>
      <c r="BO134">
        <f t="shared" si="151"/>
        <v>0</v>
      </c>
      <c r="BP134">
        <f t="shared" si="152"/>
        <v>0</v>
      </c>
      <c r="BQ134">
        <f t="shared" si="153"/>
        <v>0</v>
      </c>
      <c r="BR134">
        <f t="shared" si="154"/>
        <v>0</v>
      </c>
      <c r="BS134">
        <f t="shared" si="155"/>
        <v>0</v>
      </c>
      <c r="BT134">
        <f t="shared" si="156"/>
        <v>0</v>
      </c>
      <c r="BU134">
        <f t="shared" si="157"/>
        <v>0</v>
      </c>
      <c r="BV134">
        <f t="shared" si="158"/>
        <v>0</v>
      </c>
      <c r="BW134">
        <f t="shared" si="159"/>
        <v>0</v>
      </c>
      <c r="BX134">
        <f t="shared" si="160"/>
        <v>0</v>
      </c>
    </row>
    <row r="135" spans="2:76">
      <c r="B135" s="19">
        <f>Tiers!B136</f>
        <v>133</v>
      </c>
      <c r="C135" s="20" t="str">
        <f>Tiers!X136</f>
        <v>main-0|main-13|main-26|main-18||||||</v>
      </c>
      <c r="D135" s="21">
        <f>Tiers!C136</f>
        <v>18.100000000000001</v>
      </c>
      <c r="E135" s="22">
        <f>Frequency!E137</f>
        <v>10</v>
      </c>
      <c r="F135" s="22">
        <f t="shared" si="110"/>
        <v>181</v>
      </c>
      <c r="G135" s="20">
        <f>IF(AND(D135/Summary!$C$4&gt;0, D135/Summary!$C$4&lt;5),E135,0) * D135</f>
        <v>0</v>
      </c>
      <c r="H135" s="20">
        <f>IF(AND(D135/Summary!$C$4&gt;= 5, D135/Summary!$C$4&lt;10),E135,0) * D135</f>
        <v>0</v>
      </c>
      <c r="I135" s="20">
        <f>IF(AND(D135/Summary!$C$4&gt;=10, D135/Summary!$C$4&lt;25),E135,0)*D135</f>
        <v>181</v>
      </c>
      <c r="J135" s="20">
        <f>IF(D135/Summary!$C$4&gt;=25,E135,0)*D135</f>
        <v>0</v>
      </c>
      <c r="K135" s="35">
        <f>IF(AND(D135/Frequency!$N$7&gt;0, D135/Frequency!$N$7&lt;1),E135,0)</f>
        <v>0</v>
      </c>
      <c r="L135" s="35">
        <f t="shared" si="111"/>
        <v>0</v>
      </c>
      <c r="M135" s="35">
        <f>IF(D135/Frequency!$N$7=1,1,0)*E135</f>
        <v>0</v>
      </c>
      <c r="N135" s="35">
        <f t="shared" si="112"/>
        <v>0</v>
      </c>
      <c r="O135" s="35">
        <f>IF(AND(D135/Frequency!$N$7&gt;1, D135/Frequency!$N$7&lt;=2),1,0)*E135</f>
        <v>0</v>
      </c>
      <c r="P135" s="35">
        <f t="shared" si="113"/>
        <v>0</v>
      </c>
      <c r="Q135" s="35">
        <f>IF(AND(D135/Frequency!$N$7&gt;2,D135/Frequency!$N$7&lt;=5),1,0)*E135</f>
        <v>0</v>
      </c>
      <c r="R135" s="35">
        <f t="shared" si="114"/>
        <v>0</v>
      </c>
      <c r="S135" s="35">
        <f>IF(AND(D135/Frequency!$N$7&gt;5, D135/Frequency!$N$7&lt;=10),1,0)*E135</f>
        <v>0</v>
      </c>
      <c r="T135" s="35">
        <f t="shared" si="115"/>
        <v>0</v>
      </c>
      <c r="U135" s="35">
        <f>IF(AND(D135/Frequency!$N$7&gt;10, D135/Frequency!$N$7&lt;=20),1,0)*E135</f>
        <v>10</v>
      </c>
      <c r="V135" s="35">
        <f t="shared" si="116"/>
        <v>181</v>
      </c>
      <c r="W135" s="35">
        <f>IF(AND(D135/Frequency!$N$7&gt;20, D135/Frequency!$N$7&lt;=30),1,0)*E135</f>
        <v>0</v>
      </c>
      <c r="X135" s="35">
        <f t="shared" si="117"/>
        <v>0</v>
      </c>
      <c r="Y135" s="35">
        <f>IF(AND(D135/Frequency!$N$7&gt;30, D135/Frequency!$N$7&lt;=50),1,0)*E135</f>
        <v>0</v>
      </c>
      <c r="Z135" s="35">
        <f t="shared" si="118"/>
        <v>0</v>
      </c>
      <c r="AA135" s="35">
        <f>IF(AND(D135/Frequency!$N$7&gt;50, D135/Frequency!$N$7&lt;=100),1,0)*E135</f>
        <v>0</v>
      </c>
      <c r="AB135" s="35">
        <f t="shared" si="119"/>
        <v>0</v>
      </c>
      <c r="AC135" s="35">
        <f>IF(D135/Frequency!$N$7&gt;100,1,0)*E135</f>
        <v>0</v>
      </c>
      <c r="AD135" s="35">
        <f t="shared" si="120"/>
        <v>0</v>
      </c>
      <c r="AE135" s="22">
        <f t="shared" si="121"/>
        <v>0</v>
      </c>
      <c r="AF135" s="22">
        <f t="shared" si="122"/>
        <v>0</v>
      </c>
      <c r="AG135" s="22">
        <f t="shared" si="123"/>
        <v>0</v>
      </c>
      <c r="AH135" s="22">
        <f t="shared" si="124"/>
        <v>0</v>
      </c>
      <c r="AI135" s="35">
        <f t="shared" si="125"/>
        <v>1</v>
      </c>
      <c r="AJ135" s="35">
        <f t="shared" si="126"/>
        <v>10</v>
      </c>
      <c r="AK135" s="35">
        <f t="shared" si="127"/>
        <v>181</v>
      </c>
      <c r="AL135">
        <f t="shared" si="128"/>
        <v>0</v>
      </c>
      <c r="AM135">
        <f t="shared" si="129"/>
        <v>0</v>
      </c>
      <c r="AN135">
        <f t="shared" si="130"/>
        <v>0</v>
      </c>
      <c r="AO135">
        <f t="shared" si="131"/>
        <v>0</v>
      </c>
      <c r="AP135">
        <f t="shared" si="132"/>
        <v>0</v>
      </c>
      <c r="AQ135">
        <f t="shared" si="133"/>
        <v>0</v>
      </c>
      <c r="AR135">
        <f t="shared" si="134"/>
        <v>0</v>
      </c>
      <c r="AS135">
        <f t="shared" si="135"/>
        <v>0</v>
      </c>
      <c r="AT135">
        <f t="shared" si="136"/>
        <v>0</v>
      </c>
      <c r="AU135">
        <f t="shared" si="137"/>
        <v>0</v>
      </c>
      <c r="AV135">
        <v>0</v>
      </c>
      <c r="AW135">
        <v>0</v>
      </c>
      <c r="AX135">
        <f t="shared" si="138"/>
        <v>0</v>
      </c>
      <c r="AY135">
        <f t="shared" si="139"/>
        <v>0</v>
      </c>
      <c r="AZ135">
        <f t="shared" si="140"/>
        <v>0</v>
      </c>
      <c r="BA135">
        <f t="shared" si="141"/>
        <v>0</v>
      </c>
      <c r="BB135">
        <f t="shared" si="142"/>
        <v>0</v>
      </c>
      <c r="BC135">
        <f t="shared" si="143"/>
        <v>0</v>
      </c>
      <c r="BD135">
        <f t="shared" si="144"/>
        <v>0</v>
      </c>
      <c r="BE135">
        <f t="shared" si="145"/>
        <v>0</v>
      </c>
      <c r="BF135">
        <f t="shared" si="146"/>
        <v>0</v>
      </c>
      <c r="BG135">
        <f t="shared" si="147"/>
        <v>0</v>
      </c>
      <c r="BH135">
        <f t="shared" si="148"/>
        <v>0</v>
      </c>
      <c r="BI135">
        <f t="shared" si="149"/>
        <v>0</v>
      </c>
      <c r="BJ135">
        <v>0</v>
      </c>
      <c r="BK135" t="str">
        <f t="shared" si="161"/>
        <v>Big Win</v>
      </c>
      <c r="BL135" s="40" t="str">
        <f t="shared" si="162"/>
        <v>Combo Win</v>
      </c>
      <c r="BM135">
        <f>(D135/Frequency!$N$7-Summary!$C$7)^2*E135</f>
        <v>2979.0760000000005</v>
      </c>
      <c r="BN135">
        <f t="shared" si="150"/>
        <v>0</v>
      </c>
      <c r="BO135">
        <f t="shared" si="151"/>
        <v>0</v>
      </c>
      <c r="BP135">
        <f t="shared" si="152"/>
        <v>0</v>
      </c>
      <c r="BQ135">
        <f t="shared" si="153"/>
        <v>0</v>
      </c>
      <c r="BR135">
        <f t="shared" si="154"/>
        <v>0</v>
      </c>
      <c r="BS135">
        <f t="shared" si="155"/>
        <v>0</v>
      </c>
      <c r="BT135">
        <f t="shared" si="156"/>
        <v>0</v>
      </c>
      <c r="BU135">
        <f t="shared" si="157"/>
        <v>0</v>
      </c>
      <c r="BV135">
        <f t="shared" si="158"/>
        <v>0</v>
      </c>
      <c r="BW135">
        <f t="shared" si="159"/>
        <v>0</v>
      </c>
      <c r="BX135">
        <f t="shared" si="160"/>
        <v>0</v>
      </c>
    </row>
    <row r="136" spans="2:76">
      <c r="B136" s="19">
        <f>Tiers!B137</f>
        <v>134</v>
      </c>
      <c r="C136" s="20" t="str">
        <f>Tiers!X137</f>
        <v>main-5|main-13|main-25|main-0||||||</v>
      </c>
      <c r="D136" s="21">
        <f>Tiers!C137</f>
        <v>15.1</v>
      </c>
      <c r="E136" s="22">
        <f>Frequency!E138</f>
        <v>10</v>
      </c>
      <c r="F136" s="22">
        <f t="shared" si="110"/>
        <v>151</v>
      </c>
      <c r="G136" s="20">
        <f>IF(AND(D136/Summary!$C$4&gt;0, D136/Summary!$C$4&lt;5),E136,0) * D136</f>
        <v>0</v>
      </c>
      <c r="H136" s="20">
        <f>IF(AND(D136/Summary!$C$4&gt;= 5, D136/Summary!$C$4&lt;10),E136,0) * D136</f>
        <v>0</v>
      </c>
      <c r="I136" s="20">
        <f>IF(AND(D136/Summary!$C$4&gt;=10, D136/Summary!$C$4&lt;25),E136,0)*D136</f>
        <v>151</v>
      </c>
      <c r="J136" s="20">
        <f>IF(D136/Summary!$C$4&gt;=25,E136,0)*D136</f>
        <v>0</v>
      </c>
      <c r="K136" s="35">
        <f>IF(AND(D136/Frequency!$N$7&gt;0, D136/Frequency!$N$7&lt;1),E136,0)</f>
        <v>0</v>
      </c>
      <c r="L136" s="35">
        <f t="shared" si="111"/>
        <v>0</v>
      </c>
      <c r="M136" s="35">
        <f>IF(D136/Frequency!$N$7=1,1,0)*E136</f>
        <v>0</v>
      </c>
      <c r="N136" s="35">
        <f t="shared" si="112"/>
        <v>0</v>
      </c>
      <c r="O136" s="35">
        <f>IF(AND(D136/Frequency!$N$7&gt;1, D136/Frequency!$N$7&lt;=2),1,0)*E136</f>
        <v>0</v>
      </c>
      <c r="P136" s="35">
        <f t="shared" si="113"/>
        <v>0</v>
      </c>
      <c r="Q136" s="35">
        <f>IF(AND(D136/Frequency!$N$7&gt;2,D136/Frequency!$N$7&lt;=5),1,0)*E136</f>
        <v>0</v>
      </c>
      <c r="R136" s="35">
        <f t="shared" si="114"/>
        <v>0</v>
      </c>
      <c r="S136" s="35">
        <f>IF(AND(D136/Frequency!$N$7&gt;5, D136/Frequency!$N$7&lt;=10),1,0)*E136</f>
        <v>0</v>
      </c>
      <c r="T136" s="35">
        <f t="shared" si="115"/>
        <v>0</v>
      </c>
      <c r="U136" s="35">
        <f>IF(AND(D136/Frequency!$N$7&gt;10, D136/Frequency!$N$7&lt;=20),1,0)*E136</f>
        <v>10</v>
      </c>
      <c r="V136" s="35">
        <f t="shared" si="116"/>
        <v>151</v>
      </c>
      <c r="W136" s="35">
        <f>IF(AND(D136/Frequency!$N$7&gt;20, D136/Frequency!$N$7&lt;=30),1,0)*E136</f>
        <v>0</v>
      </c>
      <c r="X136" s="35">
        <f t="shared" si="117"/>
        <v>0</v>
      </c>
      <c r="Y136" s="35">
        <f>IF(AND(D136/Frequency!$N$7&gt;30, D136/Frequency!$N$7&lt;=50),1,0)*E136</f>
        <v>0</v>
      </c>
      <c r="Z136" s="35">
        <f t="shared" si="118"/>
        <v>0</v>
      </c>
      <c r="AA136" s="35">
        <f>IF(AND(D136/Frequency!$N$7&gt;50, D136/Frequency!$N$7&lt;=100),1,0)*E136</f>
        <v>0</v>
      </c>
      <c r="AB136" s="35">
        <f t="shared" si="119"/>
        <v>0</v>
      </c>
      <c r="AC136" s="35">
        <f>IF(D136/Frequency!$N$7&gt;100,1,0)*E136</f>
        <v>0</v>
      </c>
      <c r="AD136" s="35">
        <f t="shared" si="120"/>
        <v>0</v>
      </c>
      <c r="AE136" s="22">
        <f t="shared" si="121"/>
        <v>0</v>
      </c>
      <c r="AF136" s="22">
        <f t="shared" si="122"/>
        <v>0</v>
      </c>
      <c r="AG136" s="22">
        <f t="shared" si="123"/>
        <v>0</v>
      </c>
      <c r="AH136" s="22">
        <f t="shared" si="124"/>
        <v>0</v>
      </c>
      <c r="AI136" s="35">
        <f t="shared" si="125"/>
        <v>1</v>
      </c>
      <c r="AJ136" s="35">
        <f t="shared" si="126"/>
        <v>10</v>
      </c>
      <c r="AK136" s="35">
        <f t="shared" si="127"/>
        <v>151</v>
      </c>
      <c r="AL136">
        <f t="shared" si="128"/>
        <v>0</v>
      </c>
      <c r="AM136">
        <f t="shared" si="129"/>
        <v>0</v>
      </c>
      <c r="AN136">
        <f t="shared" si="130"/>
        <v>0</v>
      </c>
      <c r="AO136">
        <f t="shared" si="131"/>
        <v>0</v>
      </c>
      <c r="AP136">
        <f t="shared" si="132"/>
        <v>0</v>
      </c>
      <c r="AQ136">
        <f t="shared" si="133"/>
        <v>0</v>
      </c>
      <c r="AR136">
        <f t="shared" si="134"/>
        <v>0</v>
      </c>
      <c r="AS136">
        <f t="shared" si="135"/>
        <v>0</v>
      </c>
      <c r="AT136">
        <f t="shared" si="136"/>
        <v>0</v>
      </c>
      <c r="AU136">
        <f t="shared" si="137"/>
        <v>0</v>
      </c>
      <c r="AV136">
        <v>0</v>
      </c>
      <c r="AW136">
        <v>0</v>
      </c>
      <c r="AX136">
        <f t="shared" si="138"/>
        <v>0</v>
      </c>
      <c r="AY136">
        <f t="shared" si="139"/>
        <v>0</v>
      </c>
      <c r="AZ136">
        <f t="shared" si="140"/>
        <v>0</v>
      </c>
      <c r="BA136">
        <f t="shared" si="141"/>
        <v>0</v>
      </c>
      <c r="BB136">
        <f t="shared" si="142"/>
        <v>0</v>
      </c>
      <c r="BC136">
        <f t="shared" si="143"/>
        <v>0</v>
      </c>
      <c r="BD136">
        <f t="shared" si="144"/>
        <v>0</v>
      </c>
      <c r="BE136">
        <f t="shared" si="145"/>
        <v>0</v>
      </c>
      <c r="BF136">
        <f t="shared" si="146"/>
        <v>0</v>
      </c>
      <c r="BG136">
        <f t="shared" si="147"/>
        <v>0</v>
      </c>
      <c r="BH136">
        <f t="shared" si="148"/>
        <v>0</v>
      </c>
      <c r="BI136">
        <f t="shared" si="149"/>
        <v>0</v>
      </c>
      <c r="BJ136">
        <v>0</v>
      </c>
      <c r="BK136" t="str">
        <f t="shared" si="161"/>
        <v>Big Win</v>
      </c>
      <c r="BL136" s="40" t="str">
        <f t="shared" si="162"/>
        <v>Combo Win</v>
      </c>
      <c r="BM136">
        <f>(D136/Frequency!$N$7-Summary!$C$7)^2*E136</f>
        <v>2033.4760000000001</v>
      </c>
      <c r="BN136">
        <f t="shared" si="150"/>
        <v>0</v>
      </c>
      <c r="BO136">
        <f t="shared" si="151"/>
        <v>0</v>
      </c>
      <c r="BP136">
        <f t="shared" si="152"/>
        <v>0</v>
      </c>
      <c r="BQ136">
        <f t="shared" si="153"/>
        <v>0</v>
      </c>
      <c r="BR136">
        <f t="shared" si="154"/>
        <v>0</v>
      </c>
      <c r="BS136">
        <f t="shared" si="155"/>
        <v>0</v>
      </c>
      <c r="BT136">
        <f t="shared" si="156"/>
        <v>0</v>
      </c>
      <c r="BU136">
        <f t="shared" si="157"/>
        <v>0</v>
      </c>
      <c r="BV136">
        <f t="shared" si="158"/>
        <v>0</v>
      </c>
      <c r="BW136">
        <f t="shared" si="159"/>
        <v>0</v>
      </c>
      <c r="BX136">
        <f t="shared" si="160"/>
        <v>0</v>
      </c>
    </row>
    <row r="137" spans="2:76">
      <c r="B137" s="19">
        <f>Tiers!B138</f>
        <v>135</v>
      </c>
      <c r="C137" s="20" t="str">
        <f>Tiers!X138</f>
        <v>main-18|main-5|main-13|main-3||||||</v>
      </c>
      <c r="D137" s="21">
        <f>Tiers!C138</f>
        <v>14</v>
      </c>
      <c r="E137" s="22">
        <f>Frequency!E139</f>
        <v>10</v>
      </c>
      <c r="F137" s="22">
        <f t="shared" si="110"/>
        <v>140</v>
      </c>
      <c r="G137" s="20">
        <f>IF(AND(D137/Summary!$C$4&gt;0, D137/Summary!$C$4&lt;5),E137,0) * D137</f>
        <v>0</v>
      </c>
      <c r="H137" s="20">
        <f>IF(AND(D137/Summary!$C$4&gt;= 5, D137/Summary!$C$4&lt;10),E137,0) * D137</f>
        <v>0</v>
      </c>
      <c r="I137" s="20">
        <f>IF(AND(D137/Summary!$C$4&gt;=10, D137/Summary!$C$4&lt;25),E137,0)*D137</f>
        <v>140</v>
      </c>
      <c r="J137" s="20">
        <f>IF(D137/Summary!$C$4&gt;=25,E137,0)*D137</f>
        <v>0</v>
      </c>
      <c r="K137" s="35">
        <f>IF(AND(D137/Frequency!$N$7&gt;0, D137/Frequency!$N$7&lt;1),E137,0)</f>
        <v>0</v>
      </c>
      <c r="L137" s="35">
        <f t="shared" si="111"/>
        <v>0</v>
      </c>
      <c r="M137" s="35">
        <f>IF(D137/Frequency!$N$7=1,1,0)*E137</f>
        <v>0</v>
      </c>
      <c r="N137" s="35">
        <f t="shared" si="112"/>
        <v>0</v>
      </c>
      <c r="O137" s="35">
        <f>IF(AND(D137/Frequency!$N$7&gt;1, D137/Frequency!$N$7&lt;=2),1,0)*E137</f>
        <v>0</v>
      </c>
      <c r="P137" s="35">
        <f t="shared" si="113"/>
        <v>0</v>
      </c>
      <c r="Q137" s="35">
        <f>IF(AND(D137/Frequency!$N$7&gt;2,D137/Frequency!$N$7&lt;=5),1,0)*E137</f>
        <v>0</v>
      </c>
      <c r="R137" s="35">
        <f t="shared" si="114"/>
        <v>0</v>
      </c>
      <c r="S137" s="35">
        <f>IF(AND(D137/Frequency!$N$7&gt;5, D137/Frequency!$N$7&lt;=10),1,0)*E137</f>
        <v>0</v>
      </c>
      <c r="T137" s="35">
        <f t="shared" si="115"/>
        <v>0</v>
      </c>
      <c r="U137" s="35">
        <f>IF(AND(D137/Frequency!$N$7&gt;10, D137/Frequency!$N$7&lt;=20),1,0)*E137</f>
        <v>10</v>
      </c>
      <c r="V137" s="35">
        <f t="shared" si="116"/>
        <v>140</v>
      </c>
      <c r="W137" s="35">
        <f>IF(AND(D137/Frequency!$N$7&gt;20, D137/Frequency!$N$7&lt;=30),1,0)*E137</f>
        <v>0</v>
      </c>
      <c r="X137" s="35">
        <f t="shared" si="117"/>
        <v>0</v>
      </c>
      <c r="Y137" s="35">
        <f>IF(AND(D137/Frequency!$N$7&gt;30, D137/Frequency!$N$7&lt;=50),1,0)*E137</f>
        <v>0</v>
      </c>
      <c r="Z137" s="35">
        <f t="shared" si="118"/>
        <v>0</v>
      </c>
      <c r="AA137" s="35">
        <f>IF(AND(D137/Frequency!$N$7&gt;50, D137/Frequency!$N$7&lt;=100),1,0)*E137</f>
        <v>0</v>
      </c>
      <c r="AB137" s="35">
        <f t="shared" si="119"/>
        <v>0</v>
      </c>
      <c r="AC137" s="35">
        <f>IF(D137/Frequency!$N$7&gt;100,1,0)*E137</f>
        <v>0</v>
      </c>
      <c r="AD137" s="35">
        <f t="shared" si="120"/>
        <v>0</v>
      </c>
      <c r="AE137" s="22">
        <f t="shared" si="121"/>
        <v>0</v>
      </c>
      <c r="AF137" s="22">
        <f t="shared" si="122"/>
        <v>0</v>
      </c>
      <c r="AG137" s="22">
        <f t="shared" si="123"/>
        <v>0</v>
      </c>
      <c r="AH137" s="22">
        <f t="shared" si="124"/>
        <v>0</v>
      </c>
      <c r="AI137" s="35">
        <f t="shared" si="125"/>
        <v>1</v>
      </c>
      <c r="AJ137" s="35">
        <f t="shared" si="126"/>
        <v>10</v>
      </c>
      <c r="AK137" s="35">
        <f t="shared" si="127"/>
        <v>140</v>
      </c>
      <c r="AL137">
        <f t="shared" si="128"/>
        <v>0</v>
      </c>
      <c r="AM137">
        <f t="shared" si="129"/>
        <v>0</v>
      </c>
      <c r="AN137">
        <f t="shared" si="130"/>
        <v>0</v>
      </c>
      <c r="AO137">
        <f t="shared" si="131"/>
        <v>0</v>
      </c>
      <c r="AP137">
        <f t="shared" si="132"/>
        <v>0</v>
      </c>
      <c r="AQ137">
        <f t="shared" si="133"/>
        <v>0</v>
      </c>
      <c r="AR137">
        <f t="shared" si="134"/>
        <v>0</v>
      </c>
      <c r="AS137">
        <f t="shared" si="135"/>
        <v>0</v>
      </c>
      <c r="AT137">
        <f t="shared" si="136"/>
        <v>0</v>
      </c>
      <c r="AU137">
        <f t="shared" si="137"/>
        <v>0</v>
      </c>
      <c r="AV137">
        <v>0</v>
      </c>
      <c r="AW137">
        <v>0</v>
      </c>
      <c r="AX137">
        <f t="shared" si="138"/>
        <v>0</v>
      </c>
      <c r="AY137">
        <f t="shared" si="139"/>
        <v>0</v>
      </c>
      <c r="AZ137">
        <f t="shared" si="140"/>
        <v>0</v>
      </c>
      <c r="BA137">
        <f t="shared" si="141"/>
        <v>0</v>
      </c>
      <c r="BB137">
        <f t="shared" si="142"/>
        <v>0</v>
      </c>
      <c r="BC137">
        <f t="shared" si="143"/>
        <v>0</v>
      </c>
      <c r="BD137">
        <f t="shared" si="144"/>
        <v>0</v>
      </c>
      <c r="BE137">
        <f t="shared" si="145"/>
        <v>0</v>
      </c>
      <c r="BF137">
        <f t="shared" si="146"/>
        <v>0</v>
      </c>
      <c r="BG137">
        <f t="shared" si="147"/>
        <v>0</v>
      </c>
      <c r="BH137">
        <f t="shared" si="148"/>
        <v>0</v>
      </c>
      <c r="BI137">
        <f t="shared" si="149"/>
        <v>0</v>
      </c>
      <c r="BJ137">
        <v>0</v>
      </c>
      <c r="BK137" t="str">
        <f t="shared" si="161"/>
        <v>Big Win</v>
      </c>
      <c r="BL137" s="40" t="str">
        <f t="shared" si="162"/>
        <v>Combo Win</v>
      </c>
      <c r="BM137">
        <f>(D137/Frequency!$N$7-Summary!$C$7)^2*E137</f>
        <v>1731.856</v>
      </c>
      <c r="BN137">
        <f t="shared" si="150"/>
        <v>0</v>
      </c>
      <c r="BO137">
        <f t="shared" si="151"/>
        <v>0</v>
      </c>
      <c r="BP137">
        <f t="shared" si="152"/>
        <v>0</v>
      </c>
      <c r="BQ137">
        <f t="shared" si="153"/>
        <v>0</v>
      </c>
      <c r="BR137">
        <f t="shared" si="154"/>
        <v>0</v>
      </c>
      <c r="BS137">
        <f t="shared" si="155"/>
        <v>0</v>
      </c>
      <c r="BT137">
        <f t="shared" si="156"/>
        <v>0</v>
      </c>
      <c r="BU137">
        <f t="shared" si="157"/>
        <v>0</v>
      </c>
      <c r="BV137">
        <f t="shared" si="158"/>
        <v>0</v>
      </c>
      <c r="BW137">
        <f t="shared" si="159"/>
        <v>0</v>
      </c>
      <c r="BX137">
        <f t="shared" si="160"/>
        <v>0</v>
      </c>
    </row>
    <row r="138" spans="2:76">
      <c r="B138" s="19">
        <f>Tiers!B139</f>
        <v>136</v>
      </c>
      <c r="C138" s="20" t="str">
        <f>Tiers!X139</f>
        <v>main-3|main-19|main-13|main-26||||||</v>
      </c>
      <c r="D138" s="21">
        <f>Tiers!C139</f>
        <v>21</v>
      </c>
      <c r="E138" s="22">
        <f>Frequency!E140</f>
        <v>10</v>
      </c>
      <c r="F138" s="22">
        <f t="shared" si="110"/>
        <v>210</v>
      </c>
      <c r="G138" s="20">
        <f>IF(AND(D138/Summary!$C$4&gt;0, D138/Summary!$C$4&lt;5),E138,0) * D138</f>
        <v>0</v>
      </c>
      <c r="H138" s="20">
        <f>IF(AND(D138/Summary!$C$4&gt;= 5, D138/Summary!$C$4&lt;10),E138,0) * D138</f>
        <v>0</v>
      </c>
      <c r="I138" s="20">
        <f>IF(AND(D138/Summary!$C$4&gt;=10, D138/Summary!$C$4&lt;25),E138,0)*D138</f>
        <v>210</v>
      </c>
      <c r="J138" s="20">
        <f>IF(D138/Summary!$C$4&gt;=25,E138,0)*D138</f>
        <v>0</v>
      </c>
      <c r="K138" s="35">
        <f>IF(AND(D138/Frequency!$N$7&gt;0, D138/Frequency!$N$7&lt;1),E138,0)</f>
        <v>0</v>
      </c>
      <c r="L138" s="35">
        <f t="shared" si="111"/>
        <v>0</v>
      </c>
      <c r="M138" s="35">
        <f>IF(D138/Frequency!$N$7=1,1,0)*E138</f>
        <v>0</v>
      </c>
      <c r="N138" s="35">
        <f t="shared" si="112"/>
        <v>0</v>
      </c>
      <c r="O138" s="35">
        <f>IF(AND(D138/Frequency!$N$7&gt;1, D138/Frequency!$N$7&lt;=2),1,0)*E138</f>
        <v>0</v>
      </c>
      <c r="P138" s="35">
        <f t="shared" si="113"/>
        <v>0</v>
      </c>
      <c r="Q138" s="35">
        <f>IF(AND(D138/Frequency!$N$7&gt;2,D138/Frequency!$N$7&lt;=5),1,0)*E138</f>
        <v>0</v>
      </c>
      <c r="R138" s="35">
        <f t="shared" si="114"/>
        <v>0</v>
      </c>
      <c r="S138" s="35">
        <f>IF(AND(D138/Frequency!$N$7&gt;5, D138/Frequency!$N$7&lt;=10),1,0)*E138</f>
        <v>0</v>
      </c>
      <c r="T138" s="35">
        <f t="shared" si="115"/>
        <v>0</v>
      </c>
      <c r="U138" s="35">
        <f>IF(AND(D138/Frequency!$N$7&gt;10, D138/Frequency!$N$7&lt;=20),1,0)*E138</f>
        <v>0</v>
      </c>
      <c r="V138" s="35">
        <f t="shared" si="116"/>
        <v>0</v>
      </c>
      <c r="W138" s="35">
        <f>IF(AND(D138/Frequency!$N$7&gt;20, D138/Frequency!$N$7&lt;=30),1,0)*E138</f>
        <v>10</v>
      </c>
      <c r="X138" s="35">
        <f t="shared" si="117"/>
        <v>210</v>
      </c>
      <c r="Y138" s="35">
        <f>IF(AND(D138/Frequency!$N$7&gt;30, D138/Frequency!$N$7&lt;=50),1,0)*E138</f>
        <v>0</v>
      </c>
      <c r="Z138" s="35">
        <f t="shared" si="118"/>
        <v>0</v>
      </c>
      <c r="AA138" s="35">
        <f>IF(AND(D138/Frequency!$N$7&gt;50, D138/Frequency!$N$7&lt;=100),1,0)*E138</f>
        <v>0</v>
      </c>
      <c r="AB138" s="35">
        <f t="shared" si="119"/>
        <v>0</v>
      </c>
      <c r="AC138" s="35">
        <f>IF(D138/Frequency!$N$7&gt;100,1,0)*E138</f>
        <v>0</v>
      </c>
      <c r="AD138" s="35">
        <f t="shared" si="120"/>
        <v>0</v>
      </c>
      <c r="AE138" s="22">
        <f t="shared" si="121"/>
        <v>0</v>
      </c>
      <c r="AF138" s="22">
        <f t="shared" si="122"/>
        <v>0</v>
      </c>
      <c r="AG138" s="22">
        <f t="shared" si="123"/>
        <v>0</v>
      </c>
      <c r="AH138" s="22">
        <f t="shared" si="124"/>
        <v>0</v>
      </c>
      <c r="AI138" s="35">
        <f t="shared" si="125"/>
        <v>1</v>
      </c>
      <c r="AJ138" s="35">
        <f t="shared" si="126"/>
        <v>10</v>
      </c>
      <c r="AK138" s="35">
        <f t="shared" si="127"/>
        <v>210</v>
      </c>
      <c r="AL138">
        <f t="shared" si="128"/>
        <v>0</v>
      </c>
      <c r="AM138">
        <f t="shared" si="129"/>
        <v>0</v>
      </c>
      <c r="AN138">
        <f t="shared" si="130"/>
        <v>0</v>
      </c>
      <c r="AO138">
        <f t="shared" si="131"/>
        <v>0</v>
      </c>
      <c r="AP138">
        <f t="shared" si="132"/>
        <v>0</v>
      </c>
      <c r="AQ138">
        <f t="shared" si="133"/>
        <v>0</v>
      </c>
      <c r="AR138">
        <f t="shared" si="134"/>
        <v>0</v>
      </c>
      <c r="AS138">
        <f t="shared" si="135"/>
        <v>0</v>
      </c>
      <c r="AT138">
        <f t="shared" si="136"/>
        <v>0</v>
      </c>
      <c r="AU138">
        <f t="shared" si="137"/>
        <v>0</v>
      </c>
      <c r="AV138">
        <v>0</v>
      </c>
      <c r="AW138">
        <v>0</v>
      </c>
      <c r="AX138">
        <f t="shared" si="138"/>
        <v>0</v>
      </c>
      <c r="AY138">
        <f t="shared" si="139"/>
        <v>0</v>
      </c>
      <c r="AZ138">
        <f t="shared" si="140"/>
        <v>0</v>
      </c>
      <c r="BA138">
        <f t="shared" si="141"/>
        <v>0</v>
      </c>
      <c r="BB138">
        <f t="shared" si="142"/>
        <v>0</v>
      </c>
      <c r="BC138">
        <f t="shared" si="143"/>
        <v>0</v>
      </c>
      <c r="BD138">
        <f t="shared" si="144"/>
        <v>0</v>
      </c>
      <c r="BE138">
        <f t="shared" si="145"/>
        <v>0</v>
      </c>
      <c r="BF138">
        <f t="shared" si="146"/>
        <v>0</v>
      </c>
      <c r="BG138">
        <f t="shared" si="147"/>
        <v>0</v>
      </c>
      <c r="BH138">
        <f t="shared" si="148"/>
        <v>0</v>
      </c>
      <c r="BI138">
        <f t="shared" si="149"/>
        <v>0</v>
      </c>
      <c r="BJ138">
        <v>0</v>
      </c>
      <c r="BK138" t="str">
        <f t="shared" si="161"/>
        <v>Big Win</v>
      </c>
      <c r="BL138" s="40" t="str">
        <f t="shared" si="162"/>
        <v>Combo Win</v>
      </c>
      <c r="BM138">
        <f>(D138/Frequency!$N$7-Summary!$C$7)^2*E138</f>
        <v>4064.2560000000003</v>
      </c>
      <c r="BN138">
        <f t="shared" si="150"/>
        <v>0</v>
      </c>
      <c r="BO138">
        <f t="shared" si="151"/>
        <v>0</v>
      </c>
      <c r="BP138">
        <f t="shared" si="152"/>
        <v>0</v>
      </c>
      <c r="BQ138">
        <f t="shared" si="153"/>
        <v>0</v>
      </c>
      <c r="BR138">
        <f t="shared" si="154"/>
        <v>0</v>
      </c>
      <c r="BS138">
        <f t="shared" si="155"/>
        <v>0</v>
      </c>
      <c r="BT138">
        <f t="shared" si="156"/>
        <v>0</v>
      </c>
      <c r="BU138">
        <f t="shared" si="157"/>
        <v>0</v>
      </c>
      <c r="BV138">
        <f t="shared" si="158"/>
        <v>0</v>
      </c>
      <c r="BW138">
        <f t="shared" si="159"/>
        <v>0</v>
      </c>
      <c r="BX138">
        <f t="shared" si="160"/>
        <v>0</v>
      </c>
    </row>
    <row r="139" spans="2:76">
      <c r="B139" s="19">
        <f>Tiers!B140</f>
        <v>137</v>
      </c>
      <c r="C139" s="20" t="str">
        <f>Tiers!X140</f>
        <v>main-19|main-4|main-1|main-15||||||</v>
      </c>
      <c r="D139" s="21">
        <f>Tiers!C140</f>
        <v>27.2</v>
      </c>
      <c r="E139" s="22">
        <f>Frequency!E141</f>
        <v>10</v>
      </c>
      <c r="F139" s="22">
        <f t="shared" si="110"/>
        <v>272</v>
      </c>
      <c r="G139" s="20">
        <f>IF(AND(D139/Summary!$C$4&gt;0, D139/Summary!$C$4&lt;5),E139,0) * D139</f>
        <v>0</v>
      </c>
      <c r="H139" s="20">
        <f>IF(AND(D139/Summary!$C$4&gt;= 5, D139/Summary!$C$4&lt;10),E139,0) * D139</f>
        <v>0</v>
      </c>
      <c r="I139" s="20">
        <f>IF(AND(D139/Summary!$C$4&gt;=10, D139/Summary!$C$4&lt;25),E139,0)*D139</f>
        <v>0</v>
      </c>
      <c r="J139" s="20">
        <f>IF(D139/Summary!$C$4&gt;=25,E139,0)*D139</f>
        <v>272</v>
      </c>
      <c r="K139" s="35">
        <f>IF(AND(D139/Frequency!$N$7&gt;0, D139/Frequency!$N$7&lt;1),E139,0)</f>
        <v>0</v>
      </c>
      <c r="L139" s="35">
        <f t="shared" si="111"/>
        <v>0</v>
      </c>
      <c r="M139" s="35">
        <f>IF(D139/Frequency!$N$7=1,1,0)*E139</f>
        <v>0</v>
      </c>
      <c r="N139" s="35">
        <f t="shared" si="112"/>
        <v>0</v>
      </c>
      <c r="O139" s="35">
        <f>IF(AND(D139/Frequency!$N$7&gt;1, D139/Frequency!$N$7&lt;=2),1,0)*E139</f>
        <v>0</v>
      </c>
      <c r="P139" s="35">
        <f t="shared" si="113"/>
        <v>0</v>
      </c>
      <c r="Q139" s="35">
        <f>IF(AND(D139/Frequency!$N$7&gt;2,D139/Frequency!$N$7&lt;=5),1,0)*E139</f>
        <v>0</v>
      </c>
      <c r="R139" s="35">
        <f t="shared" si="114"/>
        <v>0</v>
      </c>
      <c r="S139" s="35">
        <f>IF(AND(D139/Frequency!$N$7&gt;5, D139/Frequency!$N$7&lt;=10),1,0)*E139</f>
        <v>0</v>
      </c>
      <c r="T139" s="35">
        <f t="shared" si="115"/>
        <v>0</v>
      </c>
      <c r="U139" s="35">
        <f>IF(AND(D139/Frequency!$N$7&gt;10, D139/Frequency!$N$7&lt;=20),1,0)*E139</f>
        <v>0</v>
      </c>
      <c r="V139" s="35">
        <f t="shared" si="116"/>
        <v>0</v>
      </c>
      <c r="W139" s="35">
        <f>IF(AND(D139/Frequency!$N$7&gt;20, D139/Frequency!$N$7&lt;=30),1,0)*E139</f>
        <v>10</v>
      </c>
      <c r="X139" s="35">
        <f t="shared" si="117"/>
        <v>272</v>
      </c>
      <c r="Y139" s="35">
        <f>IF(AND(D139/Frequency!$N$7&gt;30, D139/Frequency!$N$7&lt;=50),1,0)*E139</f>
        <v>0</v>
      </c>
      <c r="Z139" s="35">
        <f t="shared" si="118"/>
        <v>0</v>
      </c>
      <c r="AA139" s="35">
        <f>IF(AND(D139/Frequency!$N$7&gt;50, D139/Frequency!$N$7&lt;=100),1,0)*E139</f>
        <v>0</v>
      </c>
      <c r="AB139" s="35">
        <f t="shared" si="119"/>
        <v>0</v>
      </c>
      <c r="AC139" s="35">
        <f>IF(D139/Frequency!$N$7&gt;100,1,0)*E139</f>
        <v>0</v>
      </c>
      <c r="AD139" s="35">
        <f t="shared" si="120"/>
        <v>0</v>
      </c>
      <c r="AE139" s="22">
        <f t="shared" si="121"/>
        <v>0</v>
      </c>
      <c r="AF139" s="22">
        <f t="shared" si="122"/>
        <v>0</v>
      </c>
      <c r="AG139" s="22">
        <f t="shared" si="123"/>
        <v>0</v>
      </c>
      <c r="AH139" s="22">
        <f t="shared" si="124"/>
        <v>0</v>
      </c>
      <c r="AI139" s="35">
        <f t="shared" si="125"/>
        <v>1</v>
      </c>
      <c r="AJ139" s="35">
        <f t="shared" si="126"/>
        <v>10</v>
      </c>
      <c r="AK139" s="35">
        <f t="shared" si="127"/>
        <v>272</v>
      </c>
      <c r="AL139">
        <f t="shared" si="128"/>
        <v>0</v>
      </c>
      <c r="AM139">
        <f t="shared" si="129"/>
        <v>0</v>
      </c>
      <c r="AN139">
        <f t="shared" si="130"/>
        <v>0</v>
      </c>
      <c r="AO139">
        <f t="shared" si="131"/>
        <v>0</v>
      </c>
      <c r="AP139">
        <f t="shared" si="132"/>
        <v>0</v>
      </c>
      <c r="AQ139">
        <f t="shared" si="133"/>
        <v>0</v>
      </c>
      <c r="AR139">
        <f t="shared" si="134"/>
        <v>0</v>
      </c>
      <c r="AS139">
        <f t="shared" si="135"/>
        <v>0</v>
      </c>
      <c r="AT139">
        <f t="shared" si="136"/>
        <v>0</v>
      </c>
      <c r="AU139">
        <f t="shared" si="137"/>
        <v>0</v>
      </c>
      <c r="AV139">
        <v>0</v>
      </c>
      <c r="AW139">
        <v>0</v>
      </c>
      <c r="AX139">
        <f t="shared" si="138"/>
        <v>0</v>
      </c>
      <c r="AY139">
        <f t="shared" si="139"/>
        <v>0</v>
      </c>
      <c r="AZ139">
        <f t="shared" si="140"/>
        <v>0</v>
      </c>
      <c r="BA139">
        <f t="shared" si="141"/>
        <v>0</v>
      </c>
      <c r="BB139">
        <f t="shared" si="142"/>
        <v>0</v>
      </c>
      <c r="BC139">
        <f t="shared" si="143"/>
        <v>0</v>
      </c>
      <c r="BD139">
        <f t="shared" si="144"/>
        <v>0</v>
      </c>
      <c r="BE139">
        <f t="shared" si="145"/>
        <v>0</v>
      </c>
      <c r="BF139">
        <f t="shared" si="146"/>
        <v>0</v>
      </c>
      <c r="BG139">
        <f t="shared" si="147"/>
        <v>0</v>
      </c>
      <c r="BH139">
        <f t="shared" si="148"/>
        <v>0</v>
      </c>
      <c r="BI139">
        <f t="shared" si="149"/>
        <v>0</v>
      </c>
      <c r="BJ139">
        <v>0</v>
      </c>
      <c r="BK139" t="str">
        <f t="shared" si="161"/>
        <v>Big Win</v>
      </c>
      <c r="BL139" s="40" t="str">
        <f t="shared" si="162"/>
        <v>Combo Win</v>
      </c>
      <c r="BM139">
        <f>(D139/Frequency!$N$7-Summary!$C$7)^2*E139</f>
        <v>6948.4960000000001</v>
      </c>
      <c r="BN139">
        <f t="shared" si="150"/>
        <v>0</v>
      </c>
      <c r="BO139">
        <f t="shared" si="151"/>
        <v>0</v>
      </c>
      <c r="BP139">
        <f t="shared" si="152"/>
        <v>0</v>
      </c>
      <c r="BQ139">
        <f t="shared" si="153"/>
        <v>0</v>
      </c>
      <c r="BR139">
        <f t="shared" si="154"/>
        <v>0</v>
      </c>
      <c r="BS139">
        <f t="shared" si="155"/>
        <v>0</v>
      </c>
      <c r="BT139">
        <f t="shared" si="156"/>
        <v>0</v>
      </c>
      <c r="BU139">
        <f t="shared" si="157"/>
        <v>0</v>
      </c>
      <c r="BV139">
        <f t="shared" si="158"/>
        <v>0</v>
      </c>
      <c r="BW139">
        <f t="shared" si="159"/>
        <v>0</v>
      </c>
      <c r="BX139">
        <f t="shared" si="160"/>
        <v>0</v>
      </c>
    </row>
    <row r="140" spans="2:76">
      <c r="B140" s="19">
        <f>Tiers!B141</f>
        <v>138</v>
      </c>
      <c r="C140" s="20" t="str">
        <f>Tiers!X141</f>
        <v>main-5|main-3|main-5|main-15||||||</v>
      </c>
      <c r="D140" s="21">
        <f>Tiers!C141</f>
        <v>31</v>
      </c>
      <c r="E140" s="22">
        <f>Frequency!E142</f>
        <v>10</v>
      </c>
      <c r="F140" s="22">
        <f t="shared" si="110"/>
        <v>310</v>
      </c>
      <c r="G140" s="20">
        <f>IF(AND(D140/Summary!$C$4&gt;0, D140/Summary!$C$4&lt;5),E140,0) * D140</f>
        <v>0</v>
      </c>
      <c r="H140" s="20">
        <f>IF(AND(D140/Summary!$C$4&gt;= 5, D140/Summary!$C$4&lt;10),E140,0) * D140</f>
        <v>0</v>
      </c>
      <c r="I140" s="20">
        <f>IF(AND(D140/Summary!$C$4&gt;=10, D140/Summary!$C$4&lt;25),E140,0)*D140</f>
        <v>0</v>
      </c>
      <c r="J140" s="20">
        <f>IF(D140/Summary!$C$4&gt;=25,E140,0)*D140</f>
        <v>310</v>
      </c>
      <c r="K140" s="35">
        <f>IF(AND(D140/Frequency!$N$7&gt;0, D140/Frequency!$N$7&lt;1),E140,0)</f>
        <v>0</v>
      </c>
      <c r="L140" s="35">
        <f t="shared" si="111"/>
        <v>0</v>
      </c>
      <c r="M140" s="35">
        <f>IF(D140/Frequency!$N$7=1,1,0)*E140</f>
        <v>0</v>
      </c>
      <c r="N140" s="35">
        <f t="shared" si="112"/>
        <v>0</v>
      </c>
      <c r="O140" s="35">
        <f>IF(AND(D140/Frequency!$N$7&gt;1, D140/Frequency!$N$7&lt;=2),1,0)*E140</f>
        <v>0</v>
      </c>
      <c r="P140" s="35">
        <f t="shared" si="113"/>
        <v>0</v>
      </c>
      <c r="Q140" s="35">
        <f>IF(AND(D140/Frequency!$N$7&gt;2,D140/Frequency!$N$7&lt;=5),1,0)*E140</f>
        <v>0</v>
      </c>
      <c r="R140" s="35">
        <f t="shared" si="114"/>
        <v>0</v>
      </c>
      <c r="S140" s="35">
        <f>IF(AND(D140/Frequency!$N$7&gt;5, D140/Frequency!$N$7&lt;=10),1,0)*E140</f>
        <v>0</v>
      </c>
      <c r="T140" s="35">
        <f t="shared" si="115"/>
        <v>0</v>
      </c>
      <c r="U140" s="35">
        <f>IF(AND(D140/Frequency!$N$7&gt;10, D140/Frequency!$N$7&lt;=20),1,0)*E140</f>
        <v>0</v>
      </c>
      <c r="V140" s="35">
        <f t="shared" si="116"/>
        <v>0</v>
      </c>
      <c r="W140" s="35">
        <f>IF(AND(D140/Frequency!$N$7&gt;20, D140/Frequency!$N$7&lt;=30),1,0)*E140</f>
        <v>0</v>
      </c>
      <c r="X140" s="35">
        <f t="shared" si="117"/>
        <v>0</v>
      </c>
      <c r="Y140" s="35">
        <f>IF(AND(D140/Frequency!$N$7&gt;30, D140/Frequency!$N$7&lt;=50),1,0)*E140</f>
        <v>10</v>
      </c>
      <c r="Z140" s="35">
        <f t="shared" si="118"/>
        <v>310</v>
      </c>
      <c r="AA140" s="35">
        <f>IF(AND(D140/Frequency!$N$7&gt;50, D140/Frequency!$N$7&lt;=100),1,0)*E140</f>
        <v>0</v>
      </c>
      <c r="AB140" s="35">
        <f t="shared" si="119"/>
        <v>0</v>
      </c>
      <c r="AC140" s="35">
        <f>IF(D140/Frequency!$N$7&gt;100,1,0)*E140</f>
        <v>0</v>
      </c>
      <c r="AD140" s="35">
        <f t="shared" si="120"/>
        <v>0</v>
      </c>
      <c r="AE140" s="22">
        <f t="shared" si="121"/>
        <v>0</v>
      </c>
      <c r="AF140" s="22">
        <f t="shared" si="122"/>
        <v>0</v>
      </c>
      <c r="AG140" s="22">
        <f t="shared" si="123"/>
        <v>0</v>
      </c>
      <c r="AH140" s="22">
        <f t="shared" si="124"/>
        <v>0</v>
      </c>
      <c r="AI140" s="35">
        <f t="shared" si="125"/>
        <v>1</v>
      </c>
      <c r="AJ140" s="35">
        <f t="shared" si="126"/>
        <v>10</v>
      </c>
      <c r="AK140" s="35">
        <f t="shared" si="127"/>
        <v>310</v>
      </c>
      <c r="AL140">
        <f t="shared" si="128"/>
        <v>0</v>
      </c>
      <c r="AM140">
        <f t="shared" si="129"/>
        <v>0</v>
      </c>
      <c r="AN140">
        <f t="shared" si="130"/>
        <v>0</v>
      </c>
      <c r="AO140">
        <f t="shared" si="131"/>
        <v>0</v>
      </c>
      <c r="AP140">
        <f t="shared" si="132"/>
        <v>0</v>
      </c>
      <c r="AQ140">
        <f t="shared" si="133"/>
        <v>0</v>
      </c>
      <c r="AR140">
        <f t="shared" si="134"/>
        <v>0</v>
      </c>
      <c r="AS140">
        <f t="shared" si="135"/>
        <v>0</v>
      </c>
      <c r="AT140">
        <f t="shared" si="136"/>
        <v>0</v>
      </c>
      <c r="AU140">
        <f t="shared" si="137"/>
        <v>0</v>
      </c>
      <c r="AV140">
        <v>0</v>
      </c>
      <c r="AW140">
        <v>0</v>
      </c>
      <c r="AX140">
        <f t="shared" si="138"/>
        <v>0</v>
      </c>
      <c r="AY140">
        <f t="shared" si="139"/>
        <v>0</v>
      </c>
      <c r="AZ140">
        <f t="shared" si="140"/>
        <v>0</v>
      </c>
      <c r="BA140">
        <f t="shared" si="141"/>
        <v>0</v>
      </c>
      <c r="BB140">
        <f t="shared" si="142"/>
        <v>0</v>
      </c>
      <c r="BC140">
        <f t="shared" si="143"/>
        <v>0</v>
      </c>
      <c r="BD140">
        <f t="shared" si="144"/>
        <v>0</v>
      </c>
      <c r="BE140">
        <f t="shared" si="145"/>
        <v>0</v>
      </c>
      <c r="BF140">
        <f t="shared" si="146"/>
        <v>0</v>
      </c>
      <c r="BG140">
        <f t="shared" si="147"/>
        <v>0</v>
      </c>
      <c r="BH140">
        <f t="shared" si="148"/>
        <v>0</v>
      </c>
      <c r="BI140">
        <f t="shared" si="149"/>
        <v>0</v>
      </c>
      <c r="BJ140">
        <v>0</v>
      </c>
      <c r="BK140" t="str">
        <f t="shared" si="161"/>
        <v>Big Win</v>
      </c>
      <c r="BL140" s="40" t="str">
        <f t="shared" si="162"/>
        <v>Combo Win</v>
      </c>
      <c r="BM140">
        <f>(D140/Frequency!$N$7-Summary!$C$7)^2*E140</f>
        <v>9096.2559999999994</v>
      </c>
      <c r="BN140">
        <f t="shared" si="150"/>
        <v>0</v>
      </c>
      <c r="BO140">
        <f t="shared" si="151"/>
        <v>0</v>
      </c>
      <c r="BP140">
        <f t="shared" si="152"/>
        <v>0</v>
      </c>
      <c r="BQ140">
        <f t="shared" si="153"/>
        <v>0</v>
      </c>
      <c r="BR140">
        <f t="shared" si="154"/>
        <v>0</v>
      </c>
      <c r="BS140">
        <f t="shared" si="155"/>
        <v>0</v>
      </c>
      <c r="BT140">
        <f t="shared" si="156"/>
        <v>0</v>
      </c>
      <c r="BU140">
        <f t="shared" si="157"/>
        <v>0</v>
      </c>
      <c r="BV140">
        <f t="shared" si="158"/>
        <v>0</v>
      </c>
      <c r="BW140">
        <f t="shared" si="159"/>
        <v>0</v>
      </c>
      <c r="BX140">
        <f t="shared" si="160"/>
        <v>0</v>
      </c>
    </row>
    <row r="141" spans="2:76">
      <c r="B141" s="19">
        <f>Tiers!B142</f>
        <v>139</v>
      </c>
      <c r="C141" s="20" t="str">
        <f>Tiers!X142</f>
        <v>main-4|main-18|main-28|main-0||||||</v>
      </c>
      <c r="D141" s="21">
        <f>Tiers!C142</f>
        <v>105.1</v>
      </c>
      <c r="E141" s="22">
        <f>Frequency!E143</f>
        <v>2</v>
      </c>
      <c r="F141" s="22">
        <f t="shared" si="110"/>
        <v>210.2</v>
      </c>
      <c r="G141" s="20">
        <f>IF(AND(D141/Summary!$C$4&gt;0, D141/Summary!$C$4&lt;5),E141,0) * D141</f>
        <v>0</v>
      </c>
      <c r="H141" s="20">
        <f>IF(AND(D141/Summary!$C$4&gt;= 5, D141/Summary!$C$4&lt;10),E141,0) * D141</f>
        <v>0</v>
      </c>
      <c r="I141" s="20">
        <f>IF(AND(D141/Summary!$C$4&gt;=10, D141/Summary!$C$4&lt;25),E141,0)*D141</f>
        <v>0</v>
      </c>
      <c r="J141" s="20">
        <f>IF(D141/Summary!$C$4&gt;=25,E141,0)*D141</f>
        <v>210.2</v>
      </c>
      <c r="K141" s="35">
        <f>IF(AND(D141/Frequency!$N$7&gt;0, D141/Frequency!$N$7&lt;1),E141,0)</f>
        <v>0</v>
      </c>
      <c r="L141" s="35">
        <f t="shared" si="111"/>
        <v>0</v>
      </c>
      <c r="M141" s="35">
        <f>IF(D141/Frequency!$N$7=1,1,0)*E141</f>
        <v>0</v>
      </c>
      <c r="N141" s="35">
        <f t="shared" si="112"/>
        <v>0</v>
      </c>
      <c r="O141" s="35">
        <f>IF(AND(D141/Frequency!$N$7&gt;1, D141/Frequency!$N$7&lt;=2),1,0)*E141</f>
        <v>0</v>
      </c>
      <c r="P141" s="35">
        <f t="shared" si="113"/>
        <v>0</v>
      </c>
      <c r="Q141" s="35">
        <f>IF(AND(D141/Frequency!$N$7&gt;2,D141/Frequency!$N$7&lt;=5),1,0)*E141</f>
        <v>0</v>
      </c>
      <c r="R141" s="35">
        <f t="shared" si="114"/>
        <v>0</v>
      </c>
      <c r="S141" s="35">
        <f>IF(AND(D141/Frequency!$N$7&gt;5, D141/Frequency!$N$7&lt;=10),1,0)*E141</f>
        <v>0</v>
      </c>
      <c r="T141" s="35">
        <f t="shared" si="115"/>
        <v>0</v>
      </c>
      <c r="U141" s="35">
        <f>IF(AND(D141/Frequency!$N$7&gt;10, D141/Frequency!$N$7&lt;=20),1,0)*E141</f>
        <v>0</v>
      </c>
      <c r="V141" s="35">
        <f t="shared" si="116"/>
        <v>0</v>
      </c>
      <c r="W141" s="35">
        <f>IF(AND(D141/Frequency!$N$7&gt;20, D141/Frequency!$N$7&lt;=30),1,0)*E141</f>
        <v>0</v>
      </c>
      <c r="X141" s="35">
        <f t="shared" si="117"/>
        <v>0</v>
      </c>
      <c r="Y141" s="35">
        <f>IF(AND(D141/Frequency!$N$7&gt;30, D141/Frequency!$N$7&lt;=50),1,0)*E141</f>
        <v>0</v>
      </c>
      <c r="Z141" s="35">
        <f t="shared" si="118"/>
        <v>0</v>
      </c>
      <c r="AA141" s="35">
        <f>IF(AND(D141/Frequency!$N$7&gt;50, D141/Frequency!$N$7&lt;=100),1,0)*E141</f>
        <v>0</v>
      </c>
      <c r="AB141" s="35">
        <f t="shared" si="119"/>
        <v>0</v>
      </c>
      <c r="AC141" s="35">
        <f>IF(D141/Frequency!$N$7&gt;100,1,0)*E141</f>
        <v>2</v>
      </c>
      <c r="AD141" s="35">
        <f t="shared" si="120"/>
        <v>210.2</v>
      </c>
      <c r="AE141" s="22">
        <f t="shared" si="121"/>
        <v>0</v>
      </c>
      <c r="AF141" s="22">
        <f t="shared" si="122"/>
        <v>0</v>
      </c>
      <c r="AG141" s="22">
        <f t="shared" si="123"/>
        <v>0</v>
      </c>
      <c r="AH141" s="22">
        <f t="shared" si="124"/>
        <v>0</v>
      </c>
      <c r="AI141" s="35">
        <f t="shared" si="125"/>
        <v>1</v>
      </c>
      <c r="AJ141" s="35">
        <f t="shared" si="126"/>
        <v>2</v>
      </c>
      <c r="AK141" s="35">
        <f t="shared" si="127"/>
        <v>210.2</v>
      </c>
      <c r="AL141">
        <f t="shared" si="128"/>
        <v>0</v>
      </c>
      <c r="AM141">
        <f t="shared" si="129"/>
        <v>0</v>
      </c>
      <c r="AN141">
        <f t="shared" si="130"/>
        <v>0</v>
      </c>
      <c r="AO141">
        <f t="shared" si="131"/>
        <v>0</v>
      </c>
      <c r="AP141">
        <f t="shared" si="132"/>
        <v>0</v>
      </c>
      <c r="AQ141">
        <f t="shared" si="133"/>
        <v>0</v>
      </c>
      <c r="AR141">
        <f t="shared" si="134"/>
        <v>0</v>
      </c>
      <c r="AS141">
        <f t="shared" si="135"/>
        <v>0</v>
      </c>
      <c r="AT141">
        <f t="shared" si="136"/>
        <v>0</v>
      </c>
      <c r="AU141">
        <f t="shared" si="137"/>
        <v>0</v>
      </c>
      <c r="AV141">
        <v>0</v>
      </c>
      <c r="AW141">
        <v>0</v>
      </c>
      <c r="AX141">
        <f t="shared" si="138"/>
        <v>0</v>
      </c>
      <c r="AY141">
        <f t="shared" si="139"/>
        <v>0</v>
      </c>
      <c r="AZ141">
        <f t="shared" si="140"/>
        <v>0</v>
      </c>
      <c r="BA141">
        <f t="shared" si="141"/>
        <v>0</v>
      </c>
      <c r="BB141">
        <f t="shared" si="142"/>
        <v>0</v>
      </c>
      <c r="BC141">
        <f t="shared" si="143"/>
        <v>0</v>
      </c>
      <c r="BD141">
        <f t="shared" si="144"/>
        <v>0</v>
      </c>
      <c r="BE141">
        <f t="shared" si="145"/>
        <v>0</v>
      </c>
      <c r="BF141">
        <f t="shared" si="146"/>
        <v>0</v>
      </c>
      <c r="BG141">
        <f t="shared" si="147"/>
        <v>0</v>
      </c>
      <c r="BH141">
        <f t="shared" si="148"/>
        <v>0</v>
      </c>
      <c r="BI141">
        <f t="shared" si="149"/>
        <v>0</v>
      </c>
      <c r="BJ141">
        <v>0</v>
      </c>
      <c r="BK141" t="str">
        <f t="shared" si="161"/>
        <v>Huge Win</v>
      </c>
      <c r="BL141" s="40" t="str">
        <f t="shared" si="162"/>
        <v>Combo Win</v>
      </c>
      <c r="BM141">
        <f>(D141/Frequency!$N$7-Summary!$C$7)^2*E141</f>
        <v>21740.295199999997</v>
      </c>
      <c r="BN141">
        <f t="shared" si="150"/>
        <v>0</v>
      </c>
      <c r="BO141">
        <f t="shared" si="151"/>
        <v>0</v>
      </c>
      <c r="BP141">
        <f t="shared" si="152"/>
        <v>0</v>
      </c>
      <c r="BQ141">
        <f t="shared" si="153"/>
        <v>0</v>
      </c>
      <c r="BR141">
        <f t="shared" si="154"/>
        <v>0</v>
      </c>
      <c r="BS141">
        <f t="shared" si="155"/>
        <v>0</v>
      </c>
      <c r="BT141">
        <f t="shared" si="156"/>
        <v>0</v>
      </c>
      <c r="BU141">
        <f t="shared" si="157"/>
        <v>0</v>
      </c>
      <c r="BV141">
        <f t="shared" si="158"/>
        <v>0</v>
      </c>
      <c r="BW141">
        <f t="shared" si="159"/>
        <v>0</v>
      </c>
      <c r="BX141">
        <f t="shared" si="160"/>
        <v>0</v>
      </c>
    </row>
    <row r="142" spans="2:76">
      <c r="B142" s="19">
        <f>Tiers!B143</f>
        <v>140</v>
      </c>
      <c r="C142" s="20" t="str">
        <f>Tiers!X143</f>
        <v>main-19|main-3|main-1|main-18|main-4|||||</v>
      </c>
      <c r="D142" s="21">
        <f>Tiers!C143</f>
        <v>11.2</v>
      </c>
      <c r="E142" s="22">
        <f>Frequency!E144</f>
        <v>10</v>
      </c>
      <c r="F142" s="22">
        <f t="shared" si="110"/>
        <v>112</v>
      </c>
      <c r="G142" s="20">
        <f>IF(AND(D142/Summary!$C$4&gt;0, D142/Summary!$C$4&lt;5),E142,0) * D142</f>
        <v>0</v>
      </c>
      <c r="H142" s="20">
        <f>IF(AND(D142/Summary!$C$4&gt;= 5, D142/Summary!$C$4&lt;10),E142,0) * D142</f>
        <v>0</v>
      </c>
      <c r="I142" s="20">
        <f>IF(AND(D142/Summary!$C$4&gt;=10, D142/Summary!$C$4&lt;25),E142,0)*D142</f>
        <v>112</v>
      </c>
      <c r="J142" s="20">
        <f>IF(D142/Summary!$C$4&gt;=25,E142,0)*D142</f>
        <v>0</v>
      </c>
      <c r="K142" s="35">
        <f>IF(AND(D142/Frequency!$N$7&gt;0, D142/Frequency!$N$7&lt;1),E142,0)</f>
        <v>0</v>
      </c>
      <c r="L142" s="35">
        <f t="shared" si="111"/>
        <v>0</v>
      </c>
      <c r="M142" s="35">
        <f>IF(D142/Frequency!$N$7=1,1,0)*E142</f>
        <v>0</v>
      </c>
      <c r="N142" s="35">
        <f t="shared" si="112"/>
        <v>0</v>
      </c>
      <c r="O142" s="35">
        <f>IF(AND(D142/Frequency!$N$7&gt;1, D142/Frequency!$N$7&lt;=2),1,0)*E142</f>
        <v>0</v>
      </c>
      <c r="P142" s="35">
        <f t="shared" si="113"/>
        <v>0</v>
      </c>
      <c r="Q142" s="35">
        <f>IF(AND(D142/Frequency!$N$7&gt;2,D142/Frequency!$N$7&lt;=5),1,0)*E142</f>
        <v>0</v>
      </c>
      <c r="R142" s="35">
        <f t="shared" si="114"/>
        <v>0</v>
      </c>
      <c r="S142" s="35">
        <f>IF(AND(D142/Frequency!$N$7&gt;5, D142/Frequency!$N$7&lt;=10),1,0)*E142</f>
        <v>0</v>
      </c>
      <c r="T142" s="35">
        <f t="shared" si="115"/>
        <v>0</v>
      </c>
      <c r="U142" s="35">
        <f>IF(AND(D142/Frequency!$N$7&gt;10, D142/Frequency!$N$7&lt;=20),1,0)*E142</f>
        <v>10</v>
      </c>
      <c r="V142" s="35">
        <f t="shared" si="116"/>
        <v>112</v>
      </c>
      <c r="W142" s="35">
        <f>IF(AND(D142/Frequency!$N$7&gt;20, D142/Frequency!$N$7&lt;=30),1,0)*E142</f>
        <v>0</v>
      </c>
      <c r="X142" s="35">
        <f t="shared" si="117"/>
        <v>0</v>
      </c>
      <c r="Y142" s="35">
        <f>IF(AND(D142/Frequency!$N$7&gt;30, D142/Frequency!$N$7&lt;=50),1,0)*E142</f>
        <v>0</v>
      </c>
      <c r="Z142" s="35">
        <f t="shared" si="118"/>
        <v>0</v>
      </c>
      <c r="AA142" s="35">
        <f>IF(AND(D142/Frequency!$N$7&gt;50, D142/Frequency!$N$7&lt;=100),1,0)*E142</f>
        <v>0</v>
      </c>
      <c r="AB142" s="35">
        <f t="shared" si="119"/>
        <v>0</v>
      </c>
      <c r="AC142" s="35">
        <f>IF(D142/Frequency!$N$7&gt;100,1,0)*E142</f>
        <v>0</v>
      </c>
      <c r="AD142" s="35">
        <f t="shared" si="120"/>
        <v>0</v>
      </c>
      <c r="AE142" s="22">
        <f t="shared" si="121"/>
        <v>0</v>
      </c>
      <c r="AF142" s="22">
        <f t="shared" si="122"/>
        <v>0</v>
      </c>
      <c r="AG142" s="22">
        <f t="shared" si="123"/>
        <v>0</v>
      </c>
      <c r="AH142" s="22">
        <f t="shared" si="124"/>
        <v>0</v>
      </c>
      <c r="AI142" s="35">
        <f t="shared" si="125"/>
        <v>1</v>
      </c>
      <c r="AJ142" s="35">
        <f t="shared" si="126"/>
        <v>10</v>
      </c>
      <c r="AK142" s="35">
        <f t="shared" si="127"/>
        <v>112</v>
      </c>
      <c r="AL142">
        <f t="shared" si="128"/>
        <v>0</v>
      </c>
      <c r="AM142">
        <f t="shared" si="129"/>
        <v>0</v>
      </c>
      <c r="AN142">
        <f t="shared" si="130"/>
        <v>0</v>
      </c>
      <c r="AO142">
        <f t="shared" si="131"/>
        <v>0</v>
      </c>
      <c r="AP142">
        <f t="shared" si="132"/>
        <v>0</v>
      </c>
      <c r="AQ142">
        <f t="shared" si="133"/>
        <v>0</v>
      </c>
      <c r="AR142">
        <f t="shared" si="134"/>
        <v>0</v>
      </c>
      <c r="AS142">
        <f t="shared" si="135"/>
        <v>0</v>
      </c>
      <c r="AT142">
        <f t="shared" si="136"/>
        <v>0</v>
      </c>
      <c r="AU142">
        <f t="shared" si="137"/>
        <v>0</v>
      </c>
      <c r="AV142">
        <v>0</v>
      </c>
      <c r="AW142">
        <v>0</v>
      </c>
      <c r="AX142">
        <f t="shared" si="138"/>
        <v>0</v>
      </c>
      <c r="AY142">
        <f t="shared" si="139"/>
        <v>0</v>
      </c>
      <c r="AZ142">
        <f t="shared" si="140"/>
        <v>0</v>
      </c>
      <c r="BA142">
        <f t="shared" si="141"/>
        <v>0</v>
      </c>
      <c r="BB142">
        <f t="shared" si="142"/>
        <v>0</v>
      </c>
      <c r="BC142">
        <f t="shared" si="143"/>
        <v>0</v>
      </c>
      <c r="BD142">
        <f t="shared" si="144"/>
        <v>0</v>
      </c>
      <c r="BE142">
        <f t="shared" si="145"/>
        <v>0</v>
      </c>
      <c r="BF142">
        <f t="shared" si="146"/>
        <v>0</v>
      </c>
      <c r="BG142">
        <f t="shared" si="147"/>
        <v>0</v>
      </c>
      <c r="BH142">
        <f t="shared" si="148"/>
        <v>0</v>
      </c>
      <c r="BI142">
        <f t="shared" si="149"/>
        <v>0</v>
      </c>
      <c r="BJ142">
        <v>0</v>
      </c>
      <c r="BK142" t="str">
        <f t="shared" si="161"/>
        <v>Big Win</v>
      </c>
      <c r="BL142" s="40" t="str">
        <f t="shared" si="162"/>
        <v>Combo Win</v>
      </c>
      <c r="BM142">
        <f>(D142/Frequency!$N$7-Summary!$C$7)^2*E142</f>
        <v>1073.2959999999998</v>
      </c>
      <c r="BN142">
        <f t="shared" si="150"/>
        <v>0</v>
      </c>
      <c r="BO142">
        <f t="shared" si="151"/>
        <v>0</v>
      </c>
      <c r="BP142">
        <f t="shared" si="152"/>
        <v>0</v>
      </c>
      <c r="BQ142">
        <f t="shared" si="153"/>
        <v>0</v>
      </c>
      <c r="BR142">
        <f t="shared" si="154"/>
        <v>0</v>
      </c>
      <c r="BS142">
        <f t="shared" si="155"/>
        <v>0</v>
      </c>
      <c r="BT142">
        <f t="shared" si="156"/>
        <v>0</v>
      </c>
      <c r="BU142">
        <f t="shared" si="157"/>
        <v>0</v>
      </c>
      <c r="BV142">
        <f t="shared" si="158"/>
        <v>0</v>
      </c>
      <c r="BW142">
        <f t="shared" si="159"/>
        <v>0</v>
      </c>
      <c r="BX142">
        <f t="shared" si="160"/>
        <v>0</v>
      </c>
    </row>
    <row r="143" spans="2:76">
      <c r="B143" s="19">
        <f>Tiers!B144</f>
        <v>141</v>
      </c>
      <c r="C143" s="20" t="str">
        <f>Tiers!X144</f>
        <v>main-26|main-0|main-3|main-18|main-18|||||</v>
      </c>
      <c r="D143" s="21">
        <f>Tiers!C144</f>
        <v>17.100000000000001</v>
      </c>
      <c r="E143" s="22">
        <f>Frequency!E145</f>
        <v>10</v>
      </c>
      <c r="F143" s="22">
        <f t="shared" si="110"/>
        <v>171</v>
      </c>
      <c r="G143" s="20">
        <f>IF(AND(D143/Summary!$C$4&gt;0, D143/Summary!$C$4&lt;5),E143,0) * D143</f>
        <v>0</v>
      </c>
      <c r="H143" s="20">
        <f>IF(AND(D143/Summary!$C$4&gt;= 5, D143/Summary!$C$4&lt;10),E143,0) * D143</f>
        <v>0</v>
      </c>
      <c r="I143" s="20">
        <f>IF(AND(D143/Summary!$C$4&gt;=10, D143/Summary!$C$4&lt;25),E143,0)*D143</f>
        <v>171</v>
      </c>
      <c r="J143" s="20">
        <f>IF(D143/Summary!$C$4&gt;=25,E143,0)*D143</f>
        <v>0</v>
      </c>
      <c r="K143" s="35">
        <f>IF(AND(D143/Frequency!$N$7&gt;0, D143/Frequency!$N$7&lt;1),E143,0)</f>
        <v>0</v>
      </c>
      <c r="L143" s="35">
        <f t="shared" si="111"/>
        <v>0</v>
      </c>
      <c r="M143" s="35">
        <f>IF(D143/Frequency!$N$7=1,1,0)*E143</f>
        <v>0</v>
      </c>
      <c r="N143" s="35">
        <f t="shared" si="112"/>
        <v>0</v>
      </c>
      <c r="O143" s="35">
        <f>IF(AND(D143/Frequency!$N$7&gt;1, D143/Frequency!$N$7&lt;=2),1,0)*E143</f>
        <v>0</v>
      </c>
      <c r="P143" s="35">
        <f t="shared" si="113"/>
        <v>0</v>
      </c>
      <c r="Q143" s="35">
        <f>IF(AND(D143/Frequency!$N$7&gt;2,D143/Frequency!$N$7&lt;=5),1,0)*E143</f>
        <v>0</v>
      </c>
      <c r="R143" s="35">
        <f t="shared" si="114"/>
        <v>0</v>
      </c>
      <c r="S143" s="35">
        <f>IF(AND(D143/Frequency!$N$7&gt;5, D143/Frequency!$N$7&lt;=10),1,0)*E143</f>
        <v>0</v>
      </c>
      <c r="T143" s="35">
        <f t="shared" si="115"/>
        <v>0</v>
      </c>
      <c r="U143" s="35">
        <f>IF(AND(D143/Frequency!$N$7&gt;10, D143/Frequency!$N$7&lt;=20),1,0)*E143</f>
        <v>10</v>
      </c>
      <c r="V143" s="35">
        <f t="shared" si="116"/>
        <v>171</v>
      </c>
      <c r="W143" s="35">
        <f>IF(AND(D143/Frequency!$N$7&gt;20, D143/Frequency!$N$7&lt;=30),1,0)*E143</f>
        <v>0</v>
      </c>
      <c r="X143" s="35">
        <f t="shared" si="117"/>
        <v>0</v>
      </c>
      <c r="Y143" s="35">
        <f>IF(AND(D143/Frequency!$N$7&gt;30, D143/Frequency!$N$7&lt;=50),1,0)*E143</f>
        <v>0</v>
      </c>
      <c r="Z143" s="35">
        <f t="shared" si="118"/>
        <v>0</v>
      </c>
      <c r="AA143" s="35">
        <f>IF(AND(D143/Frequency!$N$7&gt;50, D143/Frequency!$N$7&lt;=100),1,0)*E143</f>
        <v>0</v>
      </c>
      <c r="AB143" s="35">
        <f t="shared" si="119"/>
        <v>0</v>
      </c>
      <c r="AC143" s="35">
        <f>IF(D143/Frequency!$N$7&gt;100,1,0)*E143</f>
        <v>0</v>
      </c>
      <c r="AD143" s="35">
        <f t="shared" si="120"/>
        <v>0</v>
      </c>
      <c r="AE143" s="22">
        <f t="shared" si="121"/>
        <v>0</v>
      </c>
      <c r="AF143" s="22">
        <f t="shared" si="122"/>
        <v>0</v>
      </c>
      <c r="AG143" s="22">
        <f t="shared" si="123"/>
        <v>0</v>
      </c>
      <c r="AH143" s="22">
        <f t="shared" si="124"/>
        <v>0</v>
      </c>
      <c r="AI143" s="35">
        <f t="shared" si="125"/>
        <v>1</v>
      </c>
      <c r="AJ143" s="35">
        <f t="shared" si="126"/>
        <v>10</v>
      </c>
      <c r="AK143" s="35">
        <f t="shared" si="127"/>
        <v>171</v>
      </c>
      <c r="AL143">
        <f t="shared" si="128"/>
        <v>0</v>
      </c>
      <c r="AM143">
        <f t="shared" si="129"/>
        <v>0</v>
      </c>
      <c r="AN143">
        <f t="shared" si="130"/>
        <v>0</v>
      </c>
      <c r="AO143">
        <f t="shared" si="131"/>
        <v>0</v>
      </c>
      <c r="AP143">
        <f t="shared" si="132"/>
        <v>0</v>
      </c>
      <c r="AQ143">
        <f t="shared" si="133"/>
        <v>0</v>
      </c>
      <c r="AR143">
        <f t="shared" si="134"/>
        <v>0</v>
      </c>
      <c r="AS143">
        <f t="shared" si="135"/>
        <v>0</v>
      </c>
      <c r="AT143">
        <f t="shared" si="136"/>
        <v>0</v>
      </c>
      <c r="AU143">
        <f t="shared" si="137"/>
        <v>0</v>
      </c>
      <c r="AV143">
        <v>0</v>
      </c>
      <c r="AW143">
        <v>0</v>
      </c>
      <c r="AX143">
        <f t="shared" si="138"/>
        <v>0</v>
      </c>
      <c r="AY143">
        <f t="shared" si="139"/>
        <v>0</v>
      </c>
      <c r="AZ143">
        <f t="shared" si="140"/>
        <v>0</v>
      </c>
      <c r="BA143">
        <f t="shared" si="141"/>
        <v>0</v>
      </c>
      <c r="BB143">
        <f t="shared" si="142"/>
        <v>0</v>
      </c>
      <c r="BC143">
        <f t="shared" si="143"/>
        <v>0</v>
      </c>
      <c r="BD143">
        <f t="shared" si="144"/>
        <v>0</v>
      </c>
      <c r="BE143">
        <f t="shared" si="145"/>
        <v>0</v>
      </c>
      <c r="BF143">
        <f t="shared" si="146"/>
        <v>0</v>
      </c>
      <c r="BG143">
        <f t="shared" si="147"/>
        <v>0</v>
      </c>
      <c r="BH143">
        <f t="shared" si="148"/>
        <v>0</v>
      </c>
      <c r="BI143">
        <f t="shared" si="149"/>
        <v>0</v>
      </c>
      <c r="BJ143">
        <v>0</v>
      </c>
      <c r="BK143" t="str">
        <f t="shared" si="161"/>
        <v>Big Win</v>
      </c>
      <c r="BL143" s="40" t="str">
        <f t="shared" si="162"/>
        <v>Combo Win</v>
      </c>
      <c r="BM143">
        <f>(D143/Frequency!$N$7-Summary!$C$7)^2*E143</f>
        <v>2643.8760000000007</v>
      </c>
      <c r="BN143">
        <f t="shared" si="150"/>
        <v>0</v>
      </c>
      <c r="BO143">
        <f t="shared" si="151"/>
        <v>0</v>
      </c>
      <c r="BP143">
        <f t="shared" si="152"/>
        <v>0</v>
      </c>
      <c r="BQ143">
        <f t="shared" si="153"/>
        <v>0</v>
      </c>
      <c r="BR143">
        <f t="shared" si="154"/>
        <v>0</v>
      </c>
      <c r="BS143">
        <f t="shared" si="155"/>
        <v>0</v>
      </c>
      <c r="BT143">
        <f t="shared" si="156"/>
        <v>0</v>
      </c>
      <c r="BU143">
        <f t="shared" si="157"/>
        <v>0</v>
      </c>
      <c r="BV143">
        <f t="shared" si="158"/>
        <v>0</v>
      </c>
      <c r="BW143">
        <f t="shared" si="159"/>
        <v>0</v>
      </c>
      <c r="BX143">
        <f t="shared" si="160"/>
        <v>0</v>
      </c>
    </row>
    <row r="144" spans="2:76">
      <c r="B144" s="19">
        <f>Tiers!B145</f>
        <v>142</v>
      </c>
      <c r="C144" s="20" t="str">
        <f>Tiers!X145</f>
        <v>main-4|main-2|main-5|main-3|main-3|||||</v>
      </c>
      <c r="D144" s="21">
        <f>Tiers!C145</f>
        <v>9.5</v>
      </c>
      <c r="E144" s="22">
        <f>Frequency!E146</f>
        <v>10</v>
      </c>
      <c r="F144" s="22">
        <f t="shared" si="110"/>
        <v>95</v>
      </c>
      <c r="G144" s="20">
        <f>IF(AND(D144/Summary!$C$4&gt;0, D144/Summary!$C$4&lt;5),E144,0) * D144</f>
        <v>0</v>
      </c>
      <c r="H144" s="20">
        <f>IF(AND(D144/Summary!$C$4&gt;= 5, D144/Summary!$C$4&lt;10),E144,0) * D144</f>
        <v>95</v>
      </c>
      <c r="I144" s="20">
        <f>IF(AND(D144/Summary!$C$4&gt;=10, D144/Summary!$C$4&lt;25),E144,0)*D144</f>
        <v>0</v>
      </c>
      <c r="J144" s="20">
        <f>IF(D144/Summary!$C$4&gt;=25,E144,0)*D144</f>
        <v>0</v>
      </c>
      <c r="K144" s="35">
        <f>IF(AND(D144/Frequency!$N$7&gt;0, D144/Frequency!$N$7&lt;1),E144,0)</f>
        <v>0</v>
      </c>
      <c r="L144" s="35">
        <f t="shared" si="111"/>
        <v>0</v>
      </c>
      <c r="M144" s="35">
        <f>IF(D144/Frequency!$N$7=1,1,0)*E144</f>
        <v>0</v>
      </c>
      <c r="N144" s="35">
        <f t="shared" si="112"/>
        <v>0</v>
      </c>
      <c r="O144" s="35">
        <f>IF(AND(D144/Frequency!$N$7&gt;1, D144/Frequency!$N$7&lt;=2),1,0)*E144</f>
        <v>0</v>
      </c>
      <c r="P144" s="35">
        <f t="shared" si="113"/>
        <v>0</v>
      </c>
      <c r="Q144" s="35">
        <f>IF(AND(D144/Frequency!$N$7&gt;2,D144/Frequency!$N$7&lt;=5),1,0)*E144</f>
        <v>0</v>
      </c>
      <c r="R144" s="35">
        <f t="shared" si="114"/>
        <v>0</v>
      </c>
      <c r="S144" s="35">
        <f>IF(AND(D144/Frequency!$N$7&gt;5, D144/Frequency!$N$7&lt;=10),1,0)*E144</f>
        <v>10</v>
      </c>
      <c r="T144" s="35">
        <f t="shared" si="115"/>
        <v>95</v>
      </c>
      <c r="U144" s="35">
        <f>IF(AND(D144/Frequency!$N$7&gt;10, D144/Frequency!$N$7&lt;=20),1,0)*E144</f>
        <v>0</v>
      </c>
      <c r="V144" s="35">
        <f t="shared" si="116"/>
        <v>0</v>
      </c>
      <c r="W144" s="35">
        <f>IF(AND(D144/Frequency!$N$7&gt;20, D144/Frequency!$N$7&lt;=30),1,0)*E144</f>
        <v>0</v>
      </c>
      <c r="X144" s="35">
        <f t="shared" si="117"/>
        <v>0</v>
      </c>
      <c r="Y144" s="35">
        <f>IF(AND(D144/Frequency!$N$7&gt;30, D144/Frequency!$N$7&lt;=50),1,0)*E144</f>
        <v>0</v>
      </c>
      <c r="Z144" s="35">
        <f t="shared" si="118"/>
        <v>0</v>
      </c>
      <c r="AA144" s="35">
        <f>IF(AND(D144/Frequency!$N$7&gt;50, D144/Frequency!$N$7&lt;=100),1,0)*E144</f>
        <v>0</v>
      </c>
      <c r="AB144" s="35">
        <f t="shared" si="119"/>
        <v>0</v>
      </c>
      <c r="AC144" s="35">
        <f>IF(D144/Frequency!$N$7&gt;100,1,0)*E144</f>
        <v>0</v>
      </c>
      <c r="AD144" s="35">
        <f t="shared" si="120"/>
        <v>0</v>
      </c>
      <c r="AE144" s="22">
        <f t="shared" si="121"/>
        <v>0</v>
      </c>
      <c r="AF144" s="22">
        <f t="shared" si="122"/>
        <v>0</v>
      </c>
      <c r="AG144" s="22">
        <f t="shared" si="123"/>
        <v>0</v>
      </c>
      <c r="AH144" s="22">
        <f t="shared" si="124"/>
        <v>0</v>
      </c>
      <c r="AI144" s="35">
        <f t="shared" si="125"/>
        <v>1</v>
      </c>
      <c r="AJ144" s="35">
        <f t="shared" si="126"/>
        <v>10</v>
      </c>
      <c r="AK144" s="35">
        <f t="shared" si="127"/>
        <v>95</v>
      </c>
      <c r="AL144">
        <f t="shared" si="128"/>
        <v>0</v>
      </c>
      <c r="AM144">
        <f t="shared" si="129"/>
        <v>0</v>
      </c>
      <c r="AN144">
        <f t="shared" si="130"/>
        <v>0</v>
      </c>
      <c r="AO144">
        <f t="shared" si="131"/>
        <v>0</v>
      </c>
      <c r="AP144">
        <f t="shared" si="132"/>
        <v>0</v>
      </c>
      <c r="AQ144">
        <f t="shared" si="133"/>
        <v>0</v>
      </c>
      <c r="AR144">
        <f t="shared" si="134"/>
        <v>0</v>
      </c>
      <c r="AS144">
        <f t="shared" si="135"/>
        <v>0</v>
      </c>
      <c r="AT144">
        <f t="shared" si="136"/>
        <v>0</v>
      </c>
      <c r="AU144">
        <f t="shared" si="137"/>
        <v>0</v>
      </c>
      <c r="AV144">
        <v>0</v>
      </c>
      <c r="AW144">
        <v>0</v>
      </c>
      <c r="AX144">
        <f t="shared" si="138"/>
        <v>0</v>
      </c>
      <c r="AY144">
        <f t="shared" si="139"/>
        <v>0</v>
      </c>
      <c r="AZ144">
        <f t="shared" si="140"/>
        <v>0</v>
      </c>
      <c r="BA144">
        <f t="shared" si="141"/>
        <v>0</v>
      </c>
      <c r="BB144">
        <f t="shared" si="142"/>
        <v>0</v>
      </c>
      <c r="BC144">
        <f t="shared" si="143"/>
        <v>0</v>
      </c>
      <c r="BD144">
        <f t="shared" si="144"/>
        <v>0</v>
      </c>
      <c r="BE144">
        <f t="shared" si="145"/>
        <v>0</v>
      </c>
      <c r="BF144">
        <f t="shared" si="146"/>
        <v>0</v>
      </c>
      <c r="BG144">
        <f t="shared" si="147"/>
        <v>0</v>
      </c>
      <c r="BH144">
        <f t="shared" si="148"/>
        <v>0</v>
      </c>
      <c r="BI144">
        <f t="shared" si="149"/>
        <v>0</v>
      </c>
      <c r="BJ144">
        <v>0</v>
      </c>
      <c r="BK144" t="str">
        <f t="shared" si="161"/>
        <v>Standard Win</v>
      </c>
      <c r="BL144" s="40" t="str">
        <f t="shared" si="162"/>
        <v>Combo Win</v>
      </c>
      <c r="BM144">
        <f>(D144/Frequency!$N$7-Summary!$C$7)^2*E144</f>
        <v>749.9559999999999</v>
      </c>
      <c r="BN144">
        <f t="shared" si="150"/>
        <v>0</v>
      </c>
      <c r="BO144">
        <f t="shared" si="151"/>
        <v>0</v>
      </c>
      <c r="BP144">
        <f t="shared" si="152"/>
        <v>0</v>
      </c>
      <c r="BQ144">
        <f t="shared" si="153"/>
        <v>0</v>
      </c>
      <c r="BR144">
        <f t="shared" si="154"/>
        <v>0</v>
      </c>
      <c r="BS144">
        <f t="shared" si="155"/>
        <v>0</v>
      </c>
      <c r="BT144">
        <f t="shared" si="156"/>
        <v>0</v>
      </c>
      <c r="BU144">
        <f t="shared" si="157"/>
        <v>0</v>
      </c>
      <c r="BV144">
        <f t="shared" si="158"/>
        <v>0</v>
      </c>
      <c r="BW144">
        <f t="shared" si="159"/>
        <v>0</v>
      </c>
      <c r="BX144">
        <f t="shared" si="160"/>
        <v>0</v>
      </c>
    </row>
    <row r="145" spans="2:76">
      <c r="B145" s="19">
        <f>Tiers!B146</f>
        <v>143</v>
      </c>
      <c r="C145" s="20" t="str">
        <f>Tiers!X146</f>
        <v>main-5|main-0|main-4|main-4|main-18|||||</v>
      </c>
      <c r="D145" s="21">
        <f>Tiers!C146</f>
        <v>12.1</v>
      </c>
      <c r="E145" s="22">
        <f>Frequency!E147</f>
        <v>10</v>
      </c>
      <c r="F145" s="22">
        <f t="shared" si="110"/>
        <v>121</v>
      </c>
      <c r="G145" s="20">
        <f>IF(AND(D145/Summary!$C$4&gt;0, D145/Summary!$C$4&lt;5),E145,0) * D145</f>
        <v>0</v>
      </c>
      <c r="H145" s="20">
        <f>IF(AND(D145/Summary!$C$4&gt;= 5, D145/Summary!$C$4&lt;10),E145,0) * D145</f>
        <v>0</v>
      </c>
      <c r="I145" s="20">
        <f>IF(AND(D145/Summary!$C$4&gt;=10, D145/Summary!$C$4&lt;25),E145,0)*D145</f>
        <v>121</v>
      </c>
      <c r="J145" s="20">
        <f>IF(D145/Summary!$C$4&gt;=25,E145,0)*D145</f>
        <v>0</v>
      </c>
      <c r="K145" s="35">
        <f>IF(AND(D145/Frequency!$N$7&gt;0, D145/Frequency!$N$7&lt;1),E145,0)</f>
        <v>0</v>
      </c>
      <c r="L145" s="35">
        <f t="shared" si="111"/>
        <v>0</v>
      </c>
      <c r="M145" s="35">
        <f>IF(D145/Frequency!$N$7=1,1,0)*E145</f>
        <v>0</v>
      </c>
      <c r="N145" s="35">
        <f t="shared" si="112"/>
        <v>0</v>
      </c>
      <c r="O145" s="35">
        <f>IF(AND(D145/Frequency!$N$7&gt;1, D145/Frequency!$N$7&lt;=2),1,0)*E145</f>
        <v>0</v>
      </c>
      <c r="P145" s="35">
        <f t="shared" si="113"/>
        <v>0</v>
      </c>
      <c r="Q145" s="35">
        <f>IF(AND(D145/Frequency!$N$7&gt;2,D145/Frequency!$N$7&lt;=5),1,0)*E145</f>
        <v>0</v>
      </c>
      <c r="R145" s="35">
        <f t="shared" si="114"/>
        <v>0</v>
      </c>
      <c r="S145" s="35">
        <f>IF(AND(D145/Frequency!$N$7&gt;5, D145/Frequency!$N$7&lt;=10),1,0)*E145</f>
        <v>0</v>
      </c>
      <c r="T145" s="35">
        <f t="shared" si="115"/>
        <v>0</v>
      </c>
      <c r="U145" s="35">
        <f>IF(AND(D145/Frequency!$N$7&gt;10, D145/Frequency!$N$7&lt;=20),1,0)*E145</f>
        <v>10</v>
      </c>
      <c r="V145" s="35">
        <f t="shared" si="116"/>
        <v>121</v>
      </c>
      <c r="W145" s="35">
        <f>IF(AND(D145/Frequency!$N$7&gt;20, D145/Frequency!$N$7&lt;=30),1,0)*E145</f>
        <v>0</v>
      </c>
      <c r="X145" s="35">
        <f t="shared" si="117"/>
        <v>0</v>
      </c>
      <c r="Y145" s="35">
        <f>IF(AND(D145/Frequency!$N$7&gt;30, D145/Frequency!$N$7&lt;=50),1,0)*E145</f>
        <v>0</v>
      </c>
      <c r="Z145" s="35">
        <f t="shared" si="118"/>
        <v>0</v>
      </c>
      <c r="AA145" s="35">
        <f>IF(AND(D145/Frequency!$N$7&gt;50, D145/Frequency!$N$7&lt;=100),1,0)*E145</f>
        <v>0</v>
      </c>
      <c r="AB145" s="35">
        <f t="shared" si="119"/>
        <v>0</v>
      </c>
      <c r="AC145" s="35">
        <f>IF(D145/Frequency!$N$7&gt;100,1,0)*E145</f>
        <v>0</v>
      </c>
      <c r="AD145" s="35">
        <f t="shared" si="120"/>
        <v>0</v>
      </c>
      <c r="AE145" s="22">
        <f t="shared" si="121"/>
        <v>0</v>
      </c>
      <c r="AF145" s="22">
        <f t="shared" si="122"/>
        <v>0</v>
      </c>
      <c r="AG145" s="22">
        <f t="shared" si="123"/>
        <v>0</v>
      </c>
      <c r="AH145" s="22">
        <f t="shared" si="124"/>
        <v>0</v>
      </c>
      <c r="AI145" s="35">
        <f t="shared" si="125"/>
        <v>1</v>
      </c>
      <c r="AJ145" s="35">
        <f t="shared" si="126"/>
        <v>10</v>
      </c>
      <c r="AK145" s="35">
        <f t="shared" si="127"/>
        <v>121</v>
      </c>
      <c r="AL145">
        <f t="shared" si="128"/>
        <v>0</v>
      </c>
      <c r="AM145">
        <f t="shared" si="129"/>
        <v>0</v>
      </c>
      <c r="AN145">
        <f t="shared" si="130"/>
        <v>0</v>
      </c>
      <c r="AO145">
        <f t="shared" si="131"/>
        <v>0</v>
      </c>
      <c r="AP145">
        <f t="shared" si="132"/>
        <v>0</v>
      </c>
      <c r="AQ145">
        <f t="shared" si="133"/>
        <v>0</v>
      </c>
      <c r="AR145">
        <f t="shared" si="134"/>
        <v>0</v>
      </c>
      <c r="AS145">
        <f t="shared" si="135"/>
        <v>0</v>
      </c>
      <c r="AT145">
        <f t="shared" si="136"/>
        <v>0</v>
      </c>
      <c r="AU145">
        <f t="shared" si="137"/>
        <v>0</v>
      </c>
      <c r="AV145">
        <v>0</v>
      </c>
      <c r="AW145">
        <v>0</v>
      </c>
      <c r="AX145">
        <f t="shared" si="138"/>
        <v>0</v>
      </c>
      <c r="AY145">
        <f t="shared" si="139"/>
        <v>0</v>
      </c>
      <c r="AZ145">
        <f t="shared" si="140"/>
        <v>0</v>
      </c>
      <c r="BA145">
        <f t="shared" si="141"/>
        <v>0</v>
      </c>
      <c r="BB145">
        <f t="shared" si="142"/>
        <v>0</v>
      </c>
      <c r="BC145">
        <f t="shared" si="143"/>
        <v>0</v>
      </c>
      <c r="BD145">
        <f t="shared" si="144"/>
        <v>0</v>
      </c>
      <c r="BE145">
        <f t="shared" si="145"/>
        <v>0</v>
      </c>
      <c r="BF145">
        <f t="shared" si="146"/>
        <v>0</v>
      </c>
      <c r="BG145">
        <f t="shared" si="147"/>
        <v>0</v>
      </c>
      <c r="BH145">
        <f t="shared" si="148"/>
        <v>0</v>
      </c>
      <c r="BI145">
        <f t="shared" si="149"/>
        <v>0</v>
      </c>
      <c r="BJ145">
        <v>0</v>
      </c>
      <c r="BK145" t="str">
        <f t="shared" si="161"/>
        <v>Big Win</v>
      </c>
      <c r="BL145" s="40" t="str">
        <f t="shared" si="162"/>
        <v>Combo Win</v>
      </c>
      <c r="BM145">
        <f>(D145/Frequency!$N$7-Summary!$C$7)^2*E145</f>
        <v>1267.876</v>
      </c>
      <c r="BN145">
        <f t="shared" si="150"/>
        <v>0</v>
      </c>
      <c r="BO145">
        <f t="shared" si="151"/>
        <v>0</v>
      </c>
      <c r="BP145">
        <f t="shared" si="152"/>
        <v>0</v>
      </c>
      <c r="BQ145">
        <f t="shared" si="153"/>
        <v>0</v>
      </c>
      <c r="BR145">
        <f t="shared" si="154"/>
        <v>0</v>
      </c>
      <c r="BS145">
        <f t="shared" si="155"/>
        <v>0</v>
      </c>
      <c r="BT145">
        <f t="shared" si="156"/>
        <v>0</v>
      </c>
      <c r="BU145">
        <f t="shared" si="157"/>
        <v>0</v>
      </c>
      <c r="BV145">
        <f t="shared" si="158"/>
        <v>0</v>
      </c>
      <c r="BW145">
        <f t="shared" si="159"/>
        <v>0</v>
      </c>
      <c r="BX145">
        <f t="shared" si="160"/>
        <v>0</v>
      </c>
    </row>
    <row r="146" spans="2:76">
      <c r="B146" s="19">
        <f>Tiers!B147</f>
        <v>144</v>
      </c>
      <c r="C146" s="20" t="str">
        <f>Tiers!X147</f>
        <v>main-5|main-3|main-18|main-0|main-26|||||</v>
      </c>
      <c r="D146" s="21">
        <f>Tiers!C147</f>
        <v>19.100000000000001</v>
      </c>
      <c r="E146" s="22">
        <f>Frequency!E148</f>
        <v>10</v>
      </c>
      <c r="F146" s="22">
        <f t="shared" si="110"/>
        <v>191</v>
      </c>
      <c r="G146" s="20">
        <f>IF(AND(D146/Summary!$C$4&gt;0, D146/Summary!$C$4&lt;5),E146,0) * D146</f>
        <v>0</v>
      </c>
      <c r="H146" s="20">
        <f>IF(AND(D146/Summary!$C$4&gt;= 5, D146/Summary!$C$4&lt;10),E146,0) * D146</f>
        <v>0</v>
      </c>
      <c r="I146" s="20">
        <f>IF(AND(D146/Summary!$C$4&gt;=10, D146/Summary!$C$4&lt;25),E146,0)*D146</f>
        <v>191</v>
      </c>
      <c r="J146" s="20">
        <f>IF(D146/Summary!$C$4&gt;=25,E146,0)*D146</f>
        <v>0</v>
      </c>
      <c r="K146" s="35">
        <f>IF(AND(D146/Frequency!$N$7&gt;0, D146/Frequency!$N$7&lt;1),E146,0)</f>
        <v>0</v>
      </c>
      <c r="L146" s="35">
        <f t="shared" si="111"/>
        <v>0</v>
      </c>
      <c r="M146" s="35">
        <f>IF(D146/Frequency!$N$7=1,1,0)*E146</f>
        <v>0</v>
      </c>
      <c r="N146" s="35">
        <f t="shared" si="112"/>
        <v>0</v>
      </c>
      <c r="O146" s="35">
        <f>IF(AND(D146/Frequency!$N$7&gt;1, D146/Frequency!$N$7&lt;=2),1,0)*E146</f>
        <v>0</v>
      </c>
      <c r="P146" s="35">
        <f t="shared" si="113"/>
        <v>0</v>
      </c>
      <c r="Q146" s="35">
        <f>IF(AND(D146/Frequency!$N$7&gt;2,D146/Frequency!$N$7&lt;=5),1,0)*E146</f>
        <v>0</v>
      </c>
      <c r="R146" s="35">
        <f t="shared" si="114"/>
        <v>0</v>
      </c>
      <c r="S146" s="35">
        <f>IF(AND(D146/Frequency!$N$7&gt;5, D146/Frequency!$N$7&lt;=10),1,0)*E146</f>
        <v>0</v>
      </c>
      <c r="T146" s="35">
        <f t="shared" si="115"/>
        <v>0</v>
      </c>
      <c r="U146" s="35">
        <f>IF(AND(D146/Frequency!$N$7&gt;10, D146/Frequency!$N$7&lt;=20),1,0)*E146</f>
        <v>10</v>
      </c>
      <c r="V146" s="35">
        <f t="shared" si="116"/>
        <v>191</v>
      </c>
      <c r="W146" s="35">
        <f>IF(AND(D146/Frequency!$N$7&gt;20, D146/Frequency!$N$7&lt;=30),1,0)*E146</f>
        <v>0</v>
      </c>
      <c r="X146" s="35">
        <f t="shared" si="117"/>
        <v>0</v>
      </c>
      <c r="Y146" s="35">
        <f>IF(AND(D146/Frequency!$N$7&gt;30, D146/Frequency!$N$7&lt;=50),1,0)*E146</f>
        <v>0</v>
      </c>
      <c r="Z146" s="35">
        <f t="shared" si="118"/>
        <v>0</v>
      </c>
      <c r="AA146" s="35">
        <f>IF(AND(D146/Frequency!$N$7&gt;50, D146/Frequency!$N$7&lt;=100),1,0)*E146</f>
        <v>0</v>
      </c>
      <c r="AB146" s="35">
        <f t="shared" si="119"/>
        <v>0</v>
      </c>
      <c r="AC146" s="35">
        <f>IF(D146/Frequency!$N$7&gt;100,1,0)*E146</f>
        <v>0</v>
      </c>
      <c r="AD146" s="35">
        <f t="shared" si="120"/>
        <v>0</v>
      </c>
      <c r="AE146" s="22">
        <f t="shared" si="121"/>
        <v>0</v>
      </c>
      <c r="AF146" s="22">
        <f t="shared" si="122"/>
        <v>0</v>
      </c>
      <c r="AG146" s="22">
        <f t="shared" si="123"/>
        <v>0</v>
      </c>
      <c r="AH146" s="22">
        <f t="shared" si="124"/>
        <v>0</v>
      </c>
      <c r="AI146" s="35">
        <f t="shared" si="125"/>
        <v>1</v>
      </c>
      <c r="AJ146" s="35">
        <f t="shared" si="126"/>
        <v>10</v>
      </c>
      <c r="AK146" s="35">
        <f t="shared" si="127"/>
        <v>191</v>
      </c>
      <c r="AL146">
        <f t="shared" si="128"/>
        <v>0</v>
      </c>
      <c r="AM146">
        <f t="shared" si="129"/>
        <v>0</v>
      </c>
      <c r="AN146">
        <f t="shared" si="130"/>
        <v>0</v>
      </c>
      <c r="AO146">
        <f t="shared" si="131"/>
        <v>0</v>
      </c>
      <c r="AP146">
        <f t="shared" si="132"/>
        <v>0</v>
      </c>
      <c r="AQ146">
        <f t="shared" si="133"/>
        <v>0</v>
      </c>
      <c r="AR146">
        <f t="shared" si="134"/>
        <v>0</v>
      </c>
      <c r="AS146">
        <f t="shared" si="135"/>
        <v>0</v>
      </c>
      <c r="AT146">
        <f t="shared" si="136"/>
        <v>0</v>
      </c>
      <c r="AU146">
        <f t="shared" si="137"/>
        <v>0</v>
      </c>
      <c r="AV146">
        <v>0</v>
      </c>
      <c r="AW146">
        <v>0</v>
      </c>
      <c r="AX146">
        <f t="shared" si="138"/>
        <v>0</v>
      </c>
      <c r="AY146">
        <f t="shared" si="139"/>
        <v>0</v>
      </c>
      <c r="AZ146">
        <f t="shared" si="140"/>
        <v>0</v>
      </c>
      <c r="BA146">
        <f t="shared" si="141"/>
        <v>0</v>
      </c>
      <c r="BB146">
        <f t="shared" si="142"/>
        <v>0</v>
      </c>
      <c r="BC146">
        <f t="shared" si="143"/>
        <v>0</v>
      </c>
      <c r="BD146">
        <f t="shared" si="144"/>
        <v>0</v>
      </c>
      <c r="BE146">
        <f t="shared" si="145"/>
        <v>0</v>
      </c>
      <c r="BF146">
        <f t="shared" si="146"/>
        <v>0</v>
      </c>
      <c r="BG146">
        <f t="shared" si="147"/>
        <v>0</v>
      </c>
      <c r="BH146">
        <f t="shared" si="148"/>
        <v>0</v>
      </c>
      <c r="BI146">
        <f t="shared" si="149"/>
        <v>0</v>
      </c>
      <c r="BJ146">
        <v>0</v>
      </c>
      <c r="BK146" t="str">
        <f t="shared" si="161"/>
        <v>Big Win</v>
      </c>
      <c r="BL146" s="40" t="str">
        <f t="shared" si="162"/>
        <v>Combo Win</v>
      </c>
      <c r="BM146">
        <f>(D146/Frequency!$N$7-Summary!$C$7)^2*E146</f>
        <v>3334.2760000000003</v>
      </c>
      <c r="BN146">
        <f t="shared" si="150"/>
        <v>0</v>
      </c>
      <c r="BO146">
        <f t="shared" si="151"/>
        <v>0</v>
      </c>
      <c r="BP146">
        <f t="shared" si="152"/>
        <v>0</v>
      </c>
      <c r="BQ146">
        <f t="shared" si="153"/>
        <v>0</v>
      </c>
      <c r="BR146">
        <f t="shared" si="154"/>
        <v>0</v>
      </c>
      <c r="BS146">
        <f t="shared" si="155"/>
        <v>0</v>
      </c>
      <c r="BT146">
        <f t="shared" si="156"/>
        <v>0</v>
      </c>
      <c r="BU146">
        <f t="shared" si="157"/>
        <v>0</v>
      </c>
      <c r="BV146">
        <f t="shared" si="158"/>
        <v>0</v>
      </c>
      <c r="BW146">
        <f t="shared" si="159"/>
        <v>0</v>
      </c>
      <c r="BX146">
        <f t="shared" si="160"/>
        <v>0</v>
      </c>
    </row>
    <row r="147" spans="2:76">
      <c r="B147" s="19">
        <f>Tiers!B148</f>
        <v>145</v>
      </c>
      <c r="C147" s="20" t="str">
        <f>Tiers!X148</f>
        <v>main-3|main-1|main-4|main-26|main-26|||||</v>
      </c>
      <c r="D147" s="21">
        <f>Tiers!C148</f>
        <v>23.2</v>
      </c>
      <c r="E147" s="22">
        <f>Frequency!E149</f>
        <v>10</v>
      </c>
      <c r="F147" s="22">
        <f t="shared" si="110"/>
        <v>232</v>
      </c>
      <c r="G147" s="20">
        <f>IF(AND(D147/Summary!$C$4&gt;0, D147/Summary!$C$4&lt;5),E147,0) * D147</f>
        <v>0</v>
      </c>
      <c r="H147" s="20">
        <f>IF(AND(D147/Summary!$C$4&gt;= 5, D147/Summary!$C$4&lt;10),E147,0) * D147</f>
        <v>0</v>
      </c>
      <c r="I147" s="20">
        <f>IF(AND(D147/Summary!$C$4&gt;=10, D147/Summary!$C$4&lt;25),E147,0)*D147</f>
        <v>232</v>
      </c>
      <c r="J147" s="20">
        <f>IF(D147/Summary!$C$4&gt;=25,E147,0)*D147</f>
        <v>0</v>
      </c>
      <c r="K147" s="35">
        <f>IF(AND(D147/Frequency!$N$7&gt;0, D147/Frequency!$N$7&lt;1),E147,0)</f>
        <v>0</v>
      </c>
      <c r="L147" s="35">
        <f t="shared" si="111"/>
        <v>0</v>
      </c>
      <c r="M147" s="35">
        <f>IF(D147/Frequency!$N$7=1,1,0)*E147</f>
        <v>0</v>
      </c>
      <c r="N147" s="35">
        <f t="shared" si="112"/>
        <v>0</v>
      </c>
      <c r="O147" s="35">
        <f>IF(AND(D147/Frequency!$N$7&gt;1, D147/Frequency!$N$7&lt;=2),1,0)*E147</f>
        <v>0</v>
      </c>
      <c r="P147" s="35">
        <f t="shared" si="113"/>
        <v>0</v>
      </c>
      <c r="Q147" s="35">
        <f>IF(AND(D147/Frequency!$N$7&gt;2,D147/Frequency!$N$7&lt;=5),1,0)*E147</f>
        <v>0</v>
      </c>
      <c r="R147" s="35">
        <f t="shared" si="114"/>
        <v>0</v>
      </c>
      <c r="S147" s="35">
        <f>IF(AND(D147/Frequency!$N$7&gt;5, D147/Frequency!$N$7&lt;=10),1,0)*E147</f>
        <v>0</v>
      </c>
      <c r="T147" s="35">
        <f t="shared" si="115"/>
        <v>0</v>
      </c>
      <c r="U147" s="35">
        <f>IF(AND(D147/Frequency!$N$7&gt;10, D147/Frequency!$N$7&lt;=20),1,0)*E147</f>
        <v>0</v>
      </c>
      <c r="V147" s="35">
        <f t="shared" si="116"/>
        <v>0</v>
      </c>
      <c r="W147" s="35">
        <f>IF(AND(D147/Frequency!$N$7&gt;20, D147/Frequency!$N$7&lt;=30),1,0)*E147</f>
        <v>10</v>
      </c>
      <c r="X147" s="35">
        <f t="shared" si="117"/>
        <v>232</v>
      </c>
      <c r="Y147" s="35">
        <f>IF(AND(D147/Frequency!$N$7&gt;30, D147/Frequency!$N$7&lt;=50),1,0)*E147</f>
        <v>0</v>
      </c>
      <c r="Z147" s="35">
        <f t="shared" si="118"/>
        <v>0</v>
      </c>
      <c r="AA147" s="35">
        <f>IF(AND(D147/Frequency!$N$7&gt;50, D147/Frequency!$N$7&lt;=100),1,0)*E147</f>
        <v>0</v>
      </c>
      <c r="AB147" s="35">
        <f t="shared" si="119"/>
        <v>0</v>
      </c>
      <c r="AC147" s="35">
        <f>IF(D147/Frequency!$N$7&gt;100,1,0)*E147</f>
        <v>0</v>
      </c>
      <c r="AD147" s="35">
        <f t="shared" si="120"/>
        <v>0</v>
      </c>
      <c r="AE147" s="22">
        <f t="shared" si="121"/>
        <v>0</v>
      </c>
      <c r="AF147" s="22">
        <f t="shared" si="122"/>
        <v>0</v>
      </c>
      <c r="AG147" s="22">
        <f t="shared" si="123"/>
        <v>0</v>
      </c>
      <c r="AH147" s="22">
        <f t="shared" si="124"/>
        <v>0</v>
      </c>
      <c r="AI147" s="35">
        <f t="shared" si="125"/>
        <v>1</v>
      </c>
      <c r="AJ147" s="35">
        <f t="shared" si="126"/>
        <v>10</v>
      </c>
      <c r="AK147" s="35">
        <f t="shared" si="127"/>
        <v>232</v>
      </c>
      <c r="AL147">
        <f t="shared" si="128"/>
        <v>0</v>
      </c>
      <c r="AM147">
        <f t="shared" si="129"/>
        <v>0</v>
      </c>
      <c r="AN147">
        <f t="shared" si="130"/>
        <v>0</v>
      </c>
      <c r="AO147">
        <f t="shared" si="131"/>
        <v>0</v>
      </c>
      <c r="AP147">
        <f t="shared" si="132"/>
        <v>0</v>
      </c>
      <c r="AQ147">
        <f t="shared" si="133"/>
        <v>0</v>
      </c>
      <c r="AR147">
        <f t="shared" si="134"/>
        <v>0</v>
      </c>
      <c r="AS147">
        <f t="shared" si="135"/>
        <v>0</v>
      </c>
      <c r="AT147">
        <f t="shared" si="136"/>
        <v>0</v>
      </c>
      <c r="AU147">
        <f t="shared" si="137"/>
        <v>0</v>
      </c>
      <c r="AV147">
        <v>0</v>
      </c>
      <c r="AW147">
        <v>0</v>
      </c>
      <c r="AX147">
        <f t="shared" si="138"/>
        <v>0</v>
      </c>
      <c r="AY147">
        <f t="shared" si="139"/>
        <v>0</v>
      </c>
      <c r="AZ147">
        <f t="shared" si="140"/>
        <v>0</v>
      </c>
      <c r="BA147">
        <f t="shared" si="141"/>
        <v>0</v>
      </c>
      <c r="BB147">
        <f t="shared" si="142"/>
        <v>0</v>
      </c>
      <c r="BC147">
        <f t="shared" si="143"/>
        <v>0</v>
      </c>
      <c r="BD147">
        <f t="shared" si="144"/>
        <v>0</v>
      </c>
      <c r="BE147">
        <f t="shared" si="145"/>
        <v>0</v>
      </c>
      <c r="BF147">
        <f t="shared" si="146"/>
        <v>0</v>
      </c>
      <c r="BG147">
        <f t="shared" si="147"/>
        <v>0</v>
      </c>
      <c r="BH147">
        <f t="shared" si="148"/>
        <v>0</v>
      </c>
      <c r="BI147">
        <f t="shared" si="149"/>
        <v>0</v>
      </c>
      <c r="BJ147">
        <v>0</v>
      </c>
      <c r="BK147" t="str">
        <f t="shared" si="161"/>
        <v>Big Win</v>
      </c>
      <c r="BL147" s="40" t="str">
        <f t="shared" si="162"/>
        <v>Combo Win</v>
      </c>
      <c r="BM147">
        <f>(D147/Frequency!$N$7-Summary!$C$7)^2*E147</f>
        <v>4999.6959999999999</v>
      </c>
      <c r="BN147">
        <f t="shared" si="150"/>
        <v>0</v>
      </c>
      <c r="BO147">
        <f t="shared" si="151"/>
        <v>0</v>
      </c>
      <c r="BP147">
        <f t="shared" si="152"/>
        <v>0</v>
      </c>
      <c r="BQ147">
        <f t="shared" si="153"/>
        <v>0</v>
      </c>
      <c r="BR147">
        <f t="shared" si="154"/>
        <v>0</v>
      </c>
      <c r="BS147">
        <f t="shared" si="155"/>
        <v>0</v>
      </c>
      <c r="BT147">
        <f t="shared" si="156"/>
        <v>0</v>
      </c>
      <c r="BU147">
        <f t="shared" si="157"/>
        <v>0</v>
      </c>
      <c r="BV147">
        <f t="shared" si="158"/>
        <v>0</v>
      </c>
      <c r="BW147">
        <f t="shared" si="159"/>
        <v>0</v>
      </c>
      <c r="BX147">
        <f t="shared" si="160"/>
        <v>0</v>
      </c>
    </row>
    <row r="148" spans="2:76">
      <c r="B148" s="19">
        <f>Tiers!B149</f>
        <v>146</v>
      </c>
      <c r="C148" s="20" t="str">
        <f>Tiers!X149</f>
        <v>main-26|main-4|main-4|main-0|main-26|||||</v>
      </c>
      <c r="D148" s="21">
        <f>Tiers!C149</f>
        <v>24.1</v>
      </c>
      <c r="E148" s="22">
        <f>Frequency!E150</f>
        <v>10</v>
      </c>
      <c r="F148" s="22">
        <f t="shared" si="110"/>
        <v>241</v>
      </c>
      <c r="G148" s="20">
        <f>IF(AND(D148/Summary!$C$4&gt;0, D148/Summary!$C$4&lt;5),E148,0) * D148</f>
        <v>0</v>
      </c>
      <c r="H148" s="20">
        <f>IF(AND(D148/Summary!$C$4&gt;= 5, D148/Summary!$C$4&lt;10),E148,0) * D148</f>
        <v>0</v>
      </c>
      <c r="I148" s="20">
        <f>IF(AND(D148/Summary!$C$4&gt;=10, D148/Summary!$C$4&lt;25),E148,0)*D148</f>
        <v>241</v>
      </c>
      <c r="J148" s="20">
        <f>IF(D148/Summary!$C$4&gt;=25,E148,0)*D148</f>
        <v>0</v>
      </c>
      <c r="K148" s="35">
        <f>IF(AND(D148/Frequency!$N$7&gt;0, D148/Frequency!$N$7&lt;1),E148,0)</f>
        <v>0</v>
      </c>
      <c r="L148" s="35">
        <f t="shared" si="111"/>
        <v>0</v>
      </c>
      <c r="M148" s="35">
        <f>IF(D148/Frequency!$N$7=1,1,0)*E148</f>
        <v>0</v>
      </c>
      <c r="N148" s="35">
        <f t="shared" si="112"/>
        <v>0</v>
      </c>
      <c r="O148" s="35">
        <f>IF(AND(D148/Frequency!$N$7&gt;1, D148/Frequency!$N$7&lt;=2),1,0)*E148</f>
        <v>0</v>
      </c>
      <c r="P148" s="35">
        <f t="shared" si="113"/>
        <v>0</v>
      </c>
      <c r="Q148" s="35">
        <f>IF(AND(D148/Frequency!$N$7&gt;2,D148/Frequency!$N$7&lt;=5),1,0)*E148</f>
        <v>0</v>
      </c>
      <c r="R148" s="35">
        <f t="shared" si="114"/>
        <v>0</v>
      </c>
      <c r="S148" s="35">
        <f>IF(AND(D148/Frequency!$N$7&gt;5, D148/Frequency!$N$7&lt;=10),1,0)*E148</f>
        <v>0</v>
      </c>
      <c r="T148" s="35">
        <f t="shared" si="115"/>
        <v>0</v>
      </c>
      <c r="U148" s="35">
        <f>IF(AND(D148/Frequency!$N$7&gt;10, D148/Frequency!$N$7&lt;=20),1,0)*E148</f>
        <v>0</v>
      </c>
      <c r="V148" s="35">
        <f t="shared" si="116"/>
        <v>0</v>
      </c>
      <c r="W148" s="35">
        <f>IF(AND(D148/Frequency!$N$7&gt;20, D148/Frequency!$N$7&lt;=30),1,0)*E148</f>
        <v>10</v>
      </c>
      <c r="X148" s="35">
        <f t="shared" si="117"/>
        <v>241</v>
      </c>
      <c r="Y148" s="35">
        <f>IF(AND(D148/Frequency!$N$7&gt;30, D148/Frequency!$N$7&lt;=50),1,0)*E148</f>
        <v>0</v>
      </c>
      <c r="Z148" s="35">
        <f t="shared" si="118"/>
        <v>0</v>
      </c>
      <c r="AA148" s="35">
        <f>IF(AND(D148/Frequency!$N$7&gt;50, D148/Frequency!$N$7&lt;=100),1,0)*E148</f>
        <v>0</v>
      </c>
      <c r="AB148" s="35">
        <f t="shared" si="119"/>
        <v>0</v>
      </c>
      <c r="AC148" s="35">
        <f>IF(D148/Frequency!$N$7&gt;100,1,0)*E148</f>
        <v>0</v>
      </c>
      <c r="AD148" s="35">
        <f t="shared" si="120"/>
        <v>0</v>
      </c>
      <c r="AE148" s="22">
        <f t="shared" si="121"/>
        <v>0</v>
      </c>
      <c r="AF148" s="22">
        <f t="shared" si="122"/>
        <v>0</v>
      </c>
      <c r="AG148" s="22">
        <f t="shared" si="123"/>
        <v>0</v>
      </c>
      <c r="AH148" s="22">
        <f t="shared" si="124"/>
        <v>0</v>
      </c>
      <c r="AI148" s="35">
        <f t="shared" si="125"/>
        <v>1</v>
      </c>
      <c r="AJ148" s="35">
        <f t="shared" si="126"/>
        <v>10</v>
      </c>
      <c r="AK148" s="35">
        <f t="shared" si="127"/>
        <v>241</v>
      </c>
      <c r="AL148">
        <f t="shared" si="128"/>
        <v>0</v>
      </c>
      <c r="AM148">
        <f t="shared" si="129"/>
        <v>0</v>
      </c>
      <c r="AN148">
        <f t="shared" si="130"/>
        <v>0</v>
      </c>
      <c r="AO148">
        <f t="shared" si="131"/>
        <v>0</v>
      </c>
      <c r="AP148">
        <f t="shared" si="132"/>
        <v>0</v>
      </c>
      <c r="AQ148">
        <f t="shared" si="133"/>
        <v>0</v>
      </c>
      <c r="AR148">
        <f t="shared" si="134"/>
        <v>0</v>
      </c>
      <c r="AS148">
        <f t="shared" si="135"/>
        <v>0</v>
      </c>
      <c r="AT148">
        <f t="shared" si="136"/>
        <v>0</v>
      </c>
      <c r="AU148">
        <f t="shared" si="137"/>
        <v>0</v>
      </c>
      <c r="AV148">
        <v>0</v>
      </c>
      <c r="AW148">
        <v>0</v>
      </c>
      <c r="AX148">
        <f t="shared" si="138"/>
        <v>0</v>
      </c>
      <c r="AY148">
        <f t="shared" si="139"/>
        <v>0</v>
      </c>
      <c r="AZ148">
        <f t="shared" si="140"/>
        <v>0</v>
      </c>
      <c r="BA148">
        <f t="shared" si="141"/>
        <v>0</v>
      </c>
      <c r="BB148">
        <f t="shared" si="142"/>
        <v>0</v>
      </c>
      <c r="BC148">
        <f t="shared" si="143"/>
        <v>0</v>
      </c>
      <c r="BD148">
        <f t="shared" si="144"/>
        <v>0</v>
      </c>
      <c r="BE148">
        <f t="shared" si="145"/>
        <v>0</v>
      </c>
      <c r="BF148">
        <f t="shared" si="146"/>
        <v>0</v>
      </c>
      <c r="BG148">
        <f t="shared" si="147"/>
        <v>0</v>
      </c>
      <c r="BH148">
        <f t="shared" si="148"/>
        <v>0</v>
      </c>
      <c r="BI148">
        <f t="shared" si="149"/>
        <v>0</v>
      </c>
      <c r="BJ148">
        <v>0</v>
      </c>
      <c r="BK148" t="str">
        <f t="shared" si="161"/>
        <v>Big Win</v>
      </c>
      <c r="BL148" s="40" t="str">
        <f t="shared" si="162"/>
        <v>Combo Win</v>
      </c>
      <c r="BM148">
        <f>(D148/Frequency!$N$7-Summary!$C$7)^2*E148</f>
        <v>5410.2760000000017</v>
      </c>
      <c r="BN148">
        <f t="shared" si="150"/>
        <v>0</v>
      </c>
      <c r="BO148">
        <f t="shared" si="151"/>
        <v>0</v>
      </c>
      <c r="BP148">
        <f t="shared" si="152"/>
        <v>0</v>
      </c>
      <c r="BQ148">
        <f t="shared" si="153"/>
        <v>0</v>
      </c>
      <c r="BR148">
        <f t="shared" si="154"/>
        <v>0</v>
      </c>
      <c r="BS148">
        <f t="shared" si="155"/>
        <v>0</v>
      </c>
      <c r="BT148">
        <f t="shared" si="156"/>
        <v>0</v>
      </c>
      <c r="BU148">
        <f t="shared" si="157"/>
        <v>0</v>
      </c>
      <c r="BV148">
        <f t="shared" si="158"/>
        <v>0</v>
      </c>
      <c r="BW148">
        <f t="shared" si="159"/>
        <v>0</v>
      </c>
      <c r="BX148">
        <f t="shared" si="160"/>
        <v>0</v>
      </c>
    </row>
    <row r="149" spans="2:76">
      <c r="B149" s="19">
        <f>Tiers!B150</f>
        <v>147</v>
      </c>
      <c r="C149" s="20" t="str">
        <f>Tiers!X150</f>
        <v>main-20|main-4|main-1|main-26|main-5|||||</v>
      </c>
      <c r="D149" s="21">
        <f>Tiers!C150</f>
        <v>27.2</v>
      </c>
      <c r="E149" s="22">
        <f>Frequency!E151</f>
        <v>10</v>
      </c>
      <c r="F149" s="22">
        <f t="shared" si="110"/>
        <v>272</v>
      </c>
      <c r="G149" s="20">
        <f>IF(AND(D149/Summary!$C$4&gt;0, D149/Summary!$C$4&lt;5),E149,0) * D149</f>
        <v>0</v>
      </c>
      <c r="H149" s="20">
        <f>IF(AND(D149/Summary!$C$4&gt;= 5, D149/Summary!$C$4&lt;10),E149,0) * D149</f>
        <v>0</v>
      </c>
      <c r="I149" s="20">
        <f>IF(AND(D149/Summary!$C$4&gt;=10, D149/Summary!$C$4&lt;25),E149,0)*D149</f>
        <v>0</v>
      </c>
      <c r="J149" s="20">
        <f>IF(D149/Summary!$C$4&gt;=25,E149,0)*D149</f>
        <v>272</v>
      </c>
      <c r="K149" s="35">
        <f>IF(AND(D149/Frequency!$N$7&gt;0, D149/Frequency!$N$7&lt;1),E149,0)</f>
        <v>0</v>
      </c>
      <c r="L149" s="35">
        <f t="shared" si="111"/>
        <v>0</v>
      </c>
      <c r="M149" s="35">
        <f>IF(D149/Frequency!$N$7=1,1,0)*E149</f>
        <v>0</v>
      </c>
      <c r="N149" s="35">
        <f t="shared" si="112"/>
        <v>0</v>
      </c>
      <c r="O149" s="35">
        <f>IF(AND(D149/Frequency!$N$7&gt;1, D149/Frequency!$N$7&lt;=2),1,0)*E149</f>
        <v>0</v>
      </c>
      <c r="P149" s="35">
        <f t="shared" si="113"/>
        <v>0</v>
      </c>
      <c r="Q149" s="35">
        <f>IF(AND(D149/Frequency!$N$7&gt;2,D149/Frequency!$N$7&lt;=5),1,0)*E149</f>
        <v>0</v>
      </c>
      <c r="R149" s="35">
        <f t="shared" si="114"/>
        <v>0</v>
      </c>
      <c r="S149" s="35">
        <f>IF(AND(D149/Frequency!$N$7&gt;5, D149/Frequency!$N$7&lt;=10),1,0)*E149</f>
        <v>0</v>
      </c>
      <c r="T149" s="35">
        <f t="shared" si="115"/>
        <v>0</v>
      </c>
      <c r="U149" s="35">
        <f>IF(AND(D149/Frequency!$N$7&gt;10, D149/Frequency!$N$7&lt;=20),1,0)*E149</f>
        <v>0</v>
      </c>
      <c r="V149" s="35">
        <f t="shared" si="116"/>
        <v>0</v>
      </c>
      <c r="W149" s="35">
        <f>IF(AND(D149/Frequency!$N$7&gt;20, D149/Frequency!$N$7&lt;=30),1,0)*E149</f>
        <v>10</v>
      </c>
      <c r="X149" s="35">
        <f t="shared" si="117"/>
        <v>272</v>
      </c>
      <c r="Y149" s="35">
        <f>IF(AND(D149/Frequency!$N$7&gt;30, D149/Frequency!$N$7&lt;=50),1,0)*E149</f>
        <v>0</v>
      </c>
      <c r="Z149" s="35">
        <f t="shared" si="118"/>
        <v>0</v>
      </c>
      <c r="AA149" s="35">
        <f>IF(AND(D149/Frequency!$N$7&gt;50, D149/Frequency!$N$7&lt;=100),1,0)*E149</f>
        <v>0</v>
      </c>
      <c r="AB149" s="35">
        <f t="shared" si="119"/>
        <v>0</v>
      </c>
      <c r="AC149" s="35">
        <f>IF(D149/Frequency!$N$7&gt;100,1,0)*E149</f>
        <v>0</v>
      </c>
      <c r="AD149" s="35">
        <f t="shared" si="120"/>
        <v>0</v>
      </c>
      <c r="AE149" s="22">
        <f t="shared" si="121"/>
        <v>0</v>
      </c>
      <c r="AF149" s="22">
        <f t="shared" si="122"/>
        <v>0</v>
      </c>
      <c r="AG149" s="22">
        <f t="shared" si="123"/>
        <v>0</v>
      </c>
      <c r="AH149" s="22">
        <f t="shared" si="124"/>
        <v>0</v>
      </c>
      <c r="AI149" s="35">
        <f t="shared" si="125"/>
        <v>1</v>
      </c>
      <c r="AJ149" s="35">
        <f t="shared" si="126"/>
        <v>10</v>
      </c>
      <c r="AK149" s="35">
        <f t="shared" si="127"/>
        <v>272</v>
      </c>
      <c r="AL149">
        <f t="shared" si="128"/>
        <v>0</v>
      </c>
      <c r="AM149">
        <f t="shared" si="129"/>
        <v>0</v>
      </c>
      <c r="AN149">
        <f t="shared" si="130"/>
        <v>0</v>
      </c>
      <c r="AO149">
        <f t="shared" si="131"/>
        <v>0</v>
      </c>
      <c r="AP149">
        <f t="shared" si="132"/>
        <v>0</v>
      </c>
      <c r="AQ149">
        <f t="shared" si="133"/>
        <v>0</v>
      </c>
      <c r="AR149">
        <f t="shared" si="134"/>
        <v>0</v>
      </c>
      <c r="AS149">
        <f t="shared" si="135"/>
        <v>0</v>
      </c>
      <c r="AT149">
        <f t="shared" si="136"/>
        <v>0</v>
      </c>
      <c r="AU149">
        <f t="shared" si="137"/>
        <v>0</v>
      </c>
      <c r="AV149">
        <v>0</v>
      </c>
      <c r="AW149">
        <v>0</v>
      </c>
      <c r="AX149">
        <f t="shared" si="138"/>
        <v>0</v>
      </c>
      <c r="AY149">
        <f t="shared" si="139"/>
        <v>0</v>
      </c>
      <c r="AZ149">
        <f t="shared" si="140"/>
        <v>0</v>
      </c>
      <c r="BA149">
        <f t="shared" si="141"/>
        <v>0</v>
      </c>
      <c r="BB149">
        <f t="shared" si="142"/>
        <v>0</v>
      </c>
      <c r="BC149">
        <f t="shared" si="143"/>
        <v>0</v>
      </c>
      <c r="BD149">
        <f t="shared" si="144"/>
        <v>0</v>
      </c>
      <c r="BE149">
        <f t="shared" si="145"/>
        <v>0</v>
      </c>
      <c r="BF149">
        <f t="shared" si="146"/>
        <v>0</v>
      </c>
      <c r="BG149">
        <f t="shared" si="147"/>
        <v>0</v>
      </c>
      <c r="BH149">
        <f t="shared" si="148"/>
        <v>0</v>
      </c>
      <c r="BI149">
        <f t="shared" si="149"/>
        <v>0</v>
      </c>
      <c r="BJ149">
        <v>0</v>
      </c>
      <c r="BK149" t="str">
        <f t="shared" si="161"/>
        <v>Big Win</v>
      </c>
      <c r="BL149" s="40" t="str">
        <f t="shared" si="162"/>
        <v>Combo Win</v>
      </c>
      <c r="BM149">
        <f>(D149/Frequency!$N$7-Summary!$C$7)^2*E149</f>
        <v>6948.4960000000001</v>
      </c>
      <c r="BN149">
        <f t="shared" si="150"/>
        <v>0</v>
      </c>
      <c r="BO149">
        <f t="shared" si="151"/>
        <v>0</v>
      </c>
      <c r="BP149">
        <f t="shared" si="152"/>
        <v>0</v>
      </c>
      <c r="BQ149">
        <f t="shared" si="153"/>
        <v>0</v>
      </c>
      <c r="BR149">
        <f t="shared" si="154"/>
        <v>0</v>
      </c>
      <c r="BS149">
        <f t="shared" si="155"/>
        <v>0</v>
      </c>
      <c r="BT149">
        <f t="shared" si="156"/>
        <v>0</v>
      </c>
      <c r="BU149">
        <f t="shared" si="157"/>
        <v>0</v>
      </c>
      <c r="BV149">
        <f t="shared" si="158"/>
        <v>0</v>
      </c>
      <c r="BW149">
        <f t="shared" si="159"/>
        <v>0</v>
      </c>
      <c r="BX149">
        <f t="shared" si="160"/>
        <v>0</v>
      </c>
    </row>
    <row r="150" spans="2:76">
      <c r="B150" s="19">
        <f>Tiers!B151</f>
        <v>148</v>
      </c>
      <c r="C150" s="20" t="str">
        <f>Tiers!X151</f>
        <v>main-21|main-5|main-2|main-19|main-19|||||</v>
      </c>
      <c r="D150" s="21">
        <f>Tiers!C151</f>
        <v>35.5</v>
      </c>
      <c r="E150" s="22">
        <f>Frequency!E152</f>
        <v>10</v>
      </c>
      <c r="F150" s="22">
        <f t="shared" si="110"/>
        <v>355</v>
      </c>
      <c r="G150" s="20">
        <f>IF(AND(D150/Summary!$C$4&gt;0, D150/Summary!$C$4&lt;5),E150,0) * D150</f>
        <v>0</v>
      </c>
      <c r="H150" s="20">
        <f>IF(AND(D150/Summary!$C$4&gt;= 5, D150/Summary!$C$4&lt;10),E150,0) * D150</f>
        <v>0</v>
      </c>
      <c r="I150" s="20">
        <f>IF(AND(D150/Summary!$C$4&gt;=10, D150/Summary!$C$4&lt;25),E150,0)*D150</f>
        <v>0</v>
      </c>
      <c r="J150" s="20">
        <f>IF(D150/Summary!$C$4&gt;=25,E150,0)*D150</f>
        <v>355</v>
      </c>
      <c r="K150" s="35">
        <f>IF(AND(D150/Frequency!$N$7&gt;0, D150/Frequency!$N$7&lt;1),E150,0)</f>
        <v>0</v>
      </c>
      <c r="L150" s="35">
        <f t="shared" si="111"/>
        <v>0</v>
      </c>
      <c r="M150" s="35">
        <f>IF(D150/Frequency!$N$7=1,1,0)*E150</f>
        <v>0</v>
      </c>
      <c r="N150" s="35">
        <f t="shared" si="112"/>
        <v>0</v>
      </c>
      <c r="O150" s="35">
        <f>IF(AND(D150/Frequency!$N$7&gt;1, D150/Frequency!$N$7&lt;=2),1,0)*E150</f>
        <v>0</v>
      </c>
      <c r="P150" s="35">
        <f t="shared" si="113"/>
        <v>0</v>
      </c>
      <c r="Q150" s="35">
        <f>IF(AND(D150/Frequency!$N$7&gt;2,D150/Frequency!$N$7&lt;=5),1,0)*E150</f>
        <v>0</v>
      </c>
      <c r="R150" s="35">
        <f t="shared" si="114"/>
        <v>0</v>
      </c>
      <c r="S150" s="35">
        <f>IF(AND(D150/Frequency!$N$7&gt;5, D150/Frequency!$N$7&lt;=10),1,0)*E150</f>
        <v>0</v>
      </c>
      <c r="T150" s="35">
        <f t="shared" si="115"/>
        <v>0</v>
      </c>
      <c r="U150" s="35">
        <f>IF(AND(D150/Frequency!$N$7&gt;10, D150/Frequency!$N$7&lt;=20),1,0)*E150</f>
        <v>0</v>
      </c>
      <c r="V150" s="35">
        <f t="shared" si="116"/>
        <v>0</v>
      </c>
      <c r="W150" s="35">
        <f>IF(AND(D150/Frequency!$N$7&gt;20, D150/Frequency!$N$7&lt;=30),1,0)*E150</f>
        <v>0</v>
      </c>
      <c r="X150" s="35">
        <f t="shared" si="117"/>
        <v>0</v>
      </c>
      <c r="Y150" s="35">
        <f>IF(AND(D150/Frequency!$N$7&gt;30, D150/Frequency!$N$7&lt;=50),1,0)*E150</f>
        <v>10</v>
      </c>
      <c r="Z150" s="35">
        <f t="shared" si="118"/>
        <v>355</v>
      </c>
      <c r="AA150" s="35">
        <f>IF(AND(D150/Frequency!$N$7&gt;50, D150/Frequency!$N$7&lt;=100),1,0)*E150</f>
        <v>0</v>
      </c>
      <c r="AB150" s="35">
        <f t="shared" si="119"/>
        <v>0</v>
      </c>
      <c r="AC150" s="35">
        <f>IF(D150/Frequency!$N$7&gt;100,1,0)*E150</f>
        <v>0</v>
      </c>
      <c r="AD150" s="35">
        <f t="shared" si="120"/>
        <v>0</v>
      </c>
      <c r="AE150" s="22">
        <f t="shared" si="121"/>
        <v>0</v>
      </c>
      <c r="AF150" s="22">
        <f t="shared" si="122"/>
        <v>0</v>
      </c>
      <c r="AG150" s="22">
        <f t="shared" si="123"/>
        <v>0</v>
      </c>
      <c r="AH150" s="22">
        <f t="shared" si="124"/>
        <v>0</v>
      </c>
      <c r="AI150" s="35">
        <f t="shared" si="125"/>
        <v>1</v>
      </c>
      <c r="AJ150" s="35">
        <f t="shared" si="126"/>
        <v>10</v>
      </c>
      <c r="AK150" s="35">
        <f t="shared" si="127"/>
        <v>355</v>
      </c>
      <c r="AL150">
        <f t="shared" si="128"/>
        <v>0</v>
      </c>
      <c r="AM150">
        <f t="shared" si="129"/>
        <v>0</v>
      </c>
      <c r="AN150">
        <f t="shared" si="130"/>
        <v>0</v>
      </c>
      <c r="AO150">
        <f t="shared" si="131"/>
        <v>0</v>
      </c>
      <c r="AP150">
        <f t="shared" si="132"/>
        <v>0</v>
      </c>
      <c r="AQ150">
        <f t="shared" si="133"/>
        <v>0</v>
      </c>
      <c r="AR150">
        <f t="shared" si="134"/>
        <v>0</v>
      </c>
      <c r="AS150">
        <f t="shared" si="135"/>
        <v>0</v>
      </c>
      <c r="AT150">
        <f t="shared" si="136"/>
        <v>0</v>
      </c>
      <c r="AU150">
        <f t="shared" si="137"/>
        <v>0</v>
      </c>
      <c r="AV150">
        <v>0</v>
      </c>
      <c r="AW150">
        <v>0</v>
      </c>
      <c r="AX150">
        <f t="shared" si="138"/>
        <v>0</v>
      </c>
      <c r="AY150">
        <f t="shared" si="139"/>
        <v>0</v>
      </c>
      <c r="AZ150">
        <f t="shared" si="140"/>
        <v>0</v>
      </c>
      <c r="BA150">
        <f t="shared" si="141"/>
        <v>0</v>
      </c>
      <c r="BB150">
        <f t="shared" si="142"/>
        <v>0</v>
      </c>
      <c r="BC150">
        <f t="shared" si="143"/>
        <v>0</v>
      </c>
      <c r="BD150">
        <f t="shared" si="144"/>
        <v>0</v>
      </c>
      <c r="BE150">
        <f t="shared" si="145"/>
        <v>0</v>
      </c>
      <c r="BF150">
        <f t="shared" si="146"/>
        <v>0</v>
      </c>
      <c r="BG150">
        <f t="shared" si="147"/>
        <v>0</v>
      </c>
      <c r="BH150">
        <f t="shared" si="148"/>
        <v>0</v>
      </c>
      <c r="BI150">
        <f t="shared" si="149"/>
        <v>0</v>
      </c>
      <c r="BJ150">
        <v>0</v>
      </c>
      <c r="BK150" t="str">
        <f t="shared" si="161"/>
        <v>Big Win</v>
      </c>
      <c r="BL150" s="40" t="str">
        <f t="shared" si="162"/>
        <v>Combo Win</v>
      </c>
      <c r="BM150">
        <f>(D150/Frequency!$N$7-Summary!$C$7)^2*E150</f>
        <v>12013.155999999997</v>
      </c>
      <c r="BN150">
        <f t="shared" si="150"/>
        <v>0</v>
      </c>
      <c r="BO150">
        <f t="shared" si="151"/>
        <v>0</v>
      </c>
      <c r="BP150">
        <f t="shared" si="152"/>
        <v>0</v>
      </c>
      <c r="BQ150">
        <f t="shared" si="153"/>
        <v>0</v>
      </c>
      <c r="BR150">
        <f t="shared" si="154"/>
        <v>0</v>
      </c>
      <c r="BS150">
        <f t="shared" si="155"/>
        <v>0</v>
      </c>
      <c r="BT150">
        <f t="shared" si="156"/>
        <v>0</v>
      </c>
      <c r="BU150">
        <f t="shared" si="157"/>
        <v>0</v>
      </c>
      <c r="BV150">
        <f t="shared" si="158"/>
        <v>0</v>
      </c>
      <c r="BW150">
        <f t="shared" si="159"/>
        <v>0</v>
      </c>
      <c r="BX150">
        <f t="shared" si="160"/>
        <v>0</v>
      </c>
    </row>
    <row r="151" spans="2:76">
      <c r="B151" s="19">
        <f>Tiers!B152</f>
        <v>149</v>
      </c>
      <c r="C151" s="20" t="str">
        <f>Tiers!X152</f>
        <v>main-27|main-5|main-5|main-19|main-3|||||</v>
      </c>
      <c r="D151" s="21">
        <f>Tiers!C152</f>
        <v>36</v>
      </c>
      <c r="E151" s="22">
        <f>Frequency!E153</f>
        <v>10</v>
      </c>
      <c r="F151" s="22">
        <f t="shared" si="110"/>
        <v>360</v>
      </c>
      <c r="G151" s="20">
        <f>IF(AND(D151/Summary!$C$4&gt;0, D151/Summary!$C$4&lt;5),E151,0) * D151</f>
        <v>0</v>
      </c>
      <c r="H151" s="20">
        <f>IF(AND(D151/Summary!$C$4&gt;= 5, D151/Summary!$C$4&lt;10),E151,0) * D151</f>
        <v>0</v>
      </c>
      <c r="I151" s="20">
        <f>IF(AND(D151/Summary!$C$4&gt;=10, D151/Summary!$C$4&lt;25),E151,0)*D151</f>
        <v>0</v>
      </c>
      <c r="J151" s="20">
        <f>IF(D151/Summary!$C$4&gt;=25,E151,0)*D151</f>
        <v>360</v>
      </c>
      <c r="K151" s="35">
        <f>IF(AND(D151/Frequency!$N$7&gt;0, D151/Frequency!$N$7&lt;1),E151,0)</f>
        <v>0</v>
      </c>
      <c r="L151" s="35">
        <f t="shared" si="111"/>
        <v>0</v>
      </c>
      <c r="M151" s="35">
        <f>IF(D151/Frequency!$N$7=1,1,0)*E151</f>
        <v>0</v>
      </c>
      <c r="N151" s="35">
        <f t="shared" si="112"/>
        <v>0</v>
      </c>
      <c r="O151" s="35">
        <f>IF(AND(D151/Frequency!$N$7&gt;1, D151/Frequency!$N$7&lt;=2),1,0)*E151</f>
        <v>0</v>
      </c>
      <c r="P151" s="35">
        <f t="shared" si="113"/>
        <v>0</v>
      </c>
      <c r="Q151" s="35">
        <f>IF(AND(D151/Frequency!$N$7&gt;2,D151/Frequency!$N$7&lt;=5),1,0)*E151</f>
        <v>0</v>
      </c>
      <c r="R151" s="35">
        <f t="shared" si="114"/>
        <v>0</v>
      </c>
      <c r="S151" s="35">
        <f>IF(AND(D151/Frequency!$N$7&gt;5, D151/Frequency!$N$7&lt;=10),1,0)*E151</f>
        <v>0</v>
      </c>
      <c r="T151" s="35">
        <f t="shared" si="115"/>
        <v>0</v>
      </c>
      <c r="U151" s="35">
        <f>IF(AND(D151/Frequency!$N$7&gt;10, D151/Frequency!$N$7&lt;=20),1,0)*E151</f>
        <v>0</v>
      </c>
      <c r="V151" s="35">
        <f t="shared" si="116"/>
        <v>0</v>
      </c>
      <c r="W151" s="35">
        <f>IF(AND(D151/Frequency!$N$7&gt;20, D151/Frequency!$N$7&lt;=30),1,0)*E151</f>
        <v>0</v>
      </c>
      <c r="X151" s="35">
        <f t="shared" si="117"/>
        <v>0</v>
      </c>
      <c r="Y151" s="35">
        <f>IF(AND(D151/Frequency!$N$7&gt;30, D151/Frequency!$N$7&lt;=50),1,0)*E151</f>
        <v>10</v>
      </c>
      <c r="Z151" s="35">
        <f t="shared" si="118"/>
        <v>360</v>
      </c>
      <c r="AA151" s="35">
        <f>IF(AND(D151/Frequency!$N$7&gt;50, D151/Frequency!$N$7&lt;=100),1,0)*E151</f>
        <v>0</v>
      </c>
      <c r="AB151" s="35">
        <f t="shared" si="119"/>
        <v>0</v>
      </c>
      <c r="AC151" s="35">
        <f>IF(D151/Frequency!$N$7&gt;100,1,0)*E151</f>
        <v>0</v>
      </c>
      <c r="AD151" s="35">
        <f t="shared" si="120"/>
        <v>0</v>
      </c>
      <c r="AE151" s="22">
        <f t="shared" si="121"/>
        <v>0</v>
      </c>
      <c r="AF151" s="22">
        <f t="shared" si="122"/>
        <v>0</v>
      </c>
      <c r="AG151" s="22">
        <f t="shared" si="123"/>
        <v>0</v>
      </c>
      <c r="AH151" s="22">
        <f t="shared" si="124"/>
        <v>0</v>
      </c>
      <c r="AI151" s="35">
        <f t="shared" si="125"/>
        <v>1</v>
      </c>
      <c r="AJ151" s="35">
        <f t="shared" si="126"/>
        <v>10</v>
      </c>
      <c r="AK151" s="35">
        <f t="shared" si="127"/>
        <v>360</v>
      </c>
      <c r="AL151">
        <f t="shared" si="128"/>
        <v>0</v>
      </c>
      <c r="AM151">
        <f t="shared" si="129"/>
        <v>0</v>
      </c>
      <c r="AN151">
        <f t="shared" si="130"/>
        <v>0</v>
      </c>
      <c r="AO151">
        <f t="shared" si="131"/>
        <v>0</v>
      </c>
      <c r="AP151">
        <f t="shared" si="132"/>
        <v>0</v>
      </c>
      <c r="AQ151">
        <f t="shared" si="133"/>
        <v>0</v>
      </c>
      <c r="AR151">
        <f t="shared" si="134"/>
        <v>0</v>
      </c>
      <c r="AS151">
        <f t="shared" si="135"/>
        <v>0</v>
      </c>
      <c r="AT151">
        <f t="shared" si="136"/>
        <v>0</v>
      </c>
      <c r="AU151">
        <f t="shared" si="137"/>
        <v>0</v>
      </c>
      <c r="AV151">
        <v>0</v>
      </c>
      <c r="AW151">
        <v>0</v>
      </c>
      <c r="AX151">
        <f t="shared" si="138"/>
        <v>0</v>
      </c>
      <c r="AY151">
        <f t="shared" si="139"/>
        <v>0</v>
      </c>
      <c r="AZ151">
        <f t="shared" si="140"/>
        <v>0</v>
      </c>
      <c r="BA151">
        <f t="shared" si="141"/>
        <v>0</v>
      </c>
      <c r="BB151">
        <f t="shared" si="142"/>
        <v>0</v>
      </c>
      <c r="BC151">
        <f t="shared" si="143"/>
        <v>0</v>
      </c>
      <c r="BD151">
        <f t="shared" si="144"/>
        <v>0</v>
      </c>
      <c r="BE151">
        <f t="shared" si="145"/>
        <v>0</v>
      </c>
      <c r="BF151">
        <f t="shared" si="146"/>
        <v>0</v>
      </c>
      <c r="BG151">
        <f t="shared" si="147"/>
        <v>0</v>
      </c>
      <c r="BH151">
        <f t="shared" si="148"/>
        <v>0</v>
      </c>
      <c r="BI151">
        <f t="shared" si="149"/>
        <v>0</v>
      </c>
      <c r="BJ151">
        <v>0</v>
      </c>
      <c r="BK151" t="str">
        <f t="shared" si="161"/>
        <v>Big Win</v>
      </c>
      <c r="BL151" s="40" t="str">
        <f t="shared" si="162"/>
        <v>Combo Win</v>
      </c>
      <c r="BM151">
        <f>(D151/Frequency!$N$7-Summary!$C$7)^2*E151</f>
        <v>12362.255999999998</v>
      </c>
      <c r="BN151">
        <f t="shared" si="150"/>
        <v>0</v>
      </c>
      <c r="BO151">
        <f t="shared" si="151"/>
        <v>0</v>
      </c>
      <c r="BP151">
        <f t="shared" si="152"/>
        <v>0</v>
      </c>
      <c r="BQ151">
        <f t="shared" si="153"/>
        <v>0</v>
      </c>
      <c r="BR151">
        <f t="shared" si="154"/>
        <v>0</v>
      </c>
      <c r="BS151">
        <f t="shared" si="155"/>
        <v>0</v>
      </c>
      <c r="BT151">
        <f t="shared" si="156"/>
        <v>0</v>
      </c>
      <c r="BU151">
        <f t="shared" si="157"/>
        <v>0</v>
      </c>
      <c r="BV151">
        <f t="shared" si="158"/>
        <v>0</v>
      </c>
      <c r="BW151">
        <f t="shared" si="159"/>
        <v>0</v>
      </c>
      <c r="BX151">
        <f t="shared" si="160"/>
        <v>0</v>
      </c>
    </row>
    <row r="152" spans="2:76">
      <c r="B152" s="19">
        <f>Tiers!B153</f>
        <v>150</v>
      </c>
      <c r="C152" s="20" t="str">
        <f>Tiers!X153</f>
        <v>main-0|wild-2||||||||</v>
      </c>
      <c r="D152" s="21">
        <f>Tiers!C153</f>
        <v>0.6</v>
      </c>
      <c r="E152" s="22">
        <f>Frequency!E154</f>
        <v>6000</v>
      </c>
      <c r="F152" s="22">
        <f t="shared" si="110"/>
        <v>3600</v>
      </c>
      <c r="G152" s="20">
        <f>IF(AND(D152/Summary!$C$4&gt;0, D152/Summary!$C$4&lt;5),E152,0) * D152</f>
        <v>3600</v>
      </c>
      <c r="H152" s="20">
        <f>IF(AND(D152/Summary!$C$4&gt;= 5, D152/Summary!$C$4&lt;10),E152,0) * D152</f>
        <v>0</v>
      </c>
      <c r="I152" s="20">
        <f>IF(AND(D152/Summary!$C$4&gt;=10, D152/Summary!$C$4&lt;25),E152,0)*D152</f>
        <v>0</v>
      </c>
      <c r="J152" s="20">
        <f>IF(D152/Summary!$C$4&gt;=25,E152,0)*D152</f>
        <v>0</v>
      </c>
      <c r="K152" s="35">
        <f>IF(AND(D152/Frequency!$N$7&gt;0, D152/Frequency!$N$7&lt;1),E152,0)</f>
        <v>6000</v>
      </c>
      <c r="L152" s="35">
        <f t="shared" si="111"/>
        <v>3600</v>
      </c>
      <c r="M152" s="35">
        <f>IF(D152/Frequency!$N$7=1,1,0)*E152</f>
        <v>0</v>
      </c>
      <c r="N152" s="35">
        <f t="shared" si="112"/>
        <v>0</v>
      </c>
      <c r="O152" s="35">
        <f>IF(AND(D152/Frequency!$N$7&gt;1, D152/Frequency!$N$7&lt;=2),1,0)*E152</f>
        <v>0</v>
      </c>
      <c r="P152" s="35">
        <f t="shared" si="113"/>
        <v>0</v>
      </c>
      <c r="Q152" s="35">
        <f>IF(AND(D152/Frequency!$N$7&gt;2,D152/Frequency!$N$7&lt;=5),1,0)*E152</f>
        <v>0</v>
      </c>
      <c r="R152" s="35">
        <f t="shared" si="114"/>
        <v>0</v>
      </c>
      <c r="S152" s="35">
        <f>IF(AND(D152/Frequency!$N$7&gt;5, D152/Frequency!$N$7&lt;=10),1,0)*E152</f>
        <v>0</v>
      </c>
      <c r="T152" s="35">
        <f t="shared" si="115"/>
        <v>0</v>
      </c>
      <c r="U152" s="35">
        <f>IF(AND(D152/Frequency!$N$7&gt;10, D152/Frequency!$N$7&lt;=20),1,0)*E152</f>
        <v>0</v>
      </c>
      <c r="V152" s="35">
        <f t="shared" si="116"/>
        <v>0</v>
      </c>
      <c r="W152" s="35">
        <f>IF(AND(D152/Frequency!$N$7&gt;20, D152/Frequency!$N$7&lt;=30),1,0)*E152</f>
        <v>0</v>
      </c>
      <c r="X152" s="35">
        <f t="shared" si="117"/>
        <v>0</v>
      </c>
      <c r="Y152" s="35">
        <f>IF(AND(D152/Frequency!$N$7&gt;30, D152/Frequency!$N$7&lt;=50),1,0)*E152</f>
        <v>0</v>
      </c>
      <c r="Z152" s="35">
        <f t="shared" si="118"/>
        <v>0</v>
      </c>
      <c r="AA152" s="35">
        <f>IF(AND(D152/Frequency!$N$7&gt;50, D152/Frequency!$N$7&lt;=100),1,0)*E152</f>
        <v>0</v>
      </c>
      <c r="AB152" s="35">
        <f t="shared" si="119"/>
        <v>0</v>
      </c>
      <c r="AC152" s="35">
        <f>IF(D152/Frequency!$N$7&gt;100,1,0)*E152</f>
        <v>0</v>
      </c>
      <c r="AD152" s="35">
        <f t="shared" si="120"/>
        <v>0</v>
      </c>
      <c r="AE152" s="22">
        <f t="shared" si="121"/>
        <v>0</v>
      </c>
      <c r="AF152" s="22">
        <f t="shared" si="122"/>
        <v>0</v>
      </c>
      <c r="AG152" s="22">
        <f t="shared" si="123"/>
        <v>0</v>
      </c>
      <c r="AH152" s="22">
        <f t="shared" si="124"/>
        <v>0</v>
      </c>
      <c r="AI152" s="35">
        <f t="shared" si="125"/>
        <v>1</v>
      </c>
      <c r="AJ152" s="35">
        <f t="shared" si="126"/>
        <v>6000</v>
      </c>
      <c r="AK152" s="35">
        <f t="shared" si="127"/>
        <v>3600</v>
      </c>
      <c r="AL152">
        <f t="shared" si="128"/>
        <v>1</v>
      </c>
      <c r="AM152">
        <f t="shared" si="129"/>
        <v>6000</v>
      </c>
      <c r="AN152">
        <f t="shared" si="130"/>
        <v>3600</v>
      </c>
      <c r="AO152">
        <f t="shared" si="131"/>
        <v>1</v>
      </c>
      <c r="AP152">
        <f t="shared" si="132"/>
        <v>6000</v>
      </c>
      <c r="AQ152">
        <f t="shared" si="133"/>
        <v>3600</v>
      </c>
      <c r="AR152">
        <f t="shared" si="134"/>
        <v>0</v>
      </c>
      <c r="AS152">
        <f t="shared" si="135"/>
        <v>0</v>
      </c>
      <c r="AT152">
        <f t="shared" si="136"/>
        <v>0</v>
      </c>
      <c r="AU152">
        <f t="shared" si="137"/>
        <v>0</v>
      </c>
      <c r="AV152">
        <v>0</v>
      </c>
      <c r="AW152">
        <v>0</v>
      </c>
      <c r="AX152">
        <f t="shared" si="138"/>
        <v>0</v>
      </c>
      <c r="AY152">
        <f t="shared" si="139"/>
        <v>0</v>
      </c>
      <c r="AZ152">
        <f t="shared" si="140"/>
        <v>0</v>
      </c>
      <c r="BA152">
        <f t="shared" si="141"/>
        <v>0</v>
      </c>
      <c r="BB152">
        <f t="shared" si="142"/>
        <v>0</v>
      </c>
      <c r="BC152">
        <f t="shared" si="143"/>
        <v>0</v>
      </c>
      <c r="BD152">
        <f t="shared" si="144"/>
        <v>0</v>
      </c>
      <c r="BE152">
        <f t="shared" si="145"/>
        <v>0</v>
      </c>
      <c r="BF152">
        <f t="shared" si="146"/>
        <v>0</v>
      </c>
      <c r="BG152">
        <f t="shared" si="147"/>
        <v>0</v>
      </c>
      <c r="BH152">
        <f t="shared" si="148"/>
        <v>0</v>
      </c>
      <c r="BI152">
        <f t="shared" si="149"/>
        <v>0</v>
      </c>
      <c r="BJ152">
        <v>0</v>
      </c>
      <c r="BK152" t="str">
        <f t="shared" si="161"/>
        <v>Less than Stake</v>
      </c>
      <c r="BL152" s="40" t="str">
        <f t="shared" si="162"/>
        <v>Combo Win</v>
      </c>
      <c r="BM152">
        <f>(D152/Frequency!$N$7-Summary!$C$7)^2*E152</f>
        <v>345.59999999999997</v>
      </c>
      <c r="BN152">
        <f t="shared" si="150"/>
        <v>0</v>
      </c>
      <c r="BO152">
        <f t="shared" si="151"/>
        <v>0</v>
      </c>
      <c r="BP152">
        <f t="shared" si="152"/>
        <v>0</v>
      </c>
      <c r="BQ152">
        <f t="shared" si="153"/>
        <v>0</v>
      </c>
      <c r="BR152">
        <f t="shared" si="154"/>
        <v>0</v>
      </c>
      <c r="BS152">
        <f t="shared" si="155"/>
        <v>0</v>
      </c>
      <c r="BT152">
        <f t="shared" si="156"/>
        <v>0</v>
      </c>
      <c r="BU152">
        <f t="shared" si="157"/>
        <v>0</v>
      </c>
      <c r="BV152">
        <f t="shared" si="158"/>
        <v>0</v>
      </c>
      <c r="BW152">
        <f t="shared" si="159"/>
        <v>0</v>
      </c>
      <c r="BX152">
        <f t="shared" si="160"/>
        <v>0</v>
      </c>
    </row>
    <row r="153" spans="2:76">
      <c r="B153" s="19">
        <f>Tiers!B154</f>
        <v>151</v>
      </c>
      <c r="C153" s="20" t="str">
        <f>Tiers!X154</f>
        <v>main-1|wild-3||||||||</v>
      </c>
      <c r="D153" s="21">
        <f>Tiers!C154</f>
        <v>1.2</v>
      </c>
      <c r="E153" s="22">
        <f>Frequency!E155</f>
        <v>4000</v>
      </c>
      <c r="F153" s="22">
        <f t="shared" si="110"/>
        <v>4800</v>
      </c>
      <c r="G153" s="20">
        <f>IF(AND(D153/Summary!$C$4&gt;0, D153/Summary!$C$4&lt;5),E153,0) * D153</f>
        <v>4800</v>
      </c>
      <c r="H153" s="20">
        <f>IF(AND(D153/Summary!$C$4&gt;= 5, D153/Summary!$C$4&lt;10),E153,0) * D153</f>
        <v>0</v>
      </c>
      <c r="I153" s="20">
        <f>IF(AND(D153/Summary!$C$4&gt;=10, D153/Summary!$C$4&lt;25),E153,0)*D153</f>
        <v>0</v>
      </c>
      <c r="J153" s="20">
        <f>IF(D153/Summary!$C$4&gt;=25,E153,0)*D153</f>
        <v>0</v>
      </c>
      <c r="K153" s="35">
        <f>IF(AND(D153/Frequency!$N$7&gt;0, D153/Frequency!$N$7&lt;1),E153,0)</f>
        <v>0</v>
      </c>
      <c r="L153" s="35">
        <f t="shared" si="111"/>
        <v>0</v>
      </c>
      <c r="M153" s="35">
        <f>IF(D153/Frequency!$N$7=1,1,0)*E153</f>
        <v>0</v>
      </c>
      <c r="N153" s="35">
        <f t="shared" si="112"/>
        <v>0</v>
      </c>
      <c r="O153" s="35">
        <f>IF(AND(D153/Frequency!$N$7&gt;1, D153/Frequency!$N$7&lt;=2),1,0)*E153</f>
        <v>4000</v>
      </c>
      <c r="P153" s="35">
        <f t="shared" si="113"/>
        <v>4800</v>
      </c>
      <c r="Q153" s="35">
        <f>IF(AND(D153/Frequency!$N$7&gt;2,D153/Frequency!$N$7&lt;=5),1,0)*E153</f>
        <v>0</v>
      </c>
      <c r="R153" s="35">
        <f t="shared" si="114"/>
        <v>0</v>
      </c>
      <c r="S153" s="35">
        <f>IF(AND(D153/Frequency!$N$7&gt;5, D153/Frequency!$N$7&lt;=10),1,0)*E153</f>
        <v>0</v>
      </c>
      <c r="T153" s="35">
        <f t="shared" si="115"/>
        <v>0</v>
      </c>
      <c r="U153" s="35">
        <f>IF(AND(D153/Frequency!$N$7&gt;10, D153/Frequency!$N$7&lt;=20),1,0)*E153</f>
        <v>0</v>
      </c>
      <c r="V153" s="35">
        <f t="shared" si="116"/>
        <v>0</v>
      </c>
      <c r="W153" s="35">
        <f>IF(AND(D153/Frequency!$N$7&gt;20, D153/Frequency!$N$7&lt;=30),1,0)*E153</f>
        <v>0</v>
      </c>
      <c r="X153" s="35">
        <f t="shared" si="117"/>
        <v>0</v>
      </c>
      <c r="Y153" s="35">
        <f>IF(AND(D153/Frequency!$N$7&gt;30, D153/Frequency!$N$7&lt;=50),1,0)*E153</f>
        <v>0</v>
      </c>
      <c r="Z153" s="35">
        <f t="shared" si="118"/>
        <v>0</v>
      </c>
      <c r="AA153" s="35">
        <f>IF(AND(D153/Frequency!$N$7&gt;50, D153/Frequency!$N$7&lt;=100),1,0)*E153</f>
        <v>0</v>
      </c>
      <c r="AB153" s="35">
        <f t="shared" si="119"/>
        <v>0</v>
      </c>
      <c r="AC153" s="35">
        <f>IF(D153/Frequency!$N$7&gt;100,1,0)*E153</f>
        <v>0</v>
      </c>
      <c r="AD153" s="35">
        <f t="shared" si="120"/>
        <v>0</v>
      </c>
      <c r="AE153" s="22">
        <f t="shared" si="121"/>
        <v>0</v>
      </c>
      <c r="AF153" s="22">
        <f t="shared" si="122"/>
        <v>0</v>
      </c>
      <c r="AG153" s="22">
        <f t="shared" si="123"/>
        <v>0</v>
      </c>
      <c r="AH153" s="22">
        <f t="shared" si="124"/>
        <v>0</v>
      </c>
      <c r="AI153" s="35">
        <f t="shared" si="125"/>
        <v>1</v>
      </c>
      <c r="AJ153" s="35">
        <f t="shared" si="126"/>
        <v>4000</v>
      </c>
      <c r="AK153" s="35">
        <f t="shared" si="127"/>
        <v>4800</v>
      </c>
      <c r="AL153">
        <f t="shared" si="128"/>
        <v>1</v>
      </c>
      <c r="AM153">
        <f t="shared" si="129"/>
        <v>4000</v>
      </c>
      <c r="AN153">
        <f t="shared" si="130"/>
        <v>4800</v>
      </c>
      <c r="AO153">
        <f t="shared" si="131"/>
        <v>1</v>
      </c>
      <c r="AP153">
        <f t="shared" si="132"/>
        <v>4000</v>
      </c>
      <c r="AQ153">
        <f t="shared" si="133"/>
        <v>4800</v>
      </c>
      <c r="AR153">
        <f t="shared" si="134"/>
        <v>0</v>
      </c>
      <c r="AS153">
        <f t="shared" si="135"/>
        <v>0</v>
      </c>
      <c r="AT153">
        <f t="shared" si="136"/>
        <v>0</v>
      </c>
      <c r="AU153">
        <f t="shared" si="137"/>
        <v>0</v>
      </c>
      <c r="AV153">
        <v>0</v>
      </c>
      <c r="AW153">
        <v>0</v>
      </c>
      <c r="AX153">
        <f t="shared" si="138"/>
        <v>0</v>
      </c>
      <c r="AY153">
        <f t="shared" si="139"/>
        <v>0</v>
      </c>
      <c r="AZ153">
        <f t="shared" si="140"/>
        <v>0</v>
      </c>
      <c r="BA153">
        <f t="shared" si="141"/>
        <v>0</v>
      </c>
      <c r="BB153">
        <f t="shared" si="142"/>
        <v>0</v>
      </c>
      <c r="BC153">
        <f t="shared" si="143"/>
        <v>0</v>
      </c>
      <c r="BD153">
        <f t="shared" si="144"/>
        <v>0</v>
      </c>
      <c r="BE153">
        <f t="shared" si="145"/>
        <v>0</v>
      </c>
      <c r="BF153">
        <f t="shared" si="146"/>
        <v>0</v>
      </c>
      <c r="BG153">
        <f t="shared" si="147"/>
        <v>0</v>
      </c>
      <c r="BH153">
        <f t="shared" si="148"/>
        <v>0</v>
      </c>
      <c r="BI153">
        <f t="shared" si="149"/>
        <v>0</v>
      </c>
      <c r="BJ153">
        <v>0</v>
      </c>
      <c r="BK153" t="str">
        <f t="shared" si="161"/>
        <v>Standard Win</v>
      </c>
      <c r="BL153" s="40" t="str">
        <f t="shared" si="162"/>
        <v>Combo Win</v>
      </c>
      <c r="BM153">
        <f>(D153/Frequency!$N$7-Summary!$C$7)^2*E153</f>
        <v>518.4</v>
      </c>
      <c r="BN153">
        <f t="shared" si="150"/>
        <v>0</v>
      </c>
      <c r="BO153">
        <f t="shared" si="151"/>
        <v>0</v>
      </c>
      <c r="BP153">
        <f t="shared" si="152"/>
        <v>0</v>
      </c>
      <c r="BQ153">
        <f t="shared" si="153"/>
        <v>0</v>
      </c>
      <c r="BR153">
        <f t="shared" si="154"/>
        <v>0</v>
      </c>
      <c r="BS153">
        <f t="shared" si="155"/>
        <v>0</v>
      </c>
      <c r="BT153">
        <f t="shared" si="156"/>
        <v>0</v>
      </c>
      <c r="BU153">
        <f t="shared" si="157"/>
        <v>0</v>
      </c>
      <c r="BV153">
        <f t="shared" si="158"/>
        <v>0</v>
      </c>
      <c r="BW153">
        <f t="shared" si="159"/>
        <v>0</v>
      </c>
      <c r="BX153">
        <f t="shared" si="160"/>
        <v>0</v>
      </c>
    </row>
    <row r="154" spans="2:76">
      <c r="B154" s="19">
        <f>Tiers!B155</f>
        <v>152</v>
      </c>
      <c r="C154" s="20" t="str">
        <f>Tiers!X155</f>
        <v>main-2|wild-4||||||||</v>
      </c>
      <c r="D154" s="21">
        <f>Tiers!C155</f>
        <v>2.5</v>
      </c>
      <c r="E154" s="22">
        <f>Frequency!E156</f>
        <v>57</v>
      </c>
      <c r="F154" s="22">
        <f t="shared" si="110"/>
        <v>142.5</v>
      </c>
      <c r="G154" s="20">
        <f>IF(AND(D154/Summary!$C$4&gt;0, D154/Summary!$C$4&lt;5),E154,0) * D154</f>
        <v>142.5</v>
      </c>
      <c r="H154" s="20">
        <f>IF(AND(D154/Summary!$C$4&gt;= 5, D154/Summary!$C$4&lt;10),E154,0) * D154</f>
        <v>0</v>
      </c>
      <c r="I154" s="20">
        <f>IF(AND(D154/Summary!$C$4&gt;=10, D154/Summary!$C$4&lt;25),E154,0)*D154</f>
        <v>0</v>
      </c>
      <c r="J154" s="20">
        <f>IF(D154/Summary!$C$4&gt;=25,E154,0)*D154</f>
        <v>0</v>
      </c>
      <c r="K154" s="35">
        <f>IF(AND(D154/Frequency!$N$7&gt;0, D154/Frequency!$N$7&lt;1),E154,0)</f>
        <v>0</v>
      </c>
      <c r="L154" s="35">
        <f t="shared" si="111"/>
        <v>0</v>
      </c>
      <c r="M154" s="35">
        <f>IF(D154/Frequency!$N$7=1,1,0)*E154</f>
        <v>0</v>
      </c>
      <c r="N154" s="35">
        <f t="shared" si="112"/>
        <v>0</v>
      </c>
      <c r="O154" s="35">
        <f>IF(AND(D154/Frequency!$N$7&gt;1, D154/Frequency!$N$7&lt;=2),1,0)*E154</f>
        <v>0</v>
      </c>
      <c r="P154" s="35">
        <f t="shared" si="113"/>
        <v>0</v>
      </c>
      <c r="Q154" s="35">
        <f>IF(AND(D154/Frequency!$N$7&gt;2,D154/Frequency!$N$7&lt;=5),1,0)*E154</f>
        <v>57</v>
      </c>
      <c r="R154" s="35">
        <f t="shared" si="114"/>
        <v>142.5</v>
      </c>
      <c r="S154" s="35">
        <f>IF(AND(D154/Frequency!$N$7&gt;5, D154/Frequency!$N$7&lt;=10),1,0)*E154</f>
        <v>0</v>
      </c>
      <c r="T154" s="35">
        <f t="shared" si="115"/>
        <v>0</v>
      </c>
      <c r="U154" s="35">
        <f>IF(AND(D154/Frequency!$N$7&gt;10, D154/Frequency!$N$7&lt;=20),1,0)*E154</f>
        <v>0</v>
      </c>
      <c r="V154" s="35">
        <f t="shared" si="116"/>
        <v>0</v>
      </c>
      <c r="W154" s="35">
        <f>IF(AND(D154/Frequency!$N$7&gt;20, D154/Frequency!$N$7&lt;=30),1,0)*E154</f>
        <v>0</v>
      </c>
      <c r="X154" s="35">
        <f t="shared" si="117"/>
        <v>0</v>
      </c>
      <c r="Y154" s="35">
        <f>IF(AND(D154/Frequency!$N$7&gt;30, D154/Frequency!$N$7&lt;=50),1,0)*E154</f>
        <v>0</v>
      </c>
      <c r="Z154" s="35">
        <f t="shared" si="118"/>
        <v>0</v>
      </c>
      <c r="AA154" s="35">
        <f>IF(AND(D154/Frequency!$N$7&gt;50, D154/Frequency!$N$7&lt;=100),1,0)*E154</f>
        <v>0</v>
      </c>
      <c r="AB154" s="35">
        <f t="shared" si="119"/>
        <v>0</v>
      </c>
      <c r="AC154" s="35">
        <f>IF(D154/Frequency!$N$7&gt;100,1,0)*E154</f>
        <v>0</v>
      </c>
      <c r="AD154" s="35">
        <f t="shared" si="120"/>
        <v>0</v>
      </c>
      <c r="AE154" s="22">
        <f t="shared" si="121"/>
        <v>0</v>
      </c>
      <c r="AF154" s="22">
        <f t="shared" si="122"/>
        <v>0</v>
      </c>
      <c r="AG154" s="22">
        <f t="shared" si="123"/>
        <v>0</v>
      </c>
      <c r="AH154" s="22">
        <f t="shared" si="124"/>
        <v>0</v>
      </c>
      <c r="AI154" s="35">
        <f t="shared" si="125"/>
        <v>1</v>
      </c>
      <c r="AJ154" s="35">
        <f t="shared" si="126"/>
        <v>57</v>
      </c>
      <c r="AK154" s="35">
        <f t="shared" si="127"/>
        <v>142.5</v>
      </c>
      <c r="AL154">
        <f t="shared" si="128"/>
        <v>1</v>
      </c>
      <c r="AM154">
        <f t="shared" si="129"/>
        <v>57</v>
      </c>
      <c r="AN154">
        <f t="shared" si="130"/>
        <v>142.5</v>
      </c>
      <c r="AO154">
        <f t="shared" si="131"/>
        <v>1</v>
      </c>
      <c r="AP154">
        <f t="shared" si="132"/>
        <v>57</v>
      </c>
      <c r="AQ154">
        <f t="shared" si="133"/>
        <v>142.5</v>
      </c>
      <c r="AR154">
        <f t="shared" si="134"/>
        <v>0</v>
      </c>
      <c r="AS154">
        <f t="shared" si="135"/>
        <v>0</v>
      </c>
      <c r="AT154">
        <f t="shared" si="136"/>
        <v>0</v>
      </c>
      <c r="AU154">
        <f t="shared" si="137"/>
        <v>0</v>
      </c>
      <c r="AV154">
        <v>0</v>
      </c>
      <c r="AW154">
        <v>0</v>
      </c>
      <c r="AX154">
        <f t="shared" si="138"/>
        <v>0</v>
      </c>
      <c r="AY154">
        <f t="shared" si="139"/>
        <v>0</v>
      </c>
      <c r="AZ154">
        <f t="shared" si="140"/>
        <v>0</v>
      </c>
      <c r="BA154">
        <f t="shared" si="141"/>
        <v>0</v>
      </c>
      <c r="BB154">
        <f t="shared" si="142"/>
        <v>0</v>
      </c>
      <c r="BC154">
        <f t="shared" si="143"/>
        <v>0</v>
      </c>
      <c r="BD154">
        <f t="shared" si="144"/>
        <v>0</v>
      </c>
      <c r="BE154">
        <f t="shared" si="145"/>
        <v>0</v>
      </c>
      <c r="BF154">
        <f t="shared" si="146"/>
        <v>0</v>
      </c>
      <c r="BG154">
        <f t="shared" si="147"/>
        <v>0</v>
      </c>
      <c r="BH154">
        <f t="shared" si="148"/>
        <v>0</v>
      </c>
      <c r="BI154">
        <f t="shared" si="149"/>
        <v>0</v>
      </c>
      <c r="BJ154">
        <v>0</v>
      </c>
      <c r="BK154" t="str">
        <f t="shared" si="161"/>
        <v>Standard Win</v>
      </c>
      <c r="BL154" s="40" t="str">
        <f t="shared" si="162"/>
        <v>Combo Win</v>
      </c>
      <c r="BM154">
        <f>(D154/Frequency!$N$7-Summary!$C$7)^2*E154</f>
        <v>157.06920000000002</v>
      </c>
      <c r="BN154">
        <f t="shared" si="150"/>
        <v>0</v>
      </c>
      <c r="BO154">
        <f t="shared" si="151"/>
        <v>0</v>
      </c>
      <c r="BP154">
        <f t="shared" si="152"/>
        <v>0</v>
      </c>
      <c r="BQ154">
        <f t="shared" si="153"/>
        <v>0</v>
      </c>
      <c r="BR154">
        <f t="shared" si="154"/>
        <v>0</v>
      </c>
      <c r="BS154">
        <f t="shared" si="155"/>
        <v>0</v>
      </c>
      <c r="BT154">
        <f t="shared" si="156"/>
        <v>0</v>
      </c>
      <c r="BU154">
        <f t="shared" si="157"/>
        <v>0</v>
      </c>
      <c r="BV154">
        <f t="shared" si="158"/>
        <v>0</v>
      </c>
      <c r="BW154">
        <f t="shared" si="159"/>
        <v>0</v>
      </c>
      <c r="BX154">
        <f t="shared" si="160"/>
        <v>0</v>
      </c>
    </row>
    <row r="155" spans="2:76">
      <c r="B155" s="19">
        <f>Tiers!B156</f>
        <v>153</v>
      </c>
      <c r="C155" s="20" t="str">
        <f>Tiers!X156</f>
        <v>main-3|wild-5||||||||</v>
      </c>
      <c r="D155" s="21">
        <f>Tiers!C156</f>
        <v>6</v>
      </c>
      <c r="E155" s="22">
        <f>Frequency!E157</f>
        <v>188</v>
      </c>
      <c r="F155" s="22">
        <f t="shared" si="110"/>
        <v>1128</v>
      </c>
      <c r="G155" s="20">
        <f>IF(AND(D155/Summary!$C$4&gt;0, D155/Summary!$C$4&lt;5),E155,0) * D155</f>
        <v>0</v>
      </c>
      <c r="H155" s="20">
        <f>IF(AND(D155/Summary!$C$4&gt;= 5, D155/Summary!$C$4&lt;10),E155,0) * D155</f>
        <v>1128</v>
      </c>
      <c r="I155" s="20">
        <f>IF(AND(D155/Summary!$C$4&gt;=10, D155/Summary!$C$4&lt;25),E155,0)*D155</f>
        <v>0</v>
      </c>
      <c r="J155" s="20">
        <f>IF(D155/Summary!$C$4&gt;=25,E155,0)*D155</f>
        <v>0</v>
      </c>
      <c r="K155" s="35">
        <f>IF(AND(D155/Frequency!$N$7&gt;0, D155/Frequency!$N$7&lt;1),E155,0)</f>
        <v>0</v>
      </c>
      <c r="L155" s="35">
        <f t="shared" si="111"/>
        <v>0</v>
      </c>
      <c r="M155" s="35">
        <f>IF(D155/Frequency!$N$7=1,1,0)*E155</f>
        <v>0</v>
      </c>
      <c r="N155" s="35">
        <f t="shared" si="112"/>
        <v>0</v>
      </c>
      <c r="O155" s="35">
        <f>IF(AND(D155/Frequency!$N$7&gt;1, D155/Frequency!$N$7&lt;=2),1,0)*E155</f>
        <v>0</v>
      </c>
      <c r="P155" s="35">
        <f t="shared" si="113"/>
        <v>0</v>
      </c>
      <c r="Q155" s="35">
        <f>IF(AND(D155/Frequency!$N$7&gt;2,D155/Frequency!$N$7&lt;=5),1,0)*E155</f>
        <v>0</v>
      </c>
      <c r="R155" s="35">
        <f t="shared" si="114"/>
        <v>0</v>
      </c>
      <c r="S155" s="35">
        <f>IF(AND(D155/Frequency!$N$7&gt;5, D155/Frequency!$N$7&lt;=10),1,0)*E155</f>
        <v>188</v>
      </c>
      <c r="T155" s="35">
        <f t="shared" si="115"/>
        <v>1128</v>
      </c>
      <c r="U155" s="35">
        <f>IF(AND(D155/Frequency!$N$7&gt;10, D155/Frequency!$N$7&lt;=20),1,0)*E155</f>
        <v>0</v>
      </c>
      <c r="V155" s="35">
        <f t="shared" si="116"/>
        <v>0</v>
      </c>
      <c r="W155" s="35">
        <f>IF(AND(D155/Frequency!$N$7&gt;20, D155/Frequency!$N$7&lt;=30),1,0)*E155</f>
        <v>0</v>
      </c>
      <c r="X155" s="35">
        <f t="shared" si="117"/>
        <v>0</v>
      </c>
      <c r="Y155" s="35">
        <f>IF(AND(D155/Frequency!$N$7&gt;30, D155/Frequency!$N$7&lt;=50),1,0)*E155</f>
        <v>0</v>
      </c>
      <c r="Z155" s="35">
        <f t="shared" si="118"/>
        <v>0</v>
      </c>
      <c r="AA155" s="35">
        <f>IF(AND(D155/Frequency!$N$7&gt;50, D155/Frequency!$N$7&lt;=100),1,0)*E155</f>
        <v>0</v>
      </c>
      <c r="AB155" s="35">
        <f t="shared" si="119"/>
        <v>0</v>
      </c>
      <c r="AC155" s="35">
        <f>IF(D155/Frequency!$N$7&gt;100,1,0)*E155</f>
        <v>0</v>
      </c>
      <c r="AD155" s="35">
        <f t="shared" si="120"/>
        <v>0</v>
      </c>
      <c r="AE155" s="22">
        <f t="shared" si="121"/>
        <v>0</v>
      </c>
      <c r="AF155" s="22">
        <f t="shared" si="122"/>
        <v>0</v>
      </c>
      <c r="AG155" s="22">
        <f t="shared" si="123"/>
        <v>0</v>
      </c>
      <c r="AH155" s="22">
        <f t="shared" si="124"/>
        <v>0</v>
      </c>
      <c r="AI155" s="35">
        <f t="shared" si="125"/>
        <v>1</v>
      </c>
      <c r="AJ155" s="35">
        <f t="shared" si="126"/>
        <v>188</v>
      </c>
      <c r="AK155" s="35">
        <f t="shared" si="127"/>
        <v>1128</v>
      </c>
      <c r="AL155">
        <f t="shared" si="128"/>
        <v>1</v>
      </c>
      <c r="AM155">
        <f t="shared" si="129"/>
        <v>188</v>
      </c>
      <c r="AN155">
        <f t="shared" si="130"/>
        <v>1128</v>
      </c>
      <c r="AO155">
        <f t="shared" si="131"/>
        <v>1</v>
      </c>
      <c r="AP155">
        <f t="shared" si="132"/>
        <v>188</v>
      </c>
      <c r="AQ155">
        <f t="shared" si="133"/>
        <v>1128</v>
      </c>
      <c r="AR155">
        <f t="shared" si="134"/>
        <v>0</v>
      </c>
      <c r="AS155">
        <f t="shared" si="135"/>
        <v>0</v>
      </c>
      <c r="AT155">
        <f t="shared" si="136"/>
        <v>0</v>
      </c>
      <c r="AU155">
        <f t="shared" si="137"/>
        <v>0</v>
      </c>
      <c r="AV155">
        <v>0</v>
      </c>
      <c r="AW155">
        <v>0</v>
      </c>
      <c r="AX155">
        <f t="shared" si="138"/>
        <v>0</v>
      </c>
      <c r="AY155">
        <f t="shared" si="139"/>
        <v>0</v>
      </c>
      <c r="AZ155">
        <f t="shared" si="140"/>
        <v>0</v>
      </c>
      <c r="BA155">
        <f t="shared" si="141"/>
        <v>0</v>
      </c>
      <c r="BB155">
        <f t="shared" si="142"/>
        <v>0</v>
      </c>
      <c r="BC155">
        <f t="shared" si="143"/>
        <v>0</v>
      </c>
      <c r="BD155">
        <f t="shared" si="144"/>
        <v>0</v>
      </c>
      <c r="BE155">
        <f t="shared" si="145"/>
        <v>0</v>
      </c>
      <c r="BF155">
        <f t="shared" si="146"/>
        <v>0</v>
      </c>
      <c r="BG155">
        <f t="shared" si="147"/>
        <v>0</v>
      </c>
      <c r="BH155">
        <f t="shared" si="148"/>
        <v>0</v>
      </c>
      <c r="BI155">
        <f t="shared" si="149"/>
        <v>0</v>
      </c>
      <c r="BJ155">
        <v>0</v>
      </c>
      <c r="BK155" t="str">
        <f t="shared" si="161"/>
        <v>Standard Win</v>
      </c>
      <c r="BL155" s="40" t="str">
        <f t="shared" si="162"/>
        <v>Combo Win</v>
      </c>
      <c r="BM155">
        <f>(D155/Frequency!$N$7-Summary!$C$7)^2*E155</f>
        <v>5005.6128000000008</v>
      </c>
      <c r="BN155">
        <f t="shared" si="150"/>
        <v>0</v>
      </c>
      <c r="BO155">
        <f t="shared" si="151"/>
        <v>0</v>
      </c>
      <c r="BP155">
        <f t="shared" si="152"/>
        <v>0</v>
      </c>
      <c r="BQ155">
        <f t="shared" si="153"/>
        <v>0</v>
      </c>
      <c r="BR155">
        <f t="shared" si="154"/>
        <v>0</v>
      </c>
      <c r="BS155">
        <f t="shared" si="155"/>
        <v>0</v>
      </c>
      <c r="BT155">
        <f t="shared" si="156"/>
        <v>0</v>
      </c>
      <c r="BU155">
        <f t="shared" si="157"/>
        <v>0</v>
      </c>
      <c r="BV155">
        <f t="shared" si="158"/>
        <v>0</v>
      </c>
      <c r="BW155">
        <f t="shared" si="159"/>
        <v>0</v>
      </c>
      <c r="BX155">
        <f t="shared" si="160"/>
        <v>0</v>
      </c>
    </row>
    <row r="156" spans="2:76">
      <c r="B156" s="19">
        <f>Tiers!B157</f>
        <v>154</v>
      </c>
      <c r="C156" s="20" t="str">
        <f>Tiers!X157</f>
        <v>main-4|wild-14||||||||</v>
      </c>
      <c r="D156" s="21">
        <f>Tiers!C157</f>
        <v>4</v>
      </c>
      <c r="E156" s="22">
        <f>Frequency!E158</f>
        <v>10</v>
      </c>
      <c r="F156" s="22">
        <f t="shared" si="110"/>
        <v>40</v>
      </c>
      <c r="G156" s="20">
        <f>IF(AND(D156/Summary!$C$4&gt;0, D156/Summary!$C$4&lt;5),E156,0) * D156</f>
        <v>40</v>
      </c>
      <c r="H156" s="20">
        <f>IF(AND(D156/Summary!$C$4&gt;= 5, D156/Summary!$C$4&lt;10),E156,0) * D156</f>
        <v>0</v>
      </c>
      <c r="I156" s="20">
        <f>IF(AND(D156/Summary!$C$4&gt;=10, D156/Summary!$C$4&lt;25),E156,0)*D156</f>
        <v>0</v>
      </c>
      <c r="J156" s="20">
        <f>IF(D156/Summary!$C$4&gt;=25,E156,0)*D156</f>
        <v>0</v>
      </c>
      <c r="K156" s="35">
        <f>IF(AND(D156/Frequency!$N$7&gt;0, D156/Frequency!$N$7&lt;1),E156,0)</f>
        <v>0</v>
      </c>
      <c r="L156" s="35">
        <f t="shared" si="111"/>
        <v>0</v>
      </c>
      <c r="M156" s="35">
        <f>IF(D156/Frequency!$N$7=1,1,0)*E156</f>
        <v>0</v>
      </c>
      <c r="N156" s="35">
        <f t="shared" si="112"/>
        <v>0</v>
      </c>
      <c r="O156" s="35">
        <f>IF(AND(D156/Frequency!$N$7&gt;1, D156/Frequency!$N$7&lt;=2),1,0)*E156</f>
        <v>0</v>
      </c>
      <c r="P156" s="35">
        <f t="shared" si="113"/>
        <v>0</v>
      </c>
      <c r="Q156" s="35">
        <f>IF(AND(D156/Frequency!$N$7&gt;2,D156/Frequency!$N$7&lt;=5),1,0)*E156</f>
        <v>10</v>
      </c>
      <c r="R156" s="35">
        <f t="shared" si="114"/>
        <v>40</v>
      </c>
      <c r="S156" s="35">
        <f>IF(AND(D156/Frequency!$N$7&gt;5, D156/Frequency!$N$7&lt;=10),1,0)*E156</f>
        <v>0</v>
      </c>
      <c r="T156" s="35">
        <f t="shared" si="115"/>
        <v>0</v>
      </c>
      <c r="U156" s="35">
        <f>IF(AND(D156/Frequency!$N$7&gt;10, D156/Frequency!$N$7&lt;=20),1,0)*E156</f>
        <v>0</v>
      </c>
      <c r="V156" s="35">
        <f t="shared" si="116"/>
        <v>0</v>
      </c>
      <c r="W156" s="35">
        <f>IF(AND(D156/Frequency!$N$7&gt;20, D156/Frequency!$N$7&lt;=30),1,0)*E156</f>
        <v>0</v>
      </c>
      <c r="X156" s="35">
        <f t="shared" si="117"/>
        <v>0</v>
      </c>
      <c r="Y156" s="35">
        <f>IF(AND(D156/Frequency!$N$7&gt;30, D156/Frequency!$N$7&lt;=50),1,0)*E156</f>
        <v>0</v>
      </c>
      <c r="Z156" s="35">
        <f t="shared" si="118"/>
        <v>0</v>
      </c>
      <c r="AA156" s="35">
        <f>IF(AND(D156/Frequency!$N$7&gt;50, D156/Frequency!$N$7&lt;=100),1,0)*E156</f>
        <v>0</v>
      </c>
      <c r="AB156" s="35">
        <f t="shared" si="119"/>
        <v>0</v>
      </c>
      <c r="AC156" s="35">
        <f>IF(D156/Frequency!$N$7&gt;100,1,0)*E156</f>
        <v>0</v>
      </c>
      <c r="AD156" s="35">
        <f t="shared" si="120"/>
        <v>0</v>
      </c>
      <c r="AE156" s="22">
        <f t="shared" si="121"/>
        <v>0</v>
      </c>
      <c r="AF156" s="22">
        <f t="shared" si="122"/>
        <v>0</v>
      </c>
      <c r="AG156" s="22">
        <f t="shared" si="123"/>
        <v>0</v>
      </c>
      <c r="AH156" s="22">
        <f t="shared" si="124"/>
        <v>0</v>
      </c>
      <c r="AI156" s="35">
        <f t="shared" si="125"/>
        <v>1</v>
      </c>
      <c r="AJ156" s="35">
        <f t="shared" si="126"/>
        <v>10</v>
      </c>
      <c r="AK156" s="35">
        <f t="shared" si="127"/>
        <v>40</v>
      </c>
      <c r="AL156">
        <f t="shared" si="128"/>
        <v>1</v>
      </c>
      <c r="AM156">
        <f t="shared" si="129"/>
        <v>10</v>
      </c>
      <c r="AN156">
        <f t="shared" si="130"/>
        <v>40</v>
      </c>
      <c r="AO156">
        <f t="shared" si="131"/>
        <v>1</v>
      </c>
      <c r="AP156">
        <f t="shared" si="132"/>
        <v>10</v>
      </c>
      <c r="AQ156">
        <f t="shared" si="133"/>
        <v>40</v>
      </c>
      <c r="AR156">
        <f t="shared" si="134"/>
        <v>0</v>
      </c>
      <c r="AS156">
        <f t="shared" si="135"/>
        <v>0</v>
      </c>
      <c r="AT156">
        <f t="shared" si="136"/>
        <v>0</v>
      </c>
      <c r="AU156">
        <f t="shared" si="137"/>
        <v>0</v>
      </c>
      <c r="AV156">
        <v>0</v>
      </c>
      <c r="AW156">
        <v>0</v>
      </c>
      <c r="AX156">
        <f t="shared" si="138"/>
        <v>0</v>
      </c>
      <c r="AY156">
        <f t="shared" si="139"/>
        <v>0</v>
      </c>
      <c r="AZ156">
        <f t="shared" si="140"/>
        <v>0</v>
      </c>
      <c r="BA156">
        <f t="shared" si="141"/>
        <v>0</v>
      </c>
      <c r="BB156">
        <f t="shared" si="142"/>
        <v>0</v>
      </c>
      <c r="BC156">
        <f t="shared" si="143"/>
        <v>0</v>
      </c>
      <c r="BD156">
        <f t="shared" si="144"/>
        <v>0</v>
      </c>
      <c r="BE156">
        <f t="shared" si="145"/>
        <v>0</v>
      </c>
      <c r="BF156">
        <f t="shared" si="146"/>
        <v>0</v>
      </c>
      <c r="BG156">
        <f t="shared" si="147"/>
        <v>0</v>
      </c>
      <c r="BH156">
        <f t="shared" si="148"/>
        <v>0</v>
      </c>
      <c r="BI156">
        <f t="shared" si="149"/>
        <v>0</v>
      </c>
      <c r="BJ156">
        <v>0</v>
      </c>
      <c r="BK156" t="str">
        <f t="shared" si="161"/>
        <v>Standard Win</v>
      </c>
      <c r="BL156" s="40" t="str">
        <f t="shared" si="162"/>
        <v>Combo Win</v>
      </c>
      <c r="BM156">
        <f>(D156/Frequency!$N$7-Summary!$C$7)^2*E156</f>
        <v>99.856000000000023</v>
      </c>
      <c r="BN156">
        <f t="shared" si="150"/>
        <v>0</v>
      </c>
      <c r="BO156">
        <f t="shared" si="151"/>
        <v>0</v>
      </c>
      <c r="BP156">
        <f t="shared" si="152"/>
        <v>0</v>
      </c>
      <c r="BQ156">
        <f t="shared" si="153"/>
        <v>0</v>
      </c>
      <c r="BR156">
        <f t="shared" si="154"/>
        <v>0</v>
      </c>
      <c r="BS156">
        <f t="shared" si="155"/>
        <v>0</v>
      </c>
      <c r="BT156">
        <f t="shared" si="156"/>
        <v>0</v>
      </c>
      <c r="BU156">
        <f t="shared" si="157"/>
        <v>0</v>
      </c>
      <c r="BV156">
        <f t="shared" si="158"/>
        <v>0</v>
      </c>
      <c r="BW156">
        <f t="shared" si="159"/>
        <v>0</v>
      </c>
      <c r="BX156">
        <f t="shared" si="160"/>
        <v>0</v>
      </c>
    </row>
    <row r="157" spans="2:76">
      <c r="B157" s="19">
        <f>Tiers!B158</f>
        <v>155</v>
      </c>
      <c r="C157" s="20" t="str">
        <f>Tiers!X158</f>
        <v>main-5|wild-16||||||||</v>
      </c>
      <c r="D157" s="21">
        <f>Tiers!C158</f>
        <v>10</v>
      </c>
      <c r="E157" s="22">
        <f>Frequency!E159</f>
        <v>70</v>
      </c>
      <c r="F157" s="22">
        <f t="shared" si="110"/>
        <v>700</v>
      </c>
      <c r="G157" s="20">
        <f>IF(AND(D157/Summary!$C$4&gt;0, D157/Summary!$C$4&lt;5),E157,0) * D157</f>
        <v>0</v>
      </c>
      <c r="H157" s="20">
        <f>IF(AND(D157/Summary!$C$4&gt;= 5, D157/Summary!$C$4&lt;10),E157,0) * D157</f>
        <v>0</v>
      </c>
      <c r="I157" s="20">
        <f>IF(AND(D157/Summary!$C$4&gt;=10, D157/Summary!$C$4&lt;25),E157,0)*D157</f>
        <v>700</v>
      </c>
      <c r="J157" s="20">
        <f>IF(D157/Summary!$C$4&gt;=25,E157,0)*D157</f>
        <v>0</v>
      </c>
      <c r="K157" s="35">
        <f>IF(AND(D157/Frequency!$N$7&gt;0, D157/Frequency!$N$7&lt;1),E157,0)</f>
        <v>0</v>
      </c>
      <c r="L157" s="35">
        <f t="shared" si="111"/>
        <v>0</v>
      </c>
      <c r="M157" s="35">
        <f>IF(D157/Frequency!$N$7=1,1,0)*E157</f>
        <v>0</v>
      </c>
      <c r="N157" s="35">
        <f t="shared" si="112"/>
        <v>0</v>
      </c>
      <c r="O157" s="35">
        <f>IF(AND(D157/Frequency!$N$7&gt;1, D157/Frequency!$N$7&lt;=2),1,0)*E157</f>
        <v>0</v>
      </c>
      <c r="P157" s="35">
        <f t="shared" si="113"/>
        <v>0</v>
      </c>
      <c r="Q157" s="35">
        <f>IF(AND(D157/Frequency!$N$7&gt;2,D157/Frequency!$N$7&lt;=5),1,0)*E157</f>
        <v>0</v>
      </c>
      <c r="R157" s="35">
        <f t="shared" si="114"/>
        <v>0</v>
      </c>
      <c r="S157" s="35">
        <f>IF(AND(D157/Frequency!$N$7&gt;5, D157/Frequency!$N$7&lt;=10),1,0)*E157</f>
        <v>70</v>
      </c>
      <c r="T157" s="35">
        <f t="shared" si="115"/>
        <v>700</v>
      </c>
      <c r="U157" s="35">
        <f>IF(AND(D157/Frequency!$N$7&gt;10, D157/Frequency!$N$7&lt;=20),1,0)*E157</f>
        <v>0</v>
      </c>
      <c r="V157" s="35">
        <f t="shared" si="116"/>
        <v>0</v>
      </c>
      <c r="W157" s="35">
        <f>IF(AND(D157/Frequency!$N$7&gt;20, D157/Frequency!$N$7&lt;=30),1,0)*E157</f>
        <v>0</v>
      </c>
      <c r="X157" s="35">
        <f t="shared" si="117"/>
        <v>0</v>
      </c>
      <c r="Y157" s="35">
        <f>IF(AND(D157/Frequency!$N$7&gt;30, D157/Frequency!$N$7&lt;=50),1,0)*E157</f>
        <v>0</v>
      </c>
      <c r="Z157" s="35">
        <f t="shared" si="118"/>
        <v>0</v>
      </c>
      <c r="AA157" s="35">
        <f>IF(AND(D157/Frequency!$N$7&gt;50, D157/Frequency!$N$7&lt;=100),1,0)*E157</f>
        <v>0</v>
      </c>
      <c r="AB157" s="35">
        <f t="shared" si="119"/>
        <v>0</v>
      </c>
      <c r="AC157" s="35">
        <f>IF(D157/Frequency!$N$7&gt;100,1,0)*E157</f>
        <v>0</v>
      </c>
      <c r="AD157" s="35">
        <f t="shared" si="120"/>
        <v>0</v>
      </c>
      <c r="AE157" s="22">
        <f t="shared" si="121"/>
        <v>0</v>
      </c>
      <c r="AF157" s="22">
        <f t="shared" si="122"/>
        <v>0</v>
      </c>
      <c r="AG157" s="22">
        <f t="shared" si="123"/>
        <v>0</v>
      </c>
      <c r="AH157" s="22">
        <f t="shared" si="124"/>
        <v>0</v>
      </c>
      <c r="AI157" s="35">
        <f t="shared" si="125"/>
        <v>1</v>
      </c>
      <c r="AJ157" s="35">
        <f t="shared" si="126"/>
        <v>70</v>
      </c>
      <c r="AK157" s="35">
        <f t="shared" si="127"/>
        <v>700</v>
      </c>
      <c r="AL157">
        <f t="shared" si="128"/>
        <v>1</v>
      </c>
      <c r="AM157">
        <f t="shared" si="129"/>
        <v>70</v>
      </c>
      <c r="AN157">
        <f t="shared" si="130"/>
        <v>700</v>
      </c>
      <c r="AO157">
        <f t="shared" si="131"/>
        <v>1</v>
      </c>
      <c r="AP157">
        <f t="shared" si="132"/>
        <v>70</v>
      </c>
      <c r="AQ157">
        <f t="shared" si="133"/>
        <v>700</v>
      </c>
      <c r="AR157">
        <f t="shared" si="134"/>
        <v>0</v>
      </c>
      <c r="AS157">
        <f t="shared" si="135"/>
        <v>0</v>
      </c>
      <c r="AT157">
        <f t="shared" si="136"/>
        <v>0</v>
      </c>
      <c r="AU157">
        <f t="shared" si="137"/>
        <v>0</v>
      </c>
      <c r="AV157">
        <v>0</v>
      </c>
      <c r="AW157">
        <v>0</v>
      </c>
      <c r="AX157">
        <f t="shared" si="138"/>
        <v>0</v>
      </c>
      <c r="AY157">
        <f t="shared" si="139"/>
        <v>0</v>
      </c>
      <c r="AZ157">
        <f t="shared" si="140"/>
        <v>0</v>
      </c>
      <c r="BA157">
        <f t="shared" si="141"/>
        <v>0</v>
      </c>
      <c r="BB157">
        <f t="shared" si="142"/>
        <v>0</v>
      </c>
      <c r="BC157">
        <f t="shared" si="143"/>
        <v>0</v>
      </c>
      <c r="BD157">
        <f t="shared" si="144"/>
        <v>0</v>
      </c>
      <c r="BE157">
        <f t="shared" si="145"/>
        <v>0</v>
      </c>
      <c r="BF157">
        <f t="shared" si="146"/>
        <v>0</v>
      </c>
      <c r="BG157">
        <f t="shared" si="147"/>
        <v>0</v>
      </c>
      <c r="BH157">
        <f t="shared" si="148"/>
        <v>0</v>
      </c>
      <c r="BI157">
        <f t="shared" si="149"/>
        <v>0</v>
      </c>
      <c r="BJ157">
        <v>0</v>
      </c>
      <c r="BK157" t="str">
        <f t="shared" si="161"/>
        <v>Big Win</v>
      </c>
      <c r="BL157" s="40" t="str">
        <f t="shared" si="162"/>
        <v>Combo Win</v>
      </c>
      <c r="BM157">
        <f>(D157/Frequency!$N$7-Summary!$C$7)^2*E157</f>
        <v>5873.3920000000007</v>
      </c>
      <c r="BN157">
        <f t="shared" si="150"/>
        <v>0</v>
      </c>
      <c r="BO157">
        <f t="shared" si="151"/>
        <v>0</v>
      </c>
      <c r="BP157">
        <f t="shared" si="152"/>
        <v>0</v>
      </c>
      <c r="BQ157">
        <f t="shared" si="153"/>
        <v>0</v>
      </c>
      <c r="BR157">
        <f t="shared" si="154"/>
        <v>0</v>
      </c>
      <c r="BS157">
        <f t="shared" si="155"/>
        <v>0</v>
      </c>
      <c r="BT157">
        <f t="shared" si="156"/>
        <v>0</v>
      </c>
      <c r="BU157">
        <f t="shared" si="157"/>
        <v>0</v>
      </c>
      <c r="BV157">
        <f t="shared" si="158"/>
        <v>0</v>
      </c>
      <c r="BW157">
        <f t="shared" si="159"/>
        <v>0</v>
      </c>
      <c r="BX157">
        <f t="shared" si="160"/>
        <v>0</v>
      </c>
    </row>
    <row r="158" spans="2:76">
      <c r="B158" s="19">
        <f>Tiers!B159</f>
        <v>156</v>
      </c>
      <c r="C158" s="20" t="str">
        <f>Tiers!X159</f>
        <v>main-0|wild-17||||||||</v>
      </c>
      <c r="D158" s="21">
        <f>Tiers!C159</f>
        <v>10.1</v>
      </c>
      <c r="E158" s="22">
        <f>Frequency!E160</f>
        <v>100</v>
      </c>
      <c r="F158" s="22">
        <f t="shared" si="110"/>
        <v>1010</v>
      </c>
      <c r="G158" s="20">
        <f>IF(AND(D158/Summary!$C$4&gt;0, D158/Summary!$C$4&lt;5),E158,0) * D158</f>
        <v>0</v>
      </c>
      <c r="H158" s="20">
        <f>IF(AND(D158/Summary!$C$4&gt;= 5, D158/Summary!$C$4&lt;10),E158,0) * D158</f>
        <v>0</v>
      </c>
      <c r="I158" s="20">
        <f>IF(AND(D158/Summary!$C$4&gt;=10, D158/Summary!$C$4&lt;25),E158,0)*D158</f>
        <v>1010</v>
      </c>
      <c r="J158" s="20">
        <f>IF(D158/Summary!$C$4&gt;=25,E158,0)*D158</f>
        <v>0</v>
      </c>
      <c r="K158" s="35">
        <f>IF(AND(D158/Frequency!$N$7&gt;0, D158/Frequency!$N$7&lt;1),E158,0)</f>
        <v>0</v>
      </c>
      <c r="L158" s="35">
        <f t="shared" si="111"/>
        <v>0</v>
      </c>
      <c r="M158" s="35">
        <f>IF(D158/Frequency!$N$7=1,1,0)*E158</f>
        <v>0</v>
      </c>
      <c r="N158" s="35">
        <f t="shared" si="112"/>
        <v>0</v>
      </c>
      <c r="O158" s="35">
        <f>IF(AND(D158/Frequency!$N$7&gt;1, D158/Frequency!$N$7&lt;=2),1,0)*E158</f>
        <v>0</v>
      </c>
      <c r="P158" s="35">
        <f t="shared" si="113"/>
        <v>0</v>
      </c>
      <c r="Q158" s="35">
        <f>IF(AND(D158/Frequency!$N$7&gt;2,D158/Frequency!$N$7&lt;=5),1,0)*E158</f>
        <v>0</v>
      </c>
      <c r="R158" s="35">
        <f t="shared" si="114"/>
        <v>0</v>
      </c>
      <c r="S158" s="35">
        <f>IF(AND(D158/Frequency!$N$7&gt;5, D158/Frequency!$N$7&lt;=10),1,0)*E158</f>
        <v>0</v>
      </c>
      <c r="T158" s="35">
        <f t="shared" si="115"/>
        <v>0</v>
      </c>
      <c r="U158" s="35">
        <f>IF(AND(D158/Frequency!$N$7&gt;10, D158/Frequency!$N$7&lt;=20),1,0)*E158</f>
        <v>100</v>
      </c>
      <c r="V158" s="35">
        <f t="shared" si="116"/>
        <v>1010</v>
      </c>
      <c r="W158" s="35">
        <f>IF(AND(D158/Frequency!$N$7&gt;20, D158/Frequency!$N$7&lt;=30),1,0)*E158</f>
        <v>0</v>
      </c>
      <c r="X158" s="35">
        <f t="shared" si="117"/>
        <v>0</v>
      </c>
      <c r="Y158" s="35">
        <f>IF(AND(D158/Frequency!$N$7&gt;30, D158/Frequency!$N$7&lt;=50),1,0)*E158</f>
        <v>0</v>
      </c>
      <c r="Z158" s="35">
        <f t="shared" si="118"/>
        <v>0</v>
      </c>
      <c r="AA158" s="35">
        <f>IF(AND(D158/Frequency!$N$7&gt;50, D158/Frequency!$N$7&lt;=100),1,0)*E158</f>
        <v>0</v>
      </c>
      <c r="AB158" s="35">
        <f t="shared" si="119"/>
        <v>0</v>
      </c>
      <c r="AC158" s="35">
        <f>IF(D158/Frequency!$N$7&gt;100,1,0)*E158</f>
        <v>0</v>
      </c>
      <c r="AD158" s="35">
        <f t="shared" si="120"/>
        <v>0</v>
      </c>
      <c r="AE158" s="22">
        <f t="shared" si="121"/>
        <v>0</v>
      </c>
      <c r="AF158" s="22">
        <f t="shared" si="122"/>
        <v>0</v>
      </c>
      <c r="AG158" s="22">
        <f t="shared" si="123"/>
        <v>0</v>
      </c>
      <c r="AH158" s="22">
        <f t="shared" si="124"/>
        <v>0</v>
      </c>
      <c r="AI158" s="35">
        <f t="shared" si="125"/>
        <v>1</v>
      </c>
      <c r="AJ158" s="35">
        <f t="shared" si="126"/>
        <v>100</v>
      </c>
      <c r="AK158" s="35">
        <f t="shared" si="127"/>
        <v>1010</v>
      </c>
      <c r="AL158">
        <f t="shared" si="128"/>
        <v>1</v>
      </c>
      <c r="AM158">
        <f t="shared" si="129"/>
        <v>100</v>
      </c>
      <c r="AN158">
        <f t="shared" si="130"/>
        <v>1010</v>
      </c>
      <c r="AO158">
        <f t="shared" si="131"/>
        <v>1</v>
      </c>
      <c r="AP158">
        <f t="shared" si="132"/>
        <v>100</v>
      </c>
      <c r="AQ158">
        <f t="shared" si="133"/>
        <v>1010</v>
      </c>
      <c r="AR158">
        <f t="shared" si="134"/>
        <v>0</v>
      </c>
      <c r="AS158">
        <f t="shared" si="135"/>
        <v>0</v>
      </c>
      <c r="AT158">
        <f t="shared" si="136"/>
        <v>0</v>
      </c>
      <c r="AU158">
        <f t="shared" si="137"/>
        <v>0</v>
      </c>
      <c r="AV158">
        <v>0</v>
      </c>
      <c r="AW158">
        <v>0</v>
      </c>
      <c r="AX158">
        <f t="shared" si="138"/>
        <v>0</v>
      </c>
      <c r="AY158">
        <f t="shared" si="139"/>
        <v>0</v>
      </c>
      <c r="AZ158">
        <f t="shared" si="140"/>
        <v>0</v>
      </c>
      <c r="BA158">
        <f t="shared" si="141"/>
        <v>0</v>
      </c>
      <c r="BB158">
        <f t="shared" si="142"/>
        <v>0</v>
      </c>
      <c r="BC158">
        <f t="shared" si="143"/>
        <v>0</v>
      </c>
      <c r="BD158">
        <f t="shared" si="144"/>
        <v>0</v>
      </c>
      <c r="BE158">
        <f t="shared" si="145"/>
        <v>0</v>
      </c>
      <c r="BF158">
        <f t="shared" si="146"/>
        <v>0</v>
      </c>
      <c r="BG158">
        <f t="shared" si="147"/>
        <v>0</v>
      </c>
      <c r="BH158">
        <f t="shared" si="148"/>
        <v>0</v>
      </c>
      <c r="BI158">
        <f t="shared" si="149"/>
        <v>0</v>
      </c>
      <c r="BJ158">
        <v>0</v>
      </c>
      <c r="BK158" t="str">
        <f t="shared" si="161"/>
        <v>Big Win</v>
      </c>
      <c r="BL158" s="40" t="str">
        <f t="shared" si="162"/>
        <v>Combo Win</v>
      </c>
      <c r="BM158">
        <f>(D158/Frequency!$N$7-Summary!$C$7)^2*E158</f>
        <v>8574.7599999999984</v>
      </c>
      <c r="BN158">
        <f t="shared" si="150"/>
        <v>0</v>
      </c>
      <c r="BO158">
        <f t="shared" si="151"/>
        <v>0</v>
      </c>
      <c r="BP158">
        <f t="shared" si="152"/>
        <v>0</v>
      </c>
      <c r="BQ158">
        <f t="shared" si="153"/>
        <v>0</v>
      </c>
      <c r="BR158">
        <f t="shared" si="154"/>
        <v>0</v>
      </c>
      <c r="BS158">
        <f t="shared" si="155"/>
        <v>0</v>
      </c>
      <c r="BT158">
        <f t="shared" si="156"/>
        <v>0</v>
      </c>
      <c r="BU158">
        <f t="shared" si="157"/>
        <v>0</v>
      </c>
      <c r="BV158">
        <f t="shared" si="158"/>
        <v>0</v>
      </c>
      <c r="BW158">
        <f t="shared" si="159"/>
        <v>0</v>
      </c>
      <c r="BX158">
        <f t="shared" si="160"/>
        <v>0</v>
      </c>
    </row>
    <row r="159" spans="2:76">
      <c r="B159" s="19">
        <f>Tiers!B160</f>
        <v>157</v>
      </c>
      <c r="C159" s="20" t="str">
        <f>Tiers!X160</f>
        <v>main-1|wild-18||||||||</v>
      </c>
      <c r="D159" s="21">
        <f>Tiers!C160</f>
        <v>3.2</v>
      </c>
      <c r="E159" s="22">
        <f>Frequency!E161</f>
        <v>109</v>
      </c>
      <c r="F159" s="22">
        <f t="shared" si="110"/>
        <v>348.8</v>
      </c>
      <c r="G159" s="20">
        <f>IF(AND(D159/Summary!$C$4&gt;0, D159/Summary!$C$4&lt;5),E159,0) * D159</f>
        <v>348.8</v>
      </c>
      <c r="H159" s="20">
        <f>IF(AND(D159/Summary!$C$4&gt;= 5, D159/Summary!$C$4&lt;10),E159,0) * D159</f>
        <v>0</v>
      </c>
      <c r="I159" s="20">
        <f>IF(AND(D159/Summary!$C$4&gt;=10, D159/Summary!$C$4&lt;25),E159,0)*D159</f>
        <v>0</v>
      </c>
      <c r="J159" s="20">
        <f>IF(D159/Summary!$C$4&gt;=25,E159,0)*D159</f>
        <v>0</v>
      </c>
      <c r="K159" s="35">
        <f>IF(AND(D159/Frequency!$N$7&gt;0, D159/Frequency!$N$7&lt;1),E159,0)</f>
        <v>0</v>
      </c>
      <c r="L159" s="35">
        <f t="shared" si="111"/>
        <v>0</v>
      </c>
      <c r="M159" s="35">
        <f>IF(D159/Frequency!$N$7=1,1,0)*E159</f>
        <v>0</v>
      </c>
      <c r="N159" s="35">
        <f t="shared" si="112"/>
        <v>0</v>
      </c>
      <c r="O159" s="35">
        <f>IF(AND(D159/Frequency!$N$7&gt;1, D159/Frequency!$N$7&lt;=2),1,0)*E159</f>
        <v>0</v>
      </c>
      <c r="P159" s="35">
        <f t="shared" si="113"/>
        <v>0</v>
      </c>
      <c r="Q159" s="35">
        <f>IF(AND(D159/Frequency!$N$7&gt;2,D159/Frequency!$N$7&lt;=5),1,0)*E159</f>
        <v>109</v>
      </c>
      <c r="R159" s="35">
        <f t="shared" si="114"/>
        <v>348.8</v>
      </c>
      <c r="S159" s="35">
        <f>IF(AND(D159/Frequency!$N$7&gt;5, D159/Frequency!$N$7&lt;=10),1,0)*E159</f>
        <v>0</v>
      </c>
      <c r="T159" s="35">
        <f t="shared" si="115"/>
        <v>0</v>
      </c>
      <c r="U159" s="35">
        <f>IF(AND(D159/Frequency!$N$7&gt;10, D159/Frequency!$N$7&lt;=20),1,0)*E159</f>
        <v>0</v>
      </c>
      <c r="V159" s="35">
        <f t="shared" si="116"/>
        <v>0</v>
      </c>
      <c r="W159" s="35">
        <f>IF(AND(D159/Frequency!$N$7&gt;20, D159/Frequency!$N$7&lt;=30),1,0)*E159</f>
        <v>0</v>
      </c>
      <c r="X159" s="35">
        <f t="shared" si="117"/>
        <v>0</v>
      </c>
      <c r="Y159" s="35">
        <f>IF(AND(D159/Frequency!$N$7&gt;30, D159/Frequency!$N$7&lt;=50),1,0)*E159</f>
        <v>0</v>
      </c>
      <c r="Z159" s="35">
        <f t="shared" si="118"/>
        <v>0</v>
      </c>
      <c r="AA159" s="35">
        <f>IF(AND(D159/Frequency!$N$7&gt;50, D159/Frequency!$N$7&lt;=100),1,0)*E159</f>
        <v>0</v>
      </c>
      <c r="AB159" s="35">
        <f t="shared" si="119"/>
        <v>0</v>
      </c>
      <c r="AC159" s="35">
        <f>IF(D159/Frequency!$N$7&gt;100,1,0)*E159</f>
        <v>0</v>
      </c>
      <c r="AD159" s="35">
        <f t="shared" si="120"/>
        <v>0</v>
      </c>
      <c r="AE159" s="22">
        <f t="shared" si="121"/>
        <v>0</v>
      </c>
      <c r="AF159" s="22">
        <f t="shared" si="122"/>
        <v>0</v>
      </c>
      <c r="AG159" s="22">
        <f t="shared" si="123"/>
        <v>0</v>
      </c>
      <c r="AH159" s="22">
        <f t="shared" si="124"/>
        <v>0</v>
      </c>
      <c r="AI159" s="35">
        <f t="shared" si="125"/>
        <v>1</v>
      </c>
      <c r="AJ159" s="35">
        <f t="shared" si="126"/>
        <v>109</v>
      </c>
      <c r="AK159" s="35">
        <f t="shared" si="127"/>
        <v>348.8</v>
      </c>
      <c r="AL159">
        <f t="shared" si="128"/>
        <v>1</v>
      </c>
      <c r="AM159">
        <f t="shared" si="129"/>
        <v>109</v>
      </c>
      <c r="AN159">
        <f t="shared" si="130"/>
        <v>348.8</v>
      </c>
      <c r="AO159">
        <f t="shared" si="131"/>
        <v>1</v>
      </c>
      <c r="AP159">
        <f t="shared" si="132"/>
        <v>109</v>
      </c>
      <c r="AQ159">
        <f t="shared" si="133"/>
        <v>348.8</v>
      </c>
      <c r="AR159">
        <f t="shared" si="134"/>
        <v>0</v>
      </c>
      <c r="AS159">
        <f t="shared" si="135"/>
        <v>0</v>
      </c>
      <c r="AT159">
        <f t="shared" si="136"/>
        <v>0</v>
      </c>
      <c r="AU159">
        <f t="shared" si="137"/>
        <v>0</v>
      </c>
      <c r="AV159">
        <v>0</v>
      </c>
      <c r="AW159">
        <v>0</v>
      </c>
      <c r="AX159">
        <f t="shared" si="138"/>
        <v>0</v>
      </c>
      <c r="AY159">
        <f t="shared" si="139"/>
        <v>0</v>
      </c>
      <c r="AZ159">
        <f t="shared" si="140"/>
        <v>0</v>
      </c>
      <c r="BA159">
        <f t="shared" si="141"/>
        <v>0</v>
      </c>
      <c r="BB159">
        <f t="shared" si="142"/>
        <v>0</v>
      </c>
      <c r="BC159">
        <f t="shared" si="143"/>
        <v>0</v>
      </c>
      <c r="BD159">
        <f t="shared" si="144"/>
        <v>0</v>
      </c>
      <c r="BE159">
        <f t="shared" si="145"/>
        <v>0</v>
      </c>
      <c r="BF159">
        <f t="shared" si="146"/>
        <v>0</v>
      </c>
      <c r="BG159">
        <f t="shared" si="147"/>
        <v>0</v>
      </c>
      <c r="BH159">
        <f t="shared" si="148"/>
        <v>0</v>
      </c>
      <c r="BI159">
        <f t="shared" si="149"/>
        <v>0</v>
      </c>
      <c r="BJ159">
        <v>0</v>
      </c>
      <c r="BK159" t="str">
        <f t="shared" si="161"/>
        <v>Standard Win</v>
      </c>
      <c r="BL159" s="40" t="str">
        <f t="shared" si="162"/>
        <v>Combo Win</v>
      </c>
      <c r="BM159">
        <f>(D159/Frequency!$N$7-Summary!$C$7)^2*E159</f>
        <v>607.08640000000014</v>
      </c>
      <c r="BN159">
        <f t="shared" si="150"/>
        <v>0</v>
      </c>
      <c r="BO159">
        <f t="shared" si="151"/>
        <v>0</v>
      </c>
      <c r="BP159">
        <f t="shared" si="152"/>
        <v>0</v>
      </c>
      <c r="BQ159">
        <f t="shared" si="153"/>
        <v>0</v>
      </c>
      <c r="BR159">
        <f t="shared" si="154"/>
        <v>0</v>
      </c>
      <c r="BS159">
        <f t="shared" si="155"/>
        <v>0</v>
      </c>
      <c r="BT159">
        <f t="shared" si="156"/>
        <v>0</v>
      </c>
      <c r="BU159">
        <f t="shared" si="157"/>
        <v>0</v>
      </c>
      <c r="BV159">
        <f t="shared" si="158"/>
        <v>0</v>
      </c>
      <c r="BW159">
        <f t="shared" si="159"/>
        <v>0</v>
      </c>
      <c r="BX159">
        <f t="shared" si="160"/>
        <v>0</v>
      </c>
    </row>
    <row r="160" spans="2:76">
      <c r="B160" s="19">
        <f>Tiers!B161</f>
        <v>158</v>
      </c>
      <c r="C160" s="20" t="str">
        <f>Tiers!X161</f>
        <v>main-2|wild-1||||||||</v>
      </c>
      <c r="D160" s="21">
        <f>Tiers!C161</f>
        <v>0.7</v>
      </c>
      <c r="E160" s="22">
        <f>Frequency!E162</f>
        <v>500</v>
      </c>
      <c r="F160" s="22">
        <f t="shared" si="110"/>
        <v>350</v>
      </c>
      <c r="G160" s="20">
        <f>IF(AND(D160/Summary!$C$4&gt;0, D160/Summary!$C$4&lt;5),E160,0) * D160</f>
        <v>350</v>
      </c>
      <c r="H160" s="20">
        <f>IF(AND(D160/Summary!$C$4&gt;= 5, D160/Summary!$C$4&lt;10),E160,0) * D160</f>
        <v>0</v>
      </c>
      <c r="I160" s="20">
        <f>IF(AND(D160/Summary!$C$4&gt;=10, D160/Summary!$C$4&lt;25),E160,0)*D160</f>
        <v>0</v>
      </c>
      <c r="J160" s="20">
        <f>IF(D160/Summary!$C$4&gt;=25,E160,0)*D160</f>
        <v>0</v>
      </c>
      <c r="K160" s="35">
        <f>IF(AND(D160/Frequency!$N$7&gt;0, D160/Frequency!$N$7&lt;1),E160,0)</f>
        <v>500</v>
      </c>
      <c r="L160" s="35">
        <f t="shared" si="111"/>
        <v>350</v>
      </c>
      <c r="M160" s="35">
        <f>IF(D160/Frequency!$N$7=1,1,0)*E160</f>
        <v>0</v>
      </c>
      <c r="N160" s="35">
        <f t="shared" si="112"/>
        <v>0</v>
      </c>
      <c r="O160" s="35">
        <f>IF(AND(D160/Frequency!$N$7&gt;1, D160/Frequency!$N$7&lt;=2),1,0)*E160</f>
        <v>0</v>
      </c>
      <c r="P160" s="35">
        <f t="shared" si="113"/>
        <v>0</v>
      </c>
      <c r="Q160" s="35">
        <f>IF(AND(D160/Frequency!$N$7&gt;2,D160/Frequency!$N$7&lt;=5),1,0)*E160</f>
        <v>0</v>
      </c>
      <c r="R160" s="35">
        <f t="shared" si="114"/>
        <v>0</v>
      </c>
      <c r="S160" s="35">
        <f>IF(AND(D160/Frequency!$N$7&gt;5, D160/Frequency!$N$7&lt;=10),1,0)*E160</f>
        <v>0</v>
      </c>
      <c r="T160" s="35">
        <f t="shared" si="115"/>
        <v>0</v>
      </c>
      <c r="U160" s="35">
        <f>IF(AND(D160/Frequency!$N$7&gt;10, D160/Frequency!$N$7&lt;=20),1,0)*E160</f>
        <v>0</v>
      </c>
      <c r="V160" s="35">
        <f t="shared" si="116"/>
        <v>0</v>
      </c>
      <c r="W160" s="35">
        <f>IF(AND(D160/Frequency!$N$7&gt;20, D160/Frequency!$N$7&lt;=30),1,0)*E160</f>
        <v>0</v>
      </c>
      <c r="X160" s="35">
        <f t="shared" si="117"/>
        <v>0</v>
      </c>
      <c r="Y160" s="35">
        <f>IF(AND(D160/Frequency!$N$7&gt;30, D160/Frequency!$N$7&lt;=50),1,0)*E160</f>
        <v>0</v>
      </c>
      <c r="Z160" s="35">
        <f t="shared" si="118"/>
        <v>0</v>
      </c>
      <c r="AA160" s="35">
        <f>IF(AND(D160/Frequency!$N$7&gt;50, D160/Frequency!$N$7&lt;=100),1,0)*E160</f>
        <v>0</v>
      </c>
      <c r="AB160" s="35">
        <f t="shared" si="119"/>
        <v>0</v>
      </c>
      <c r="AC160" s="35">
        <f>IF(D160/Frequency!$N$7&gt;100,1,0)*E160</f>
        <v>0</v>
      </c>
      <c r="AD160" s="35">
        <f t="shared" si="120"/>
        <v>0</v>
      </c>
      <c r="AE160" s="22">
        <f t="shared" si="121"/>
        <v>0</v>
      </c>
      <c r="AF160" s="22">
        <f t="shared" si="122"/>
        <v>0</v>
      </c>
      <c r="AG160" s="22">
        <f t="shared" si="123"/>
        <v>0</v>
      </c>
      <c r="AH160" s="22">
        <f t="shared" si="124"/>
        <v>0</v>
      </c>
      <c r="AI160" s="35">
        <f t="shared" si="125"/>
        <v>1</v>
      </c>
      <c r="AJ160" s="35">
        <f t="shared" si="126"/>
        <v>500</v>
      </c>
      <c r="AK160" s="35">
        <f t="shared" si="127"/>
        <v>350</v>
      </c>
      <c r="AL160">
        <f t="shared" si="128"/>
        <v>1</v>
      </c>
      <c r="AM160">
        <f t="shared" si="129"/>
        <v>500</v>
      </c>
      <c r="AN160">
        <f t="shared" si="130"/>
        <v>350</v>
      </c>
      <c r="AO160">
        <f t="shared" si="131"/>
        <v>1</v>
      </c>
      <c r="AP160">
        <f t="shared" si="132"/>
        <v>500</v>
      </c>
      <c r="AQ160">
        <f t="shared" si="133"/>
        <v>350</v>
      </c>
      <c r="AR160">
        <f t="shared" si="134"/>
        <v>0</v>
      </c>
      <c r="AS160">
        <f t="shared" si="135"/>
        <v>0</v>
      </c>
      <c r="AT160">
        <f t="shared" si="136"/>
        <v>0</v>
      </c>
      <c r="AU160">
        <f t="shared" si="137"/>
        <v>0</v>
      </c>
      <c r="AV160">
        <v>0</v>
      </c>
      <c r="AW160">
        <v>0</v>
      </c>
      <c r="AX160">
        <f t="shared" si="138"/>
        <v>0</v>
      </c>
      <c r="AY160">
        <f t="shared" si="139"/>
        <v>0</v>
      </c>
      <c r="AZ160">
        <f t="shared" si="140"/>
        <v>0</v>
      </c>
      <c r="BA160">
        <f t="shared" si="141"/>
        <v>0</v>
      </c>
      <c r="BB160">
        <f t="shared" si="142"/>
        <v>0</v>
      </c>
      <c r="BC160">
        <f t="shared" si="143"/>
        <v>0</v>
      </c>
      <c r="BD160">
        <f t="shared" si="144"/>
        <v>0</v>
      </c>
      <c r="BE160">
        <f t="shared" si="145"/>
        <v>0</v>
      </c>
      <c r="BF160">
        <f t="shared" si="146"/>
        <v>0</v>
      </c>
      <c r="BG160">
        <f t="shared" si="147"/>
        <v>0</v>
      </c>
      <c r="BH160">
        <f t="shared" si="148"/>
        <v>0</v>
      </c>
      <c r="BI160">
        <f t="shared" si="149"/>
        <v>0</v>
      </c>
      <c r="BJ160">
        <v>0</v>
      </c>
      <c r="BK160" t="str">
        <f t="shared" si="161"/>
        <v>Less than Stake</v>
      </c>
      <c r="BL160" s="40" t="str">
        <f t="shared" si="162"/>
        <v>Combo Win</v>
      </c>
      <c r="BM160">
        <f>(D160/Frequency!$N$7-Summary!$C$7)^2*E160</f>
        <v>9.8000000000000007</v>
      </c>
      <c r="BN160">
        <f t="shared" si="150"/>
        <v>0</v>
      </c>
      <c r="BO160">
        <f t="shared" si="151"/>
        <v>0</v>
      </c>
      <c r="BP160">
        <f t="shared" si="152"/>
        <v>0</v>
      </c>
      <c r="BQ160">
        <f t="shared" si="153"/>
        <v>0</v>
      </c>
      <c r="BR160">
        <f t="shared" si="154"/>
        <v>0</v>
      </c>
      <c r="BS160">
        <f t="shared" si="155"/>
        <v>0</v>
      </c>
      <c r="BT160">
        <f t="shared" si="156"/>
        <v>0</v>
      </c>
      <c r="BU160">
        <f t="shared" si="157"/>
        <v>0</v>
      </c>
      <c r="BV160">
        <f t="shared" si="158"/>
        <v>0</v>
      </c>
      <c r="BW160">
        <f t="shared" si="159"/>
        <v>0</v>
      </c>
      <c r="BX160">
        <f t="shared" si="160"/>
        <v>0</v>
      </c>
    </row>
    <row r="161" spans="2:76">
      <c r="B161" s="19">
        <f>Tiers!B162</f>
        <v>159</v>
      </c>
      <c r="C161" s="20" t="str">
        <f>Tiers!X162</f>
        <v>main-3|wild-2||||||||</v>
      </c>
      <c r="D161" s="21">
        <f>Tiers!C162</f>
        <v>1.5</v>
      </c>
      <c r="E161" s="22">
        <f>Frequency!E163</f>
        <v>3000</v>
      </c>
      <c r="F161" s="22">
        <f t="shared" si="110"/>
        <v>4500</v>
      </c>
      <c r="G161" s="20">
        <f>IF(AND(D161/Summary!$C$4&gt;0, D161/Summary!$C$4&lt;5),E161,0) * D161</f>
        <v>4500</v>
      </c>
      <c r="H161" s="20">
        <f>IF(AND(D161/Summary!$C$4&gt;= 5, D161/Summary!$C$4&lt;10),E161,0) * D161</f>
        <v>0</v>
      </c>
      <c r="I161" s="20">
        <f>IF(AND(D161/Summary!$C$4&gt;=10, D161/Summary!$C$4&lt;25),E161,0)*D161</f>
        <v>0</v>
      </c>
      <c r="J161" s="20">
        <f>IF(D161/Summary!$C$4&gt;=25,E161,0)*D161</f>
        <v>0</v>
      </c>
      <c r="K161" s="35">
        <f>IF(AND(D161/Frequency!$N$7&gt;0, D161/Frequency!$N$7&lt;1),E161,0)</f>
        <v>0</v>
      </c>
      <c r="L161" s="35">
        <f t="shared" si="111"/>
        <v>0</v>
      </c>
      <c r="M161" s="35">
        <f>IF(D161/Frequency!$N$7=1,1,0)*E161</f>
        <v>0</v>
      </c>
      <c r="N161" s="35">
        <f t="shared" si="112"/>
        <v>0</v>
      </c>
      <c r="O161" s="35">
        <f>IF(AND(D161/Frequency!$N$7&gt;1, D161/Frequency!$N$7&lt;=2),1,0)*E161</f>
        <v>3000</v>
      </c>
      <c r="P161" s="35">
        <f t="shared" si="113"/>
        <v>4500</v>
      </c>
      <c r="Q161" s="35">
        <f>IF(AND(D161/Frequency!$N$7&gt;2,D161/Frequency!$N$7&lt;=5),1,0)*E161</f>
        <v>0</v>
      </c>
      <c r="R161" s="35">
        <f t="shared" si="114"/>
        <v>0</v>
      </c>
      <c r="S161" s="35">
        <f>IF(AND(D161/Frequency!$N$7&gt;5, D161/Frequency!$N$7&lt;=10),1,0)*E161</f>
        <v>0</v>
      </c>
      <c r="T161" s="35">
        <f t="shared" si="115"/>
        <v>0</v>
      </c>
      <c r="U161" s="35">
        <f>IF(AND(D161/Frequency!$N$7&gt;10, D161/Frequency!$N$7&lt;=20),1,0)*E161</f>
        <v>0</v>
      </c>
      <c r="V161" s="35">
        <f t="shared" si="116"/>
        <v>0</v>
      </c>
      <c r="W161" s="35">
        <f>IF(AND(D161/Frequency!$N$7&gt;20, D161/Frequency!$N$7&lt;=30),1,0)*E161</f>
        <v>0</v>
      </c>
      <c r="X161" s="35">
        <f t="shared" si="117"/>
        <v>0</v>
      </c>
      <c r="Y161" s="35">
        <f>IF(AND(D161/Frequency!$N$7&gt;30, D161/Frequency!$N$7&lt;=50),1,0)*E161</f>
        <v>0</v>
      </c>
      <c r="Z161" s="35">
        <f t="shared" si="118"/>
        <v>0</v>
      </c>
      <c r="AA161" s="35">
        <f>IF(AND(D161/Frequency!$N$7&gt;50, D161/Frequency!$N$7&lt;=100),1,0)*E161</f>
        <v>0</v>
      </c>
      <c r="AB161" s="35">
        <f t="shared" si="119"/>
        <v>0</v>
      </c>
      <c r="AC161" s="35">
        <f>IF(D161/Frequency!$N$7&gt;100,1,0)*E161</f>
        <v>0</v>
      </c>
      <c r="AD161" s="35">
        <f t="shared" si="120"/>
        <v>0</v>
      </c>
      <c r="AE161" s="22">
        <f t="shared" si="121"/>
        <v>0</v>
      </c>
      <c r="AF161" s="22">
        <f t="shared" si="122"/>
        <v>0</v>
      </c>
      <c r="AG161" s="22">
        <f t="shared" si="123"/>
        <v>0</v>
      </c>
      <c r="AH161" s="22">
        <f t="shared" si="124"/>
        <v>0</v>
      </c>
      <c r="AI161" s="35">
        <f t="shared" si="125"/>
        <v>1</v>
      </c>
      <c r="AJ161" s="35">
        <f t="shared" si="126"/>
        <v>3000</v>
      </c>
      <c r="AK161" s="35">
        <f t="shared" si="127"/>
        <v>4500</v>
      </c>
      <c r="AL161">
        <f t="shared" si="128"/>
        <v>1</v>
      </c>
      <c r="AM161">
        <f t="shared" si="129"/>
        <v>3000</v>
      </c>
      <c r="AN161">
        <f t="shared" si="130"/>
        <v>4500</v>
      </c>
      <c r="AO161">
        <f t="shared" si="131"/>
        <v>1</v>
      </c>
      <c r="AP161">
        <f t="shared" si="132"/>
        <v>3000</v>
      </c>
      <c r="AQ161">
        <f t="shared" si="133"/>
        <v>4500</v>
      </c>
      <c r="AR161">
        <f t="shared" si="134"/>
        <v>0</v>
      </c>
      <c r="AS161">
        <f t="shared" si="135"/>
        <v>0</v>
      </c>
      <c r="AT161">
        <f t="shared" si="136"/>
        <v>0</v>
      </c>
      <c r="AU161">
        <f t="shared" si="137"/>
        <v>0</v>
      </c>
      <c r="AV161">
        <v>0</v>
      </c>
      <c r="AW161">
        <v>0</v>
      </c>
      <c r="AX161">
        <f t="shared" si="138"/>
        <v>0</v>
      </c>
      <c r="AY161">
        <f t="shared" si="139"/>
        <v>0</v>
      </c>
      <c r="AZ161">
        <f t="shared" si="140"/>
        <v>0</v>
      </c>
      <c r="BA161">
        <f t="shared" si="141"/>
        <v>0</v>
      </c>
      <c r="BB161">
        <f t="shared" si="142"/>
        <v>0</v>
      </c>
      <c r="BC161">
        <f t="shared" si="143"/>
        <v>0</v>
      </c>
      <c r="BD161">
        <f t="shared" si="144"/>
        <v>0</v>
      </c>
      <c r="BE161">
        <f t="shared" si="145"/>
        <v>0</v>
      </c>
      <c r="BF161">
        <f t="shared" si="146"/>
        <v>0</v>
      </c>
      <c r="BG161">
        <f t="shared" si="147"/>
        <v>0</v>
      </c>
      <c r="BH161">
        <f t="shared" si="148"/>
        <v>0</v>
      </c>
      <c r="BI161">
        <f t="shared" si="149"/>
        <v>0</v>
      </c>
      <c r="BJ161">
        <v>0</v>
      </c>
      <c r="BK161" t="str">
        <f t="shared" si="161"/>
        <v>Standard Win</v>
      </c>
      <c r="BL161" s="40" t="str">
        <f t="shared" si="162"/>
        <v>Combo Win</v>
      </c>
      <c r="BM161">
        <f>(D161/Frequency!$N$7-Summary!$C$7)^2*E161</f>
        <v>1306.8000000000002</v>
      </c>
      <c r="BN161">
        <f t="shared" si="150"/>
        <v>0</v>
      </c>
      <c r="BO161">
        <f t="shared" si="151"/>
        <v>0</v>
      </c>
      <c r="BP161">
        <f t="shared" si="152"/>
        <v>0</v>
      </c>
      <c r="BQ161">
        <f t="shared" si="153"/>
        <v>0</v>
      </c>
      <c r="BR161">
        <f t="shared" si="154"/>
        <v>0</v>
      </c>
      <c r="BS161">
        <f t="shared" si="155"/>
        <v>0</v>
      </c>
      <c r="BT161">
        <f t="shared" si="156"/>
        <v>0</v>
      </c>
      <c r="BU161">
        <f t="shared" si="157"/>
        <v>0</v>
      </c>
      <c r="BV161">
        <f t="shared" si="158"/>
        <v>0</v>
      </c>
      <c r="BW161">
        <f t="shared" si="159"/>
        <v>0</v>
      </c>
      <c r="BX161">
        <f t="shared" si="160"/>
        <v>0</v>
      </c>
    </row>
    <row r="162" spans="2:76">
      <c r="B162" s="19">
        <f>Tiers!B163</f>
        <v>160</v>
      </c>
      <c r="C162" s="20" t="str">
        <f>Tiers!X163</f>
        <v>main-4|wild-3||||||||</v>
      </c>
      <c r="D162" s="21">
        <f>Tiers!C163</f>
        <v>3</v>
      </c>
      <c r="E162" s="22">
        <f>Frequency!E164</f>
        <v>188</v>
      </c>
      <c r="F162" s="22">
        <f t="shared" si="110"/>
        <v>564</v>
      </c>
      <c r="G162" s="20">
        <f>IF(AND(D162/Summary!$C$4&gt;0, D162/Summary!$C$4&lt;5),E162,0) * D162</f>
        <v>564</v>
      </c>
      <c r="H162" s="20">
        <f>IF(AND(D162/Summary!$C$4&gt;= 5, D162/Summary!$C$4&lt;10),E162,0) * D162</f>
        <v>0</v>
      </c>
      <c r="I162" s="20">
        <f>IF(AND(D162/Summary!$C$4&gt;=10, D162/Summary!$C$4&lt;25),E162,0)*D162</f>
        <v>0</v>
      </c>
      <c r="J162" s="20">
        <f>IF(D162/Summary!$C$4&gt;=25,E162,0)*D162</f>
        <v>0</v>
      </c>
      <c r="K162" s="35">
        <f>IF(AND(D162/Frequency!$N$7&gt;0, D162/Frequency!$N$7&lt;1),E162,0)</f>
        <v>0</v>
      </c>
      <c r="L162" s="35">
        <f t="shared" si="111"/>
        <v>0</v>
      </c>
      <c r="M162" s="35">
        <f>IF(D162/Frequency!$N$7=1,1,0)*E162</f>
        <v>0</v>
      </c>
      <c r="N162" s="35">
        <f t="shared" si="112"/>
        <v>0</v>
      </c>
      <c r="O162" s="35">
        <f>IF(AND(D162/Frequency!$N$7&gt;1, D162/Frequency!$N$7&lt;=2),1,0)*E162</f>
        <v>0</v>
      </c>
      <c r="P162" s="35">
        <f t="shared" si="113"/>
        <v>0</v>
      </c>
      <c r="Q162" s="35">
        <f>IF(AND(D162/Frequency!$N$7&gt;2,D162/Frequency!$N$7&lt;=5),1,0)*E162</f>
        <v>188</v>
      </c>
      <c r="R162" s="35">
        <f t="shared" si="114"/>
        <v>564</v>
      </c>
      <c r="S162" s="35">
        <f>IF(AND(D162/Frequency!$N$7&gt;5, D162/Frequency!$N$7&lt;=10),1,0)*E162</f>
        <v>0</v>
      </c>
      <c r="T162" s="35">
        <f t="shared" si="115"/>
        <v>0</v>
      </c>
      <c r="U162" s="35">
        <f>IF(AND(D162/Frequency!$N$7&gt;10, D162/Frequency!$N$7&lt;=20),1,0)*E162</f>
        <v>0</v>
      </c>
      <c r="V162" s="35">
        <f t="shared" si="116"/>
        <v>0</v>
      </c>
      <c r="W162" s="35">
        <f>IF(AND(D162/Frequency!$N$7&gt;20, D162/Frequency!$N$7&lt;=30),1,0)*E162</f>
        <v>0</v>
      </c>
      <c r="X162" s="35">
        <f t="shared" si="117"/>
        <v>0</v>
      </c>
      <c r="Y162" s="35">
        <f>IF(AND(D162/Frequency!$N$7&gt;30, D162/Frequency!$N$7&lt;=50),1,0)*E162</f>
        <v>0</v>
      </c>
      <c r="Z162" s="35">
        <f t="shared" si="118"/>
        <v>0</v>
      </c>
      <c r="AA162" s="35">
        <f>IF(AND(D162/Frequency!$N$7&gt;50, D162/Frequency!$N$7&lt;=100),1,0)*E162</f>
        <v>0</v>
      </c>
      <c r="AB162" s="35">
        <f t="shared" si="119"/>
        <v>0</v>
      </c>
      <c r="AC162" s="35">
        <f>IF(D162/Frequency!$N$7&gt;100,1,0)*E162</f>
        <v>0</v>
      </c>
      <c r="AD162" s="35">
        <f t="shared" si="120"/>
        <v>0</v>
      </c>
      <c r="AE162" s="22">
        <f t="shared" si="121"/>
        <v>0</v>
      </c>
      <c r="AF162" s="22">
        <f t="shared" si="122"/>
        <v>0</v>
      </c>
      <c r="AG162" s="22">
        <f t="shared" si="123"/>
        <v>0</v>
      </c>
      <c r="AH162" s="22">
        <f t="shared" si="124"/>
        <v>0</v>
      </c>
      <c r="AI162" s="35">
        <f t="shared" si="125"/>
        <v>1</v>
      </c>
      <c r="AJ162" s="35">
        <f t="shared" si="126"/>
        <v>188</v>
      </c>
      <c r="AK162" s="35">
        <f t="shared" si="127"/>
        <v>564</v>
      </c>
      <c r="AL162">
        <f t="shared" si="128"/>
        <v>1</v>
      </c>
      <c r="AM162">
        <f t="shared" si="129"/>
        <v>188</v>
      </c>
      <c r="AN162">
        <f t="shared" si="130"/>
        <v>564</v>
      </c>
      <c r="AO162">
        <f t="shared" si="131"/>
        <v>1</v>
      </c>
      <c r="AP162">
        <f t="shared" si="132"/>
        <v>188</v>
      </c>
      <c r="AQ162">
        <f t="shared" si="133"/>
        <v>564</v>
      </c>
      <c r="AR162">
        <f t="shared" si="134"/>
        <v>0</v>
      </c>
      <c r="AS162">
        <f t="shared" si="135"/>
        <v>0</v>
      </c>
      <c r="AT162">
        <f t="shared" si="136"/>
        <v>0</v>
      </c>
      <c r="AU162">
        <f t="shared" si="137"/>
        <v>0</v>
      </c>
      <c r="AV162">
        <v>0</v>
      </c>
      <c r="AW162">
        <v>0</v>
      </c>
      <c r="AX162">
        <f t="shared" si="138"/>
        <v>0</v>
      </c>
      <c r="AY162">
        <f t="shared" si="139"/>
        <v>0</v>
      </c>
      <c r="AZ162">
        <f t="shared" si="140"/>
        <v>0</v>
      </c>
      <c r="BA162">
        <f t="shared" si="141"/>
        <v>0</v>
      </c>
      <c r="BB162">
        <f t="shared" si="142"/>
        <v>0</v>
      </c>
      <c r="BC162">
        <f t="shared" si="143"/>
        <v>0</v>
      </c>
      <c r="BD162">
        <f t="shared" si="144"/>
        <v>0</v>
      </c>
      <c r="BE162">
        <f t="shared" si="145"/>
        <v>0</v>
      </c>
      <c r="BF162">
        <f t="shared" si="146"/>
        <v>0</v>
      </c>
      <c r="BG162">
        <f t="shared" si="147"/>
        <v>0</v>
      </c>
      <c r="BH162">
        <f t="shared" si="148"/>
        <v>0</v>
      </c>
      <c r="BI162">
        <f t="shared" si="149"/>
        <v>0</v>
      </c>
      <c r="BJ162">
        <v>0</v>
      </c>
      <c r="BK162" t="str">
        <f t="shared" si="161"/>
        <v>Standard Win</v>
      </c>
      <c r="BL162" s="40" t="str">
        <f t="shared" si="162"/>
        <v>Combo Win</v>
      </c>
      <c r="BM162">
        <f>(D162/Frequency!$N$7-Summary!$C$7)^2*E162</f>
        <v>877.13280000000009</v>
      </c>
      <c r="BN162">
        <f t="shared" si="150"/>
        <v>0</v>
      </c>
      <c r="BO162">
        <f t="shared" si="151"/>
        <v>0</v>
      </c>
      <c r="BP162">
        <f t="shared" si="152"/>
        <v>0</v>
      </c>
      <c r="BQ162">
        <f t="shared" si="153"/>
        <v>0</v>
      </c>
      <c r="BR162">
        <f t="shared" si="154"/>
        <v>0</v>
      </c>
      <c r="BS162">
        <f t="shared" si="155"/>
        <v>0</v>
      </c>
      <c r="BT162">
        <f t="shared" si="156"/>
        <v>0</v>
      </c>
      <c r="BU162">
        <f t="shared" si="157"/>
        <v>0</v>
      </c>
      <c r="BV162">
        <f t="shared" si="158"/>
        <v>0</v>
      </c>
      <c r="BW162">
        <f t="shared" si="159"/>
        <v>0</v>
      </c>
      <c r="BX162">
        <f t="shared" si="160"/>
        <v>0</v>
      </c>
    </row>
    <row r="163" spans="2:76">
      <c r="B163" s="19">
        <f>Tiers!B164</f>
        <v>161</v>
      </c>
      <c r="C163" s="20" t="str">
        <f>Tiers!X164</f>
        <v>main-5|wild-4||||||||</v>
      </c>
      <c r="D163" s="21">
        <f>Tiers!C164</f>
        <v>7</v>
      </c>
      <c r="E163" s="22">
        <f>Frequency!E165</f>
        <v>50</v>
      </c>
      <c r="F163" s="22">
        <f t="shared" si="110"/>
        <v>350</v>
      </c>
      <c r="G163" s="20">
        <f>IF(AND(D163/Summary!$C$4&gt;0, D163/Summary!$C$4&lt;5),E163,0) * D163</f>
        <v>0</v>
      </c>
      <c r="H163" s="20">
        <f>IF(AND(D163/Summary!$C$4&gt;= 5, D163/Summary!$C$4&lt;10),E163,0) * D163</f>
        <v>350</v>
      </c>
      <c r="I163" s="20">
        <f>IF(AND(D163/Summary!$C$4&gt;=10, D163/Summary!$C$4&lt;25),E163,0)*D163</f>
        <v>0</v>
      </c>
      <c r="J163" s="20">
        <f>IF(D163/Summary!$C$4&gt;=25,E163,0)*D163</f>
        <v>0</v>
      </c>
      <c r="K163" s="35">
        <f>IF(AND(D163/Frequency!$N$7&gt;0, D163/Frequency!$N$7&lt;1),E163,0)</f>
        <v>0</v>
      </c>
      <c r="L163" s="35">
        <f t="shared" si="111"/>
        <v>0</v>
      </c>
      <c r="M163" s="35">
        <f>IF(D163/Frequency!$N$7=1,1,0)*E163</f>
        <v>0</v>
      </c>
      <c r="N163" s="35">
        <f t="shared" si="112"/>
        <v>0</v>
      </c>
      <c r="O163" s="35">
        <f>IF(AND(D163/Frequency!$N$7&gt;1, D163/Frequency!$N$7&lt;=2),1,0)*E163</f>
        <v>0</v>
      </c>
      <c r="P163" s="35">
        <f t="shared" si="113"/>
        <v>0</v>
      </c>
      <c r="Q163" s="35">
        <f>IF(AND(D163/Frequency!$N$7&gt;2,D163/Frequency!$N$7&lt;=5),1,0)*E163</f>
        <v>0</v>
      </c>
      <c r="R163" s="35">
        <f t="shared" si="114"/>
        <v>0</v>
      </c>
      <c r="S163" s="35">
        <f>IF(AND(D163/Frequency!$N$7&gt;5, D163/Frequency!$N$7&lt;=10),1,0)*E163</f>
        <v>50</v>
      </c>
      <c r="T163" s="35">
        <f t="shared" si="115"/>
        <v>350</v>
      </c>
      <c r="U163" s="35">
        <f>IF(AND(D163/Frequency!$N$7&gt;10, D163/Frequency!$N$7&lt;=20),1,0)*E163</f>
        <v>0</v>
      </c>
      <c r="V163" s="35">
        <f t="shared" si="116"/>
        <v>0</v>
      </c>
      <c r="W163" s="35">
        <f>IF(AND(D163/Frequency!$N$7&gt;20, D163/Frequency!$N$7&lt;=30),1,0)*E163</f>
        <v>0</v>
      </c>
      <c r="X163" s="35">
        <f t="shared" si="117"/>
        <v>0</v>
      </c>
      <c r="Y163" s="35">
        <f>IF(AND(D163/Frequency!$N$7&gt;30, D163/Frequency!$N$7&lt;=50),1,0)*E163</f>
        <v>0</v>
      </c>
      <c r="Z163" s="35">
        <f t="shared" si="118"/>
        <v>0</v>
      </c>
      <c r="AA163" s="35">
        <f>IF(AND(D163/Frequency!$N$7&gt;50, D163/Frequency!$N$7&lt;=100),1,0)*E163</f>
        <v>0</v>
      </c>
      <c r="AB163" s="35">
        <f t="shared" si="119"/>
        <v>0</v>
      </c>
      <c r="AC163" s="35">
        <f>IF(D163/Frequency!$N$7&gt;100,1,0)*E163</f>
        <v>0</v>
      </c>
      <c r="AD163" s="35">
        <f t="shared" si="120"/>
        <v>0</v>
      </c>
      <c r="AE163" s="22">
        <f t="shared" si="121"/>
        <v>0</v>
      </c>
      <c r="AF163" s="22">
        <f t="shared" si="122"/>
        <v>0</v>
      </c>
      <c r="AG163" s="22">
        <f t="shared" si="123"/>
        <v>0</v>
      </c>
      <c r="AH163" s="22">
        <f t="shared" si="124"/>
        <v>0</v>
      </c>
      <c r="AI163" s="35">
        <f t="shared" si="125"/>
        <v>1</v>
      </c>
      <c r="AJ163" s="35">
        <f t="shared" si="126"/>
        <v>50</v>
      </c>
      <c r="AK163" s="35">
        <f t="shared" si="127"/>
        <v>350</v>
      </c>
      <c r="AL163">
        <f t="shared" si="128"/>
        <v>1</v>
      </c>
      <c r="AM163">
        <f t="shared" si="129"/>
        <v>50</v>
      </c>
      <c r="AN163">
        <f t="shared" si="130"/>
        <v>350</v>
      </c>
      <c r="AO163">
        <f t="shared" si="131"/>
        <v>1</v>
      </c>
      <c r="AP163">
        <f t="shared" si="132"/>
        <v>50</v>
      </c>
      <c r="AQ163">
        <f t="shared" si="133"/>
        <v>350</v>
      </c>
      <c r="AR163">
        <f t="shared" si="134"/>
        <v>0</v>
      </c>
      <c r="AS163">
        <f t="shared" si="135"/>
        <v>0</v>
      </c>
      <c r="AT163">
        <f t="shared" si="136"/>
        <v>0</v>
      </c>
      <c r="AU163">
        <f t="shared" si="137"/>
        <v>0</v>
      </c>
      <c r="AV163">
        <v>0</v>
      </c>
      <c r="AW163">
        <v>0</v>
      </c>
      <c r="AX163">
        <f t="shared" si="138"/>
        <v>0</v>
      </c>
      <c r="AY163">
        <f t="shared" si="139"/>
        <v>0</v>
      </c>
      <c r="AZ163">
        <f t="shared" si="140"/>
        <v>0</v>
      </c>
      <c r="BA163">
        <f t="shared" si="141"/>
        <v>0</v>
      </c>
      <c r="BB163">
        <f t="shared" si="142"/>
        <v>0</v>
      </c>
      <c r="BC163">
        <f t="shared" si="143"/>
        <v>0</v>
      </c>
      <c r="BD163">
        <f t="shared" si="144"/>
        <v>0</v>
      </c>
      <c r="BE163">
        <f t="shared" si="145"/>
        <v>0</v>
      </c>
      <c r="BF163">
        <f t="shared" si="146"/>
        <v>0</v>
      </c>
      <c r="BG163">
        <f t="shared" si="147"/>
        <v>0</v>
      </c>
      <c r="BH163">
        <f t="shared" si="148"/>
        <v>0</v>
      </c>
      <c r="BI163">
        <f t="shared" si="149"/>
        <v>0</v>
      </c>
      <c r="BJ163">
        <v>0</v>
      </c>
      <c r="BK163" t="str">
        <f t="shared" ref="BK163:BK193" si="163">IF(D163 &lt; $D$417, $C$417,
IF(D163 = $D$418, $C$418,
IF(D163 &lt; $D$419, $C$419,
IF(D163 &lt; $D$420, $C$420,
IF(D163 &lt; $D$421, $C$421, $C$422)))))</f>
        <v>Standard Win</v>
      </c>
      <c r="BL163" s="40" t="str">
        <f t="shared" ref="BL163:BL193" si="164">IF(AU163 = 1,$C$426,
IF(AV163 = 1,$C$427,
IF(AW163 = 1,$C$428,
IF(AX163 = 1,$C$429,
IF(BA163 = 1,$C$430,
IF(BD163 = 1,$C$431,
IF(BG163 = 1,$C$432,
IF(ISNUMBER(SEARCH("|||||||||",C163)), $C$433,$C$434))))))))</f>
        <v>Combo Win</v>
      </c>
      <c r="BM163">
        <f>(D163/Frequency!$N$7-Summary!$C$7)^2*E163</f>
        <v>1897.28</v>
      </c>
      <c r="BN163">
        <f t="shared" si="150"/>
        <v>0</v>
      </c>
      <c r="BO163">
        <f t="shared" si="151"/>
        <v>0</v>
      </c>
      <c r="BP163">
        <f t="shared" si="152"/>
        <v>0</v>
      </c>
      <c r="BQ163">
        <f t="shared" si="153"/>
        <v>0</v>
      </c>
      <c r="BR163">
        <f t="shared" si="154"/>
        <v>0</v>
      </c>
      <c r="BS163">
        <f t="shared" si="155"/>
        <v>0</v>
      </c>
      <c r="BT163">
        <f t="shared" si="156"/>
        <v>0</v>
      </c>
      <c r="BU163">
        <f t="shared" si="157"/>
        <v>0</v>
      </c>
      <c r="BV163">
        <f t="shared" si="158"/>
        <v>0</v>
      </c>
      <c r="BW163">
        <f t="shared" si="159"/>
        <v>0</v>
      </c>
      <c r="BX163">
        <f t="shared" si="160"/>
        <v>0</v>
      </c>
    </row>
    <row r="164" spans="2:76">
      <c r="B164" s="19">
        <f>Tiers!B165</f>
        <v>162</v>
      </c>
      <c r="C164" s="20" t="str">
        <f>Tiers!X165</f>
        <v>main-5|wild-11||||||||</v>
      </c>
      <c r="D164" s="21">
        <f>Tiers!C165</f>
        <v>7</v>
      </c>
      <c r="E164" s="22">
        <f>Frequency!E166</f>
        <v>18</v>
      </c>
      <c r="F164" s="22">
        <f t="shared" si="110"/>
        <v>126</v>
      </c>
      <c r="G164" s="20">
        <f>IF(AND(D164/Summary!$C$4&gt;0, D164/Summary!$C$4&lt;5),E164,0) * D164</f>
        <v>0</v>
      </c>
      <c r="H164" s="20">
        <f>IF(AND(D164/Summary!$C$4&gt;= 5, D164/Summary!$C$4&lt;10),E164,0) * D164</f>
        <v>126</v>
      </c>
      <c r="I164" s="20">
        <f>IF(AND(D164/Summary!$C$4&gt;=10, D164/Summary!$C$4&lt;25),E164,0)*D164</f>
        <v>0</v>
      </c>
      <c r="J164" s="20">
        <f>IF(D164/Summary!$C$4&gt;=25,E164,0)*D164</f>
        <v>0</v>
      </c>
      <c r="K164" s="35">
        <f>IF(AND(D164/Frequency!$N$7&gt;0, D164/Frequency!$N$7&lt;1),E164,0)</f>
        <v>0</v>
      </c>
      <c r="L164" s="35">
        <f t="shared" si="111"/>
        <v>0</v>
      </c>
      <c r="M164" s="35">
        <f>IF(D164/Frequency!$N$7=1,1,0)*E164</f>
        <v>0</v>
      </c>
      <c r="N164" s="35">
        <f t="shared" si="112"/>
        <v>0</v>
      </c>
      <c r="O164" s="35">
        <f>IF(AND(D164/Frequency!$N$7&gt;1, D164/Frequency!$N$7&lt;=2),1,0)*E164</f>
        <v>0</v>
      </c>
      <c r="P164" s="35">
        <f t="shared" si="113"/>
        <v>0</v>
      </c>
      <c r="Q164" s="35">
        <f>IF(AND(D164/Frequency!$N$7&gt;2,D164/Frequency!$N$7&lt;=5),1,0)*E164</f>
        <v>0</v>
      </c>
      <c r="R164" s="35">
        <f t="shared" si="114"/>
        <v>0</v>
      </c>
      <c r="S164" s="35">
        <f>IF(AND(D164/Frequency!$N$7&gt;5, D164/Frequency!$N$7&lt;=10),1,0)*E164</f>
        <v>18</v>
      </c>
      <c r="T164" s="35">
        <f t="shared" si="115"/>
        <v>126</v>
      </c>
      <c r="U164" s="35">
        <f>IF(AND(D164/Frequency!$N$7&gt;10, D164/Frequency!$N$7&lt;=20),1,0)*E164</f>
        <v>0</v>
      </c>
      <c r="V164" s="35">
        <f t="shared" si="116"/>
        <v>0</v>
      </c>
      <c r="W164" s="35">
        <f>IF(AND(D164/Frequency!$N$7&gt;20, D164/Frequency!$N$7&lt;=30),1,0)*E164</f>
        <v>0</v>
      </c>
      <c r="X164" s="35">
        <f t="shared" si="117"/>
        <v>0</v>
      </c>
      <c r="Y164" s="35">
        <f>IF(AND(D164/Frequency!$N$7&gt;30, D164/Frequency!$N$7&lt;=50),1,0)*E164</f>
        <v>0</v>
      </c>
      <c r="Z164" s="35">
        <f t="shared" si="118"/>
        <v>0</v>
      </c>
      <c r="AA164" s="35">
        <f>IF(AND(D164/Frequency!$N$7&gt;50, D164/Frequency!$N$7&lt;=100),1,0)*E164</f>
        <v>0</v>
      </c>
      <c r="AB164" s="35">
        <f t="shared" si="119"/>
        <v>0</v>
      </c>
      <c r="AC164" s="35">
        <f>IF(D164/Frequency!$N$7&gt;100,1,0)*E164</f>
        <v>0</v>
      </c>
      <c r="AD164" s="35">
        <f t="shared" si="120"/>
        <v>0</v>
      </c>
      <c r="AE164" s="22">
        <f t="shared" si="121"/>
        <v>0</v>
      </c>
      <c r="AF164" s="22">
        <f t="shared" si="122"/>
        <v>0</v>
      </c>
      <c r="AG164" s="22">
        <f t="shared" si="123"/>
        <v>0</v>
      </c>
      <c r="AH164" s="22">
        <f t="shared" si="124"/>
        <v>0</v>
      </c>
      <c r="AI164" s="35">
        <f t="shared" si="125"/>
        <v>1</v>
      </c>
      <c r="AJ164" s="35">
        <f t="shared" si="126"/>
        <v>18</v>
      </c>
      <c r="AK164" s="35">
        <f t="shared" si="127"/>
        <v>126</v>
      </c>
      <c r="AL164">
        <f t="shared" si="128"/>
        <v>1</v>
      </c>
      <c r="AM164">
        <f t="shared" si="129"/>
        <v>18</v>
      </c>
      <c r="AN164">
        <f t="shared" si="130"/>
        <v>126</v>
      </c>
      <c r="AO164">
        <f t="shared" si="131"/>
        <v>1</v>
      </c>
      <c r="AP164">
        <f t="shared" si="132"/>
        <v>18</v>
      </c>
      <c r="AQ164">
        <f t="shared" si="133"/>
        <v>126</v>
      </c>
      <c r="AR164">
        <f t="shared" si="134"/>
        <v>0</v>
      </c>
      <c r="AS164">
        <f t="shared" si="135"/>
        <v>0</v>
      </c>
      <c r="AT164">
        <f t="shared" si="136"/>
        <v>0</v>
      </c>
      <c r="AU164">
        <f t="shared" si="137"/>
        <v>0</v>
      </c>
      <c r="AV164">
        <v>0</v>
      </c>
      <c r="AW164">
        <v>0</v>
      </c>
      <c r="AX164">
        <f t="shared" si="138"/>
        <v>0</v>
      </c>
      <c r="AY164">
        <f t="shared" si="139"/>
        <v>0</v>
      </c>
      <c r="AZ164">
        <f t="shared" si="140"/>
        <v>0</v>
      </c>
      <c r="BA164">
        <f t="shared" si="141"/>
        <v>0</v>
      </c>
      <c r="BB164">
        <f t="shared" si="142"/>
        <v>0</v>
      </c>
      <c r="BC164">
        <f t="shared" si="143"/>
        <v>0</v>
      </c>
      <c r="BD164">
        <f t="shared" si="144"/>
        <v>0</v>
      </c>
      <c r="BE164">
        <f t="shared" si="145"/>
        <v>0</v>
      </c>
      <c r="BF164">
        <f t="shared" si="146"/>
        <v>0</v>
      </c>
      <c r="BG164">
        <f t="shared" si="147"/>
        <v>0</v>
      </c>
      <c r="BH164">
        <f t="shared" si="148"/>
        <v>0</v>
      </c>
      <c r="BI164">
        <f t="shared" si="149"/>
        <v>0</v>
      </c>
      <c r="BJ164">
        <v>0</v>
      </c>
      <c r="BK164" t="str">
        <f t="shared" si="163"/>
        <v>Standard Win</v>
      </c>
      <c r="BL164" s="40" t="str">
        <f t="shared" si="164"/>
        <v>Combo Win</v>
      </c>
      <c r="BM164">
        <f>(D164/Frequency!$N$7-Summary!$C$7)^2*E164</f>
        <v>683.02080000000001</v>
      </c>
      <c r="BN164">
        <f t="shared" si="150"/>
        <v>0</v>
      </c>
      <c r="BO164">
        <f t="shared" si="151"/>
        <v>0</v>
      </c>
      <c r="BP164">
        <f t="shared" si="152"/>
        <v>0</v>
      </c>
      <c r="BQ164">
        <f t="shared" si="153"/>
        <v>0</v>
      </c>
      <c r="BR164">
        <f t="shared" si="154"/>
        <v>0</v>
      </c>
      <c r="BS164">
        <f t="shared" si="155"/>
        <v>0</v>
      </c>
      <c r="BT164">
        <f t="shared" si="156"/>
        <v>0</v>
      </c>
      <c r="BU164">
        <f t="shared" si="157"/>
        <v>0</v>
      </c>
      <c r="BV164">
        <f t="shared" si="158"/>
        <v>0</v>
      </c>
      <c r="BW164">
        <f t="shared" si="159"/>
        <v>0</v>
      </c>
      <c r="BX164">
        <f t="shared" si="160"/>
        <v>0</v>
      </c>
    </row>
    <row r="165" spans="2:76">
      <c r="B165" s="19">
        <f>Tiers!B166</f>
        <v>163</v>
      </c>
      <c r="C165" s="20" t="str">
        <f>Tiers!X166</f>
        <v>main-0|wild-12||||||||</v>
      </c>
      <c r="D165" s="21">
        <f>Tiers!C166</f>
        <v>3.1</v>
      </c>
      <c r="E165" s="22">
        <f>Frequency!E167</f>
        <v>18</v>
      </c>
      <c r="F165" s="22">
        <f t="shared" si="110"/>
        <v>55.800000000000004</v>
      </c>
      <c r="G165" s="20">
        <f>IF(AND(D165/Summary!$C$4&gt;0, D165/Summary!$C$4&lt;5),E165,0) * D165</f>
        <v>55.800000000000004</v>
      </c>
      <c r="H165" s="20">
        <f>IF(AND(D165/Summary!$C$4&gt;= 5, D165/Summary!$C$4&lt;10),E165,0) * D165</f>
        <v>0</v>
      </c>
      <c r="I165" s="20">
        <f>IF(AND(D165/Summary!$C$4&gt;=10, D165/Summary!$C$4&lt;25),E165,0)*D165</f>
        <v>0</v>
      </c>
      <c r="J165" s="20">
        <f>IF(D165/Summary!$C$4&gt;=25,E165,0)*D165</f>
        <v>0</v>
      </c>
      <c r="K165" s="35">
        <f>IF(AND(D165/Frequency!$N$7&gt;0, D165/Frequency!$N$7&lt;1),E165,0)</f>
        <v>0</v>
      </c>
      <c r="L165" s="35">
        <f t="shared" si="111"/>
        <v>0</v>
      </c>
      <c r="M165" s="35">
        <f>IF(D165/Frequency!$N$7=1,1,0)*E165</f>
        <v>0</v>
      </c>
      <c r="N165" s="35">
        <f t="shared" si="112"/>
        <v>0</v>
      </c>
      <c r="O165" s="35">
        <f>IF(AND(D165/Frequency!$N$7&gt;1, D165/Frequency!$N$7&lt;=2),1,0)*E165</f>
        <v>0</v>
      </c>
      <c r="P165" s="35">
        <f t="shared" si="113"/>
        <v>0</v>
      </c>
      <c r="Q165" s="35">
        <f>IF(AND(D165/Frequency!$N$7&gt;2,D165/Frequency!$N$7&lt;=5),1,0)*E165</f>
        <v>18</v>
      </c>
      <c r="R165" s="35">
        <f t="shared" si="114"/>
        <v>55.800000000000004</v>
      </c>
      <c r="S165" s="35">
        <f>IF(AND(D165/Frequency!$N$7&gt;5, D165/Frequency!$N$7&lt;=10),1,0)*E165</f>
        <v>0</v>
      </c>
      <c r="T165" s="35">
        <f t="shared" si="115"/>
        <v>0</v>
      </c>
      <c r="U165" s="35">
        <f>IF(AND(D165/Frequency!$N$7&gt;10, D165/Frequency!$N$7&lt;=20),1,0)*E165</f>
        <v>0</v>
      </c>
      <c r="V165" s="35">
        <f t="shared" si="116"/>
        <v>0</v>
      </c>
      <c r="W165" s="35">
        <f>IF(AND(D165/Frequency!$N$7&gt;20, D165/Frequency!$N$7&lt;=30),1,0)*E165</f>
        <v>0</v>
      </c>
      <c r="X165" s="35">
        <f t="shared" si="117"/>
        <v>0</v>
      </c>
      <c r="Y165" s="35">
        <f>IF(AND(D165/Frequency!$N$7&gt;30, D165/Frequency!$N$7&lt;=50),1,0)*E165</f>
        <v>0</v>
      </c>
      <c r="Z165" s="35">
        <f t="shared" si="118"/>
        <v>0</v>
      </c>
      <c r="AA165" s="35">
        <f>IF(AND(D165/Frequency!$N$7&gt;50, D165/Frequency!$N$7&lt;=100),1,0)*E165</f>
        <v>0</v>
      </c>
      <c r="AB165" s="35">
        <f t="shared" si="119"/>
        <v>0</v>
      </c>
      <c r="AC165" s="35">
        <f>IF(D165/Frequency!$N$7&gt;100,1,0)*E165</f>
        <v>0</v>
      </c>
      <c r="AD165" s="35">
        <f t="shared" si="120"/>
        <v>0</v>
      </c>
      <c r="AE165" s="22">
        <f t="shared" si="121"/>
        <v>0</v>
      </c>
      <c r="AF165" s="22">
        <f t="shared" si="122"/>
        <v>0</v>
      </c>
      <c r="AG165" s="22">
        <f t="shared" si="123"/>
        <v>0</v>
      </c>
      <c r="AH165" s="22">
        <f t="shared" si="124"/>
        <v>0</v>
      </c>
      <c r="AI165" s="35">
        <f t="shared" si="125"/>
        <v>1</v>
      </c>
      <c r="AJ165" s="35">
        <f t="shared" si="126"/>
        <v>18</v>
      </c>
      <c r="AK165" s="35">
        <f t="shared" si="127"/>
        <v>55.800000000000004</v>
      </c>
      <c r="AL165">
        <f t="shared" si="128"/>
        <v>1</v>
      </c>
      <c r="AM165">
        <f t="shared" si="129"/>
        <v>18</v>
      </c>
      <c r="AN165">
        <f t="shared" si="130"/>
        <v>55.800000000000004</v>
      </c>
      <c r="AO165">
        <f t="shared" si="131"/>
        <v>1</v>
      </c>
      <c r="AP165">
        <f t="shared" si="132"/>
        <v>18</v>
      </c>
      <c r="AQ165">
        <f t="shared" si="133"/>
        <v>55.800000000000004</v>
      </c>
      <c r="AR165">
        <f t="shared" si="134"/>
        <v>0</v>
      </c>
      <c r="AS165">
        <f t="shared" si="135"/>
        <v>0</v>
      </c>
      <c r="AT165">
        <f t="shared" si="136"/>
        <v>0</v>
      </c>
      <c r="AU165">
        <f t="shared" si="137"/>
        <v>0</v>
      </c>
      <c r="AV165">
        <v>0</v>
      </c>
      <c r="AW165">
        <v>0</v>
      </c>
      <c r="AX165">
        <f t="shared" si="138"/>
        <v>0</v>
      </c>
      <c r="AY165">
        <f t="shared" si="139"/>
        <v>0</v>
      </c>
      <c r="AZ165">
        <f t="shared" si="140"/>
        <v>0</v>
      </c>
      <c r="BA165">
        <f t="shared" si="141"/>
        <v>0</v>
      </c>
      <c r="BB165">
        <f t="shared" si="142"/>
        <v>0</v>
      </c>
      <c r="BC165">
        <f t="shared" si="143"/>
        <v>0</v>
      </c>
      <c r="BD165">
        <f t="shared" si="144"/>
        <v>0</v>
      </c>
      <c r="BE165">
        <f t="shared" si="145"/>
        <v>0</v>
      </c>
      <c r="BF165">
        <f t="shared" si="146"/>
        <v>0</v>
      </c>
      <c r="BG165">
        <f t="shared" si="147"/>
        <v>0</v>
      </c>
      <c r="BH165">
        <f t="shared" si="148"/>
        <v>0</v>
      </c>
      <c r="BI165">
        <f t="shared" si="149"/>
        <v>0</v>
      </c>
      <c r="BJ165">
        <v>0</v>
      </c>
      <c r="BK165" t="str">
        <f t="shared" si="163"/>
        <v>Standard Win</v>
      </c>
      <c r="BL165" s="40" t="str">
        <f t="shared" si="164"/>
        <v>Combo Win</v>
      </c>
      <c r="BM165">
        <f>(D165/Frequency!$N$7-Summary!$C$7)^2*E165</f>
        <v>91.936800000000034</v>
      </c>
      <c r="BN165">
        <f t="shared" si="150"/>
        <v>0</v>
      </c>
      <c r="BO165">
        <f t="shared" si="151"/>
        <v>0</v>
      </c>
      <c r="BP165">
        <f t="shared" si="152"/>
        <v>0</v>
      </c>
      <c r="BQ165">
        <f t="shared" si="153"/>
        <v>0</v>
      </c>
      <c r="BR165">
        <f t="shared" si="154"/>
        <v>0</v>
      </c>
      <c r="BS165">
        <f t="shared" si="155"/>
        <v>0</v>
      </c>
      <c r="BT165">
        <f t="shared" si="156"/>
        <v>0</v>
      </c>
      <c r="BU165">
        <f t="shared" si="157"/>
        <v>0</v>
      </c>
      <c r="BV165">
        <f t="shared" si="158"/>
        <v>0</v>
      </c>
      <c r="BW165">
        <f t="shared" si="159"/>
        <v>0</v>
      </c>
      <c r="BX165">
        <f t="shared" si="160"/>
        <v>0</v>
      </c>
    </row>
    <row r="166" spans="2:76">
      <c r="B166" s="19">
        <f>Tiers!B167</f>
        <v>164</v>
      </c>
      <c r="C166" s="20" t="str">
        <f>Tiers!X167</f>
        <v>main-4|wild-13||||||||</v>
      </c>
      <c r="D166" s="21">
        <f>Tiers!C167</f>
        <v>7</v>
      </c>
      <c r="E166" s="22">
        <f>Frequency!E168</f>
        <v>14</v>
      </c>
      <c r="F166" s="22">
        <f t="shared" si="110"/>
        <v>98</v>
      </c>
      <c r="G166" s="20">
        <f>IF(AND(D166/Summary!$C$4&gt;0, D166/Summary!$C$4&lt;5),E166,0) * D166</f>
        <v>0</v>
      </c>
      <c r="H166" s="20">
        <f>IF(AND(D166/Summary!$C$4&gt;= 5, D166/Summary!$C$4&lt;10),E166,0) * D166</f>
        <v>98</v>
      </c>
      <c r="I166" s="20">
        <f>IF(AND(D166/Summary!$C$4&gt;=10, D166/Summary!$C$4&lt;25),E166,0)*D166</f>
        <v>0</v>
      </c>
      <c r="J166" s="20">
        <f>IF(D166/Summary!$C$4&gt;=25,E166,0)*D166</f>
        <v>0</v>
      </c>
      <c r="K166" s="35">
        <f>IF(AND(D166/Frequency!$N$7&gt;0, D166/Frequency!$N$7&lt;1),E166,0)</f>
        <v>0</v>
      </c>
      <c r="L166" s="35">
        <f t="shared" si="111"/>
        <v>0</v>
      </c>
      <c r="M166" s="35">
        <f>IF(D166/Frequency!$N$7=1,1,0)*E166</f>
        <v>0</v>
      </c>
      <c r="N166" s="35">
        <f t="shared" si="112"/>
        <v>0</v>
      </c>
      <c r="O166" s="35">
        <f>IF(AND(D166/Frequency!$N$7&gt;1, D166/Frequency!$N$7&lt;=2),1,0)*E166</f>
        <v>0</v>
      </c>
      <c r="P166" s="35">
        <f t="shared" si="113"/>
        <v>0</v>
      </c>
      <c r="Q166" s="35">
        <f>IF(AND(D166/Frequency!$N$7&gt;2,D166/Frequency!$N$7&lt;=5),1,0)*E166</f>
        <v>0</v>
      </c>
      <c r="R166" s="35">
        <f t="shared" si="114"/>
        <v>0</v>
      </c>
      <c r="S166" s="35">
        <f>IF(AND(D166/Frequency!$N$7&gt;5, D166/Frequency!$N$7&lt;=10),1,0)*E166</f>
        <v>14</v>
      </c>
      <c r="T166" s="35">
        <f t="shared" si="115"/>
        <v>98</v>
      </c>
      <c r="U166" s="35">
        <f>IF(AND(D166/Frequency!$N$7&gt;10, D166/Frequency!$N$7&lt;=20),1,0)*E166</f>
        <v>0</v>
      </c>
      <c r="V166" s="35">
        <f t="shared" si="116"/>
        <v>0</v>
      </c>
      <c r="W166" s="35">
        <f>IF(AND(D166/Frequency!$N$7&gt;20, D166/Frequency!$N$7&lt;=30),1,0)*E166</f>
        <v>0</v>
      </c>
      <c r="X166" s="35">
        <f t="shared" si="117"/>
        <v>0</v>
      </c>
      <c r="Y166" s="35">
        <f>IF(AND(D166/Frequency!$N$7&gt;30, D166/Frequency!$N$7&lt;=50),1,0)*E166</f>
        <v>0</v>
      </c>
      <c r="Z166" s="35">
        <f t="shared" si="118"/>
        <v>0</v>
      </c>
      <c r="AA166" s="35">
        <f>IF(AND(D166/Frequency!$N$7&gt;50, D166/Frequency!$N$7&lt;=100),1,0)*E166</f>
        <v>0</v>
      </c>
      <c r="AB166" s="35">
        <f t="shared" si="119"/>
        <v>0</v>
      </c>
      <c r="AC166" s="35">
        <f>IF(D166/Frequency!$N$7&gt;100,1,0)*E166</f>
        <v>0</v>
      </c>
      <c r="AD166" s="35">
        <f t="shared" si="120"/>
        <v>0</v>
      </c>
      <c r="AE166" s="22">
        <f t="shared" si="121"/>
        <v>0</v>
      </c>
      <c r="AF166" s="22">
        <f t="shared" si="122"/>
        <v>0</v>
      </c>
      <c r="AG166" s="22">
        <f t="shared" si="123"/>
        <v>0</v>
      </c>
      <c r="AH166" s="22">
        <f t="shared" si="124"/>
        <v>0</v>
      </c>
      <c r="AI166" s="35">
        <f t="shared" si="125"/>
        <v>1</v>
      </c>
      <c r="AJ166" s="35">
        <f t="shared" si="126"/>
        <v>14</v>
      </c>
      <c r="AK166" s="35">
        <f t="shared" si="127"/>
        <v>98</v>
      </c>
      <c r="AL166">
        <f t="shared" si="128"/>
        <v>1</v>
      </c>
      <c r="AM166">
        <f t="shared" si="129"/>
        <v>14</v>
      </c>
      <c r="AN166">
        <f t="shared" si="130"/>
        <v>98</v>
      </c>
      <c r="AO166">
        <f t="shared" si="131"/>
        <v>1</v>
      </c>
      <c r="AP166">
        <f t="shared" si="132"/>
        <v>14</v>
      </c>
      <c r="AQ166">
        <f t="shared" si="133"/>
        <v>98</v>
      </c>
      <c r="AR166">
        <f t="shared" si="134"/>
        <v>0</v>
      </c>
      <c r="AS166">
        <f t="shared" si="135"/>
        <v>0</v>
      </c>
      <c r="AT166">
        <f t="shared" si="136"/>
        <v>0</v>
      </c>
      <c r="AU166">
        <f t="shared" si="137"/>
        <v>0</v>
      </c>
      <c r="AV166">
        <v>0</v>
      </c>
      <c r="AW166">
        <v>0</v>
      </c>
      <c r="AX166">
        <f t="shared" si="138"/>
        <v>0</v>
      </c>
      <c r="AY166">
        <f t="shared" si="139"/>
        <v>0</v>
      </c>
      <c r="AZ166">
        <f t="shared" si="140"/>
        <v>0</v>
      </c>
      <c r="BA166">
        <f t="shared" si="141"/>
        <v>0</v>
      </c>
      <c r="BB166">
        <f t="shared" si="142"/>
        <v>0</v>
      </c>
      <c r="BC166">
        <f t="shared" si="143"/>
        <v>0</v>
      </c>
      <c r="BD166">
        <f t="shared" si="144"/>
        <v>0</v>
      </c>
      <c r="BE166">
        <f t="shared" si="145"/>
        <v>0</v>
      </c>
      <c r="BF166">
        <f t="shared" si="146"/>
        <v>0</v>
      </c>
      <c r="BG166">
        <f t="shared" si="147"/>
        <v>0</v>
      </c>
      <c r="BH166">
        <f t="shared" si="148"/>
        <v>0</v>
      </c>
      <c r="BI166">
        <f t="shared" si="149"/>
        <v>0</v>
      </c>
      <c r="BJ166">
        <v>0</v>
      </c>
      <c r="BK166" t="str">
        <f t="shared" si="163"/>
        <v>Standard Win</v>
      </c>
      <c r="BL166" s="40" t="str">
        <f t="shared" si="164"/>
        <v>Combo Win</v>
      </c>
      <c r="BM166">
        <f>(D166/Frequency!$N$7-Summary!$C$7)^2*E166</f>
        <v>531.23839999999996</v>
      </c>
      <c r="BN166">
        <f t="shared" si="150"/>
        <v>0</v>
      </c>
      <c r="BO166">
        <f t="shared" si="151"/>
        <v>0</v>
      </c>
      <c r="BP166">
        <f t="shared" si="152"/>
        <v>0</v>
      </c>
      <c r="BQ166">
        <f t="shared" si="153"/>
        <v>0</v>
      </c>
      <c r="BR166">
        <f t="shared" si="154"/>
        <v>0</v>
      </c>
      <c r="BS166">
        <f t="shared" si="155"/>
        <v>0</v>
      </c>
      <c r="BT166">
        <f t="shared" si="156"/>
        <v>0</v>
      </c>
      <c r="BU166">
        <f t="shared" si="157"/>
        <v>0</v>
      </c>
      <c r="BV166">
        <f t="shared" si="158"/>
        <v>0</v>
      </c>
      <c r="BW166">
        <f t="shared" si="159"/>
        <v>0</v>
      </c>
      <c r="BX166">
        <f t="shared" si="160"/>
        <v>0</v>
      </c>
    </row>
    <row r="167" spans="2:76">
      <c r="B167" s="19">
        <f>Tiers!B168</f>
        <v>165</v>
      </c>
      <c r="C167" s="20" t="str">
        <f>Tiers!X168</f>
        <v>main-5|wild-5||||||||</v>
      </c>
      <c r="D167" s="21">
        <f>Tiers!C168</f>
        <v>10</v>
      </c>
      <c r="E167" s="22">
        <f>Frequency!E169</f>
        <v>50</v>
      </c>
      <c r="F167" s="22">
        <f t="shared" si="110"/>
        <v>500</v>
      </c>
      <c r="G167" s="20">
        <f>IF(AND(D167/Summary!$C$4&gt;0, D167/Summary!$C$4&lt;5),E167,0) * D167</f>
        <v>0</v>
      </c>
      <c r="H167" s="20">
        <f>IF(AND(D167/Summary!$C$4&gt;= 5, D167/Summary!$C$4&lt;10),E167,0) * D167</f>
        <v>0</v>
      </c>
      <c r="I167" s="20">
        <f>IF(AND(D167/Summary!$C$4&gt;=10, D167/Summary!$C$4&lt;25),E167,0)*D167</f>
        <v>500</v>
      </c>
      <c r="J167" s="20">
        <f>IF(D167/Summary!$C$4&gt;=25,E167,0)*D167</f>
        <v>0</v>
      </c>
      <c r="K167" s="35">
        <f>IF(AND(D167/Frequency!$N$7&gt;0, D167/Frequency!$N$7&lt;1),E167,0)</f>
        <v>0</v>
      </c>
      <c r="L167" s="35">
        <f t="shared" si="111"/>
        <v>0</v>
      </c>
      <c r="M167" s="35">
        <f>IF(D167/Frequency!$N$7=1,1,0)*E167</f>
        <v>0</v>
      </c>
      <c r="N167" s="35">
        <f t="shared" si="112"/>
        <v>0</v>
      </c>
      <c r="O167" s="35">
        <f>IF(AND(D167/Frequency!$N$7&gt;1, D167/Frequency!$N$7&lt;=2),1,0)*E167</f>
        <v>0</v>
      </c>
      <c r="P167" s="35">
        <f t="shared" si="113"/>
        <v>0</v>
      </c>
      <c r="Q167" s="35">
        <f>IF(AND(D167/Frequency!$N$7&gt;2,D167/Frequency!$N$7&lt;=5),1,0)*E167</f>
        <v>0</v>
      </c>
      <c r="R167" s="35">
        <f t="shared" si="114"/>
        <v>0</v>
      </c>
      <c r="S167" s="35">
        <f>IF(AND(D167/Frequency!$N$7&gt;5, D167/Frequency!$N$7&lt;=10),1,0)*E167</f>
        <v>50</v>
      </c>
      <c r="T167" s="35">
        <f t="shared" si="115"/>
        <v>500</v>
      </c>
      <c r="U167" s="35">
        <f>IF(AND(D167/Frequency!$N$7&gt;10, D167/Frequency!$N$7&lt;=20),1,0)*E167</f>
        <v>0</v>
      </c>
      <c r="V167" s="35">
        <f t="shared" si="116"/>
        <v>0</v>
      </c>
      <c r="W167" s="35">
        <f>IF(AND(D167/Frequency!$N$7&gt;20, D167/Frequency!$N$7&lt;=30),1,0)*E167</f>
        <v>0</v>
      </c>
      <c r="X167" s="35">
        <f t="shared" si="117"/>
        <v>0</v>
      </c>
      <c r="Y167" s="35">
        <f>IF(AND(D167/Frequency!$N$7&gt;30, D167/Frequency!$N$7&lt;=50),1,0)*E167</f>
        <v>0</v>
      </c>
      <c r="Z167" s="35">
        <f t="shared" si="118"/>
        <v>0</v>
      </c>
      <c r="AA167" s="35">
        <f>IF(AND(D167/Frequency!$N$7&gt;50, D167/Frequency!$N$7&lt;=100),1,0)*E167</f>
        <v>0</v>
      </c>
      <c r="AB167" s="35">
        <f t="shared" si="119"/>
        <v>0</v>
      </c>
      <c r="AC167" s="35">
        <f>IF(D167/Frequency!$N$7&gt;100,1,0)*E167</f>
        <v>0</v>
      </c>
      <c r="AD167" s="35">
        <f t="shared" si="120"/>
        <v>0</v>
      </c>
      <c r="AE167" s="22">
        <f t="shared" si="121"/>
        <v>0</v>
      </c>
      <c r="AF167" s="22">
        <f t="shared" si="122"/>
        <v>0</v>
      </c>
      <c r="AG167" s="22">
        <f t="shared" si="123"/>
        <v>0</v>
      </c>
      <c r="AH167" s="22">
        <f t="shared" si="124"/>
        <v>0</v>
      </c>
      <c r="AI167" s="35">
        <f t="shared" si="125"/>
        <v>1</v>
      </c>
      <c r="AJ167" s="35">
        <f t="shared" si="126"/>
        <v>50</v>
      </c>
      <c r="AK167" s="35">
        <f t="shared" si="127"/>
        <v>500</v>
      </c>
      <c r="AL167">
        <f t="shared" si="128"/>
        <v>1</v>
      </c>
      <c r="AM167">
        <f t="shared" si="129"/>
        <v>50</v>
      </c>
      <c r="AN167">
        <f t="shared" si="130"/>
        <v>500</v>
      </c>
      <c r="AO167">
        <f t="shared" si="131"/>
        <v>1</v>
      </c>
      <c r="AP167">
        <f t="shared" si="132"/>
        <v>50</v>
      </c>
      <c r="AQ167">
        <f t="shared" si="133"/>
        <v>500</v>
      </c>
      <c r="AR167">
        <f t="shared" si="134"/>
        <v>0</v>
      </c>
      <c r="AS167">
        <f t="shared" si="135"/>
        <v>0</v>
      </c>
      <c r="AT167">
        <f t="shared" si="136"/>
        <v>0</v>
      </c>
      <c r="AU167">
        <f t="shared" si="137"/>
        <v>0</v>
      </c>
      <c r="AV167">
        <v>0</v>
      </c>
      <c r="AW167">
        <v>0</v>
      </c>
      <c r="AX167">
        <f t="shared" si="138"/>
        <v>0</v>
      </c>
      <c r="AY167">
        <f t="shared" si="139"/>
        <v>0</v>
      </c>
      <c r="AZ167">
        <f t="shared" si="140"/>
        <v>0</v>
      </c>
      <c r="BA167">
        <f t="shared" si="141"/>
        <v>0</v>
      </c>
      <c r="BB167">
        <f t="shared" si="142"/>
        <v>0</v>
      </c>
      <c r="BC167">
        <f t="shared" si="143"/>
        <v>0</v>
      </c>
      <c r="BD167">
        <f t="shared" si="144"/>
        <v>0</v>
      </c>
      <c r="BE167">
        <f t="shared" si="145"/>
        <v>0</v>
      </c>
      <c r="BF167">
        <f t="shared" si="146"/>
        <v>0</v>
      </c>
      <c r="BG167">
        <f t="shared" si="147"/>
        <v>0</v>
      </c>
      <c r="BH167">
        <f t="shared" si="148"/>
        <v>0</v>
      </c>
      <c r="BI167">
        <f t="shared" si="149"/>
        <v>0</v>
      </c>
      <c r="BJ167">
        <v>0</v>
      </c>
      <c r="BK167" t="str">
        <f t="shared" si="163"/>
        <v>Big Win</v>
      </c>
      <c r="BL167" s="40" t="str">
        <f t="shared" si="164"/>
        <v>Combo Win</v>
      </c>
      <c r="BM167">
        <f>(D167/Frequency!$N$7-Summary!$C$7)^2*E167</f>
        <v>4195.2800000000007</v>
      </c>
      <c r="BN167">
        <f t="shared" si="150"/>
        <v>0</v>
      </c>
      <c r="BO167">
        <f t="shared" si="151"/>
        <v>0</v>
      </c>
      <c r="BP167">
        <f t="shared" si="152"/>
        <v>0</v>
      </c>
      <c r="BQ167">
        <f t="shared" si="153"/>
        <v>0</v>
      </c>
      <c r="BR167">
        <f t="shared" si="154"/>
        <v>0</v>
      </c>
      <c r="BS167">
        <f t="shared" si="155"/>
        <v>0</v>
      </c>
      <c r="BT167">
        <f t="shared" si="156"/>
        <v>0</v>
      </c>
      <c r="BU167">
        <f t="shared" si="157"/>
        <v>0</v>
      </c>
      <c r="BV167">
        <f t="shared" si="158"/>
        <v>0</v>
      </c>
      <c r="BW167">
        <f t="shared" si="159"/>
        <v>0</v>
      </c>
      <c r="BX167">
        <f t="shared" si="160"/>
        <v>0</v>
      </c>
    </row>
    <row r="168" spans="2:76">
      <c r="B168" s="19">
        <f>Tiers!B169</f>
        <v>166</v>
      </c>
      <c r="C168" s="20" t="str">
        <f>Tiers!X169</f>
        <v>main-17|wild-6||||||||</v>
      </c>
      <c r="D168" s="21">
        <f>Tiers!C169</f>
        <v>12</v>
      </c>
      <c r="E168" s="22">
        <f>Frequency!E170</f>
        <v>2</v>
      </c>
      <c r="F168" s="22">
        <f t="shared" si="110"/>
        <v>24</v>
      </c>
      <c r="G168" s="20">
        <f>IF(AND(D168/Summary!$C$4&gt;0, D168/Summary!$C$4&lt;5),E168,0) * D168</f>
        <v>0</v>
      </c>
      <c r="H168" s="20">
        <f>IF(AND(D168/Summary!$C$4&gt;= 5, D168/Summary!$C$4&lt;10),E168,0) * D168</f>
        <v>0</v>
      </c>
      <c r="I168" s="20">
        <f>IF(AND(D168/Summary!$C$4&gt;=10, D168/Summary!$C$4&lt;25),E168,0)*D168</f>
        <v>24</v>
      </c>
      <c r="J168" s="20">
        <f>IF(D168/Summary!$C$4&gt;=25,E168,0)*D168</f>
        <v>0</v>
      </c>
      <c r="K168" s="35">
        <f>IF(AND(D168/Frequency!$N$7&gt;0, D168/Frequency!$N$7&lt;1),E168,0)</f>
        <v>0</v>
      </c>
      <c r="L168" s="35">
        <f t="shared" si="111"/>
        <v>0</v>
      </c>
      <c r="M168" s="35">
        <f>IF(D168/Frequency!$N$7=1,1,0)*E168</f>
        <v>0</v>
      </c>
      <c r="N168" s="35">
        <f t="shared" si="112"/>
        <v>0</v>
      </c>
      <c r="O168" s="35">
        <f>IF(AND(D168/Frequency!$N$7&gt;1, D168/Frequency!$N$7&lt;=2),1,0)*E168</f>
        <v>0</v>
      </c>
      <c r="P168" s="35">
        <f t="shared" si="113"/>
        <v>0</v>
      </c>
      <c r="Q168" s="35">
        <f>IF(AND(D168/Frequency!$N$7&gt;2,D168/Frequency!$N$7&lt;=5),1,0)*E168</f>
        <v>0</v>
      </c>
      <c r="R168" s="35">
        <f t="shared" si="114"/>
        <v>0</v>
      </c>
      <c r="S168" s="35">
        <f>IF(AND(D168/Frequency!$N$7&gt;5, D168/Frequency!$N$7&lt;=10),1,0)*E168</f>
        <v>0</v>
      </c>
      <c r="T168" s="35">
        <f t="shared" si="115"/>
        <v>0</v>
      </c>
      <c r="U168" s="35">
        <f>IF(AND(D168/Frequency!$N$7&gt;10, D168/Frequency!$N$7&lt;=20),1,0)*E168</f>
        <v>2</v>
      </c>
      <c r="V168" s="35">
        <f t="shared" si="116"/>
        <v>24</v>
      </c>
      <c r="W168" s="35">
        <f>IF(AND(D168/Frequency!$N$7&gt;20, D168/Frequency!$N$7&lt;=30),1,0)*E168</f>
        <v>0</v>
      </c>
      <c r="X168" s="35">
        <f t="shared" si="117"/>
        <v>0</v>
      </c>
      <c r="Y168" s="35">
        <f>IF(AND(D168/Frequency!$N$7&gt;30, D168/Frequency!$N$7&lt;=50),1,0)*E168</f>
        <v>0</v>
      </c>
      <c r="Z168" s="35">
        <f t="shared" si="118"/>
        <v>0</v>
      </c>
      <c r="AA168" s="35">
        <f>IF(AND(D168/Frequency!$N$7&gt;50, D168/Frequency!$N$7&lt;=100),1,0)*E168</f>
        <v>0</v>
      </c>
      <c r="AB168" s="35">
        <f t="shared" si="119"/>
        <v>0</v>
      </c>
      <c r="AC168" s="35">
        <f>IF(D168/Frequency!$N$7&gt;100,1,0)*E168</f>
        <v>0</v>
      </c>
      <c r="AD168" s="35">
        <f t="shared" si="120"/>
        <v>0</v>
      </c>
      <c r="AE168" s="22">
        <f t="shared" si="121"/>
        <v>0</v>
      </c>
      <c r="AF168" s="22">
        <f t="shared" si="122"/>
        <v>0</v>
      </c>
      <c r="AG168" s="22">
        <f t="shared" si="123"/>
        <v>0</v>
      </c>
      <c r="AH168" s="22">
        <f t="shared" si="124"/>
        <v>0</v>
      </c>
      <c r="AI168" s="35">
        <f t="shared" si="125"/>
        <v>1</v>
      </c>
      <c r="AJ168" s="35">
        <f t="shared" si="126"/>
        <v>2</v>
      </c>
      <c r="AK168" s="35">
        <f t="shared" si="127"/>
        <v>24</v>
      </c>
      <c r="AL168">
        <f t="shared" si="128"/>
        <v>1</v>
      </c>
      <c r="AM168">
        <f t="shared" si="129"/>
        <v>2</v>
      </c>
      <c r="AN168">
        <f t="shared" si="130"/>
        <v>24</v>
      </c>
      <c r="AO168">
        <f t="shared" si="131"/>
        <v>1</v>
      </c>
      <c r="AP168">
        <f t="shared" si="132"/>
        <v>2</v>
      </c>
      <c r="AQ168">
        <f t="shared" si="133"/>
        <v>24</v>
      </c>
      <c r="AR168">
        <f t="shared" si="134"/>
        <v>0</v>
      </c>
      <c r="AS168">
        <f t="shared" si="135"/>
        <v>0</v>
      </c>
      <c r="AT168">
        <f t="shared" si="136"/>
        <v>0</v>
      </c>
      <c r="AU168">
        <f t="shared" si="137"/>
        <v>0</v>
      </c>
      <c r="AV168">
        <v>0</v>
      </c>
      <c r="AW168">
        <v>0</v>
      </c>
      <c r="AX168">
        <f t="shared" si="138"/>
        <v>0</v>
      </c>
      <c r="AY168">
        <f t="shared" si="139"/>
        <v>0</v>
      </c>
      <c r="AZ168">
        <f t="shared" si="140"/>
        <v>0</v>
      </c>
      <c r="BA168">
        <f t="shared" si="141"/>
        <v>0</v>
      </c>
      <c r="BB168">
        <f t="shared" si="142"/>
        <v>0</v>
      </c>
      <c r="BC168">
        <f t="shared" si="143"/>
        <v>0</v>
      </c>
      <c r="BD168">
        <f t="shared" si="144"/>
        <v>0</v>
      </c>
      <c r="BE168">
        <f t="shared" si="145"/>
        <v>0</v>
      </c>
      <c r="BF168">
        <f t="shared" si="146"/>
        <v>0</v>
      </c>
      <c r="BG168">
        <f t="shared" si="147"/>
        <v>0</v>
      </c>
      <c r="BH168">
        <f t="shared" si="148"/>
        <v>0</v>
      </c>
      <c r="BI168">
        <f t="shared" si="149"/>
        <v>0</v>
      </c>
      <c r="BJ168">
        <v>0</v>
      </c>
      <c r="BK168" t="str">
        <f t="shared" si="163"/>
        <v>Big Win</v>
      </c>
      <c r="BL168" s="40" t="str">
        <f t="shared" si="164"/>
        <v>Combo Win</v>
      </c>
      <c r="BM168">
        <f>(D168/Frequency!$N$7-Summary!$C$7)^2*E168</f>
        <v>249.09120000000001</v>
      </c>
      <c r="BN168">
        <f t="shared" si="150"/>
        <v>0</v>
      </c>
      <c r="BO168">
        <f t="shared" si="151"/>
        <v>0</v>
      </c>
      <c r="BP168">
        <f t="shared" si="152"/>
        <v>0</v>
      </c>
      <c r="BQ168">
        <f t="shared" si="153"/>
        <v>0</v>
      </c>
      <c r="BR168">
        <f t="shared" si="154"/>
        <v>0</v>
      </c>
      <c r="BS168">
        <f t="shared" si="155"/>
        <v>0</v>
      </c>
      <c r="BT168">
        <f t="shared" si="156"/>
        <v>0</v>
      </c>
      <c r="BU168">
        <f t="shared" si="157"/>
        <v>0</v>
      </c>
      <c r="BV168">
        <f t="shared" si="158"/>
        <v>0</v>
      </c>
      <c r="BW168">
        <f t="shared" si="159"/>
        <v>0</v>
      </c>
      <c r="BX168">
        <f t="shared" si="160"/>
        <v>0</v>
      </c>
    </row>
    <row r="169" spans="2:76">
      <c r="B169" s="19">
        <f>Tiers!B170</f>
        <v>167</v>
      </c>
      <c r="C169" s="20" t="str">
        <f>Tiers!X170</f>
        <v>main-18|wild-7||||||||</v>
      </c>
      <c r="D169" s="21">
        <f>Tiers!C170</f>
        <v>23</v>
      </c>
      <c r="E169" s="22">
        <f>Frequency!E171</f>
        <v>6</v>
      </c>
      <c r="F169" s="22">
        <f t="shared" si="110"/>
        <v>138</v>
      </c>
      <c r="G169" s="20">
        <f>IF(AND(D169/Summary!$C$4&gt;0, D169/Summary!$C$4&lt;5),E169,0) * D169</f>
        <v>0</v>
      </c>
      <c r="H169" s="20">
        <f>IF(AND(D169/Summary!$C$4&gt;= 5, D169/Summary!$C$4&lt;10),E169,0) * D169</f>
        <v>0</v>
      </c>
      <c r="I169" s="20">
        <f>IF(AND(D169/Summary!$C$4&gt;=10, D169/Summary!$C$4&lt;25),E169,0)*D169</f>
        <v>138</v>
      </c>
      <c r="J169" s="20">
        <f>IF(D169/Summary!$C$4&gt;=25,E169,0)*D169</f>
        <v>0</v>
      </c>
      <c r="K169" s="35">
        <f>IF(AND(D169/Frequency!$N$7&gt;0, D169/Frequency!$N$7&lt;1),E169,0)</f>
        <v>0</v>
      </c>
      <c r="L169" s="35">
        <f t="shared" si="111"/>
        <v>0</v>
      </c>
      <c r="M169" s="35">
        <f>IF(D169/Frequency!$N$7=1,1,0)*E169</f>
        <v>0</v>
      </c>
      <c r="N169" s="35">
        <f t="shared" si="112"/>
        <v>0</v>
      </c>
      <c r="O169" s="35">
        <f>IF(AND(D169/Frequency!$N$7&gt;1, D169/Frequency!$N$7&lt;=2),1,0)*E169</f>
        <v>0</v>
      </c>
      <c r="P169" s="35">
        <f t="shared" si="113"/>
        <v>0</v>
      </c>
      <c r="Q169" s="35">
        <f>IF(AND(D169/Frequency!$N$7&gt;2,D169/Frequency!$N$7&lt;=5),1,0)*E169</f>
        <v>0</v>
      </c>
      <c r="R169" s="35">
        <f t="shared" si="114"/>
        <v>0</v>
      </c>
      <c r="S169" s="35">
        <f>IF(AND(D169/Frequency!$N$7&gt;5, D169/Frequency!$N$7&lt;=10),1,0)*E169</f>
        <v>0</v>
      </c>
      <c r="T169" s="35">
        <f t="shared" si="115"/>
        <v>0</v>
      </c>
      <c r="U169" s="35">
        <f>IF(AND(D169/Frequency!$N$7&gt;10, D169/Frequency!$N$7&lt;=20),1,0)*E169</f>
        <v>0</v>
      </c>
      <c r="V169" s="35">
        <f t="shared" si="116"/>
        <v>0</v>
      </c>
      <c r="W169" s="35">
        <f>IF(AND(D169/Frequency!$N$7&gt;20, D169/Frequency!$N$7&lt;=30),1,0)*E169</f>
        <v>6</v>
      </c>
      <c r="X169" s="35">
        <f t="shared" si="117"/>
        <v>138</v>
      </c>
      <c r="Y169" s="35">
        <f>IF(AND(D169/Frequency!$N$7&gt;30, D169/Frequency!$N$7&lt;=50),1,0)*E169</f>
        <v>0</v>
      </c>
      <c r="Z169" s="35">
        <f t="shared" si="118"/>
        <v>0</v>
      </c>
      <c r="AA169" s="35">
        <f>IF(AND(D169/Frequency!$N$7&gt;50, D169/Frequency!$N$7&lt;=100),1,0)*E169</f>
        <v>0</v>
      </c>
      <c r="AB169" s="35">
        <f t="shared" si="119"/>
        <v>0</v>
      </c>
      <c r="AC169" s="35">
        <f>IF(D169/Frequency!$N$7&gt;100,1,0)*E169</f>
        <v>0</v>
      </c>
      <c r="AD169" s="35">
        <f t="shared" si="120"/>
        <v>0</v>
      </c>
      <c r="AE169" s="22">
        <f t="shared" si="121"/>
        <v>0</v>
      </c>
      <c r="AF169" s="22">
        <f t="shared" si="122"/>
        <v>0</v>
      </c>
      <c r="AG169" s="22">
        <f t="shared" si="123"/>
        <v>0</v>
      </c>
      <c r="AH169" s="22">
        <f t="shared" si="124"/>
        <v>0</v>
      </c>
      <c r="AI169" s="35">
        <f t="shared" si="125"/>
        <v>1</v>
      </c>
      <c r="AJ169" s="35">
        <f t="shared" si="126"/>
        <v>6</v>
      </c>
      <c r="AK169" s="35">
        <f t="shared" si="127"/>
        <v>138</v>
      </c>
      <c r="AL169">
        <f t="shared" si="128"/>
        <v>1</v>
      </c>
      <c r="AM169">
        <f t="shared" si="129"/>
        <v>6</v>
      </c>
      <c r="AN169">
        <f t="shared" si="130"/>
        <v>138</v>
      </c>
      <c r="AO169">
        <f t="shared" si="131"/>
        <v>1</v>
      </c>
      <c r="AP169">
        <f t="shared" si="132"/>
        <v>6</v>
      </c>
      <c r="AQ169">
        <f t="shared" si="133"/>
        <v>138</v>
      </c>
      <c r="AR169">
        <f t="shared" si="134"/>
        <v>0</v>
      </c>
      <c r="AS169">
        <f t="shared" si="135"/>
        <v>0</v>
      </c>
      <c r="AT169">
        <f t="shared" si="136"/>
        <v>0</v>
      </c>
      <c r="AU169">
        <f t="shared" si="137"/>
        <v>0</v>
      </c>
      <c r="AV169">
        <v>0</v>
      </c>
      <c r="AW169">
        <v>0</v>
      </c>
      <c r="AX169">
        <f t="shared" si="138"/>
        <v>0</v>
      </c>
      <c r="AY169">
        <f t="shared" si="139"/>
        <v>0</v>
      </c>
      <c r="AZ169">
        <f t="shared" si="140"/>
        <v>0</v>
      </c>
      <c r="BA169">
        <f t="shared" si="141"/>
        <v>0</v>
      </c>
      <c r="BB169">
        <f t="shared" si="142"/>
        <v>0</v>
      </c>
      <c r="BC169">
        <f t="shared" si="143"/>
        <v>0</v>
      </c>
      <c r="BD169">
        <f t="shared" si="144"/>
        <v>0</v>
      </c>
      <c r="BE169">
        <f t="shared" si="145"/>
        <v>0</v>
      </c>
      <c r="BF169">
        <f t="shared" si="146"/>
        <v>0</v>
      </c>
      <c r="BG169">
        <f t="shared" si="147"/>
        <v>0</v>
      </c>
      <c r="BH169">
        <f t="shared" si="148"/>
        <v>0</v>
      </c>
      <c r="BI169">
        <f t="shared" si="149"/>
        <v>0</v>
      </c>
      <c r="BJ169">
        <v>0</v>
      </c>
      <c r="BK169" t="str">
        <f t="shared" si="163"/>
        <v>Big Win</v>
      </c>
      <c r="BL169" s="40" t="str">
        <f t="shared" si="164"/>
        <v>Combo Win</v>
      </c>
      <c r="BM169">
        <f>(D169/Frequency!$N$7-Summary!$C$7)^2*E169</f>
        <v>2946.3936000000003</v>
      </c>
      <c r="BN169">
        <f t="shared" si="150"/>
        <v>0</v>
      </c>
      <c r="BO169">
        <f t="shared" si="151"/>
        <v>0</v>
      </c>
      <c r="BP169">
        <f t="shared" si="152"/>
        <v>0</v>
      </c>
      <c r="BQ169">
        <f t="shared" si="153"/>
        <v>0</v>
      </c>
      <c r="BR169">
        <f t="shared" si="154"/>
        <v>0</v>
      </c>
      <c r="BS169">
        <f t="shared" si="155"/>
        <v>0</v>
      </c>
      <c r="BT169">
        <f t="shared" si="156"/>
        <v>0</v>
      </c>
      <c r="BU169">
        <f t="shared" si="157"/>
        <v>0</v>
      </c>
      <c r="BV169">
        <f t="shared" si="158"/>
        <v>0</v>
      </c>
      <c r="BW169">
        <f t="shared" si="159"/>
        <v>0</v>
      </c>
      <c r="BX169">
        <f t="shared" si="160"/>
        <v>0</v>
      </c>
    </row>
    <row r="170" spans="2:76">
      <c r="B170" s="19">
        <f>Tiers!B171</f>
        <v>168</v>
      </c>
      <c r="C170" s="20" t="str">
        <f>Tiers!X171</f>
        <v>main-3|wild-8||||||||</v>
      </c>
      <c r="D170" s="21">
        <f>Tiers!C171</f>
        <v>31</v>
      </c>
      <c r="E170" s="22">
        <f>Frequency!E172</f>
        <v>2</v>
      </c>
      <c r="F170" s="22">
        <f t="shared" si="110"/>
        <v>62</v>
      </c>
      <c r="G170" s="20">
        <f>IF(AND(D170/Summary!$C$4&gt;0, D170/Summary!$C$4&lt;5),E170,0) * D170</f>
        <v>0</v>
      </c>
      <c r="H170" s="20">
        <f>IF(AND(D170/Summary!$C$4&gt;= 5, D170/Summary!$C$4&lt;10),E170,0) * D170</f>
        <v>0</v>
      </c>
      <c r="I170" s="20">
        <f>IF(AND(D170/Summary!$C$4&gt;=10, D170/Summary!$C$4&lt;25),E170,0)*D170</f>
        <v>0</v>
      </c>
      <c r="J170" s="20">
        <f>IF(D170/Summary!$C$4&gt;=25,E170,0)*D170</f>
        <v>62</v>
      </c>
      <c r="K170" s="35">
        <f>IF(AND(D170/Frequency!$N$7&gt;0, D170/Frequency!$N$7&lt;1),E170,0)</f>
        <v>0</v>
      </c>
      <c r="L170" s="35">
        <f t="shared" si="111"/>
        <v>0</v>
      </c>
      <c r="M170" s="35">
        <f>IF(D170/Frequency!$N$7=1,1,0)*E170</f>
        <v>0</v>
      </c>
      <c r="N170" s="35">
        <f t="shared" si="112"/>
        <v>0</v>
      </c>
      <c r="O170" s="35">
        <f>IF(AND(D170/Frequency!$N$7&gt;1, D170/Frequency!$N$7&lt;=2),1,0)*E170</f>
        <v>0</v>
      </c>
      <c r="P170" s="35">
        <f t="shared" si="113"/>
        <v>0</v>
      </c>
      <c r="Q170" s="35">
        <f>IF(AND(D170/Frequency!$N$7&gt;2,D170/Frequency!$N$7&lt;=5),1,0)*E170</f>
        <v>0</v>
      </c>
      <c r="R170" s="35">
        <f t="shared" si="114"/>
        <v>0</v>
      </c>
      <c r="S170" s="35">
        <f>IF(AND(D170/Frequency!$N$7&gt;5, D170/Frequency!$N$7&lt;=10),1,0)*E170</f>
        <v>0</v>
      </c>
      <c r="T170" s="35">
        <f t="shared" si="115"/>
        <v>0</v>
      </c>
      <c r="U170" s="35">
        <f>IF(AND(D170/Frequency!$N$7&gt;10, D170/Frequency!$N$7&lt;=20),1,0)*E170</f>
        <v>0</v>
      </c>
      <c r="V170" s="35">
        <f t="shared" si="116"/>
        <v>0</v>
      </c>
      <c r="W170" s="35">
        <f>IF(AND(D170/Frequency!$N$7&gt;20, D170/Frequency!$N$7&lt;=30),1,0)*E170</f>
        <v>0</v>
      </c>
      <c r="X170" s="35">
        <f t="shared" si="117"/>
        <v>0</v>
      </c>
      <c r="Y170" s="35">
        <f>IF(AND(D170/Frequency!$N$7&gt;30, D170/Frequency!$N$7&lt;=50),1,0)*E170</f>
        <v>2</v>
      </c>
      <c r="Z170" s="35">
        <f t="shared" si="118"/>
        <v>62</v>
      </c>
      <c r="AA170" s="35">
        <f>IF(AND(D170/Frequency!$N$7&gt;50, D170/Frequency!$N$7&lt;=100),1,0)*E170</f>
        <v>0</v>
      </c>
      <c r="AB170" s="35">
        <f t="shared" si="119"/>
        <v>0</v>
      </c>
      <c r="AC170" s="35">
        <f>IF(D170/Frequency!$N$7&gt;100,1,0)*E170</f>
        <v>0</v>
      </c>
      <c r="AD170" s="35">
        <f t="shared" si="120"/>
        <v>0</v>
      </c>
      <c r="AE170" s="22">
        <f t="shared" si="121"/>
        <v>0</v>
      </c>
      <c r="AF170" s="22">
        <f t="shared" si="122"/>
        <v>0</v>
      </c>
      <c r="AG170" s="22">
        <f t="shared" si="123"/>
        <v>0</v>
      </c>
      <c r="AH170" s="22">
        <f t="shared" si="124"/>
        <v>0</v>
      </c>
      <c r="AI170" s="35">
        <f t="shared" si="125"/>
        <v>1</v>
      </c>
      <c r="AJ170" s="35">
        <f t="shared" si="126"/>
        <v>2</v>
      </c>
      <c r="AK170" s="35">
        <f t="shared" si="127"/>
        <v>62</v>
      </c>
      <c r="AL170">
        <f t="shared" si="128"/>
        <v>1</v>
      </c>
      <c r="AM170">
        <f t="shared" si="129"/>
        <v>2</v>
      </c>
      <c r="AN170">
        <f t="shared" si="130"/>
        <v>62</v>
      </c>
      <c r="AO170">
        <f t="shared" si="131"/>
        <v>1</v>
      </c>
      <c r="AP170">
        <f t="shared" si="132"/>
        <v>2</v>
      </c>
      <c r="AQ170">
        <f t="shared" si="133"/>
        <v>62</v>
      </c>
      <c r="AR170">
        <f t="shared" si="134"/>
        <v>0</v>
      </c>
      <c r="AS170">
        <f t="shared" si="135"/>
        <v>0</v>
      </c>
      <c r="AT170">
        <f t="shared" si="136"/>
        <v>0</v>
      </c>
      <c r="AU170">
        <f t="shared" si="137"/>
        <v>0</v>
      </c>
      <c r="AV170">
        <v>0</v>
      </c>
      <c r="AW170">
        <v>0</v>
      </c>
      <c r="AX170">
        <f t="shared" si="138"/>
        <v>0</v>
      </c>
      <c r="AY170">
        <f t="shared" si="139"/>
        <v>0</v>
      </c>
      <c r="AZ170">
        <f t="shared" si="140"/>
        <v>0</v>
      </c>
      <c r="BA170">
        <f t="shared" si="141"/>
        <v>0</v>
      </c>
      <c r="BB170">
        <f t="shared" si="142"/>
        <v>0</v>
      </c>
      <c r="BC170">
        <f t="shared" si="143"/>
        <v>0</v>
      </c>
      <c r="BD170">
        <f t="shared" si="144"/>
        <v>0</v>
      </c>
      <c r="BE170">
        <f t="shared" si="145"/>
        <v>0</v>
      </c>
      <c r="BF170">
        <f t="shared" si="146"/>
        <v>0</v>
      </c>
      <c r="BG170">
        <f t="shared" si="147"/>
        <v>0</v>
      </c>
      <c r="BH170">
        <f t="shared" si="148"/>
        <v>0</v>
      </c>
      <c r="BI170">
        <f t="shared" si="149"/>
        <v>0</v>
      </c>
      <c r="BJ170">
        <v>0</v>
      </c>
      <c r="BK170" t="str">
        <f t="shared" si="163"/>
        <v>Big Win</v>
      </c>
      <c r="BL170" s="40" t="str">
        <f t="shared" si="164"/>
        <v>Combo Win</v>
      </c>
      <c r="BM170">
        <f>(D170/Frequency!$N$7-Summary!$C$7)^2*E170</f>
        <v>1819.2511999999999</v>
      </c>
      <c r="BN170">
        <f t="shared" si="150"/>
        <v>0</v>
      </c>
      <c r="BO170">
        <f t="shared" si="151"/>
        <v>0</v>
      </c>
      <c r="BP170">
        <f t="shared" si="152"/>
        <v>0</v>
      </c>
      <c r="BQ170">
        <f t="shared" si="153"/>
        <v>0</v>
      </c>
      <c r="BR170">
        <f t="shared" si="154"/>
        <v>0</v>
      </c>
      <c r="BS170">
        <f t="shared" si="155"/>
        <v>0</v>
      </c>
      <c r="BT170">
        <f t="shared" si="156"/>
        <v>0</v>
      </c>
      <c r="BU170">
        <f t="shared" si="157"/>
        <v>0</v>
      </c>
      <c r="BV170">
        <f t="shared" si="158"/>
        <v>0</v>
      </c>
      <c r="BW170">
        <f t="shared" si="159"/>
        <v>0</v>
      </c>
      <c r="BX170">
        <f t="shared" si="160"/>
        <v>0</v>
      </c>
    </row>
    <row r="171" spans="2:76">
      <c r="B171" s="19">
        <f>Tiers!B172</f>
        <v>169</v>
      </c>
      <c r="C171" s="20" t="str">
        <f>Tiers!X172</f>
        <v>main-4|wild-9||||||||</v>
      </c>
      <c r="D171" s="21">
        <f>Tiers!C172</f>
        <v>42</v>
      </c>
      <c r="E171" s="22">
        <f>Frequency!E173</f>
        <v>2</v>
      </c>
      <c r="F171" s="22">
        <f t="shared" si="110"/>
        <v>84</v>
      </c>
      <c r="G171" s="20">
        <f>IF(AND(D171/Summary!$C$4&gt;0, D171/Summary!$C$4&lt;5),E171,0) * D171</f>
        <v>0</v>
      </c>
      <c r="H171" s="20">
        <f>IF(AND(D171/Summary!$C$4&gt;= 5, D171/Summary!$C$4&lt;10),E171,0) * D171</f>
        <v>0</v>
      </c>
      <c r="I171" s="20">
        <f>IF(AND(D171/Summary!$C$4&gt;=10, D171/Summary!$C$4&lt;25),E171,0)*D171</f>
        <v>0</v>
      </c>
      <c r="J171" s="20">
        <f>IF(D171/Summary!$C$4&gt;=25,E171,0)*D171</f>
        <v>84</v>
      </c>
      <c r="K171" s="35">
        <f>IF(AND(D171/Frequency!$N$7&gt;0, D171/Frequency!$N$7&lt;1),E171,0)</f>
        <v>0</v>
      </c>
      <c r="L171" s="35">
        <f t="shared" si="111"/>
        <v>0</v>
      </c>
      <c r="M171" s="35">
        <f>IF(D171/Frequency!$N$7=1,1,0)*E171</f>
        <v>0</v>
      </c>
      <c r="N171" s="35">
        <f t="shared" si="112"/>
        <v>0</v>
      </c>
      <c r="O171" s="35">
        <f>IF(AND(D171/Frequency!$N$7&gt;1, D171/Frequency!$N$7&lt;=2),1,0)*E171</f>
        <v>0</v>
      </c>
      <c r="P171" s="35">
        <f t="shared" si="113"/>
        <v>0</v>
      </c>
      <c r="Q171" s="35">
        <f>IF(AND(D171/Frequency!$N$7&gt;2,D171/Frequency!$N$7&lt;=5),1,0)*E171</f>
        <v>0</v>
      </c>
      <c r="R171" s="35">
        <f t="shared" si="114"/>
        <v>0</v>
      </c>
      <c r="S171" s="35">
        <f>IF(AND(D171/Frequency!$N$7&gt;5, D171/Frequency!$N$7&lt;=10),1,0)*E171</f>
        <v>0</v>
      </c>
      <c r="T171" s="35">
        <f t="shared" si="115"/>
        <v>0</v>
      </c>
      <c r="U171" s="35">
        <f>IF(AND(D171/Frequency!$N$7&gt;10, D171/Frequency!$N$7&lt;=20),1,0)*E171</f>
        <v>0</v>
      </c>
      <c r="V171" s="35">
        <f t="shared" si="116"/>
        <v>0</v>
      </c>
      <c r="W171" s="35">
        <f>IF(AND(D171/Frequency!$N$7&gt;20, D171/Frequency!$N$7&lt;=30),1,0)*E171</f>
        <v>0</v>
      </c>
      <c r="X171" s="35">
        <f t="shared" si="117"/>
        <v>0</v>
      </c>
      <c r="Y171" s="35">
        <f>IF(AND(D171/Frequency!$N$7&gt;30, D171/Frequency!$N$7&lt;=50),1,0)*E171</f>
        <v>2</v>
      </c>
      <c r="Z171" s="35">
        <f t="shared" si="118"/>
        <v>84</v>
      </c>
      <c r="AA171" s="35">
        <f>IF(AND(D171/Frequency!$N$7&gt;50, D171/Frequency!$N$7&lt;=100),1,0)*E171</f>
        <v>0</v>
      </c>
      <c r="AB171" s="35">
        <f t="shared" si="119"/>
        <v>0</v>
      </c>
      <c r="AC171" s="35">
        <f>IF(D171/Frequency!$N$7&gt;100,1,0)*E171</f>
        <v>0</v>
      </c>
      <c r="AD171" s="35">
        <f t="shared" si="120"/>
        <v>0</v>
      </c>
      <c r="AE171" s="22">
        <f t="shared" si="121"/>
        <v>0</v>
      </c>
      <c r="AF171" s="22">
        <f t="shared" si="122"/>
        <v>0</v>
      </c>
      <c r="AG171" s="22">
        <f t="shared" si="123"/>
        <v>0</v>
      </c>
      <c r="AH171" s="22">
        <f t="shared" si="124"/>
        <v>0</v>
      </c>
      <c r="AI171" s="35">
        <f t="shared" si="125"/>
        <v>1</v>
      </c>
      <c r="AJ171" s="35">
        <f t="shared" si="126"/>
        <v>2</v>
      </c>
      <c r="AK171" s="35">
        <f t="shared" si="127"/>
        <v>84</v>
      </c>
      <c r="AL171">
        <f t="shared" si="128"/>
        <v>1</v>
      </c>
      <c r="AM171">
        <f t="shared" si="129"/>
        <v>2</v>
      </c>
      <c r="AN171">
        <f t="shared" si="130"/>
        <v>84</v>
      </c>
      <c r="AO171">
        <f t="shared" si="131"/>
        <v>1</v>
      </c>
      <c r="AP171">
        <f t="shared" si="132"/>
        <v>2</v>
      </c>
      <c r="AQ171">
        <f t="shared" si="133"/>
        <v>84</v>
      </c>
      <c r="AR171">
        <f t="shared" si="134"/>
        <v>0</v>
      </c>
      <c r="AS171">
        <f t="shared" si="135"/>
        <v>0</v>
      </c>
      <c r="AT171">
        <f t="shared" si="136"/>
        <v>0</v>
      </c>
      <c r="AU171">
        <f t="shared" si="137"/>
        <v>0</v>
      </c>
      <c r="AV171">
        <v>0</v>
      </c>
      <c r="AW171">
        <v>0</v>
      </c>
      <c r="AX171">
        <f t="shared" si="138"/>
        <v>0</v>
      </c>
      <c r="AY171">
        <f t="shared" si="139"/>
        <v>0</v>
      </c>
      <c r="AZ171">
        <f t="shared" si="140"/>
        <v>0</v>
      </c>
      <c r="BA171">
        <f t="shared" si="141"/>
        <v>0</v>
      </c>
      <c r="BB171">
        <f t="shared" si="142"/>
        <v>0</v>
      </c>
      <c r="BC171">
        <f t="shared" si="143"/>
        <v>0</v>
      </c>
      <c r="BD171">
        <f t="shared" si="144"/>
        <v>0</v>
      </c>
      <c r="BE171">
        <f t="shared" si="145"/>
        <v>0</v>
      </c>
      <c r="BF171">
        <f t="shared" si="146"/>
        <v>0</v>
      </c>
      <c r="BG171">
        <f t="shared" si="147"/>
        <v>0</v>
      </c>
      <c r="BH171">
        <f t="shared" si="148"/>
        <v>0</v>
      </c>
      <c r="BI171">
        <f t="shared" si="149"/>
        <v>0</v>
      </c>
      <c r="BJ171">
        <v>0</v>
      </c>
      <c r="BK171" t="str">
        <f t="shared" si="163"/>
        <v>Big Win</v>
      </c>
      <c r="BL171" s="40" t="str">
        <f t="shared" si="164"/>
        <v>Combo Win</v>
      </c>
      <c r="BM171">
        <f>(D171/Frequency!$N$7-Summary!$C$7)^2*E171</f>
        <v>3388.2911999999997</v>
      </c>
      <c r="BN171">
        <f t="shared" si="150"/>
        <v>0</v>
      </c>
      <c r="BO171">
        <f t="shared" si="151"/>
        <v>0</v>
      </c>
      <c r="BP171">
        <f t="shared" si="152"/>
        <v>0</v>
      </c>
      <c r="BQ171">
        <f t="shared" si="153"/>
        <v>0</v>
      </c>
      <c r="BR171">
        <f t="shared" si="154"/>
        <v>0</v>
      </c>
      <c r="BS171">
        <f t="shared" si="155"/>
        <v>0</v>
      </c>
      <c r="BT171">
        <f t="shared" si="156"/>
        <v>0</v>
      </c>
      <c r="BU171">
        <f t="shared" si="157"/>
        <v>0</v>
      </c>
      <c r="BV171">
        <f t="shared" si="158"/>
        <v>0</v>
      </c>
      <c r="BW171">
        <f t="shared" si="159"/>
        <v>0</v>
      </c>
      <c r="BX171">
        <f t="shared" si="160"/>
        <v>0</v>
      </c>
    </row>
    <row r="172" spans="2:76">
      <c r="B172" s="19">
        <f>Tiers!B173</f>
        <v>170</v>
      </c>
      <c r="C172" s="20" t="str">
        <f>Tiers!X173</f>
        <v>main-5|wild-2||||||||</v>
      </c>
      <c r="D172" s="21">
        <f>Tiers!C173</f>
        <v>5.5</v>
      </c>
      <c r="E172" s="22">
        <f>Frequency!E174</f>
        <v>100</v>
      </c>
      <c r="F172" s="22">
        <f t="shared" si="110"/>
        <v>550</v>
      </c>
      <c r="G172" s="20">
        <f>IF(AND(D172/Summary!$C$4&gt;0, D172/Summary!$C$4&lt;5),E172,0) * D172</f>
        <v>0</v>
      </c>
      <c r="H172" s="20">
        <f>IF(AND(D172/Summary!$C$4&gt;= 5, D172/Summary!$C$4&lt;10),E172,0) * D172</f>
        <v>550</v>
      </c>
      <c r="I172" s="20">
        <f>IF(AND(D172/Summary!$C$4&gt;=10, D172/Summary!$C$4&lt;25),E172,0)*D172</f>
        <v>0</v>
      </c>
      <c r="J172" s="20">
        <f>IF(D172/Summary!$C$4&gt;=25,E172,0)*D172</f>
        <v>0</v>
      </c>
      <c r="K172" s="35">
        <f>IF(AND(D172/Frequency!$N$7&gt;0, D172/Frequency!$N$7&lt;1),E172,0)</f>
        <v>0</v>
      </c>
      <c r="L172" s="35">
        <f t="shared" si="111"/>
        <v>0</v>
      </c>
      <c r="M172" s="35">
        <f>IF(D172/Frequency!$N$7=1,1,0)*E172</f>
        <v>0</v>
      </c>
      <c r="N172" s="35">
        <f t="shared" si="112"/>
        <v>0</v>
      </c>
      <c r="O172" s="35">
        <f>IF(AND(D172/Frequency!$N$7&gt;1, D172/Frequency!$N$7&lt;=2),1,0)*E172</f>
        <v>0</v>
      </c>
      <c r="P172" s="35">
        <f t="shared" si="113"/>
        <v>0</v>
      </c>
      <c r="Q172" s="35">
        <f>IF(AND(D172/Frequency!$N$7&gt;2,D172/Frequency!$N$7&lt;=5),1,0)*E172</f>
        <v>0</v>
      </c>
      <c r="R172" s="35">
        <f t="shared" si="114"/>
        <v>0</v>
      </c>
      <c r="S172" s="35">
        <f>IF(AND(D172/Frequency!$N$7&gt;5, D172/Frequency!$N$7&lt;=10),1,0)*E172</f>
        <v>100</v>
      </c>
      <c r="T172" s="35">
        <f t="shared" si="115"/>
        <v>550</v>
      </c>
      <c r="U172" s="35">
        <f>IF(AND(D172/Frequency!$N$7&gt;10, D172/Frequency!$N$7&lt;=20),1,0)*E172</f>
        <v>0</v>
      </c>
      <c r="V172" s="35">
        <f t="shared" si="116"/>
        <v>0</v>
      </c>
      <c r="W172" s="35">
        <f>IF(AND(D172/Frequency!$N$7&gt;20, D172/Frequency!$N$7&lt;=30),1,0)*E172</f>
        <v>0</v>
      </c>
      <c r="X172" s="35">
        <f t="shared" si="117"/>
        <v>0</v>
      </c>
      <c r="Y172" s="35">
        <f>IF(AND(D172/Frequency!$N$7&gt;30, D172/Frequency!$N$7&lt;=50),1,0)*E172</f>
        <v>0</v>
      </c>
      <c r="Z172" s="35">
        <f t="shared" si="118"/>
        <v>0</v>
      </c>
      <c r="AA172" s="35">
        <f>IF(AND(D172/Frequency!$N$7&gt;50, D172/Frequency!$N$7&lt;=100),1,0)*E172</f>
        <v>0</v>
      </c>
      <c r="AB172" s="35">
        <f t="shared" si="119"/>
        <v>0</v>
      </c>
      <c r="AC172" s="35">
        <f>IF(D172/Frequency!$N$7&gt;100,1,0)*E172</f>
        <v>0</v>
      </c>
      <c r="AD172" s="35">
        <f t="shared" si="120"/>
        <v>0</v>
      </c>
      <c r="AE172" s="22">
        <f t="shared" si="121"/>
        <v>0</v>
      </c>
      <c r="AF172" s="22">
        <f t="shared" si="122"/>
        <v>0</v>
      </c>
      <c r="AG172" s="22">
        <f t="shared" si="123"/>
        <v>0</v>
      </c>
      <c r="AH172" s="22">
        <f t="shared" si="124"/>
        <v>0</v>
      </c>
      <c r="AI172" s="35">
        <f t="shared" si="125"/>
        <v>1</v>
      </c>
      <c r="AJ172" s="35">
        <f t="shared" si="126"/>
        <v>100</v>
      </c>
      <c r="AK172" s="35">
        <f t="shared" si="127"/>
        <v>550</v>
      </c>
      <c r="AL172">
        <f t="shared" si="128"/>
        <v>1</v>
      </c>
      <c r="AM172">
        <f t="shared" si="129"/>
        <v>100</v>
      </c>
      <c r="AN172">
        <f t="shared" si="130"/>
        <v>550</v>
      </c>
      <c r="AO172">
        <f t="shared" si="131"/>
        <v>1</v>
      </c>
      <c r="AP172">
        <f t="shared" si="132"/>
        <v>100</v>
      </c>
      <c r="AQ172">
        <f t="shared" si="133"/>
        <v>550</v>
      </c>
      <c r="AR172">
        <f t="shared" si="134"/>
        <v>0</v>
      </c>
      <c r="AS172">
        <f t="shared" si="135"/>
        <v>0</v>
      </c>
      <c r="AT172">
        <f t="shared" si="136"/>
        <v>0</v>
      </c>
      <c r="AU172">
        <f t="shared" si="137"/>
        <v>0</v>
      </c>
      <c r="AV172">
        <v>0</v>
      </c>
      <c r="AW172">
        <v>0</v>
      </c>
      <c r="AX172">
        <f t="shared" si="138"/>
        <v>0</v>
      </c>
      <c r="AY172">
        <f t="shared" si="139"/>
        <v>0</v>
      </c>
      <c r="AZ172">
        <f t="shared" si="140"/>
        <v>0</v>
      </c>
      <c r="BA172">
        <f t="shared" si="141"/>
        <v>0</v>
      </c>
      <c r="BB172">
        <f t="shared" si="142"/>
        <v>0</v>
      </c>
      <c r="BC172">
        <f t="shared" si="143"/>
        <v>0</v>
      </c>
      <c r="BD172">
        <f t="shared" si="144"/>
        <v>0</v>
      </c>
      <c r="BE172">
        <f t="shared" si="145"/>
        <v>0</v>
      </c>
      <c r="BF172">
        <f t="shared" si="146"/>
        <v>0</v>
      </c>
      <c r="BG172">
        <f t="shared" si="147"/>
        <v>0</v>
      </c>
      <c r="BH172">
        <f t="shared" si="148"/>
        <v>0</v>
      </c>
      <c r="BI172">
        <f t="shared" si="149"/>
        <v>0</v>
      </c>
      <c r="BJ172">
        <v>0</v>
      </c>
      <c r="BK172" t="str">
        <f t="shared" si="163"/>
        <v>Standard Win</v>
      </c>
      <c r="BL172" s="40" t="str">
        <f t="shared" si="164"/>
        <v>Combo Win</v>
      </c>
      <c r="BM172">
        <f>(D172/Frequency!$N$7-Summary!$C$7)^2*E172</f>
        <v>2171.5600000000004</v>
      </c>
      <c r="BN172">
        <f t="shared" si="150"/>
        <v>0</v>
      </c>
      <c r="BO172">
        <f t="shared" si="151"/>
        <v>0</v>
      </c>
      <c r="BP172">
        <f t="shared" si="152"/>
        <v>0</v>
      </c>
      <c r="BQ172">
        <f t="shared" si="153"/>
        <v>0</v>
      </c>
      <c r="BR172">
        <f t="shared" si="154"/>
        <v>0</v>
      </c>
      <c r="BS172">
        <f t="shared" si="155"/>
        <v>0</v>
      </c>
      <c r="BT172">
        <f t="shared" si="156"/>
        <v>0</v>
      </c>
      <c r="BU172">
        <f t="shared" si="157"/>
        <v>0</v>
      </c>
      <c r="BV172">
        <f t="shared" si="158"/>
        <v>0</v>
      </c>
      <c r="BW172">
        <f t="shared" si="159"/>
        <v>0</v>
      </c>
      <c r="BX172">
        <f t="shared" si="160"/>
        <v>0</v>
      </c>
    </row>
    <row r="173" spans="2:76">
      <c r="B173" s="19">
        <f>Tiers!B174</f>
        <v>171</v>
      </c>
      <c r="C173" s="20" t="str">
        <f>Tiers!X174</f>
        <v>main-0|wild-11||||||||</v>
      </c>
      <c r="D173" s="21">
        <f>Tiers!C174</f>
        <v>2.1</v>
      </c>
      <c r="E173" s="22">
        <f>Frequency!E175</f>
        <v>200</v>
      </c>
      <c r="F173" s="22">
        <f t="shared" si="110"/>
        <v>420</v>
      </c>
      <c r="G173" s="20">
        <f>IF(AND(D173/Summary!$C$4&gt;0, D173/Summary!$C$4&lt;5),E173,0) * D173</f>
        <v>420</v>
      </c>
      <c r="H173" s="20">
        <f>IF(AND(D173/Summary!$C$4&gt;= 5, D173/Summary!$C$4&lt;10),E173,0) * D173</f>
        <v>0</v>
      </c>
      <c r="I173" s="20">
        <f>IF(AND(D173/Summary!$C$4&gt;=10, D173/Summary!$C$4&lt;25),E173,0)*D173</f>
        <v>0</v>
      </c>
      <c r="J173" s="20">
        <f>IF(D173/Summary!$C$4&gt;=25,E173,0)*D173</f>
        <v>0</v>
      </c>
      <c r="K173" s="35">
        <f>IF(AND(D173/Frequency!$N$7&gt;0, D173/Frequency!$N$7&lt;1),E173,0)</f>
        <v>0</v>
      </c>
      <c r="L173" s="35">
        <f t="shared" si="111"/>
        <v>0</v>
      </c>
      <c r="M173" s="35">
        <f>IF(D173/Frequency!$N$7=1,1,0)*E173</f>
        <v>0</v>
      </c>
      <c r="N173" s="35">
        <f t="shared" si="112"/>
        <v>0</v>
      </c>
      <c r="O173" s="35">
        <f>IF(AND(D173/Frequency!$N$7&gt;1, D173/Frequency!$N$7&lt;=2),1,0)*E173</f>
        <v>0</v>
      </c>
      <c r="P173" s="35">
        <f t="shared" si="113"/>
        <v>0</v>
      </c>
      <c r="Q173" s="35">
        <f>IF(AND(D173/Frequency!$N$7&gt;2,D173/Frequency!$N$7&lt;=5),1,0)*E173</f>
        <v>200</v>
      </c>
      <c r="R173" s="35">
        <f t="shared" si="114"/>
        <v>420</v>
      </c>
      <c r="S173" s="35">
        <f>IF(AND(D173/Frequency!$N$7&gt;5, D173/Frequency!$N$7&lt;=10),1,0)*E173</f>
        <v>0</v>
      </c>
      <c r="T173" s="35">
        <f t="shared" si="115"/>
        <v>0</v>
      </c>
      <c r="U173" s="35">
        <f>IF(AND(D173/Frequency!$N$7&gt;10, D173/Frequency!$N$7&lt;=20),1,0)*E173</f>
        <v>0</v>
      </c>
      <c r="V173" s="35">
        <f t="shared" si="116"/>
        <v>0</v>
      </c>
      <c r="W173" s="35">
        <f>IF(AND(D173/Frequency!$N$7&gt;20, D173/Frequency!$N$7&lt;=30),1,0)*E173</f>
        <v>0</v>
      </c>
      <c r="X173" s="35">
        <f t="shared" si="117"/>
        <v>0</v>
      </c>
      <c r="Y173" s="35">
        <f>IF(AND(D173/Frequency!$N$7&gt;30, D173/Frequency!$N$7&lt;=50),1,0)*E173</f>
        <v>0</v>
      </c>
      <c r="Z173" s="35">
        <f t="shared" si="118"/>
        <v>0</v>
      </c>
      <c r="AA173" s="35">
        <f>IF(AND(D173/Frequency!$N$7&gt;50, D173/Frequency!$N$7&lt;=100),1,0)*E173</f>
        <v>0</v>
      </c>
      <c r="AB173" s="35">
        <f t="shared" si="119"/>
        <v>0</v>
      </c>
      <c r="AC173" s="35">
        <f>IF(D173/Frequency!$N$7&gt;100,1,0)*E173</f>
        <v>0</v>
      </c>
      <c r="AD173" s="35">
        <f t="shared" si="120"/>
        <v>0</v>
      </c>
      <c r="AE173" s="22">
        <f t="shared" si="121"/>
        <v>0</v>
      </c>
      <c r="AF173" s="22">
        <f t="shared" si="122"/>
        <v>0</v>
      </c>
      <c r="AG173" s="22">
        <f t="shared" si="123"/>
        <v>0</v>
      </c>
      <c r="AH173" s="22">
        <f t="shared" si="124"/>
        <v>0</v>
      </c>
      <c r="AI173" s="35">
        <f t="shared" si="125"/>
        <v>1</v>
      </c>
      <c r="AJ173" s="35">
        <f t="shared" si="126"/>
        <v>200</v>
      </c>
      <c r="AK173" s="35">
        <f t="shared" si="127"/>
        <v>420</v>
      </c>
      <c r="AL173">
        <f t="shared" si="128"/>
        <v>1</v>
      </c>
      <c r="AM173">
        <f t="shared" si="129"/>
        <v>200</v>
      </c>
      <c r="AN173">
        <f t="shared" si="130"/>
        <v>420</v>
      </c>
      <c r="AO173">
        <f t="shared" si="131"/>
        <v>1</v>
      </c>
      <c r="AP173">
        <f t="shared" si="132"/>
        <v>200</v>
      </c>
      <c r="AQ173">
        <f t="shared" si="133"/>
        <v>420</v>
      </c>
      <c r="AR173">
        <f t="shared" si="134"/>
        <v>0</v>
      </c>
      <c r="AS173">
        <f t="shared" si="135"/>
        <v>0</v>
      </c>
      <c r="AT173">
        <f t="shared" si="136"/>
        <v>0</v>
      </c>
      <c r="AU173">
        <f t="shared" si="137"/>
        <v>0</v>
      </c>
      <c r="AV173">
        <v>0</v>
      </c>
      <c r="AW173">
        <v>0</v>
      </c>
      <c r="AX173">
        <f t="shared" si="138"/>
        <v>0</v>
      </c>
      <c r="AY173">
        <f t="shared" si="139"/>
        <v>0</v>
      </c>
      <c r="AZ173">
        <f t="shared" si="140"/>
        <v>0</v>
      </c>
      <c r="BA173">
        <f t="shared" si="141"/>
        <v>0</v>
      </c>
      <c r="BB173">
        <f t="shared" si="142"/>
        <v>0</v>
      </c>
      <c r="BC173">
        <f t="shared" si="143"/>
        <v>0</v>
      </c>
      <c r="BD173">
        <f t="shared" si="144"/>
        <v>0</v>
      </c>
      <c r="BE173">
        <f t="shared" si="145"/>
        <v>0</v>
      </c>
      <c r="BF173">
        <f t="shared" si="146"/>
        <v>0</v>
      </c>
      <c r="BG173">
        <f t="shared" si="147"/>
        <v>0</v>
      </c>
      <c r="BH173">
        <f t="shared" si="148"/>
        <v>0</v>
      </c>
      <c r="BI173">
        <f t="shared" si="149"/>
        <v>0</v>
      </c>
      <c r="BJ173">
        <v>0</v>
      </c>
      <c r="BK173" t="str">
        <f t="shared" si="163"/>
        <v>Standard Win</v>
      </c>
      <c r="BL173" s="40" t="str">
        <f t="shared" si="164"/>
        <v>Combo Win</v>
      </c>
      <c r="BM173">
        <f>(D173/Frequency!$N$7-Summary!$C$7)^2*E173</f>
        <v>317.5200000000001</v>
      </c>
      <c r="BN173">
        <f t="shared" si="150"/>
        <v>0</v>
      </c>
      <c r="BO173">
        <f t="shared" si="151"/>
        <v>0</v>
      </c>
      <c r="BP173">
        <f t="shared" si="152"/>
        <v>0</v>
      </c>
      <c r="BQ173">
        <f t="shared" si="153"/>
        <v>0</v>
      </c>
      <c r="BR173">
        <f t="shared" si="154"/>
        <v>0</v>
      </c>
      <c r="BS173">
        <f t="shared" si="155"/>
        <v>0</v>
      </c>
      <c r="BT173">
        <f t="shared" si="156"/>
        <v>0</v>
      </c>
      <c r="BU173">
        <f t="shared" si="157"/>
        <v>0</v>
      </c>
      <c r="BV173">
        <f t="shared" si="158"/>
        <v>0</v>
      </c>
      <c r="BW173">
        <f t="shared" si="159"/>
        <v>0</v>
      </c>
      <c r="BX173">
        <f t="shared" si="160"/>
        <v>0</v>
      </c>
    </row>
    <row r="174" spans="2:76">
      <c r="B174" s="19">
        <f>Tiers!B175</f>
        <v>172</v>
      </c>
      <c r="C174" s="20" t="str">
        <f>Tiers!X175</f>
        <v>main-1|wild-12||||||||</v>
      </c>
      <c r="D174" s="21">
        <f>Tiers!C175</f>
        <v>3.2</v>
      </c>
      <c r="E174" s="22">
        <f>Frequency!E176</f>
        <v>147</v>
      </c>
      <c r="F174" s="22">
        <f t="shared" si="110"/>
        <v>470.40000000000003</v>
      </c>
      <c r="G174" s="20">
        <f>IF(AND(D174/Summary!$C$4&gt;0, D174/Summary!$C$4&lt;5),E174,0) * D174</f>
        <v>470.40000000000003</v>
      </c>
      <c r="H174" s="20">
        <f>IF(AND(D174/Summary!$C$4&gt;= 5, D174/Summary!$C$4&lt;10),E174,0) * D174</f>
        <v>0</v>
      </c>
      <c r="I174" s="20">
        <f>IF(AND(D174/Summary!$C$4&gt;=10, D174/Summary!$C$4&lt;25),E174,0)*D174</f>
        <v>0</v>
      </c>
      <c r="J174" s="20">
        <f>IF(D174/Summary!$C$4&gt;=25,E174,0)*D174</f>
        <v>0</v>
      </c>
      <c r="K174" s="35">
        <f>IF(AND(D174/Frequency!$N$7&gt;0, D174/Frequency!$N$7&lt;1),E174,0)</f>
        <v>0</v>
      </c>
      <c r="L174" s="35">
        <f t="shared" si="111"/>
        <v>0</v>
      </c>
      <c r="M174" s="35">
        <f>IF(D174/Frequency!$N$7=1,1,0)*E174</f>
        <v>0</v>
      </c>
      <c r="N174" s="35">
        <f t="shared" si="112"/>
        <v>0</v>
      </c>
      <c r="O174" s="35">
        <f>IF(AND(D174/Frequency!$N$7&gt;1, D174/Frequency!$N$7&lt;=2),1,0)*E174</f>
        <v>0</v>
      </c>
      <c r="P174" s="35">
        <f t="shared" si="113"/>
        <v>0</v>
      </c>
      <c r="Q174" s="35">
        <f>IF(AND(D174/Frequency!$N$7&gt;2,D174/Frequency!$N$7&lt;=5),1,0)*E174</f>
        <v>147</v>
      </c>
      <c r="R174" s="35">
        <f t="shared" si="114"/>
        <v>470.40000000000003</v>
      </c>
      <c r="S174" s="35">
        <f>IF(AND(D174/Frequency!$N$7&gt;5, D174/Frequency!$N$7&lt;=10),1,0)*E174</f>
        <v>0</v>
      </c>
      <c r="T174" s="35">
        <f t="shared" si="115"/>
        <v>0</v>
      </c>
      <c r="U174" s="35">
        <f>IF(AND(D174/Frequency!$N$7&gt;10, D174/Frequency!$N$7&lt;=20),1,0)*E174</f>
        <v>0</v>
      </c>
      <c r="V174" s="35">
        <f t="shared" si="116"/>
        <v>0</v>
      </c>
      <c r="W174" s="35">
        <f>IF(AND(D174/Frequency!$N$7&gt;20, D174/Frequency!$N$7&lt;=30),1,0)*E174</f>
        <v>0</v>
      </c>
      <c r="X174" s="35">
        <f t="shared" si="117"/>
        <v>0</v>
      </c>
      <c r="Y174" s="35">
        <f>IF(AND(D174/Frequency!$N$7&gt;30, D174/Frequency!$N$7&lt;=50),1,0)*E174</f>
        <v>0</v>
      </c>
      <c r="Z174" s="35">
        <f t="shared" si="118"/>
        <v>0</v>
      </c>
      <c r="AA174" s="35">
        <f>IF(AND(D174/Frequency!$N$7&gt;50, D174/Frequency!$N$7&lt;=100),1,0)*E174</f>
        <v>0</v>
      </c>
      <c r="AB174" s="35">
        <f t="shared" si="119"/>
        <v>0</v>
      </c>
      <c r="AC174" s="35">
        <f>IF(D174/Frequency!$N$7&gt;100,1,0)*E174</f>
        <v>0</v>
      </c>
      <c r="AD174" s="35">
        <f t="shared" si="120"/>
        <v>0</v>
      </c>
      <c r="AE174" s="22">
        <f t="shared" si="121"/>
        <v>0</v>
      </c>
      <c r="AF174" s="22">
        <f t="shared" si="122"/>
        <v>0</v>
      </c>
      <c r="AG174" s="22">
        <f t="shared" si="123"/>
        <v>0</v>
      </c>
      <c r="AH174" s="22">
        <f t="shared" si="124"/>
        <v>0</v>
      </c>
      <c r="AI174" s="35">
        <f t="shared" si="125"/>
        <v>1</v>
      </c>
      <c r="AJ174" s="35">
        <f t="shared" si="126"/>
        <v>147</v>
      </c>
      <c r="AK174" s="35">
        <f t="shared" si="127"/>
        <v>470.40000000000003</v>
      </c>
      <c r="AL174">
        <f t="shared" si="128"/>
        <v>1</v>
      </c>
      <c r="AM174">
        <f t="shared" si="129"/>
        <v>147</v>
      </c>
      <c r="AN174">
        <f t="shared" si="130"/>
        <v>470.40000000000003</v>
      </c>
      <c r="AO174">
        <f t="shared" si="131"/>
        <v>1</v>
      </c>
      <c r="AP174">
        <f t="shared" si="132"/>
        <v>147</v>
      </c>
      <c r="AQ174">
        <f t="shared" si="133"/>
        <v>470.40000000000003</v>
      </c>
      <c r="AR174">
        <f t="shared" si="134"/>
        <v>0</v>
      </c>
      <c r="AS174">
        <f t="shared" si="135"/>
        <v>0</v>
      </c>
      <c r="AT174">
        <f t="shared" si="136"/>
        <v>0</v>
      </c>
      <c r="AU174">
        <f t="shared" si="137"/>
        <v>0</v>
      </c>
      <c r="AV174">
        <v>0</v>
      </c>
      <c r="AW174">
        <v>0</v>
      </c>
      <c r="AX174">
        <f t="shared" si="138"/>
        <v>0</v>
      </c>
      <c r="AY174">
        <f t="shared" si="139"/>
        <v>0</v>
      </c>
      <c r="AZ174">
        <f t="shared" si="140"/>
        <v>0</v>
      </c>
      <c r="BA174">
        <f t="shared" si="141"/>
        <v>0</v>
      </c>
      <c r="BB174">
        <f t="shared" si="142"/>
        <v>0</v>
      </c>
      <c r="BC174">
        <f t="shared" si="143"/>
        <v>0</v>
      </c>
      <c r="BD174">
        <f t="shared" si="144"/>
        <v>0</v>
      </c>
      <c r="BE174">
        <f t="shared" si="145"/>
        <v>0</v>
      </c>
      <c r="BF174">
        <f t="shared" si="146"/>
        <v>0</v>
      </c>
      <c r="BG174">
        <f t="shared" si="147"/>
        <v>0</v>
      </c>
      <c r="BH174">
        <f t="shared" si="148"/>
        <v>0</v>
      </c>
      <c r="BI174">
        <f t="shared" si="149"/>
        <v>0</v>
      </c>
      <c r="BJ174">
        <v>0</v>
      </c>
      <c r="BK174" t="str">
        <f t="shared" si="163"/>
        <v>Standard Win</v>
      </c>
      <c r="BL174" s="40" t="str">
        <f t="shared" si="164"/>
        <v>Combo Win</v>
      </c>
      <c r="BM174">
        <f>(D174/Frequency!$N$7-Summary!$C$7)^2*E174</f>
        <v>818.73120000000017</v>
      </c>
      <c r="BN174">
        <f t="shared" si="150"/>
        <v>0</v>
      </c>
      <c r="BO174">
        <f t="shared" si="151"/>
        <v>0</v>
      </c>
      <c r="BP174">
        <f t="shared" si="152"/>
        <v>0</v>
      </c>
      <c r="BQ174">
        <f t="shared" si="153"/>
        <v>0</v>
      </c>
      <c r="BR174">
        <f t="shared" si="154"/>
        <v>0</v>
      </c>
      <c r="BS174">
        <f t="shared" si="155"/>
        <v>0</v>
      </c>
      <c r="BT174">
        <f t="shared" si="156"/>
        <v>0</v>
      </c>
      <c r="BU174">
        <f t="shared" si="157"/>
        <v>0</v>
      </c>
      <c r="BV174">
        <f t="shared" si="158"/>
        <v>0</v>
      </c>
      <c r="BW174">
        <f t="shared" si="159"/>
        <v>0</v>
      </c>
      <c r="BX174">
        <f t="shared" si="160"/>
        <v>0</v>
      </c>
    </row>
    <row r="175" spans="2:76">
      <c r="B175" s="19">
        <f>Tiers!B176</f>
        <v>173</v>
      </c>
      <c r="C175" s="20" t="str">
        <f>Tiers!X176</f>
        <v>main-2|wild-13||||||||</v>
      </c>
      <c r="D175" s="21">
        <f>Tiers!C176</f>
        <v>5.5</v>
      </c>
      <c r="E175" s="22">
        <f>Frequency!E177</f>
        <v>45</v>
      </c>
      <c r="F175" s="22">
        <f t="shared" si="110"/>
        <v>247.5</v>
      </c>
      <c r="G175" s="20">
        <f>IF(AND(D175/Summary!$C$4&gt;0, D175/Summary!$C$4&lt;5),E175,0) * D175</f>
        <v>0</v>
      </c>
      <c r="H175" s="20">
        <f>IF(AND(D175/Summary!$C$4&gt;= 5, D175/Summary!$C$4&lt;10),E175,0) * D175</f>
        <v>247.5</v>
      </c>
      <c r="I175" s="20">
        <f>IF(AND(D175/Summary!$C$4&gt;=10, D175/Summary!$C$4&lt;25),E175,0)*D175</f>
        <v>0</v>
      </c>
      <c r="J175" s="20">
        <f>IF(D175/Summary!$C$4&gt;=25,E175,0)*D175</f>
        <v>0</v>
      </c>
      <c r="K175" s="35">
        <f>IF(AND(D175/Frequency!$N$7&gt;0, D175/Frequency!$N$7&lt;1),E175,0)</f>
        <v>0</v>
      </c>
      <c r="L175" s="35">
        <f t="shared" si="111"/>
        <v>0</v>
      </c>
      <c r="M175" s="35">
        <f>IF(D175/Frequency!$N$7=1,1,0)*E175</f>
        <v>0</v>
      </c>
      <c r="N175" s="35">
        <f t="shared" si="112"/>
        <v>0</v>
      </c>
      <c r="O175" s="35">
        <f>IF(AND(D175/Frequency!$N$7&gt;1, D175/Frequency!$N$7&lt;=2),1,0)*E175</f>
        <v>0</v>
      </c>
      <c r="P175" s="35">
        <f t="shared" si="113"/>
        <v>0</v>
      </c>
      <c r="Q175" s="35">
        <f>IF(AND(D175/Frequency!$N$7&gt;2,D175/Frequency!$N$7&lt;=5),1,0)*E175</f>
        <v>0</v>
      </c>
      <c r="R175" s="35">
        <f t="shared" si="114"/>
        <v>0</v>
      </c>
      <c r="S175" s="35">
        <f>IF(AND(D175/Frequency!$N$7&gt;5, D175/Frequency!$N$7&lt;=10),1,0)*E175</f>
        <v>45</v>
      </c>
      <c r="T175" s="35">
        <f t="shared" si="115"/>
        <v>247.5</v>
      </c>
      <c r="U175" s="35">
        <f>IF(AND(D175/Frequency!$N$7&gt;10, D175/Frequency!$N$7&lt;=20),1,0)*E175</f>
        <v>0</v>
      </c>
      <c r="V175" s="35">
        <f t="shared" si="116"/>
        <v>0</v>
      </c>
      <c r="W175" s="35">
        <f>IF(AND(D175/Frequency!$N$7&gt;20, D175/Frequency!$N$7&lt;=30),1,0)*E175</f>
        <v>0</v>
      </c>
      <c r="X175" s="35">
        <f t="shared" si="117"/>
        <v>0</v>
      </c>
      <c r="Y175" s="35">
        <f>IF(AND(D175/Frequency!$N$7&gt;30, D175/Frequency!$N$7&lt;=50),1,0)*E175</f>
        <v>0</v>
      </c>
      <c r="Z175" s="35">
        <f t="shared" si="118"/>
        <v>0</v>
      </c>
      <c r="AA175" s="35">
        <f>IF(AND(D175/Frequency!$N$7&gt;50, D175/Frequency!$N$7&lt;=100),1,0)*E175</f>
        <v>0</v>
      </c>
      <c r="AB175" s="35">
        <f t="shared" si="119"/>
        <v>0</v>
      </c>
      <c r="AC175" s="35">
        <f>IF(D175/Frequency!$N$7&gt;100,1,0)*E175</f>
        <v>0</v>
      </c>
      <c r="AD175" s="35">
        <f t="shared" si="120"/>
        <v>0</v>
      </c>
      <c r="AE175" s="22">
        <f t="shared" si="121"/>
        <v>0</v>
      </c>
      <c r="AF175" s="22">
        <f t="shared" si="122"/>
        <v>0</v>
      </c>
      <c r="AG175" s="22">
        <f t="shared" si="123"/>
        <v>0</v>
      </c>
      <c r="AH175" s="22">
        <f t="shared" si="124"/>
        <v>0</v>
      </c>
      <c r="AI175" s="35">
        <f t="shared" si="125"/>
        <v>1</v>
      </c>
      <c r="AJ175" s="35">
        <f t="shared" si="126"/>
        <v>45</v>
      </c>
      <c r="AK175" s="35">
        <f t="shared" si="127"/>
        <v>247.5</v>
      </c>
      <c r="AL175">
        <f t="shared" si="128"/>
        <v>1</v>
      </c>
      <c r="AM175">
        <f t="shared" si="129"/>
        <v>45</v>
      </c>
      <c r="AN175">
        <f t="shared" si="130"/>
        <v>247.5</v>
      </c>
      <c r="AO175">
        <f t="shared" si="131"/>
        <v>1</v>
      </c>
      <c r="AP175">
        <f t="shared" si="132"/>
        <v>45</v>
      </c>
      <c r="AQ175">
        <f t="shared" si="133"/>
        <v>247.5</v>
      </c>
      <c r="AR175">
        <f t="shared" si="134"/>
        <v>0</v>
      </c>
      <c r="AS175">
        <f t="shared" si="135"/>
        <v>0</v>
      </c>
      <c r="AT175">
        <f t="shared" si="136"/>
        <v>0</v>
      </c>
      <c r="AU175">
        <f t="shared" si="137"/>
        <v>0</v>
      </c>
      <c r="AV175">
        <v>0</v>
      </c>
      <c r="AW175">
        <v>0</v>
      </c>
      <c r="AX175">
        <f t="shared" si="138"/>
        <v>0</v>
      </c>
      <c r="AY175">
        <f t="shared" si="139"/>
        <v>0</v>
      </c>
      <c r="AZ175">
        <f t="shared" si="140"/>
        <v>0</v>
      </c>
      <c r="BA175">
        <f t="shared" si="141"/>
        <v>0</v>
      </c>
      <c r="BB175">
        <f t="shared" si="142"/>
        <v>0</v>
      </c>
      <c r="BC175">
        <f t="shared" si="143"/>
        <v>0</v>
      </c>
      <c r="BD175">
        <f t="shared" si="144"/>
        <v>0</v>
      </c>
      <c r="BE175">
        <f t="shared" si="145"/>
        <v>0</v>
      </c>
      <c r="BF175">
        <f t="shared" si="146"/>
        <v>0</v>
      </c>
      <c r="BG175">
        <f t="shared" si="147"/>
        <v>0</v>
      </c>
      <c r="BH175">
        <f t="shared" si="148"/>
        <v>0</v>
      </c>
      <c r="BI175">
        <f t="shared" si="149"/>
        <v>0</v>
      </c>
      <c r="BJ175">
        <v>0</v>
      </c>
      <c r="BK175" t="str">
        <f t="shared" si="163"/>
        <v>Standard Win</v>
      </c>
      <c r="BL175" s="40" t="str">
        <f t="shared" si="164"/>
        <v>Combo Win</v>
      </c>
      <c r="BM175">
        <f>(D175/Frequency!$N$7-Summary!$C$7)^2*E175</f>
        <v>977.20200000000011</v>
      </c>
      <c r="BN175">
        <f t="shared" si="150"/>
        <v>0</v>
      </c>
      <c r="BO175">
        <f t="shared" si="151"/>
        <v>0</v>
      </c>
      <c r="BP175">
        <f t="shared" si="152"/>
        <v>0</v>
      </c>
      <c r="BQ175">
        <f t="shared" si="153"/>
        <v>0</v>
      </c>
      <c r="BR175">
        <f t="shared" si="154"/>
        <v>0</v>
      </c>
      <c r="BS175">
        <f t="shared" si="155"/>
        <v>0</v>
      </c>
      <c r="BT175">
        <f t="shared" si="156"/>
        <v>0</v>
      </c>
      <c r="BU175">
        <f t="shared" si="157"/>
        <v>0</v>
      </c>
      <c r="BV175">
        <f t="shared" si="158"/>
        <v>0</v>
      </c>
      <c r="BW175">
        <f t="shared" si="159"/>
        <v>0</v>
      </c>
      <c r="BX175">
        <f t="shared" si="160"/>
        <v>0</v>
      </c>
    </row>
    <row r="176" spans="2:76">
      <c r="B176" s="19">
        <f>Tiers!B177</f>
        <v>174</v>
      </c>
      <c r="C176" s="20" t="str">
        <f>Tiers!X177</f>
        <v>main-3|wild-14||||||||</v>
      </c>
      <c r="D176" s="21">
        <f>Tiers!C177</f>
        <v>3</v>
      </c>
      <c r="E176" s="22">
        <f>Frequency!E178</f>
        <v>188</v>
      </c>
      <c r="F176" s="22">
        <f t="shared" si="110"/>
        <v>564</v>
      </c>
      <c r="G176" s="20">
        <f>IF(AND(D176/Summary!$C$4&gt;0, D176/Summary!$C$4&lt;5),E176,0) * D176</f>
        <v>564</v>
      </c>
      <c r="H176" s="20">
        <f>IF(AND(D176/Summary!$C$4&gt;= 5, D176/Summary!$C$4&lt;10),E176,0) * D176</f>
        <v>0</v>
      </c>
      <c r="I176" s="20">
        <f>IF(AND(D176/Summary!$C$4&gt;=10, D176/Summary!$C$4&lt;25),E176,0)*D176</f>
        <v>0</v>
      </c>
      <c r="J176" s="20">
        <f>IF(D176/Summary!$C$4&gt;=25,E176,0)*D176</f>
        <v>0</v>
      </c>
      <c r="K176" s="35">
        <f>IF(AND(D176/Frequency!$N$7&gt;0, D176/Frequency!$N$7&lt;1),E176,0)</f>
        <v>0</v>
      </c>
      <c r="L176" s="35">
        <f t="shared" si="111"/>
        <v>0</v>
      </c>
      <c r="M176" s="35">
        <f>IF(D176/Frequency!$N$7=1,1,0)*E176</f>
        <v>0</v>
      </c>
      <c r="N176" s="35">
        <f t="shared" si="112"/>
        <v>0</v>
      </c>
      <c r="O176" s="35">
        <f>IF(AND(D176/Frequency!$N$7&gt;1, D176/Frequency!$N$7&lt;=2),1,0)*E176</f>
        <v>0</v>
      </c>
      <c r="P176" s="35">
        <f t="shared" si="113"/>
        <v>0</v>
      </c>
      <c r="Q176" s="35">
        <f>IF(AND(D176/Frequency!$N$7&gt;2,D176/Frequency!$N$7&lt;=5),1,0)*E176</f>
        <v>188</v>
      </c>
      <c r="R176" s="35">
        <f t="shared" si="114"/>
        <v>564</v>
      </c>
      <c r="S176" s="35">
        <f>IF(AND(D176/Frequency!$N$7&gt;5, D176/Frequency!$N$7&lt;=10),1,0)*E176</f>
        <v>0</v>
      </c>
      <c r="T176" s="35">
        <f t="shared" si="115"/>
        <v>0</v>
      </c>
      <c r="U176" s="35">
        <f>IF(AND(D176/Frequency!$N$7&gt;10, D176/Frequency!$N$7&lt;=20),1,0)*E176</f>
        <v>0</v>
      </c>
      <c r="V176" s="35">
        <f t="shared" si="116"/>
        <v>0</v>
      </c>
      <c r="W176" s="35">
        <f>IF(AND(D176/Frequency!$N$7&gt;20, D176/Frequency!$N$7&lt;=30),1,0)*E176</f>
        <v>0</v>
      </c>
      <c r="X176" s="35">
        <f t="shared" si="117"/>
        <v>0</v>
      </c>
      <c r="Y176" s="35">
        <f>IF(AND(D176/Frequency!$N$7&gt;30, D176/Frequency!$N$7&lt;=50),1,0)*E176</f>
        <v>0</v>
      </c>
      <c r="Z176" s="35">
        <f t="shared" si="118"/>
        <v>0</v>
      </c>
      <c r="AA176" s="35">
        <f>IF(AND(D176/Frequency!$N$7&gt;50, D176/Frequency!$N$7&lt;=100),1,0)*E176</f>
        <v>0</v>
      </c>
      <c r="AB176" s="35">
        <f t="shared" si="119"/>
        <v>0</v>
      </c>
      <c r="AC176" s="35">
        <f>IF(D176/Frequency!$N$7&gt;100,1,0)*E176</f>
        <v>0</v>
      </c>
      <c r="AD176" s="35">
        <f t="shared" si="120"/>
        <v>0</v>
      </c>
      <c r="AE176" s="22">
        <f t="shared" si="121"/>
        <v>0</v>
      </c>
      <c r="AF176" s="22">
        <f t="shared" si="122"/>
        <v>0</v>
      </c>
      <c r="AG176" s="22">
        <f t="shared" si="123"/>
        <v>0</v>
      </c>
      <c r="AH176" s="22">
        <f t="shared" si="124"/>
        <v>0</v>
      </c>
      <c r="AI176" s="35">
        <f t="shared" si="125"/>
        <v>1</v>
      </c>
      <c r="AJ176" s="35">
        <f t="shared" si="126"/>
        <v>188</v>
      </c>
      <c r="AK176" s="35">
        <f t="shared" si="127"/>
        <v>564</v>
      </c>
      <c r="AL176">
        <f t="shared" si="128"/>
        <v>1</v>
      </c>
      <c r="AM176">
        <f t="shared" si="129"/>
        <v>188</v>
      </c>
      <c r="AN176">
        <f t="shared" si="130"/>
        <v>564</v>
      </c>
      <c r="AO176">
        <f t="shared" si="131"/>
        <v>1</v>
      </c>
      <c r="AP176">
        <f t="shared" si="132"/>
        <v>188</v>
      </c>
      <c r="AQ176">
        <f t="shared" si="133"/>
        <v>564</v>
      </c>
      <c r="AR176">
        <f t="shared" si="134"/>
        <v>0</v>
      </c>
      <c r="AS176">
        <f t="shared" si="135"/>
        <v>0</v>
      </c>
      <c r="AT176">
        <f t="shared" si="136"/>
        <v>0</v>
      </c>
      <c r="AU176">
        <f t="shared" si="137"/>
        <v>0</v>
      </c>
      <c r="AV176">
        <v>0</v>
      </c>
      <c r="AW176">
        <v>0</v>
      </c>
      <c r="AX176">
        <f t="shared" si="138"/>
        <v>0</v>
      </c>
      <c r="AY176">
        <f t="shared" si="139"/>
        <v>0</v>
      </c>
      <c r="AZ176">
        <f t="shared" si="140"/>
        <v>0</v>
      </c>
      <c r="BA176">
        <f t="shared" si="141"/>
        <v>0</v>
      </c>
      <c r="BB176">
        <f t="shared" si="142"/>
        <v>0</v>
      </c>
      <c r="BC176">
        <f t="shared" si="143"/>
        <v>0</v>
      </c>
      <c r="BD176">
        <f t="shared" si="144"/>
        <v>0</v>
      </c>
      <c r="BE176">
        <f t="shared" si="145"/>
        <v>0</v>
      </c>
      <c r="BF176">
        <f t="shared" si="146"/>
        <v>0</v>
      </c>
      <c r="BG176">
        <f t="shared" si="147"/>
        <v>0</v>
      </c>
      <c r="BH176">
        <f t="shared" si="148"/>
        <v>0</v>
      </c>
      <c r="BI176">
        <f t="shared" si="149"/>
        <v>0</v>
      </c>
      <c r="BJ176">
        <v>0</v>
      </c>
      <c r="BK176" t="str">
        <f t="shared" si="163"/>
        <v>Standard Win</v>
      </c>
      <c r="BL176" s="40" t="str">
        <f t="shared" si="164"/>
        <v>Combo Win</v>
      </c>
      <c r="BM176">
        <f>(D176/Frequency!$N$7-Summary!$C$7)^2*E176</f>
        <v>877.13280000000009</v>
      </c>
      <c r="BN176">
        <f t="shared" si="150"/>
        <v>0</v>
      </c>
      <c r="BO176">
        <f t="shared" si="151"/>
        <v>0</v>
      </c>
      <c r="BP176">
        <f t="shared" si="152"/>
        <v>0</v>
      </c>
      <c r="BQ176">
        <f t="shared" si="153"/>
        <v>0</v>
      </c>
      <c r="BR176">
        <f t="shared" si="154"/>
        <v>0</v>
      </c>
      <c r="BS176">
        <f t="shared" si="155"/>
        <v>0</v>
      </c>
      <c r="BT176">
        <f t="shared" si="156"/>
        <v>0</v>
      </c>
      <c r="BU176">
        <f t="shared" si="157"/>
        <v>0</v>
      </c>
      <c r="BV176">
        <f t="shared" si="158"/>
        <v>0</v>
      </c>
      <c r="BW176">
        <f t="shared" si="159"/>
        <v>0</v>
      </c>
      <c r="BX176">
        <f t="shared" si="160"/>
        <v>0</v>
      </c>
    </row>
    <row r="177" spans="2:76">
      <c r="B177" s="19">
        <f>Tiers!B178</f>
        <v>175</v>
      </c>
      <c r="C177" s="20" t="str">
        <f>Tiers!X178</f>
        <v>main-4|wild-15||||||||</v>
      </c>
      <c r="D177" s="21">
        <f>Tiers!C178</f>
        <v>5</v>
      </c>
      <c r="E177" s="22">
        <f>Frequency!E179</f>
        <v>100</v>
      </c>
      <c r="F177" s="22">
        <f t="shared" si="110"/>
        <v>500</v>
      </c>
      <c r="G177" s="20">
        <f>IF(AND(D177/Summary!$C$4&gt;0, D177/Summary!$C$4&lt;5),E177,0) * D177</f>
        <v>0</v>
      </c>
      <c r="H177" s="20">
        <f>IF(AND(D177/Summary!$C$4&gt;= 5, D177/Summary!$C$4&lt;10),E177,0) * D177</f>
        <v>500</v>
      </c>
      <c r="I177" s="20">
        <f>IF(AND(D177/Summary!$C$4&gt;=10, D177/Summary!$C$4&lt;25),E177,0)*D177</f>
        <v>0</v>
      </c>
      <c r="J177" s="20">
        <f>IF(D177/Summary!$C$4&gt;=25,E177,0)*D177</f>
        <v>0</v>
      </c>
      <c r="K177" s="35">
        <f>IF(AND(D177/Frequency!$N$7&gt;0, D177/Frequency!$N$7&lt;1),E177,0)</f>
        <v>0</v>
      </c>
      <c r="L177" s="35">
        <f t="shared" si="111"/>
        <v>0</v>
      </c>
      <c r="M177" s="35">
        <f>IF(D177/Frequency!$N$7=1,1,0)*E177</f>
        <v>0</v>
      </c>
      <c r="N177" s="35">
        <f t="shared" si="112"/>
        <v>0</v>
      </c>
      <c r="O177" s="35">
        <f>IF(AND(D177/Frequency!$N$7&gt;1, D177/Frequency!$N$7&lt;=2),1,0)*E177</f>
        <v>0</v>
      </c>
      <c r="P177" s="35">
        <f t="shared" si="113"/>
        <v>0</v>
      </c>
      <c r="Q177" s="35">
        <f>IF(AND(D177/Frequency!$N$7&gt;2,D177/Frequency!$N$7&lt;=5),1,0)*E177</f>
        <v>100</v>
      </c>
      <c r="R177" s="35">
        <f t="shared" si="114"/>
        <v>500</v>
      </c>
      <c r="S177" s="35">
        <f>IF(AND(D177/Frequency!$N$7&gt;5, D177/Frequency!$N$7&lt;=10),1,0)*E177</f>
        <v>0</v>
      </c>
      <c r="T177" s="35">
        <f t="shared" si="115"/>
        <v>0</v>
      </c>
      <c r="U177" s="35">
        <f>IF(AND(D177/Frequency!$N$7&gt;10, D177/Frequency!$N$7&lt;=20),1,0)*E177</f>
        <v>0</v>
      </c>
      <c r="V177" s="35">
        <f t="shared" si="116"/>
        <v>0</v>
      </c>
      <c r="W177" s="35">
        <f>IF(AND(D177/Frequency!$N$7&gt;20, D177/Frequency!$N$7&lt;=30),1,0)*E177</f>
        <v>0</v>
      </c>
      <c r="X177" s="35">
        <f t="shared" si="117"/>
        <v>0</v>
      </c>
      <c r="Y177" s="35">
        <f>IF(AND(D177/Frequency!$N$7&gt;30, D177/Frequency!$N$7&lt;=50),1,0)*E177</f>
        <v>0</v>
      </c>
      <c r="Z177" s="35">
        <f t="shared" si="118"/>
        <v>0</v>
      </c>
      <c r="AA177" s="35">
        <f>IF(AND(D177/Frequency!$N$7&gt;50, D177/Frequency!$N$7&lt;=100),1,0)*E177</f>
        <v>0</v>
      </c>
      <c r="AB177" s="35">
        <f t="shared" si="119"/>
        <v>0</v>
      </c>
      <c r="AC177" s="35">
        <f>IF(D177/Frequency!$N$7&gt;100,1,0)*E177</f>
        <v>0</v>
      </c>
      <c r="AD177" s="35">
        <f t="shared" si="120"/>
        <v>0</v>
      </c>
      <c r="AE177" s="22">
        <f t="shared" si="121"/>
        <v>0</v>
      </c>
      <c r="AF177" s="22">
        <f t="shared" si="122"/>
        <v>0</v>
      </c>
      <c r="AG177" s="22">
        <f t="shared" si="123"/>
        <v>0</v>
      </c>
      <c r="AH177" s="22">
        <f t="shared" si="124"/>
        <v>0</v>
      </c>
      <c r="AI177" s="35">
        <f t="shared" si="125"/>
        <v>1</v>
      </c>
      <c r="AJ177" s="35">
        <f t="shared" si="126"/>
        <v>100</v>
      </c>
      <c r="AK177" s="35">
        <f t="shared" si="127"/>
        <v>500</v>
      </c>
      <c r="AL177">
        <f t="shared" si="128"/>
        <v>1</v>
      </c>
      <c r="AM177">
        <f t="shared" si="129"/>
        <v>100</v>
      </c>
      <c r="AN177">
        <f t="shared" si="130"/>
        <v>500</v>
      </c>
      <c r="AO177">
        <f t="shared" si="131"/>
        <v>1</v>
      </c>
      <c r="AP177">
        <f t="shared" si="132"/>
        <v>100</v>
      </c>
      <c r="AQ177">
        <f t="shared" si="133"/>
        <v>500</v>
      </c>
      <c r="AR177">
        <f t="shared" si="134"/>
        <v>0</v>
      </c>
      <c r="AS177">
        <f t="shared" si="135"/>
        <v>0</v>
      </c>
      <c r="AT177">
        <f t="shared" si="136"/>
        <v>0</v>
      </c>
      <c r="AU177">
        <f t="shared" si="137"/>
        <v>0</v>
      </c>
      <c r="AV177">
        <v>0</v>
      </c>
      <c r="AW177">
        <v>0</v>
      </c>
      <c r="AX177">
        <f t="shared" si="138"/>
        <v>0</v>
      </c>
      <c r="AY177">
        <f t="shared" si="139"/>
        <v>0</v>
      </c>
      <c r="AZ177">
        <f t="shared" si="140"/>
        <v>0</v>
      </c>
      <c r="BA177">
        <f t="shared" si="141"/>
        <v>0</v>
      </c>
      <c r="BB177">
        <f t="shared" si="142"/>
        <v>0</v>
      </c>
      <c r="BC177">
        <f t="shared" si="143"/>
        <v>0</v>
      </c>
      <c r="BD177">
        <f t="shared" si="144"/>
        <v>0</v>
      </c>
      <c r="BE177">
        <f t="shared" si="145"/>
        <v>0</v>
      </c>
      <c r="BF177">
        <f t="shared" si="146"/>
        <v>0</v>
      </c>
      <c r="BG177">
        <f t="shared" si="147"/>
        <v>0</v>
      </c>
      <c r="BH177">
        <f t="shared" si="148"/>
        <v>0</v>
      </c>
      <c r="BI177">
        <f t="shared" si="149"/>
        <v>0</v>
      </c>
      <c r="BJ177">
        <v>0</v>
      </c>
      <c r="BK177" t="str">
        <f t="shared" si="163"/>
        <v>Standard Win</v>
      </c>
      <c r="BL177" s="40" t="str">
        <f t="shared" si="164"/>
        <v>Combo Win</v>
      </c>
      <c r="BM177">
        <f>(D177/Frequency!$N$7-Summary!$C$7)^2*E177</f>
        <v>1730.5600000000002</v>
      </c>
      <c r="BN177">
        <f t="shared" si="150"/>
        <v>0</v>
      </c>
      <c r="BO177">
        <f t="shared" si="151"/>
        <v>0</v>
      </c>
      <c r="BP177">
        <f t="shared" si="152"/>
        <v>0</v>
      </c>
      <c r="BQ177">
        <f t="shared" si="153"/>
        <v>0</v>
      </c>
      <c r="BR177">
        <f t="shared" si="154"/>
        <v>0</v>
      </c>
      <c r="BS177">
        <f t="shared" si="155"/>
        <v>0</v>
      </c>
      <c r="BT177">
        <f t="shared" si="156"/>
        <v>0</v>
      </c>
      <c r="BU177">
        <f t="shared" si="157"/>
        <v>0</v>
      </c>
      <c r="BV177">
        <f t="shared" si="158"/>
        <v>0</v>
      </c>
      <c r="BW177">
        <f t="shared" si="159"/>
        <v>0</v>
      </c>
      <c r="BX177">
        <f t="shared" si="160"/>
        <v>0</v>
      </c>
    </row>
    <row r="178" spans="2:76">
      <c r="B178" s="19">
        <f>Tiers!B179</f>
        <v>176</v>
      </c>
      <c r="C178" s="20" t="str">
        <f>Tiers!X179</f>
        <v>main-5|wild-18||||||||</v>
      </c>
      <c r="D178" s="21">
        <f>Tiers!C179</f>
        <v>8</v>
      </c>
      <c r="E178" s="22">
        <f>Frequency!E180</f>
        <v>53</v>
      </c>
      <c r="F178" s="22">
        <f t="shared" si="110"/>
        <v>424</v>
      </c>
      <c r="G178" s="20">
        <f>IF(AND(D178/Summary!$C$4&gt;0, D178/Summary!$C$4&lt;5),E178,0) * D178</f>
        <v>0</v>
      </c>
      <c r="H178" s="20">
        <f>IF(AND(D178/Summary!$C$4&gt;= 5, D178/Summary!$C$4&lt;10),E178,0) * D178</f>
        <v>424</v>
      </c>
      <c r="I178" s="20">
        <f>IF(AND(D178/Summary!$C$4&gt;=10, D178/Summary!$C$4&lt;25),E178,0)*D178</f>
        <v>0</v>
      </c>
      <c r="J178" s="20">
        <f>IF(D178/Summary!$C$4&gt;=25,E178,0)*D178</f>
        <v>0</v>
      </c>
      <c r="K178" s="35">
        <f>IF(AND(D178/Frequency!$N$7&gt;0, D178/Frequency!$N$7&lt;1),E178,0)</f>
        <v>0</v>
      </c>
      <c r="L178" s="35">
        <f t="shared" si="111"/>
        <v>0</v>
      </c>
      <c r="M178" s="35">
        <f>IF(D178/Frequency!$N$7=1,1,0)*E178</f>
        <v>0</v>
      </c>
      <c r="N178" s="35">
        <f t="shared" si="112"/>
        <v>0</v>
      </c>
      <c r="O178" s="35">
        <f>IF(AND(D178/Frequency!$N$7&gt;1, D178/Frequency!$N$7&lt;=2),1,0)*E178</f>
        <v>0</v>
      </c>
      <c r="P178" s="35">
        <f t="shared" si="113"/>
        <v>0</v>
      </c>
      <c r="Q178" s="35">
        <f>IF(AND(D178/Frequency!$N$7&gt;2,D178/Frequency!$N$7&lt;=5),1,0)*E178</f>
        <v>0</v>
      </c>
      <c r="R178" s="35">
        <f t="shared" si="114"/>
        <v>0</v>
      </c>
      <c r="S178" s="35">
        <f>IF(AND(D178/Frequency!$N$7&gt;5, D178/Frequency!$N$7&lt;=10),1,0)*E178</f>
        <v>53</v>
      </c>
      <c r="T178" s="35">
        <f t="shared" si="115"/>
        <v>424</v>
      </c>
      <c r="U178" s="35">
        <f>IF(AND(D178/Frequency!$N$7&gt;10, D178/Frequency!$N$7&lt;=20),1,0)*E178</f>
        <v>0</v>
      </c>
      <c r="V178" s="35">
        <f t="shared" si="116"/>
        <v>0</v>
      </c>
      <c r="W178" s="35">
        <f>IF(AND(D178/Frequency!$N$7&gt;20, D178/Frequency!$N$7&lt;=30),1,0)*E178</f>
        <v>0</v>
      </c>
      <c r="X178" s="35">
        <f t="shared" si="117"/>
        <v>0</v>
      </c>
      <c r="Y178" s="35">
        <f>IF(AND(D178/Frequency!$N$7&gt;30, D178/Frequency!$N$7&lt;=50),1,0)*E178</f>
        <v>0</v>
      </c>
      <c r="Z178" s="35">
        <f t="shared" si="118"/>
        <v>0</v>
      </c>
      <c r="AA178" s="35">
        <f>IF(AND(D178/Frequency!$N$7&gt;50, D178/Frequency!$N$7&lt;=100),1,0)*E178</f>
        <v>0</v>
      </c>
      <c r="AB178" s="35">
        <f t="shared" si="119"/>
        <v>0</v>
      </c>
      <c r="AC178" s="35">
        <f>IF(D178/Frequency!$N$7&gt;100,1,0)*E178</f>
        <v>0</v>
      </c>
      <c r="AD178" s="35">
        <f t="shared" si="120"/>
        <v>0</v>
      </c>
      <c r="AE178" s="22">
        <f t="shared" si="121"/>
        <v>0</v>
      </c>
      <c r="AF178" s="22">
        <f t="shared" si="122"/>
        <v>0</v>
      </c>
      <c r="AG178" s="22">
        <f t="shared" si="123"/>
        <v>0</v>
      </c>
      <c r="AH178" s="22">
        <f t="shared" si="124"/>
        <v>0</v>
      </c>
      <c r="AI178" s="35">
        <f t="shared" si="125"/>
        <v>1</v>
      </c>
      <c r="AJ178" s="35">
        <f t="shared" si="126"/>
        <v>53</v>
      </c>
      <c r="AK178" s="35">
        <f t="shared" si="127"/>
        <v>424</v>
      </c>
      <c r="AL178">
        <f t="shared" si="128"/>
        <v>1</v>
      </c>
      <c r="AM178">
        <f t="shared" si="129"/>
        <v>53</v>
      </c>
      <c r="AN178">
        <f t="shared" si="130"/>
        <v>424</v>
      </c>
      <c r="AO178">
        <f t="shared" si="131"/>
        <v>1</v>
      </c>
      <c r="AP178">
        <f t="shared" si="132"/>
        <v>53</v>
      </c>
      <c r="AQ178">
        <f t="shared" si="133"/>
        <v>424</v>
      </c>
      <c r="AR178">
        <f t="shared" si="134"/>
        <v>0</v>
      </c>
      <c r="AS178">
        <f t="shared" si="135"/>
        <v>0</v>
      </c>
      <c r="AT178">
        <f t="shared" si="136"/>
        <v>0</v>
      </c>
      <c r="AU178">
        <f t="shared" si="137"/>
        <v>0</v>
      </c>
      <c r="AV178">
        <v>0</v>
      </c>
      <c r="AW178">
        <v>0</v>
      </c>
      <c r="AX178">
        <f t="shared" si="138"/>
        <v>0</v>
      </c>
      <c r="AY178">
        <f t="shared" si="139"/>
        <v>0</v>
      </c>
      <c r="AZ178">
        <f t="shared" si="140"/>
        <v>0</v>
      </c>
      <c r="BA178">
        <f t="shared" si="141"/>
        <v>0</v>
      </c>
      <c r="BB178">
        <f t="shared" si="142"/>
        <v>0</v>
      </c>
      <c r="BC178">
        <f t="shared" si="143"/>
        <v>0</v>
      </c>
      <c r="BD178">
        <f t="shared" si="144"/>
        <v>0</v>
      </c>
      <c r="BE178">
        <f t="shared" si="145"/>
        <v>0</v>
      </c>
      <c r="BF178">
        <f t="shared" si="146"/>
        <v>0</v>
      </c>
      <c r="BG178">
        <f t="shared" si="147"/>
        <v>0</v>
      </c>
      <c r="BH178">
        <f t="shared" si="148"/>
        <v>0</v>
      </c>
      <c r="BI178">
        <f t="shared" si="149"/>
        <v>0</v>
      </c>
      <c r="BJ178">
        <v>0</v>
      </c>
      <c r="BK178" t="str">
        <f t="shared" si="163"/>
        <v>Standard Win</v>
      </c>
      <c r="BL178" s="40" t="str">
        <f t="shared" si="164"/>
        <v>Combo Win</v>
      </c>
      <c r="BM178">
        <f>(D178/Frequency!$N$7-Summary!$C$7)^2*E178</f>
        <v>2717.0767999999998</v>
      </c>
      <c r="BN178">
        <f t="shared" si="150"/>
        <v>0</v>
      </c>
      <c r="BO178">
        <f t="shared" si="151"/>
        <v>0</v>
      </c>
      <c r="BP178">
        <f t="shared" si="152"/>
        <v>0</v>
      </c>
      <c r="BQ178">
        <f t="shared" si="153"/>
        <v>0</v>
      </c>
      <c r="BR178">
        <f t="shared" si="154"/>
        <v>0</v>
      </c>
      <c r="BS178">
        <f t="shared" si="155"/>
        <v>0</v>
      </c>
      <c r="BT178">
        <f t="shared" si="156"/>
        <v>0</v>
      </c>
      <c r="BU178">
        <f t="shared" si="157"/>
        <v>0</v>
      </c>
      <c r="BV178">
        <f t="shared" si="158"/>
        <v>0</v>
      </c>
      <c r="BW178">
        <f t="shared" si="159"/>
        <v>0</v>
      </c>
      <c r="BX178">
        <f t="shared" si="160"/>
        <v>0</v>
      </c>
    </row>
    <row r="179" spans="2:76">
      <c r="B179" s="19">
        <f>Tiers!B180</f>
        <v>177</v>
      </c>
      <c r="C179" s="20" t="str">
        <f>Tiers!X180</f>
        <v>main-5|wild-17||||||||</v>
      </c>
      <c r="D179" s="21">
        <f>Tiers!C180</f>
        <v>15</v>
      </c>
      <c r="E179" s="22">
        <f>Frequency!E181</f>
        <v>100</v>
      </c>
      <c r="F179" s="22">
        <f t="shared" si="110"/>
        <v>1500</v>
      </c>
      <c r="G179" s="20">
        <f>IF(AND(D179/Summary!$C$4&gt;0, D179/Summary!$C$4&lt;5),E179,0) * D179</f>
        <v>0</v>
      </c>
      <c r="H179" s="20">
        <f>IF(AND(D179/Summary!$C$4&gt;= 5, D179/Summary!$C$4&lt;10),E179,0) * D179</f>
        <v>0</v>
      </c>
      <c r="I179" s="20">
        <f>IF(AND(D179/Summary!$C$4&gt;=10, D179/Summary!$C$4&lt;25),E179,0)*D179</f>
        <v>1500</v>
      </c>
      <c r="J179" s="20">
        <f>IF(D179/Summary!$C$4&gt;=25,E179,0)*D179</f>
        <v>0</v>
      </c>
      <c r="K179" s="35">
        <f>IF(AND(D179/Frequency!$N$7&gt;0, D179/Frequency!$N$7&lt;1),E179,0)</f>
        <v>0</v>
      </c>
      <c r="L179" s="35">
        <f t="shared" si="111"/>
        <v>0</v>
      </c>
      <c r="M179" s="35">
        <f>IF(D179/Frequency!$N$7=1,1,0)*E179</f>
        <v>0</v>
      </c>
      <c r="N179" s="35">
        <f t="shared" si="112"/>
        <v>0</v>
      </c>
      <c r="O179" s="35">
        <f>IF(AND(D179/Frequency!$N$7&gt;1, D179/Frequency!$N$7&lt;=2),1,0)*E179</f>
        <v>0</v>
      </c>
      <c r="P179" s="35">
        <f t="shared" si="113"/>
        <v>0</v>
      </c>
      <c r="Q179" s="35">
        <f>IF(AND(D179/Frequency!$N$7&gt;2,D179/Frequency!$N$7&lt;=5),1,0)*E179</f>
        <v>0</v>
      </c>
      <c r="R179" s="35">
        <f t="shared" si="114"/>
        <v>0</v>
      </c>
      <c r="S179" s="35">
        <f>IF(AND(D179/Frequency!$N$7&gt;5, D179/Frequency!$N$7&lt;=10),1,0)*E179</f>
        <v>0</v>
      </c>
      <c r="T179" s="35">
        <f t="shared" si="115"/>
        <v>0</v>
      </c>
      <c r="U179" s="35">
        <f>IF(AND(D179/Frequency!$N$7&gt;10, D179/Frequency!$N$7&lt;=20),1,0)*E179</f>
        <v>100</v>
      </c>
      <c r="V179" s="35">
        <f t="shared" si="116"/>
        <v>1500</v>
      </c>
      <c r="W179" s="35">
        <f>IF(AND(D179/Frequency!$N$7&gt;20, D179/Frequency!$N$7&lt;=30),1,0)*E179</f>
        <v>0</v>
      </c>
      <c r="X179" s="35">
        <f t="shared" si="117"/>
        <v>0</v>
      </c>
      <c r="Y179" s="35">
        <f>IF(AND(D179/Frequency!$N$7&gt;30, D179/Frequency!$N$7&lt;=50),1,0)*E179</f>
        <v>0</v>
      </c>
      <c r="Z179" s="35">
        <f t="shared" si="118"/>
        <v>0</v>
      </c>
      <c r="AA179" s="35">
        <f>IF(AND(D179/Frequency!$N$7&gt;50, D179/Frequency!$N$7&lt;=100),1,0)*E179</f>
        <v>0</v>
      </c>
      <c r="AB179" s="35">
        <f t="shared" si="119"/>
        <v>0</v>
      </c>
      <c r="AC179" s="35">
        <f>IF(D179/Frequency!$N$7&gt;100,1,0)*E179</f>
        <v>0</v>
      </c>
      <c r="AD179" s="35">
        <f t="shared" si="120"/>
        <v>0</v>
      </c>
      <c r="AE179" s="22">
        <f t="shared" si="121"/>
        <v>0</v>
      </c>
      <c r="AF179" s="22">
        <f t="shared" si="122"/>
        <v>0</v>
      </c>
      <c r="AG179" s="22">
        <f t="shared" si="123"/>
        <v>0</v>
      </c>
      <c r="AH179" s="22">
        <f t="shared" si="124"/>
        <v>0</v>
      </c>
      <c r="AI179" s="35">
        <f t="shared" si="125"/>
        <v>1</v>
      </c>
      <c r="AJ179" s="35">
        <f t="shared" si="126"/>
        <v>100</v>
      </c>
      <c r="AK179" s="35">
        <f t="shared" si="127"/>
        <v>1500</v>
      </c>
      <c r="AL179">
        <f t="shared" si="128"/>
        <v>1</v>
      </c>
      <c r="AM179">
        <f t="shared" si="129"/>
        <v>100</v>
      </c>
      <c r="AN179">
        <f t="shared" si="130"/>
        <v>1500</v>
      </c>
      <c r="AO179">
        <f t="shared" si="131"/>
        <v>1</v>
      </c>
      <c r="AP179">
        <f t="shared" si="132"/>
        <v>100</v>
      </c>
      <c r="AQ179">
        <f t="shared" si="133"/>
        <v>1500</v>
      </c>
      <c r="AR179">
        <f t="shared" si="134"/>
        <v>0</v>
      </c>
      <c r="AS179">
        <f t="shared" si="135"/>
        <v>0</v>
      </c>
      <c r="AT179">
        <f t="shared" si="136"/>
        <v>0</v>
      </c>
      <c r="AU179">
        <f t="shared" si="137"/>
        <v>0</v>
      </c>
      <c r="AV179">
        <v>0</v>
      </c>
      <c r="AW179">
        <v>0</v>
      </c>
      <c r="AX179">
        <f t="shared" si="138"/>
        <v>0</v>
      </c>
      <c r="AY179">
        <f t="shared" si="139"/>
        <v>0</v>
      </c>
      <c r="AZ179">
        <f t="shared" si="140"/>
        <v>0</v>
      </c>
      <c r="BA179">
        <f t="shared" si="141"/>
        <v>0</v>
      </c>
      <c r="BB179">
        <f t="shared" si="142"/>
        <v>0</v>
      </c>
      <c r="BC179">
        <f t="shared" si="143"/>
        <v>0</v>
      </c>
      <c r="BD179">
        <f t="shared" si="144"/>
        <v>0</v>
      </c>
      <c r="BE179">
        <f t="shared" si="145"/>
        <v>0</v>
      </c>
      <c r="BF179">
        <f t="shared" si="146"/>
        <v>0</v>
      </c>
      <c r="BG179">
        <f t="shared" si="147"/>
        <v>0</v>
      </c>
      <c r="BH179">
        <f t="shared" si="148"/>
        <v>0</v>
      </c>
      <c r="BI179">
        <f t="shared" si="149"/>
        <v>0</v>
      </c>
      <c r="BJ179">
        <v>0</v>
      </c>
      <c r="BK179" t="str">
        <f t="shared" si="163"/>
        <v>Big Win</v>
      </c>
      <c r="BL179" s="40" t="str">
        <f t="shared" si="164"/>
        <v>Combo Win</v>
      </c>
      <c r="BM179">
        <f>(D179/Frequency!$N$7-Summary!$C$7)^2*E179</f>
        <v>20050.560000000001</v>
      </c>
      <c r="BN179">
        <f t="shared" si="150"/>
        <v>0</v>
      </c>
      <c r="BO179">
        <f t="shared" si="151"/>
        <v>0</v>
      </c>
      <c r="BP179">
        <f t="shared" si="152"/>
        <v>0</v>
      </c>
      <c r="BQ179">
        <f t="shared" si="153"/>
        <v>0</v>
      </c>
      <c r="BR179">
        <f t="shared" si="154"/>
        <v>0</v>
      </c>
      <c r="BS179">
        <f t="shared" si="155"/>
        <v>0</v>
      </c>
      <c r="BT179">
        <f t="shared" si="156"/>
        <v>0</v>
      </c>
      <c r="BU179">
        <f t="shared" si="157"/>
        <v>0</v>
      </c>
      <c r="BV179">
        <f t="shared" si="158"/>
        <v>0</v>
      </c>
      <c r="BW179">
        <f t="shared" si="159"/>
        <v>0</v>
      </c>
      <c r="BX179">
        <f t="shared" si="160"/>
        <v>0</v>
      </c>
    </row>
    <row r="180" spans="2:76">
      <c r="B180" s="19">
        <f>Tiers!B181</f>
        <v>178</v>
      </c>
      <c r="C180" s="20" t="str">
        <f>Tiers!X181</f>
        <v>main-0|wild-18||||||||</v>
      </c>
      <c r="D180" s="21">
        <f>Tiers!C181</f>
        <v>3.1</v>
      </c>
      <c r="E180" s="22">
        <f>Frequency!E182</f>
        <v>50</v>
      </c>
      <c r="F180" s="22">
        <f t="shared" si="110"/>
        <v>155</v>
      </c>
      <c r="G180" s="20">
        <f>IF(AND(D180/Summary!$C$4&gt;0, D180/Summary!$C$4&lt;5),E180,0) * D180</f>
        <v>155</v>
      </c>
      <c r="H180" s="20">
        <f>IF(AND(D180/Summary!$C$4&gt;= 5, D180/Summary!$C$4&lt;10),E180,0) * D180</f>
        <v>0</v>
      </c>
      <c r="I180" s="20">
        <f>IF(AND(D180/Summary!$C$4&gt;=10, D180/Summary!$C$4&lt;25),E180,0)*D180</f>
        <v>0</v>
      </c>
      <c r="J180" s="20">
        <f>IF(D180/Summary!$C$4&gt;=25,E180,0)*D180</f>
        <v>0</v>
      </c>
      <c r="K180" s="35">
        <f>IF(AND(D180/Frequency!$N$7&gt;0, D180/Frequency!$N$7&lt;1),E180,0)</f>
        <v>0</v>
      </c>
      <c r="L180" s="35">
        <f t="shared" si="111"/>
        <v>0</v>
      </c>
      <c r="M180" s="35">
        <f>IF(D180/Frequency!$N$7=1,1,0)*E180</f>
        <v>0</v>
      </c>
      <c r="N180" s="35">
        <f t="shared" si="112"/>
        <v>0</v>
      </c>
      <c r="O180" s="35">
        <f>IF(AND(D180/Frequency!$N$7&gt;1, D180/Frequency!$N$7&lt;=2),1,0)*E180</f>
        <v>0</v>
      </c>
      <c r="P180" s="35">
        <f t="shared" si="113"/>
        <v>0</v>
      </c>
      <c r="Q180" s="35">
        <f>IF(AND(D180/Frequency!$N$7&gt;2,D180/Frequency!$N$7&lt;=5),1,0)*E180</f>
        <v>50</v>
      </c>
      <c r="R180" s="35">
        <f t="shared" si="114"/>
        <v>155</v>
      </c>
      <c r="S180" s="35">
        <f>IF(AND(D180/Frequency!$N$7&gt;5, D180/Frequency!$N$7&lt;=10),1,0)*E180</f>
        <v>0</v>
      </c>
      <c r="T180" s="35">
        <f t="shared" si="115"/>
        <v>0</v>
      </c>
      <c r="U180" s="35">
        <f>IF(AND(D180/Frequency!$N$7&gt;10, D180/Frequency!$N$7&lt;=20),1,0)*E180</f>
        <v>0</v>
      </c>
      <c r="V180" s="35">
        <f t="shared" si="116"/>
        <v>0</v>
      </c>
      <c r="W180" s="35">
        <f>IF(AND(D180/Frequency!$N$7&gt;20, D180/Frequency!$N$7&lt;=30),1,0)*E180</f>
        <v>0</v>
      </c>
      <c r="X180" s="35">
        <f t="shared" si="117"/>
        <v>0</v>
      </c>
      <c r="Y180" s="35">
        <f>IF(AND(D180/Frequency!$N$7&gt;30, D180/Frequency!$N$7&lt;=50),1,0)*E180</f>
        <v>0</v>
      </c>
      <c r="Z180" s="35">
        <f t="shared" si="118"/>
        <v>0</v>
      </c>
      <c r="AA180" s="35">
        <f>IF(AND(D180/Frequency!$N$7&gt;50, D180/Frequency!$N$7&lt;=100),1,0)*E180</f>
        <v>0</v>
      </c>
      <c r="AB180" s="35">
        <f t="shared" si="119"/>
        <v>0</v>
      </c>
      <c r="AC180" s="35">
        <f>IF(D180/Frequency!$N$7&gt;100,1,0)*E180</f>
        <v>0</v>
      </c>
      <c r="AD180" s="35">
        <f t="shared" si="120"/>
        <v>0</v>
      </c>
      <c r="AE180" s="22">
        <f t="shared" si="121"/>
        <v>0</v>
      </c>
      <c r="AF180" s="22">
        <f t="shared" si="122"/>
        <v>0</v>
      </c>
      <c r="AG180" s="22">
        <f t="shared" si="123"/>
        <v>0</v>
      </c>
      <c r="AH180" s="22">
        <f t="shared" si="124"/>
        <v>0</v>
      </c>
      <c r="AI180" s="35">
        <f t="shared" si="125"/>
        <v>1</v>
      </c>
      <c r="AJ180" s="35">
        <f t="shared" si="126"/>
        <v>50</v>
      </c>
      <c r="AK180" s="35">
        <f t="shared" si="127"/>
        <v>155</v>
      </c>
      <c r="AL180">
        <f t="shared" si="128"/>
        <v>1</v>
      </c>
      <c r="AM180">
        <f t="shared" si="129"/>
        <v>50</v>
      </c>
      <c r="AN180">
        <f t="shared" si="130"/>
        <v>155</v>
      </c>
      <c r="AO180">
        <f t="shared" si="131"/>
        <v>1</v>
      </c>
      <c r="AP180">
        <f t="shared" si="132"/>
        <v>50</v>
      </c>
      <c r="AQ180">
        <f t="shared" si="133"/>
        <v>155</v>
      </c>
      <c r="AR180">
        <f t="shared" si="134"/>
        <v>0</v>
      </c>
      <c r="AS180">
        <f t="shared" si="135"/>
        <v>0</v>
      </c>
      <c r="AT180">
        <f t="shared" si="136"/>
        <v>0</v>
      </c>
      <c r="AU180">
        <f t="shared" si="137"/>
        <v>0</v>
      </c>
      <c r="AV180">
        <v>0</v>
      </c>
      <c r="AW180">
        <v>0</v>
      </c>
      <c r="AX180">
        <f t="shared" si="138"/>
        <v>0</v>
      </c>
      <c r="AY180">
        <f t="shared" si="139"/>
        <v>0</v>
      </c>
      <c r="AZ180">
        <f t="shared" si="140"/>
        <v>0</v>
      </c>
      <c r="BA180">
        <f t="shared" si="141"/>
        <v>0</v>
      </c>
      <c r="BB180">
        <f t="shared" si="142"/>
        <v>0</v>
      </c>
      <c r="BC180">
        <f t="shared" si="143"/>
        <v>0</v>
      </c>
      <c r="BD180">
        <f t="shared" si="144"/>
        <v>0</v>
      </c>
      <c r="BE180">
        <f t="shared" si="145"/>
        <v>0</v>
      </c>
      <c r="BF180">
        <f t="shared" si="146"/>
        <v>0</v>
      </c>
      <c r="BG180">
        <f t="shared" si="147"/>
        <v>0</v>
      </c>
      <c r="BH180">
        <f t="shared" si="148"/>
        <v>0</v>
      </c>
      <c r="BI180">
        <f t="shared" si="149"/>
        <v>0</v>
      </c>
      <c r="BJ180">
        <v>0</v>
      </c>
      <c r="BK180" t="str">
        <f t="shared" si="163"/>
        <v>Standard Win</v>
      </c>
      <c r="BL180" s="40" t="str">
        <f t="shared" si="164"/>
        <v>Combo Win</v>
      </c>
      <c r="BM180">
        <f>(D180/Frequency!$N$7-Summary!$C$7)^2*E180</f>
        <v>255.38000000000008</v>
      </c>
      <c r="BN180">
        <f t="shared" si="150"/>
        <v>0</v>
      </c>
      <c r="BO180">
        <f t="shared" si="151"/>
        <v>0</v>
      </c>
      <c r="BP180">
        <f t="shared" si="152"/>
        <v>0</v>
      </c>
      <c r="BQ180">
        <f t="shared" si="153"/>
        <v>0</v>
      </c>
      <c r="BR180">
        <f t="shared" si="154"/>
        <v>0</v>
      </c>
      <c r="BS180">
        <f t="shared" si="155"/>
        <v>0</v>
      </c>
      <c r="BT180">
        <f t="shared" si="156"/>
        <v>0</v>
      </c>
      <c r="BU180">
        <f t="shared" si="157"/>
        <v>0</v>
      </c>
      <c r="BV180">
        <f t="shared" si="158"/>
        <v>0</v>
      </c>
      <c r="BW180">
        <f t="shared" si="159"/>
        <v>0</v>
      </c>
      <c r="BX180">
        <f t="shared" si="160"/>
        <v>0</v>
      </c>
    </row>
    <row r="181" spans="2:76">
      <c r="B181" s="19">
        <f>Tiers!B182</f>
        <v>179</v>
      </c>
      <c r="C181" s="20" t="str">
        <f>Tiers!X182</f>
        <v>main-4|wild-19||||||||</v>
      </c>
      <c r="D181" s="21">
        <f>Tiers!C182</f>
        <v>7</v>
      </c>
      <c r="E181" s="22">
        <f>Frequency!E183</f>
        <v>18</v>
      </c>
      <c r="F181" s="22">
        <f t="shared" si="110"/>
        <v>126</v>
      </c>
      <c r="G181" s="20">
        <f>IF(AND(D181/Summary!$C$4&gt;0, D181/Summary!$C$4&lt;5),E181,0) * D181</f>
        <v>0</v>
      </c>
      <c r="H181" s="20">
        <f>IF(AND(D181/Summary!$C$4&gt;= 5, D181/Summary!$C$4&lt;10),E181,0) * D181</f>
        <v>126</v>
      </c>
      <c r="I181" s="20">
        <f>IF(AND(D181/Summary!$C$4&gt;=10, D181/Summary!$C$4&lt;25),E181,0)*D181</f>
        <v>0</v>
      </c>
      <c r="J181" s="20">
        <f>IF(D181/Summary!$C$4&gt;=25,E181,0)*D181</f>
        <v>0</v>
      </c>
      <c r="K181" s="35">
        <f>IF(AND(D181/Frequency!$N$7&gt;0, D181/Frequency!$N$7&lt;1),E181,0)</f>
        <v>0</v>
      </c>
      <c r="L181" s="35">
        <f t="shared" si="111"/>
        <v>0</v>
      </c>
      <c r="M181" s="35">
        <f>IF(D181/Frequency!$N$7=1,1,0)*E181</f>
        <v>0</v>
      </c>
      <c r="N181" s="35">
        <f t="shared" si="112"/>
        <v>0</v>
      </c>
      <c r="O181" s="35">
        <f>IF(AND(D181/Frequency!$N$7&gt;1, D181/Frequency!$N$7&lt;=2),1,0)*E181</f>
        <v>0</v>
      </c>
      <c r="P181" s="35">
        <f t="shared" si="113"/>
        <v>0</v>
      </c>
      <c r="Q181" s="35">
        <f>IF(AND(D181/Frequency!$N$7&gt;2,D181/Frequency!$N$7&lt;=5),1,0)*E181</f>
        <v>0</v>
      </c>
      <c r="R181" s="35">
        <f t="shared" si="114"/>
        <v>0</v>
      </c>
      <c r="S181" s="35">
        <f>IF(AND(D181/Frequency!$N$7&gt;5, D181/Frequency!$N$7&lt;=10),1,0)*E181</f>
        <v>18</v>
      </c>
      <c r="T181" s="35">
        <f t="shared" si="115"/>
        <v>126</v>
      </c>
      <c r="U181" s="35">
        <f>IF(AND(D181/Frequency!$N$7&gt;10, D181/Frequency!$N$7&lt;=20),1,0)*E181</f>
        <v>0</v>
      </c>
      <c r="V181" s="35">
        <f t="shared" si="116"/>
        <v>0</v>
      </c>
      <c r="W181" s="35">
        <f>IF(AND(D181/Frequency!$N$7&gt;20, D181/Frequency!$N$7&lt;=30),1,0)*E181</f>
        <v>0</v>
      </c>
      <c r="X181" s="35">
        <f t="shared" si="117"/>
        <v>0</v>
      </c>
      <c r="Y181" s="35">
        <f>IF(AND(D181/Frequency!$N$7&gt;30, D181/Frequency!$N$7&lt;=50),1,0)*E181</f>
        <v>0</v>
      </c>
      <c r="Z181" s="35">
        <f t="shared" si="118"/>
        <v>0</v>
      </c>
      <c r="AA181" s="35">
        <f>IF(AND(D181/Frequency!$N$7&gt;50, D181/Frequency!$N$7&lt;=100),1,0)*E181</f>
        <v>0</v>
      </c>
      <c r="AB181" s="35">
        <f t="shared" si="119"/>
        <v>0</v>
      </c>
      <c r="AC181" s="35">
        <f>IF(D181/Frequency!$N$7&gt;100,1,0)*E181</f>
        <v>0</v>
      </c>
      <c r="AD181" s="35">
        <f t="shared" si="120"/>
        <v>0</v>
      </c>
      <c r="AE181" s="22">
        <f t="shared" si="121"/>
        <v>0</v>
      </c>
      <c r="AF181" s="22">
        <f t="shared" si="122"/>
        <v>0</v>
      </c>
      <c r="AG181" s="22">
        <f t="shared" si="123"/>
        <v>0</v>
      </c>
      <c r="AH181" s="22">
        <f t="shared" si="124"/>
        <v>0</v>
      </c>
      <c r="AI181" s="35">
        <f t="shared" si="125"/>
        <v>1</v>
      </c>
      <c r="AJ181" s="35">
        <f t="shared" si="126"/>
        <v>18</v>
      </c>
      <c r="AK181" s="35">
        <f t="shared" si="127"/>
        <v>126</v>
      </c>
      <c r="AL181">
        <f t="shared" si="128"/>
        <v>1</v>
      </c>
      <c r="AM181">
        <f t="shared" si="129"/>
        <v>18</v>
      </c>
      <c r="AN181">
        <f t="shared" si="130"/>
        <v>126</v>
      </c>
      <c r="AO181">
        <f t="shared" si="131"/>
        <v>1</v>
      </c>
      <c r="AP181">
        <f t="shared" si="132"/>
        <v>18</v>
      </c>
      <c r="AQ181">
        <f t="shared" si="133"/>
        <v>126</v>
      </c>
      <c r="AR181">
        <f t="shared" si="134"/>
        <v>0</v>
      </c>
      <c r="AS181">
        <f t="shared" si="135"/>
        <v>0</v>
      </c>
      <c r="AT181">
        <f t="shared" si="136"/>
        <v>0</v>
      </c>
      <c r="AU181">
        <f t="shared" si="137"/>
        <v>0</v>
      </c>
      <c r="AV181">
        <v>0</v>
      </c>
      <c r="AW181">
        <v>0</v>
      </c>
      <c r="AX181">
        <f t="shared" si="138"/>
        <v>0</v>
      </c>
      <c r="AY181">
        <f t="shared" si="139"/>
        <v>0</v>
      </c>
      <c r="AZ181">
        <f t="shared" si="140"/>
        <v>0</v>
      </c>
      <c r="BA181">
        <f t="shared" si="141"/>
        <v>0</v>
      </c>
      <c r="BB181">
        <f t="shared" si="142"/>
        <v>0</v>
      </c>
      <c r="BC181">
        <f t="shared" si="143"/>
        <v>0</v>
      </c>
      <c r="BD181">
        <f t="shared" si="144"/>
        <v>0</v>
      </c>
      <c r="BE181">
        <f t="shared" si="145"/>
        <v>0</v>
      </c>
      <c r="BF181">
        <f t="shared" si="146"/>
        <v>0</v>
      </c>
      <c r="BG181">
        <f t="shared" si="147"/>
        <v>0</v>
      </c>
      <c r="BH181">
        <f t="shared" si="148"/>
        <v>0</v>
      </c>
      <c r="BI181">
        <f t="shared" si="149"/>
        <v>0</v>
      </c>
      <c r="BJ181">
        <v>0</v>
      </c>
      <c r="BK181" t="str">
        <f t="shared" si="163"/>
        <v>Standard Win</v>
      </c>
      <c r="BL181" s="40" t="str">
        <f t="shared" si="164"/>
        <v>Combo Win</v>
      </c>
      <c r="BM181">
        <f>(D181/Frequency!$N$7-Summary!$C$7)^2*E181</f>
        <v>683.02080000000001</v>
      </c>
      <c r="BN181">
        <f t="shared" si="150"/>
        <v>0</v>
      </c>
      <c r="BO181">
        <f t="shared" si="151"/>
        <v>0</v>
      </c>
      <c r="BP181">
        <f t="shared" si="152"/>
        <v>0</v>
      </c>
      <c r="BQ181">
        <f t="shared" si="153"/>
        <v>0</v>
      </c>
      <c r="BR181">
        <f t="shared" si="154"/>
        <v>0</v>
      </c>
      <c r="BS181">
        <f t="shared" si="155"/>
        <v>0</v>
      </c>
      <c r="BT181">
        <f t="shared" si="156"/>
        <v>0</v>
      </c>
      <c r="BU181">
        <f t="shared" si="157"/>
        <v>0</v>
      </c>
      <c r="BV181">
        <f t="shared" si="158"/>
        <v>0</v>
      </c>
      <c r="BW181">
        <f t="shared" si="159"/>
        <v>0</v>
      </c>
      <c r="BX181">
        <f t="shared" si="160"/>
        <v>0</v>
      </c>
    </row>
    <row r="182" spans="2:76">
      <c r="B182" s="19">
        <f>Tiers!B183</f>
        <v>180</v>
      </c>
      <c r="C182" s="20" t="str">
        <f>Tiers!X183</f>
        <v>main-3|wild-20||||||||</v>
      </c>
      <c r="D182" s="21">
        <f>Tiers!C183</f>
        <v>11</v>
      </c>
      <c r="E182" s="22">
        <f>Frequency!E184</f>
        <v>18</v>
      </c>
      <c r="F182" s="22">
        <f t="shared" si="110"/>
        <v>198</v>
      </c>
      <c r="G182" s="20">
        <f>IF(AND(D182/Summary!$C$4&gt;0, D182/Summary!$C$4&lt;5),E182,0) * D182</f>
        <v>0</v>
      </c>
      <c r="H182" s="20">
        <f>IF(AND(D182/Summary!$C$4&gt;= 5, D182/Summary!$C$4&lt;10),E182,0) * D182</f>
        <v>0</v>
      </c>
      <c r="I182" s="20">
        <f>IF(AND(D182/Summary!$C$4&gt;=10, D182/Summary!$C$4&lt;25),E182,0)*D182</f>
        <v>198</v>
      </c>
      <c r="J182" s="20">
        <f>IF(D182/Summary!$C$4&gt;=25,E182,0)*D182</f>
        <v>0</v>
      </c>
      <c r="K182" s="35">
        <f>IF(AND(D182/Frequency!$N$7&gt;0, D182/Frequency!$N$7&lt;1),E182,0)</f>
        <v>0</v>
      </c>
      <c r="L182" s="35">
        <f t="shared" si="111"/>
        <v>0</v>
      </c>
      <c r="M182" s="35">
        <f>IF(D182/Frequency!$N$7=1,1,0)*E182</f>
        <v>0</v>
      </c>
      <c r="N182" s="35">
        <f t="shared" si="112"/>
        <v>0</v>
      </c>
      <c r="O182" s="35">
        <f>IF(AND(D182/Frequency!$N$7&gt;1, D182/Frequency!$N$7&lt;=2),1,0)*E182</f>
        <v>0</v>
      </c>
      <c r="P182" s="35">
        <f t="shared" si="113"/>
        <v>0</v>
      </c>
      <c r="Q182" s="35">
        <f>IF(AND(D182/Frequency!$N$7&gt;2,D182/Frequency!$N$7&lt;=5),1,0)*E182</f>
        <v>0</v>
      </c>
      <c r="R182" s="35">
        <f t="shared" si="114"/>
        <v>0</v>
      </c>
      <c r="S182" s="35">
        <f>IF(AND(D182/Frequency!$N$7&gt;5, D182/Frequency!$N$7&lt;=10),1,0)*E182</f>
        <v>0</v>
      </c>
      <c r="T182" s="35">
        <f t="shared" si="115"/>
        <v>0</v>
      </c>
      <c r="U182" s="35">
        <f>IF(AND(D182/Frequency!$N$7&gt;10, D182/Frequency!$N$7&lt;=20),1,0)*E182</f>
        <v>18</v>
      </c>
      <c r="V182" s="35">
        <f t="shared" si="116"/>
        <v>198</v>
      </c>
      <c r="W182" s="35">
        <f>IF(AND(D182/Frequency!$N$7&gt;20, D182/Frequency!$N$7&lt;=30),1,0)*E182</f>
        <v>0</v>
      </c>
      <c r="X182" s="35">
        <f t="shared" si="117"/>
        <v>0</v>
      </c>
      <c r="Y182" s="35">
        <f>IF(AND(D182/Frequency!$N$7&gt;30, D182/Frequency!$N$7&lt;=50),1,0)*E182</f>
        <v>0</v>
      </c>
      <c r="Z182" s="35">
        <f t="shared" si="118"/>
        <v>0</v>
      </c>
      <c r="AA182" s="35">
        <f>IF(AND(D182/Frequency!$N$7&gt;50, D182/Frequency!$N$7&lt;=100),1,0)*E182</f>
        <v>0</v>
      </c>
      <c r="AB182" s="35">
        <f t="shared" si="119"/>
        <v>0</v>
      </c>
      <c r="AC182" s="35">
        <f>IF(D182/Frequency!$N$7&gt;100,1,0)*E182</f>
        <v>0</v>
      </c>
      <c r="AD182" s="35">
        <f t="shared" si="120"/>
        <v>0</v>
      </c>
      <c r="AE182" s="22">
        <f t="shared" si="121"/>
        <v>0</v>
      </c>
      <c r="AF182" s="22">
        <f t="shared" si="122"/>
        <v>0</v>
      </c>
      <c r="AG182" s="22">
        <f t="shared" si="123"/>
        <v>0</v>
      </c>
      <c r="AH182" s="22">
        <f t="shared" si="124"/>
        <v>0</v>
      </c>
      <c r="AI182" s="35">
        <f t="shared" si="125"/>
        <v>1</v>
      </c>
      <c r="AJ182" s="35">
        <f t="shared" si="126"/>
        <v>18</v>
      </c>
      <c r="AK182" s="35">
        <f t="shared" si="127"/>
        <v>198</v>
      </c>
      <c r="AL182">
        <f t="shared" si="128"/>
        <v>1</v>
      </c>
      <c r="AM182">
        <f t="shared" si="129"/>
        <v>18</v>
      </c>
      <c r="AN182">
        <f t="shared" si="130"/>
        <v>198</v>
      </c>
      <c r="AO182">
        <f t="shared" si="131"/>
        <v>1</v>
      </c>
      <c r="AP182">
        <f t="shared" si="132"/>
        <v>18</v>
      </c>
      <c r="AQ182">
        <f t="shared" si="133"/>
        <v>198</v>
      </c>
      <c r="AR182">
        <f t="shared" si="134"/>
        <v>0</v>
      </c>
      <c r="AS182">
        <f t="shared" si="135"/>
        <v>0</v>
      </c>
      <c r="AT182">
        <f t="shared" si="136"/>
        <v>0</v>
      </c>
      <c r="AU182">
        <f t="shared" si="137"/>
        <v>0</v>
      </c>
      <c r="AV182">
        <v>0</v>
      </c>
      <c r="AW182">
        <v>0</v>
      </c>
      <c r="AX182">
        <f t="shared" si="138"/>
        <v>0</v>
      </c>
      <c r="AY182">
        <f t="shared" si="139"/>
        <v>0</v>
      </c>
      <c r="AZ182">
        <f t="shared" si="140"/>
        <v>0</v>
      </c>
      <c r="BA182">
        <f t="shared" si="141"/>
        <v>0</v>
      </c>
      <c r="BB182">
        <f t="shared" si="142"/>
        <v>0</v>
      </c>
      <c r="BC182">
        <f t="shared" si="143"/>
        <v>0</v>
      </c>
      <c r="BD182">
        <f t="shared" si="144"/>
        <v>0</v>
      </c>
      <c r="BE182">
        <f t="shared" si="145"/>
        <v>0</v>
      </c>
      <c r="BF182">
        <f t="shared" si="146"/>
        <v>0</v>
      </c>
      <c r="BG182">
        <f t="shared" si="147"/>
        <v>0</v>
      </c>
      <c r="BH182">
        <f t="shared" si="148"/>
        <v>0</v>
      </c>
      <c r="BI182">
        <f t="shared" si="149"/>
        <v>0</v>
      </c>
      <c r="BJ182">
        <v>0</v>
      </c>
      <c r="BK182" t="str">
        <f t="shared" si="163"/>
        <v>Big Win</v>
      </c>
      <c r="BL182" s="40" t="str">
        <f t="shared" si="164"/>
        <v>Combo Win</v>
      </c>
      <c r="BM182">
        <f>(D182/Frequency!$N$7-Summary!$C$7)^2*E182</f>
        <v>1858.0608</v>
      </c>
      <c r="BN182">
        <f t="shared" si="150"/>
        <v>0</v>
      </c>
      <c r="BO182">
        <f t="shared" si="151"/>
        <v>0</v>
      </c>
      <c r="BP182">
        <f t="shared" si="152"/>
        <v>0</v>
      </c>
      <c r="BQ182">
        <f t="shared" si="153"/>
        <v>0</v>
      </c>
      <c r="BR182">
        <f t="shared" si="154"/>
        <v>0</v>
      </c>
      <c r="BS182">
        <f t="shared" si="155"/>
        <v>0</v>
      </c>
      <c r="BT182">
        <f t="shared" si="156"/>
        <v>0</v>
      </c>
      <c r="BU182">
        <f t="shared" si="157"/>
        <v>0</v>
      </c>
      <c r="BV182">
        <f t="shared" si="158"/>
        <v>0</v>
      </c>
      <c r="BW182">
        <f t="shared" si="159"/>
        <v>0</v>
      </c>
      <c r="BX182">
        <f t="shared" si="160"/>
        <v>0</v>
      </c>
    </row>
    <row r="183" spans="2:76">
      <c r="B183" s="19">
        <f>Tiers!B184</f>
        <v>181</v>
      </c>
      <c r="C183" s="20" t="str">
        <f>Tiers!X184</f>
        <v>main-4|wild-21||||||||</v>
      </c>
      <c r="D183" s="21">
        <f>Tiers!C184</f>
        <v>22</v>
      </c>
      <c r="E183" s="22">
        <f>Frequency!E185</f>
        <v>50</v>
      </c>
      <c r="F183" s="22">
        <f t="shared" si="110"/>
        <v>1100</v>
      </c>
      <c r="G183" s="20">
        <f>IF(AND(D183/Summary!$C$4&gt;0, D183/Summary!$C$4&lt;5),E183,0) * D183</f>
        <v>0</v>
      </c>
      <c r="H183" s="20">
        <f>IF(AND(D183/Summary!$C$4&gt;= 5, D183/Summary!$C$4&lt;10),E183,0) * D183</f>
        <v>0</v>
      </c>
      <c r="I183" s="20">
        <f>IF(AND(D183/Summary!$C$4&gt;=10, D183/Summary!$C$4&lt;25),E183,0)*D183</f>
        <v>1100</v>
      </c>
      <c r="J183" s="20">
        <f>IF(D183/Summary!$C$4&gt;=25,E183,0)*D183</f>
        <v>0</v>
      </c>
      <c r="K183" s="35">
        <f>IF(AND(D183/Frequency!$N$7&gt;0, D183/Frequency!$N$7&lt;1),E183,0)</f>
        <v>0</v>
      </c>
      <c r="L183" s="35">
        <f t="shared" si="111"/>
        <v>0</v>
      </c>
      <c r="M183" s="35">
        <f>IF(D183/Frequency!$N$7=1,1,0)*E183</f>
        <v>0</v>
      </c>
      <c r="N183" s="35">
        <f t="shared" si="112"/>
        <v>0</v>
      </c>
      <c r="O183" s="35">
        <f>IF(AND(D183/Frequency!$N$7&gt;1, D183/Frequency!$N$7&lt;=2),1,0)*E183</f>
        <v>0</v>
      </c>
      <c r="P183" s="35">
        <f t="shared" si="113"/>
        <v>0</v>
      </c>
      <c r="Q183" s="35">
        <f>IF(AND(D183/Frequency!$N$7&gt;2,D183/Frequency!$N$7&lt;=5),1,0)*E183</f>
        <v>0</v>
      </c>
      <c r="R183" s="35">
        <f t="shared" si="114"/>
        <v>0</v>
      </c>
      <c r="S183" s="35">
        <f>IF(AND(D183/Frequency!$N$7&gt;5, D183/Frequency!$N$7&lt;=10),1,0)*E183</f>
        <v>0</v>
      </c>
      <c r="T183" s="35">
        <f t="shared" si="115"/>
        <v>0</v>
      </c>
      <c r="U183" s="35">
        <f>IF(AND(D183/Frequency!$N$7&gt;10, D183/Frequency!$N$7&lt;=20),1,0)*E183</f>
        <v>0</v>
      </c>
      <c r="V183" s="35">
        <f t="shared" si="116"/>
        <v>0</v>
      </c>
      <c r="W183" s="35">
        <f>IF(AND(D183/Frequency!$N$7&gt;20, D183/Frequency!$N$7&lt;=30),1,0)*E183</f>
        <v>50</v>
      </c>
      <c r="X183" s="35">
        <f t="shared" si="117"/>
        <v>1100</v>
      </c>
      <c r="Y183" s="35">
        <f>IF(AND(D183/Frequency!$N$7&gt;30, D183/Frequency!$N$7&lt;=50),1,0)*E183</f>
        <v>0</v>
      </c>
      <c r="Z183" s="35">
        <f t="shared" si="118"/>
        <v>0</v>
      </c>
      <c r="AA183" s="35">
        <f>IF(AND(D183/Frequency!$N$7&gt;50, D183/Frequency!$N$7&lt;=100),1,0)*E183</f>
        <v>0</v>
      </c>
      <c r="AB183" s="35">
        <f t="shared" si="119"/>
        <v>0</v>
      </c>
      <c r="AC183" s="35">
        <f>IF(D183/Frequency!$N$7&gt;100,1,0)*E183</f>
        <v>0</v>
      </c>
      <c r="AD183" s="35">
        <f t="shared" si="120"/>
        <v>0</v>
      </c>
      <c r="AE183" s="22">
        <f t="shared" si="121"/>
        <v>0</v>
      </c>
      <c r="AF183" s="22">
        <f t="shared" si="122"/>
        <v>0</v>
      </c>
      <c r="AG183" s="22">
        <f t="shared" si="123"/>
        <v>0</v>
      </c>
      <c r="AH183" s="22">
        <f t="shared" si="124"/>
        <v>0</v>
      </c>
      <c r="AI183" s="35">
        <f t="shared" si="125"/>
        <v>1</v>
      </c>
      <c r="AJ183" s="35">
        <f t="shared" si="126"/>
        <v>50</v>
      </c>
      <c r="AK183" s="35">
        <f t="shared" si="127"/>
        <v>1100</v>
      </c>
      <c r="AL183">
        <f t="shared" si="128"/>
        <v>1</v>
      </c>
      <c r="AM183">
        <f t="shared" si="129"/>
        <v>50</v>
      </c>
      <c r="AN183">
        <f t="shared" si="130"/>
        <v>1100</v>
      </c>
      <c r="AO183">
        <f t="shared" si="131"/>
        <v>1</v>
      </c>
      <c r="AP183">
        <f t="shared" si="132"/>
        <v>50</v>
      </c>
      <c r="AQ183">
        <f t="shared" si="133"/>
        <v>1100</v>
      </c>
      <c r="AR183">
        <f t="shared" si="134"/>
        <v>0</v>
      </c>
      <c r="AS183">
        <f t="shared" si="135"/>
        <v>0</v>
      </c>
      <c r="AT183">
        <f t="shared" si="136"/>
        <v>0</v>
      </c>
      <c r="AU183">
        <f t="shared" si="137"/>
        <v>0</v>
      </c>
      <c r="AV183">
        <v>0</v>
      </c>
      <c r="AW183">
        <v>0</v>
      </c>
      <c r="AX183">
        <f t="shared" si="138"/>
        <v>0</v>
      </c>
      <c r="AY183">
        <f t="shared" si="139"/>
        <v>0</v>
      </c>
      <c r="AZ183">
        <f t="shared" si="140"/>
        <v>0</v>
      </c>
      <c r="BA183">
        <f t="shared" si="141"/>
        <v>0</v>
      </c>
      <c r="BB183">
        <f t="shared" si="142"/>
        <v>0</v>
      </c>
      <c r="BC183">
        <f t="shared" si="143"/>
        <v>0</v>
      </c>
      <c r="BD183">
        <f t="shared" si="144"/>
        <v>0</v>
      </c>
      <c r="BE183">
        <f t="shared" si="145"/>
        <v>0</v>
      </c>
      <c r="BF183">
        <f t="shared" si="146"/>
        <v>0</v>
      </c>
      <c r="BG183">
        <f t="shared" si="147"/>
        <v>0</v>
      </c>
      <c r="BH183">
        <f t="shared" si="148"/>
        <v>0</v>
      </c>
      <c r="BI183">
        <f t="shared" si="149"/>
        <v>0</v>
      </c>
      <c r="BJ183">
        <v>0</v>
      </c>
      <c r="BK183" t="str">
        <f t="shared" si="163"/>
        <v>Big Win</v>
      </c>
      <c r="BL183" s="40" t="str">
        <f t="shared" si="164"/>
        <v>Combo Win</v>
      </c>
      <c r="BM183">
        <f>(D183/Frequency!$N$7-Summary!$C$7)^2*E183</f>
        <v>22387.280000000002</v>
      </c>
      <c r="BN183">
        <f t="shared" si="150"/>
        <v>0</v>
      </c>
      <c r="BO183">
        <f t="shared" si="151"/>
        <v>0</v>
      </c>
      <c r="BP183">
        <f t="shared" si="152"/>
        <v>0</v>
      </c>
      <c r="BQ183">
        <f t="shared" si="153"/>
        <v>0</v>
      </c>
      <c r="BR183">
        <f t="shared" si="154"/>
        <v>0</v>
      </c>
      <c r="BS183">
        <f t="shared" si="155"/>
        <v>0</v>
      </c>
      <c r="BT183">
        <f t="shared" si="156"/>
        <v>0</v>
      </c>
      <c r="BU183">
        <f t="shared" si="157"/>
        <v>0</v>
      </c>
      <c r="BV183">
        <f t="shared" si="158"/>
        <v>0</v>
      </c>
      <c r="BW183">
        <f t="shared" si="159"/>
        <v>0</v>
      </c>
      <c r="BX183">
        <f t="shared" si="160"/>
        <v>0</v>
      </c>
    </row>
    <row r="184" spans="2:76">
      <c r="B184" s="19">
        <f>Tiers!B185</f>
        <v>182</v>
      </c>
      <c r="C184" s="20" t="str">
        <f>Tiers!X185</f>
        <v>main-0|main-0|wild-2|||||||</v>
      </c>
      <c r="D184" s="21">
        <f>Tiers!C185</f>
        <v>0.7</v>
      </c>
      <c r="E184" s="22">
        <f>Frequency!E186</f>
        <v>100</v>
      </c>
      <c r="F184" s="22">
        <f t="shared" si="110"/>
        <v>70</v>
      </c>
      <c r="G184" s="20">
        <f>IF(AND(D184/Summary!$C$4&gt;0, D184/Summary!$C$4&lt;5),E184,0) * D184</f>
        <v>70</v>
      </c>
      <c r="H184" s="20">
        <f>IF(AND(D184/Summary!$C$4&gt;= 5, D184/Summary!$C$4&lt;10),E184,0) * D184</f>
        <v>0</v>
      </c>
      <c r="I184" s="20">
        <f>IF(AND(D184/Summary!$C$4&gt;=10, D184/Summary!$C$4&lt;25),E184,0)*D184</f>
        <v>0</v>
      </c>
      <c r="J184" s="20">
        <f>IF(D184/Summary!$C$4&gt;=25,E184,0)*D184</f>
        <v>0</v>
      </c>
      <c r="K184" s="35">
        <f>IF(AND(D184/Frequency!$N$7&gt;0, D184/Frequency!$N$7&lt;1),E184,0)</f>
        <v>100</v>
      </c>
      <c r="L184" s="35">
        <f t="shared" si="111"/>
        <v>70</v>
      </c>
      <c r="M184" s="35">
        <f>IF(D184/Frequency!$N$7=1,1,0)*E184</f>
        <v>0</v>
      </c>
      <c r="N184" s="35">
        <f t="shared" si="112"/>
        <v>0</v>
      </c>
      <c r="O184" s="35">
        <f>IF(AND(D184/Frequency!$N$7&gt;1, D184/Frequency!$N$7&lt;=2),1,0)*E184</f>
        <v>0</v>
      </c>
      <c r="P184" s="35">
        <f t="shared" si="113"/>
        <v>0</v>
      </c>
      <c r="Q184" s="35">
        <f>IF(AND(D184/Frequency!$N$7&gt;2,D184/Frequency!$N$7&lt;=5),1,0)*E184</f>
        <v>0</v>
      </c>
      <c r="R184" s="35">
        <f t="shared" si="114"/>
        <v>0</v>
      </c>
      <c r="S184" s="35">
        <f>IF(AND(D184/Frequency!$N$7&gt;5, D184/Frequency!$N$7&lt;=10),1,0)*E184</f>
        <v>0</v>
      </c>
      <c r="T184" s="35">
        <f t="shared" si="115"/>
        <v>0</v>
      </c>
      <c r="U184" s="35">
        <f>IF(AND(D184/Frequency!$N$7&gt;10, D184/Frequency!$N$7&lt;=20),1,0)*E184</f>
        <v>0</v>
      </c>
      <c r="V184" s="35">
        <f t="shared" si="116"/>
        <v>0</v>
      </c>
      <c r="W184" s="35">
        <f>IF(AND(D184/Frequency!$N$7&gt;20, D184/Frequency!$N$7&lt;=30),1,0)*E184</f>
        <v>0</v>
      </c>
      <c r="X184" s="35">
        <f t="shared" si="117"/>
        <v>0</v>
      </c>
      <c r="Y184" s="35">
        <f>IF(AND(D184/Frequency!$N$7&gt;30, D184/Frequency!$N$7&lt;=50),1,0)*E184</f>
        <v>0</v>
      </c>
      <c r="Z184" s="35">
        <f t="shared" si="118"/>
        <v>0</v>
      </c>
      <c r="AA184" s="35">
        <f>IF(AND(D184/Frequency!$N$7&gt;50, D184/Frequency!$N$7&lt;=100),1,0)*E184</f>
        <v>0</v>
      </c>
      <c r="AB184" s="35">
        <f t="shared" si="119"/>
        <v>0</v>
      </c>
      <c r="AC184" s="35">
        <f>IF(D184/Frequency!$N$7&gt;100,1,0)*E184</f>
        <v>0</v>
      </c>
      <c r="AD184" s="35">
        <f t="shared" si="120"/>
        <v>0</v>
      </c>
      <c r="AE184" s="22">
        <f t="shared" si="121"/>
        <v>0</v>
      </c>
      <c r="AF184" s="22">
        <f t="shared" si="122"/>
        <v>0</v>
      </c>
      <c r="AG184" s="22">
        <f t="shared" si="123"/>
        <v>0</v>
      </c>
      <c r="AH184" s="22">
        <f t="shared" si="124"/>
        <v>0</v>
      </c>
      <c r="AI184" s="35">
        <f t="shared" si="125"/>
        <v>1</v>
      </c>
      <c r="AJ184" s="35">
        <f t="shared" si="126"/>
        <v>100</v>
      </c>
      <c r="AK184" s="35">
        <f t="shared" si="127"/>
        <v>70</v>
      </c>
      <c r="AL184">
        <f t="shared" si="128"/>
        <v>1</v>
      </c>
      <c r="AM184">
        <f t="shared" si="129"/>
        <v>100</v>
      </c>
      <c r="AN184">
        <f t="shared" si="130"/>
        <v>70</v>
      </c>
      <c r="AO184">
        <f t="shared" si="131"/>
        <v>1</v>
      </c>
      <c r="AP184">
        <f t="shared" si="132"/>
        <v>100</v>
      </c>
      <c r="AQ184">
        <f t="shared" si="133"/>
        <v>70</v>
      </c>
      <c r="AR184">
        <f t="shared" si="134"/>
        <v>0</v>
      </c>
      <c r="AS184">
        <f t="shared" si="135"/>
        <v>0</v>
      </c>
      <c r="AT184">
        <f t="shared" si="136"/>
        <v>0</v>
      </c>
      <c r="AU184">
        <f t="shared" si="137"/>
        <v>0</v>
      </c>
      <c r="AV184">
        <v>0</v>
      </c>
      <c r="AW184">
        <v>0</v>
      </c>
      <c r="AX184">
        <f t="shared" si="138"/>
        <v>0</v>
      </c>
      <c r="AY184">
        <f t="shared" si="139"/>
        <v>0</v>
      </c>
      <c r="AZ184">
        <f t="shared" si="140"/>
        <v>0</v>
      </c>
      <c r="BA184">
        <f t="shared" si="141"/>
        <v>0</v>
      </c>
      <c r="BB184">
        <f t="shared" si="142"/>
        <v>0</v>
      </c>
      <c r="BC184">
        <f t="shared" si="143"/>
        <v>0</v>
      </c>
      <c r="BD184">
        <f t="shared" si="144"/>
        <v>0</v>
      </c>
      <c r="BE184">
        <f t="shared" si="145"/>
        <v>0</v>
      </c>
      <c r="BF184">
        <f t="shared" si="146"/>
        <v>0</v>
      </c>
      <c r="BG184">
        <f t="shared" si="147"/>
        <v>0</v>
      </c>
      <c r="BH184">
        <f t="shared" si="148"/>
        <v>0</v>
      </c>
      <c r="BI184">
        <f t="shared" si="149"/>
        <v>0</v>
      </c>
      <c r="BJ184">
        <v>0</v>
      </c>
      <c r="BK184" t="str">
        <f t="shared" si="163"/>
        <v>Less than Stake</v>
      </c>
      <c r="BL184" s="40" t="str">
        <f t="shared" si="164"/>
        <v>Combo Win</v>
      </c>
      <c r="BM184">
        <f>(D184/Frequency!$N$7-Summary!$C$7)^2*E184</f>
        <v>1.9600000000000002</v>
      </c>
      <c r="BN184">
        <f t="shared" si="150"/>
        <v>0</v>
      </c>
      <c r="BO184">
        <f t="shared" si="151"/>
        <v>0</v>
      </c>
      <c r="BP184">
        <f t="shared" si="152"/>
        <v>0</v>
      </c>
      <c r="BQ184">
        <f t="shared" si="153"/>
        <v>0</v>
      </c>
      <c r="BR184">
        <f t="shared" si="154"/>
        <v>0</v>
      </c>
      <c r="BS184">
        <f t="shared" si="155"/>
        <v>0</v>
      </c>
      <c r="BT184">
        <f t="shared" si="156"/>
        <v>0</v>
      </c>
      <c r="BU184">
        <f t="shared" si="157"/>
        <v>0</v>
      </c>
      <c r="BV184">
        <f t="shared" si="158"/>
        <v>0</v>
      </c>
      <c r="BW184">
        <f t="shared" si="159"/>
        <v>0</v>
      </c>
      <c r="BX184">
        <f t="shared" si="160"/>
        <v>0</v>
      </c>
    </row>
    <row r="185" spans="2:76">
      <c r="B185" s="19">
        <f>Tiers!B186</f>
        <v>183</v>
      </c>
      <c r="C185" s="20" t="str">
        <f>Tiers!X186</f>
        <v>main-0|main-1|wild-3|||||||</v>
      </c>
      <c r="D185" s="21">
        <f>Tiers!C186</f>
        <v>1.3</v>
      </c>
      <c r="E185" s="22">
        <f>Frequency!E187</f>
        <v>167</v>
      </c>
      <c r="F185" s="22">
        <f t="shared" si="110"/>
        <v>217.1</v>
      </c>
      <c r="G185" s="20">
        <f>IF(AND(D185/Summary!$C$4&gt;0, D185/Summary!$C$4&lt;5),E185,0) * D185</f>
        <v>217.1</v>
      </c>
      <c r="H185" s="20">
        <f>IF(AND(D185/Summary!$C$4&gt;= 5, D185/Summary!$C$4&lt;10),E185,0) * D185</f>
        <v>0</v>
      </c>
      <c r="I185" s="20">
        <f>IF(AND(D185/Summary!$C$4&gt;=10, D185/Summary!$C$4&lt;25),E185,0)*D185</f>
        <v>0</v>
      </c>
      <c r="J185" s="20">
        <f>IF(D185/Summary!$C$4&gt;=25,E185,0)*D185</f>
        <v>0</v>
      </c>
      <c r="K185" s="35">
        <f>IF(AND(D185/Frequency!$N$7&gt;0, D185/Frequency!$N$7&lt;1),E185,0)</f>
        <v>0</v>
      </c>
      <c r="L185" s="35">
        <f t="shared" si="111"/>
        <v>0</v>
      </c>
      <c r="M185" s="35">
        <f>IF(D185/Frequency!$N$7=1,1,0)*E185</f>
        <v>0</v>
      </c>
      <c r="N185" s="35">
        <f t="shared" si="112"/>
        <v>0</v>
      </c>
      <c r="O185" s="35">
        <f>IF(AND(D185/Frequency!$N$7&gt;1, D185/Frequency!$N$7&lt;=2),1,0)*E185</f>
        <v>167</v>
      </c>
      <c r="P185" s="35">
        <f t="shared" si="113"/>
        <v>217.1</v>
      </c>
      <c r="Q185" s="35">
        <f>IF(AND(D185/Frequency!$N$7&gt;2,D185/Frequency!$N$7&lt;=5),1,0)*E185</f>
        <v>0</v>
      </c>
      <c r="R185" s="35">
        <f t="shared" si="114"/>
        <v>0</v>
      </c>
      <c r="S185" s="35">
        <f>IF(AND(D185/Frequency!$N$7&gt;5, D185/Frequency!$N$7&lt;=10),1,0)*E185</f>
        <v>0</v>
      </c>
      <c r="T185" s="35">
        <f t="shared" si="115"/>
        <v>0</v>
      </c>
      <c r="U185" s="35">
        <f>IF(AND(D185/Frequency!$N$7&gt;10, D185/Frequency!$N$7&lt;=20),1,0)*E185</f>
        <v>0</v>
      </c>
      <c r="V185" s="35">
        <f t="shared" si="116"/>
        <v>0</v>
      </c>
      <c r="W185" s="35">
        <f>IF(AND(D185/Frequency!$N$7&gt;20, D185/Frequency!$N$7&lt;=30),1,0)*E185</f>
        <v>0</v>
      </c>
      <c r="X185" s="35">
        <f t="shared" si="117"/>
        <v>0</v>
      </c>
      <c r="Y185" s="35">
        <f>IF(AND(D185/Frequency!$N$7&gt;30, D185/Frequency!$N$7&lt;=50),1,0)*E185</f>
        <v>0</v>
      </c>
      <c r="Z185" s="35">
        <f t="shared" si="118"/>
        <v>0</v>
      </c>
      <c r="AA185" s="35">
        <f>IF(AND(D185/Frequency!$N$7&gt;50, D185/Frequency!$N$7&lt;=100),1,0)*E185</f>
        <v>0</v>
      </c>
      <c r="AB185" s="35">
        <f t="shared" si="119"/>
        <v>0</v>
      </c>
      <c r="AC185" s="35">
        <f>IF(D185/Frequency!$N$7&gt;100,1,0)*E185</f>
        <v>0</v>
      </c>
      <c r="AD185" s="35">
        <f t="shared" si="120"/>
        <v>0</v>
      </c>
      <c r="AE185" s="22">
        <f t="shared" si="121"/>
        <v>0</v>
      </c>
      <c r="AF185" s="22">
        <f t="shared" si="122"/>
        <v>0</v>
      </c>
      <c r="AG185" s="22">
        <f t="shared" si="123"/>
        <v>0</v>
      </c>
      <c r="AH185" s="22">
        <f t="shared" si="124"/>
        <v>0</v>
      </c>
      <c r="AI185" s="35">
        <f t="shared" si="125"/>
        <v>1</v>
      </c>
      <c r="AJ185" s="35">
        <f t="shared" si="126"/>
        <v>167</v>
      </c>
      <c r="AK185" s="35">
        <f t="shared" si="127"/>
        <v>217.1</v>
      </c>
      <c r="AL185">
        <f t="shared" si="128"/>
        <v>1</v>
      </c>
      <c r="AM185">
        <f t="shared" si="129"/>
        <v>167</v>
      </c>
      <c r="AN185">
        <f t="shared" si="130"/>
        <v>217.1</v>
      </c>
      <c r="AO185">
        <f t="shared" si="131"/>
        <v>1</v>
      </c>
      <c r="AP185">
        <f t="shared" si="132"/>
        <v>167</v>
      </c>
      <c r="AQ185">
        <f t="shared" si="133"/>
        <v>217.1</v>
      </c>
      <c r="AR185">
        <f t="shared" si="134"/>
        <v>0</v>
      </c>
      <c r="AS185">
        <f t="shared" si="135"/>
        <v>0</v>
      </c>
      <c r="AT185">
        <f t="shared" si="136"/>
        <v>0</v>
      </c>
      <c r="AU185">
        <f t="shared" si="137"/>
        <v>0</v>
      </c>
      <c r="AV185">
        <v>0</v>
      </c>
      <c r="AW185">
        <v>0</v>
      </c>
      <c r="AX185">
        <f t="shared" si="138"/>
        <v>0</v>
      </c>
      <c r="AY185">
        <f t="shared" si="139"/>
        <v>0</v>
      </c>
      <c r="AZ185">
        <f t="shared" si="140"/>
        <v>0</v>
      </c>
      <c r="BA185">
        <f t="shared" si="141"/>
        <v>0</v>
      </c>
      <c r="BB185">
        <f t="shared" si="142"/>
        <v>0</v>
      </c>
      <c r="BC185">
        <f t="shared" si="143"/>
        <v>0</v>
      </c>
      <c r="BD185">
        <f t="shared" si="144"/>
        <v>0</v>
      </c>
      <c r="BE185">
        <f t="shared" si="145"/>
        <v>0</v>
      </c>
      <c r="BF185">
        <f t="shared" si="146"/>
        <v>0</v>
      </c>
      <c r="BG185">
        <f t="shared" si="147"/>
        <v>0</v>
      </c>
      <c r="BH185">
        <f t="shared" si="148"/>
        <v>0</v>
      </c>
      <c r="BI185">
        <f t="shared" si="149"/>
        <v>0</v>
      </c>
      <c r="BJ185">
        <v>0</v>
      </c>
      <c r="BK185" t="str">
        <f t="shared" si="163"/>
        <v>Standard Win</v>
      </c>
      <c r="BL185" s="40" t="str">
        <f t="shared" si="164"/>
        <v>Combo Win</v>
      </c>
      <c r="BM185">
        <f>(D185/Frequency!$N$7-Summary!$C$7)^2*E185</f>
        <v>35.33720000000001</v>
      </c>
      <c r="BN185">
        <f t="shared" si="150"/>
        <v>0</v>
      </c>
      <c r="BO185">
        <f t="shared" si="151"/>
        <v>0</v>
      </c>
      <c r="BP185">
        <f t="shared" si="152"/>
        <v>0</v>
      </c>
      <c r="BQ185">
        <f t="shared" si="153"/>
        <v>0</v>
      </c>
      <c r="BR185">
        <f t="shared" si="154"/>
        <v>0</v>
      </c>
      <c r="BS185">
        <f t="shared" si="155"/>
        <v>0</v>
      </c>
      <c r="BT185">
        <f t="shared" si="156"/>
        <v>0</v>
      </c>
      <c r="BU185">
        <f t="shared" si="157"/>
        <v>0</v>
      </c>
      <c r="BV185">
        <f t="shared" si="158"/>
        <v>0</v>
      </c>
      <c r="BW185">
        <f t="shared" si="159"/>
        <v>0</v>
      </c>
      <c r="BX185">
        <f t="shared" si="160"/>
        <v>0</v>
      </c>
    </row>
    <row r="186" spans="2:76">
      <c r="B186" s="19">
        <f>Tiers!B187</f>
        <v>184</v>
      </c>
      <c r="C186" s="20" t="str">
        <f>Tiers!X187</f>
        <v>main-1|main-1|wild-4|||||||</v>
      </c>
      <c r="D186" s="21">
        <f>Tiers!C187</f>
        <v>2.4</v>
      </c>
      <c r="E186" s="22">
        <f>Frequency!E188</f>
        <v>84</v>
      </c>
      <c r="F186" s="22">
        <f t="shared" si="110"/>
        <v>201.6</v>
      </c>
      <c r="G186" s="20">
        <f>IF(AND(D186/Summary!$C$4&gt;0, D186/Summary!$C$4&lt;5),E186,0) * D186</f>
        <v>201.6</v>
      </c>
      <c r="H186" s="20">
        <f>IF(AND(D186/Summary!$C$4&gt;= 5, D186/Summary!$C$4&lt;10),E186,0) * D186</f>
        <v>0</v>
      </c>
      <c r="I186" s="20">
        <f>IF(AND(D186/Summary!$C$4&gt;=10, D186/Summary!$C$4&lt;25),E186,0)*D186</f>
        <v>0</v>
      </c>
      <c r="J186" s="20">
        <f>IF(D186/Summary!$C$4&gt;=25,E186,0)*D186</f>
        <v>0</v>
      </c>
      <c r="K186" s="35">
        <f>IF(AND(D186/Frequency!$N$7&gt;0, D186/Frequency!$N$7&lt;1),E186,0)</f>
        <v>0</v>
      </c>
      <c r="L186" s="35">
        <f t="shared" si="111"/>
        <v>0</v>
      </c>
      <c r="M186" s="35">
        <f>IF(D186/Frequency!$N$7=1,1,0)*E186</f>
        <v>0</v>
      </c>
      <c r="N186" s="35">
        <f t="shared" si="112"/>
        <v>0</v>
      </c>
      <c r="O186" s="35">
        <f>IF(AND(D186/Frequency!$N$7&gt;1, D186/Frequency!$N$7&lt;=2),1,0)*E186</f>
        <v>0</v>
      </c>
      <c r="P186" s="35">
        <f t="shared" si="113"/>
        <v>0</v>
      </c>
      <c r="Q186" s="35">
        <f>IF(AND(D186/Frequency!$N$7&gt;2,D186/Frequency!$N$7&lt;=5),1,0)*E186</f>
        <v>84</v>
      </c>
      <c r="R186" s="35">
        <f t="shared" si="114"/>
        <v>201.6</v>
      </c>
      <c r="S186" s="35">
        <f>IF(AND(D186/Frequency!$N$7&gt;5, D186/Frequency!$N$7&lt;=10),1,0)*E186</f>
        <v>0</v>
      </c>
      <c r="T186" s="35">
        <f t="shared" si="115"/>
        <v>0</v>
      </c>
      <c r="U186" s="35">
        <f>IF(AND(D186/Frequency!$N$7&gt;10, D186/Frequency!$N$7&lt;=20),1,0)*E186</f>
        <v>0</v>
      </c>
      <c r="V186" s="35">
        <f t="shared" si="116"/>
        <v>0</v>
      </c>
      <c r="W186" s="35">
        <f>IF(AND(D186/Frequency!$N$7&gt;20, D186/Frequency!$N$7&lt;=30),1,0)*E186</f>
        <v>0</v>
      </c>
      <c r="X186" s="35">
        <f t="shared" si="117"/>
        <v>0</v>
      </c>
      <c r="Y186" s="35">
        <f>IF(AND(D186/Frequency!$N$7&gt;30, D186/Frequency!$N$7&lt;=50),1,0)*E186</f>
        <v>0</v>
      </c>
      <c r="Z186" s="35">
        <f t="shared" si="118"/>
        <v>0</v>
      </c>
      <c r="AA186" s="35">
        <f>IF(AND(D186/Frequency!$N$7&gt;50, D186/Frequency!$N$7&lt;=100),1,0)*E186</f>
        <v>0</v>
      </c>
      <c r="AB186" s="35">
        <f t="shared" si="119"/>
        <v>0</v>
      </c>
      <c r="AC186" s="35">
        <f>IF(D186/Frequency!$N$7&gt;100,1,0)*E186</f>
        <v>0</v>
      </c>
      <c r="AD186" s="35">
        <f t="shared" si="120"/>
        <v>0</v>
      </c>
      <c r="AE186" s="22">
        <f t="shared" si="121"/>
        <v>0</v>
      </c>
      <c r="AF186" s="22">
        <f t="shared" si="122"/>
        <v>0</v>
      </c>
      <c r="AG186" s="22">
        <f t="shared" si="123"/>
        <v>0</v>
      </c>
      <c r="AH186" s="22">
        <f t="shared" si="124"/>
        <v>0</v>
      </c>
      <c r="AI186" s="35">
        <f t="shared" si="125"/>
        <v>1</v>
      </c>
      <c r="AJ186" s="35">
        <f t="shared" si="126"/>
        <v>84</v>
      </c>
      <c r="AK186" s="35">
        <f t="shared" si="127"/>
        <v>201.6</v>
      </c>
      <c r="AL186">
        <f t="shared" si="128"/>
        <v>1</v>
      </c>
      <c r="AM186">
        <f t="shared" si="129"/>
        <v>84</v>
      </c>
      <c r="AN186">
        <f t="shared" si="130"/>
        <v>201.6</v>
      </c>
      <c r="AO186">
        <f t="shared" si="131"/>
        <v>1</v>
      </c>
      <c r="AP186">
        <f t="shared" si="132"/>
        <v>84</v>
      </c>
      <c r="AQ186">
        <f t="shared" si="133"/>
        <v>201.6</v>
      </c>
      <c r="AR186">
        <f t="shared" si="134"/>
        <v>0</v>
      </c>
      <c r="AS186">
        <f t="shared" si="135"/>
        <v>0</v>
      </c>
      <c r="AT186">
        <f t="shared" si="136"/>
        <v>0</v>
      </c>
      <c r="AU186">
        <f t="shared" si="137"/>
        <v>0</v>
      </c>
      <c r="AV186">
        <v>0</v>
      </c>
      <c r="AW186">
        <v>0</v>
      </c>
      <c r="AX186">
        <f t="shared" si="138"/>
        <v>0</v>
      </c>
      <c r="AY186">
        <f t="shared" si="139"/>
        <v>0</v>
      </c>
      <c r="AZ186">
        <f t="shared" si="140"/>
        <v>0</v>
      </c>
      <c r="BA186">
        <f t="shared" si="141"/>
        <v>0</v>
      </c>
      <c r="BB186">
        <f t="shared" si="142"/>
        <v>0</v>
      </c>
      <c r="BC186">
        <f t="shared" si="143"/>
        <v>0</v>
      </c>
      <c r="BD186">
        <f t="shared" si="144"/>
        <v>0</v>
      </c>
      <c r="BE186">
        <f t="shared" si="145"/>
        <v>0</v>
      </c>
      <c r="BF186">
        <f t="shared" si="146"/>
        <v>0</v>
      </c>
      <c r="BG186">
        <f t="shared" si="147"/>
        <v>0</v>
      </c>
      <c r="BH186">
        <f t="shared" si="148"/>
        <v>0</v>
      </c>
      <c r="BI186">
        <f t="shared" si="149"/>
        <v>0</v>
      </c>
      <c r="BJ186">
        <v>0</v>
      </c>
      <c r="BK186" t="str">
        <f t="shared" si="163"/>
        <v>Standard Win</v>
      </c>
      <c r="BL186" s="40" t="str">
        <f t="shared" si="164"/>
        <v>Combo Win</v>
      </c>
      <c r="BM186">
        <f>(D186/Frequency!$N$7-Summary!$C$7)^2*E186</f>
        <v>204.42240000000001</v>
      </c>
      <c r="BN186">
        <f t="shared" si="150"/>
        <v>0</v>
      </c>
      <c r="BO186">
        <f t="shared" si="151"/>
        <v>0</v>
      </c>
      <c r="BP186">
        <f t="shared" si="152"/>
        <v>0</v>
      </c>
      <c r="BQ186">
        <f t="shared" si="153"/>
        <v>0</v>
      </c>
      <c r="BR186">
        <f t="shared" si="154"/>
        <v>0</v>
      </c>
      <c r="BS186">
        <f t="shared" si="155"/>
        <v>0</v>
      </c>
      <c r="BT186">
        <f t="shared" si="156"/>
        <v>0</v>
      </c>
      <c r="BU186">
        <f t="shared" si="157"/>
        <v>0</v>
      </c>
      <c r="BV186">
        <f t="shared" si="158"/>
        <v>0</v>
      </c>
      <c r="BW186">
        <f t="shared" si="159"/>
        <v>0</v>
      </c>
      <c r="BX186">
        <f t="shared" si="160"/>
        <v>0</v>
      </c>
    </row>
    <row r="187" spans="2:76">
      <c r="B187" s="19">
        <f>Tiers!B188</f>
        <v>185</v>
      </c>
      <c r="C187" s="20" t="str">
        <f>Tiers!X188</f>
        <v>main-0|main-2|wild-11|||||||</v>
      </c>
      <c r="D187" s="21">
        <f>Tiers!C188</f>
        <v>2.6</v>
      </c>
      <c r="E187" s="22">
        <f>Frequency!E189</f>
        <v>176</v>
      </c>
      <c r="F187" s="22">
        <f t="shared" si="110"/>
        <v>457.6</v>
      </c>
      <c r="G187" s="20">
        <f>IF(AND(D187/Summary!$C$4&gt;0, D187/Summary!$C$4&lt;5),E187,0) * D187</f>
        <v>457.6</v>
      </c>
      <c r="H187" s="20">
        <f>IF(AND(D187/Summary!$C$4&gt;= 5, D187/Summary!$C$4&lt;10),E187,0) * D187</f>
        <v>0</v>
      </c>
      <c r="I187" s="20">
        <f>IF(AND(D187/Summary!$C$4&gt;=10, D187/Summary!$C$4&lt;25),E187,0)*D187</f>
        <v>0</v>
      </c>
      <c r="J187" s="20">
        <f>IF(D187/Summary!$C$4&gt;=25,E187,0)*D187</f>
        <v>0</v>
      </c>
      <c r="K187" s="35">
        <f>IF(AND(D187/Frequency!$N$7&gt;0, D187/Frequency!$N$7&lt;1),E187,0)</f>
        <v>0</v>
      </c>
      <c r="L187" s="35">
        <f t="shared" si="111"/>
        <v>0</v>
      </c>
      <c r="M187" s="35">
        <f>IF(D187/Frequency!$N$7=1,1,0)*E187</f>
        <v>0</v>
      </c>
      <c r="N187" s="35">
        <f t="shared" si="112"/>
        <v>0</v>
      </c>
      <c r="O187" s="35">
        <f>IF(AND(D187/Frequency!$N$7&gt;1, D187/Frequency!$N$7&lt;=2),1,0)*E187</f>
        <v>0</v>
      </c>
      <c r="P187" s="35">
        <f t="shared" si="113"/>
        <v>0</v>
      </c>
      <c r="Q187" s="35">
        <f>IF(AND(D187/Frequency!$N$7&gt;2,D187/Frequency!$N$7&lt;=5),1,0)*E187</f>
        <v>176</v>
      </c>
      <c r="R187" s="35">
        <f t="shared" si="114"/>
        <v>457.6</v>
      </c>
      <c r="S187" s="35">
        <f>IF(AND(D187/Frequency!$N$7&gt;5, D187/Frequency!$N$7&lt;=10),1,0)*E187</f>
        <v>0</v>
      </c>
      <c r="T187" s="35">
        <f t="shared" si="115"/>
        <v>0</v>
      </c>
      <c r="U187" s="35">
        <f>IF(AND(D187/Frequency!$N$7&gt;10, D187/Frequency!$N$7&lt;=20),1,0)*E187</f>
        <v>0</v>
      </c>
      <c r="V187" s="35">
        <f t="shared" si="116"/>
        <v>0</v>
      </c>
      <c r="W187" s="35">
        <f>IF(AND(D187/Frequency!$N$7&gt;20, D187/Frequency!$N$7&lt;=30),1,0)*E187</f>
        <v>0</v>
      </c>
      <c r="X187" s="35">
        <f t="shared" si="117"/>
        <v>0</v>
      </c>
      <c r="Y187" s="35">
        <f>IF(AND(D187/Frequency!$N$7&gt;30, D187/Frequency!$N$7&lt;=50),1,0)*E187</f>
        <v>0</v>
      </c>
      <c r="Z187" s="35">
        <f t="shared" si="118"/>
        <v>0</v>
      </c>
      <c r="AA187" s="35">
        <f>IF(AND(D187/Frequency!$N$7&gt;50, D187/Frequency!$N$7&lt;=100),1,0)*E187</f>
        <v>0</v>
      </c>
      <c r="AB187" s="35">
        <f t="shared" si="119"/>
        <v>0</v>
      </c>
      <c r="AC187" s="35">
        <f>IF(D187/Frequency!$N$7&gt;100,1,0)*E187</f>
        <v>0</v>
      </c>
      <c r="AD187" s="35">
        <f t="shared" si="120"/>
        <v>0</v>
      </c>
      <c r="AE187" s="22">
        <f t="shared" si="121"/>
        <v>0</v>
      </c>
      <c r="AF187" s="22">
        <f t="shared" si="122"/>
        <v>0</v>
      </c>
      <c r="AG187" s="22">
        <f t="shared" si="123"/>
        <v>0</v>
      </c>
      <c r="AH187" s="22">
        <f t="shared" si="124"/>
        <v>0</v>
      </c>
      <c r="AI187" s="35">
        <f t="shared" si="125"/>
        <v>1</v>
      </c>
      <c r="AJ187" s="35">
        <f t="shared" si="126"/>
        <v>176</v>
      </c>
      <c r="AK187" s="35">
        <f t="shared" si="127"/>
        <v>457.6</v>
      </c>
      <c r="AL187">
        <f t="shared" si="128"/>
        <v>1</v>
      </c>
      <c r="AM187">
        <f t="shared" si="129"/>
        <v>176</v>
      </c>
      <c r="AN187">
        <f t="shared" si="130"/>
        <v>457.6</v>
      </c>
      <c r="AO187">
        <f t="shared" si="131"/>
        <v>1</v>
      </c>
      <c r="AP187">
        <f t="shared" si="132"/>
        <v>176</v>
      </c>
      <c r="AQ187">
        <f t="shared" si="133"/>
        <v>457.6</v>
      </c>
      <c r="AR187">
        <f t="shared" si="134"/>
        <v>0</v>
      </c>
      <c r="AS187">
        <f t="shared" si="135"/>
        <v>0</v>
      </c>
      <c r="AT187">
        <f t="shared" si="136"/>
        <v>0</v>
      </c>
      <c r="AU187">
        <f t="shared" si="137"/>
        <v>0</v>
      </c>
      <c r="AV187">
        <v>0</v>
      </c>
      <c r="AW187">
        <v>0</v>
      </c>
      <c r="AX187">
        <f t="shared" si="138"/>
        <v>0</v>
      </c>
      <c r="AY187">
        <f t="shared" si="139"/>
        <v>0</v>
      </c>
      <c r="AZ187">
        <f t="shared" si="140"/>
        <v>0</v>
      </c>
      <c r="BA187">
        <f t="shared" si="141"/>
        <v>0</v>
      </c>
      <c r="BB187">
        <f t="shared" si="142"/>
        <v>0</v>
      </c>
      <c r="BC187">
        <f t="shared" si="143"/>
        <v>0</v>
      </c>
      <c r="BD187">
        <f t="shared" si="144"/>
        <v>0</v>
      </c>
      <c r="BE187">
        <f t="shared" si="145"/>
        <v>0</v>
      </c>
      <c r="BF187">
        <f t="shared" si="146"/>
        <v>0</v>
      </c>
      <c r="BG187">
        <f t="shared" si="147"/>
        <v>0</v>
      </c>
      <c r="BH187">
        <f t="shared" si="148"/>
        <v>0</v>
      </c>
      <c r="BI187">
        <f t="shared" si="149"/>
        <v>0</v>
      </c>
      <c r="BJ187">
        <v>0</v>
      </c>
      <c r="BK187" t="str">
        <f t="shared" si="163"/>
        <v>Standard Win</v>
      </c>
      <c r="BL187" s="40" t="str">
        <f t="shared" si="164"/>
        <v>Combo Win</v>
      </c>
      <c r="BM187">
        <f>(D187/Frequency!$N$7-Summary!$C$7)^2*E187</f>
        <v>545.1776000000001</v>
      </c>
      <c r="BN187">
        <f t="shared" si="150"/>
        <v>0</v>
      </c>
      <c r="BO187">
        <f t="shared" si="151"/>
        <v>0</v>
      </c>
      <c r="BP187">
        <f t="shared" si="152"/>
        <v>0</v>
      </c>
      <c r="BQ187">
        <f t="shared" si="153"/>
        <v>0</v>
      </c>
      <c r="BR187">
        <f t="shared" si="154"/>
        <v>0</v>
      </c>
      <c r="BS187">
        <f t="shared" si="155"/>
        <v>0</v>
      </c>
      <c r="BT187">
        <f t="shared" si="156"/>
        <v>0</v>
      </c>
      <c r="BU187">
        <f t="shared" si="157"/>
        <v>0</v>
      </c>
      <c r="BV187">
        <f t="shared" si="158"/>
        <v>0</v>
      </c>
      <c r="BW187">
        <f t="shared" si="159"/>
        <v>0</v>
      </c>
      <c r="BX187">
        <f t="shared" si="160"/>
        <v>0</v>
      </c>
    </row>
    <row r="188" spans="2:76">
      <c r="B188" s="19">
        <f>Tiers!B189</f>
        <v>186</v>
      </c>
      <c r="C188" s="20" t="str">
        <f>Tiers!X189</f>
        <v>main-1|main-2|wild-12|||||||</v>
      </c>
      <c r="D188" s="21">
        <f>Tiers!C189</f>
        <v>3.7</v>
      </c>
      <c r="E188" s="22">
        <f>Frequency!E190</f>
        <v>100</v>
      </c>
      <c r="F188" s="22">
        <f t="shared" si="110"/>
        <v>370</v>
      </c>
      <c r="G188" s="20">
        <f>IF(AND(D188/Summary!$C$4&gt;0, D188/Summary!$C$4&lt;5),E188,0) * D188</f>
        <v>370</v>
      </c>
      <c r="H188" s="20">
        <f>IF(AND(D188/Summary!$C$4&gt;= 5, D188/Summary!$C$4&lt;10),E188,0) * D188</f>
        <v>0</v>
      </c>
      <c r="I188" s="20">
        <f>IF(AND(D188/Summary!$C$4&gt;=10, D188/Summary!$C$4&lt;25),E188,0)*D188</f>
        <v>0</v>
      </c>
      <c r="J188" s="20">
        <f>IF(D188/Summary!$C$4&gt;=25,E188,0)*D188</f>
        <v>0</v>
      </c>
      <c r="K188" s="35">
        <f>IF(AND(D188/Frequency!$N$7&gt;0, D188/Frequency!$N$7&lt;1),E188,0)</f>
        <v>0</v>
      </c>
      <c r="L188" s="35">
        <f t="shared" si="111"/>
        <v>0</v>
      </c>
      <c r="M188" s="35">
        <f>IF(D188/Frequency!$N$7=1,1,0)*E188</f>
        <v>0</v>
      </c>
      <c r="N188" s="35">
        <f t="shared" si="112"/>
        <v>0</v>
      </c>
      <c r="O188" s="35">
        <f>IF(AND(D188/Frequency!$N$7&gt;1, D188/Frequency!$N$7&lt;=2),1,0)*E188</f>
        <v>0</v>
      </c>
      <c r="P188" s="35">
        <f t="shared" si="113"/>
        <v>0</v>
      </c>
      <c r="Q188" s="35">
        <f>IF(AND(D188/Frequency!$N$7&gt;2,D188/Frequency!$N$7&lt;=5),1,0)*E188</f>
        <v>100</v>
      </c>
      <c r="R188" s="35">
        <f t="shared" si="114"/>
        <v>370</v>
      </c>
      <c r="S188" s="35">
        <f>IF(AND(D188/Frequency!$N$7&gt;5, D188/Frequency!$N$7&lt;=10),1,0)*E188</f>
        <v>0</v>
      </c>
      <c r="T188" s="35">
        <f t="shared" si="115"/>
        <v>0</v>
      </c>
      <c r="U188" s="35">
        <f>IF(AND(D188/Frequency!$N$7&gt;10, D188/Frequency!$N$7&lt;=20),1,0)*E188</f>
        <v>0</v>
      </c>
      <c r="V188" s="35">
        <f t="shared" si="116"/>
        <v>0</v>
      </c>
      <c r="W188" s="35">
        <f>IF(AND(D188/Frequency!$N$7&gt;20, D188/Frequency!$N$7&lt;=30),1,0)*E188</f>
        <v>0</v>
      </c>
      <c r="X188" s="35">
        <f t="shared" si="117"/>
        <v>0</v>
      </c>
      <c r="Y188" s="35">
        <f>IF(AND(D188/Frequency!$N$7&gt;30, D188/Frequency!$N$7&lt;=50),1,0)*E188</f>
        <v>0</v>
      </c>
      <c r="Z188" s="35">
        <f t="shared" si="118"/>
        <v>0</v>
      </c>
      <c r="AA188" s="35">
        <f>IF(AND(D188/Frequency!$N$7&gt;50, D188/Frequency!$N$7&lt;=100),1,0)*E188</f>
        <v>0</v>
      </c>
      <c r="AB188" s="35">
        <f t="shared" si="119"/>
        <v>0</v>
      </c>
      <c r="AC188" s="35">
        <f>IF(D188/Frequency!$N$7&gt;100,1,0)*E188</f>
        <v>0</v>
      </c>
      <c r="AD188" s="35">
        <f t="shared" si="120"/>
        <v>0</v>
      </c>
      <c r="AE188" s="22">
        <f t="shared" si="121"/>
        <v>0</v>
      </c>
      <c r="AF188" s="22">
        <f t="shared" si="122"/>
        <v>0</v>
      </c>
      <c r="AG188" s="22">
        <f t="shared" si="123"/>
        <v>0</v>
      </c>
      <c r="AH188" s="22">
        <f t="shared" si="124"/>
        <v>0</v>
      </c>
      <c r="AI188" s="35">
        <f t="shared" si="125"/>
        <v>1</v>
      </c>
      <c r="AJ188" s="35">
        <f t="shared" si="126"/>
        <v>100</v>
      </c>
      <c r="AK188" s="35">
        <f t="shared" si="127"/>
        <v>370</v>
      </c>
      <c r="AL188">
        <f t="shared" si="128"/>
        <v>1</v>
      </c>
      <c r="AM188">
        <f t="shared" si="129"/>
        <v>100</v>
      </c>
      <c r="AN188">
        <f t="shared" si="130"/>
        <v>370</v>
      </c>
      <c r="AO188">
        <f t="shared" si="131"/>
        <v>1</v>
      </c>
      <c r="AP188">
        <f t="shared" si="132"/>
        <v>100</v>
      </c>
      <c r="AQ188">
        <f t="shared" si="133"/>
        <v>370</v>
      </c>
      <c r="AR188">
        <f t="shared" si="134"/>
        <v>0</v>
      </c>
      <c r="AS188">
        <f t="shared" si="135"/>
        <v>0</v>
      </c>
      <c r="AT188">
        <f t="shared" si="136"/>
        <v>0</v>
      </c>
      <c r="AU188">
        <f t="shared" si="137"/>
        <v>0</v>
      </c>
      <c r="AV188">
        <v>0</v>
      </c>
      <c r="AW188">
        <v>0</v>
      </c>
      <c r="AX188">
        <f t="shared" si="138"/>
        <v>0</v>
      </c>
      <c r="AY188">
        <f t="shared" si="139"/>
        <v>0</v>
      </c>
      <c r="AZ188">
        <f t="shared" si="140"/>
        <v>0</v>
      </c>
      <c r="BA188">
        <f t="shared" si="141"/>
        <v>0</v>
      </c>
      <c r="BB188">
        <f t="shared" si="142"/>
        <v>0</v>
      </c>
      <c r="BC188">
        <f t="shared" si="143"/>
        <v>0</v>
      </c>
      <c r="BD188">
        <f t="shared" si="144"/>
        <v>0</v>
      </c>
      <c r="BE188">
        <f t="shared" si="145"/>
        <v>0</v>
      </c>
      <c r="BF188">
        <f t="shared" si="146"/>
        <v>0</v>
      </c>
      <c r="BG188">
        <f t="shared" si="147"/>
        <v>0</v>
      </c>
      <c r="BH188">
        <f t="shared" si="148"/>
        <v>0</v>
      </c>
      <c r="BI188">
        <f t="shared" si="149"/>
        <v>0</v>
      </c>
      <c r="BJ188">
        <v>0</v>
      </c>
      <c r="BK188" t="str">
        <f t="shared" si="163"/>
        <v>Standard Win</v>
      </c>
      <c r="BL188" s="40" t="str">
        <f t="shared" si="164"/>
        <v>Combo Win</v>
      </c>
      <c r="BM188">
        <f>(D188/Frequency!$N$7-Summary!$C$7)^2*E188</f>
        <v>817.96000000000026</v>
      </c>
      <c r="BN188">
        <f t="shared" si="150"/>
        <v>0</v>
      </c>
      <c r="BO188">
        <f t="shared" si="151"/>
        <v>0</v>
      </c>
      <c r="BP188">
        <f t="shared" si="152"/>
        <v>0</v>
      </c>
      <c r="BQ188">
        <f t="shared" si="153"/>
        <v>0</v>
      </c>
      <c r="BR188">
        <f t="shared" si="154"/>
        <v>0</v>
      </c>
      <c r="BS188">
        <f t="shared" si="155"/>
        <v>0</v>
      </c>
      <c r="BT188">
        <f t="shared" si="156"/>
        <v>0</v>
      </c>
      <c r="BU188">
        <f t="shared" si="157"/>
        <v>0</v>
      </c>
      <c r="BV188">
        <f t="shared" si="158"/>
        <v>0</v>
      </c>
      <c r="BW188">
        <f t="shared" si="159"/>
        <v>0</v>
      </c>
      <c r="BX188">
        <f t="shared" si="160"/>
        <v>0</v>
      </c>
    </row>
    <row r="189" spans="2:76">
      <c r="B189" s="19">
        <f>Tiers!B190</f>
        <v>187</v>
      </c>
      <c r="C189" s="20" t="str">
        <f>Tiers!X190</f>
        <v>main-3|main-0|wild-13|||||||</v>
      </c>
      <c r="D189" s="21">
        <f>Tiers!C190</f>
        <v>6.1</v>
      </c>
      <c r="E189" s="22">
        <f>Frequency!E191</f>
        <v>100</v>
      </c>
      <c r="F189" s="22">
        <f t="shared" si="110"/>
        <v>610</v>
      </c>
      <c r="G189" s="20">
        <f>IF(AND(D189/Summary!$C$4&gt;0, D189/Summary!$C$4&lt;5),E189,0) * D189</f>
        <v>0</v>
      </c>
      <c r="H189" s="20">
        <f>IF(AND(D189/Summary!$C$4&gt;= 5, D189/Summary!$C$4&lt;10),E189,0) * D189</f>
        <v>610</v>
      </c>
      <c r="I189" s="20">
        <f>IF(AND(D189/Summary!$C$4&gt;=10, D189/Summary!$C$4&lt;25),E189,0)*D189</f>
        <v>0</v>
      </c>
      <c r="J189" s="20">
        <f>IF(D189/Summary!$C$4&gt;=25,E189,0)*D189</f>
        <v>0</v>
      </c>
      <c r="K189" s="35">
        <f>IF(AND(D189/Frequency!$N$7&gt;0, D189/Frequency!$N$7&lt;1),E189,0)</f>
        <v>0</v>
      </c>
      <c r="L189" s="35">
        <f t="shared" si="111"/>
        <v>0</v>
      </c>
      <c r="M189" s="35">
        <f>IF(D189/Frequency!$N$7=1,1,0)*E189</f>
        <v>0</v>
      </c>
      <c r="N189" s="35">
        <f t="shared" si="112"/>
        <v>0</v>
      </c>
      <c r="O189" s="35">
        <f>IF(AND(D189/Frequency!$N$7&gt;1, D189/Frequency!$N$7&lt;=2),1,0)*E189</f>
        <v>0</v>
      </c>
      <c r="P189" s="35">
        <f t="shared" si="113"/>
        <v>0</v>
      </c>
      <c r="Q189" s="35">
        <f>IF(AND(D189/Frequency!$N$7&gt;2,D189/Frequency!$N$7&lt;=5),1,0)*E189</f>
        <v>0</v>
      </c>
      <c r="R189" s="35">
        <f t="shared" si="114"/>
        <v>0</v>
      </c>
      <c r="S189" s="35">
        <f>IF(AND(D189/Frequency!$N$7&gt;5, D189/Frequency!$N$7&lt;=10),1,0)*E189</f>
        <v>100</v>
      </c>
      <c r="T189" s="35">
        <f t="shared" si="115"/>
        <v>610</v>
      </c>
      <c r="U189" s="35">
        <f>IF(AND(D189/Frequency!$N$7&gt;10, D189/Frequency!$N$7&lt;=20),1,0)*E189</f>
        <v>0</v>
      </c>
      <c r="V189" s="35">
        <f t="shared" si="116"/>
        <v>0</v>
      </c>
      <c r="W189" s="35">
        <f>IF(AND(D189/Frequency!$N$7&gt;20, D189/Frequency!$N$7&lt;=30),1,0)*E189</f>
        <v>0</v>
      </c>
      <c r="X189" s="35">
        <f t="shared" si="117"/>
        <v>0</v>
      </c>
      <c r="Y189" s="35">
        <f>IF(AND(D189/Frequency!$N$7&gt;30, D189/Frequency!$N$7&lt;=50),1,0)*E189</f>
        <v>0</v>
      </c>
      <c r="Z189" s="35">
        <f t="shared" si="118"/>
        <v>0</v>
      </c>
      <c r="AA189" s="35">
        <f>IF(AND(D189/Frequency!$N$7&gt;50, D189/Frequency!$N$7&lt;=100),1,0)*E189</f>
        <v>0</v>
      </c>
      <c r="AB189" s="35">
        <f t="shared" si="119"/>
        <v>0</v>
      </c>
      <c r="AC189" s="35">
        <f>IF(D189/Frequency!$N$7&gt;100,1,0)*E189</f>
        <v>0</v>
      </c>
      <c r="AD189" s="35">
        <f t="shared" si="120"/>
        <v>0</v>
      </c>
      <c r="AE189" s="22">
        <f t="shared" si="121"/>
        <v>0</v>
      </c>
      <c r="AF189" s="22">
        <f t="shared" si="122"/>
        <v>0</v>
      </c>
      <c r="AG189" s="22">
        <f t="shared" si="123"/>
        <v>0</v>
      </c>
      <c r="AH189" s="22">
        <f t="shared" si="124"/>
        <v>0</v>
      </c>
      <c r="AI189" s="35">
        <f t="shared" si="125"/>
        <v>1</v>
      </c>
      <c r="AJ189" s="35">
        <f t="shared" si="126"/>
        <v>100</v>
      </c>
      <c r="AK189" s="35">
        <f t="shared" si="127"/>
        <v>610</v>
      </c>
      <c r="AL189">
        <f t="shared" si="128"/>
        <v>1</v>
      </c>
      <c r="AM189">
        <f t="shared" si="129"/>
        <v>100</v>
      </c>
      <c r="AN189">
        <f t="shared" si="130"/>
        <v>610</v>
      </c>
      <c r="AO189">
        <f t="shared" si="131"/>
        <v>1</v>
      </c>
      <c r="AP189">
        <f t="shared" si="132"/>
        <v>100</v>
      </c>
      <c r="AQ189">
        <f t="shared" si="133"/>
        <v>610</v>
      </c>
      <c r="AR189">
        <f t="shared" si="134"/>
        <v>0</v>
      </c>
      <c r="AS189">
        <f t="shared" si="135"/>
        <v>0</v>
      </c>
      <c r="AT189">
        <f t="shared" si="136"/>
        <v>0</v>
      </c>
      <c r="AU189">
        <f t="shared" si="137"/>
        <v>0</v>
      </c>
      <c r="AV189">
        <v>0</v>
      </c>
      <c r="AW189">
        <v>0</v>
      </c>
      <c r="AX189">
        <f t="shared" si="138"/>
        <v>0</v>
      </c>
      <c r="AY189">
        <f t="shared" si="139"/>
        <v>0</v>
      </c>
      <c r="AZ189">
        <f t="shared" si="140"/>
        <v>0</v>
      </c>
      <c r="BA189">
        <f t="shared" si="141"/>
        <v>0</v>
      </c>
      <c r="BB189">
        <f t="shared" si="142"/>
        <v>0</v>
      </c>
      <c r="BC189">
        <f t="shared" si="143"/>
        <v>0</v>
      </c>
      <c r="BD189">
        <f t="shared" si="144"/>
        <v>0</v>
      </c>
      <c r="BE189">
        <f t="shared" si="145"/>
        <v>0</v>
      </c>
      <c r="BF189">
        <f t="shared" si="146"/>
        <v>0</v>
      </c>
      <c r="BG189">
        <f t="shared" si="147"/>
        <v>0</v>
      </c>
      <c r="BH189">
        <f t="shared" si="148"/>
        <v>0</v>
      </c>
      <c r="BI189">
        <f t="shared" si="149"/>
        <v>0</v>
      </c>
      <c r="BJ189">
        <v>0</v>
      </c>
      <c r="BK189" t="str">
        <f t="shared" si="163"/>
        <v>Standard Win</v>
      </c>
      <c r="BL189" s="40" t="str">
        <f t="shared" si="164"/>
        <v>Combo Win</v>
      </c>
      <c r="BM189">
        <f>(D189/Frequency!$N$7-Summary!$C$7)^2*E189</f>
        <v>2766.7599999999998</v>
      </c>
      <c r="BN189">
        <f t="shared" si="150"/>
        <v>0</v>
      </c>
      <c r="BO189">
        <f t="shared" si="151"/>
        <v>0</v>
      </c>
      <c r="BP189">
        <f t="shared" si="152"/>
        <v>0</v>
      </c>
      <c r="BQ189">
        <f t="shared" si="153"/>
        <v>0</v>
      </c>
      <c r="BR189">
        <f t="shared" si="154"/>
        <v>0</v>
      </c>
      <c r="BS189">
        <f t="shared" si="155"/>
        <v>0</v>
      </c>
      <c r="BT189">
        <f t="shared" si="156"/>
        <v>0</v>
      </c>
      <c r="BU189">
        <f t="shared" si="157"/>
        <v>0</v>
      </c>
      <c r="BV189">
        <f t="shared" si="158"/>
        <v>0</v>
      </c>
      <c r="BW189">
        <f t="shared" si="159"/>
        <v>0</v>
      </c>
      <c r="BX189">
        <f t="shared" si="160"/>
        <v>0</v>
      </c>
    </row>
    <row r="190" spans="2:76">
      <c r="B190" s="19">
        <f>Tiers!B191</f>
        <v>188</v>
      </c>
      <c r="C190" s="20" t="str">
        <f>Tiers!X191</f>
        <v>main-3|main-1|wild-15|||||||</v>
      </c>
      <c r="D190" s="21">
        <f>Tiers!C191</f>
        <v>4.2</v>
      </c>
      <c r="E190" s="22">
        <f>Frequency!E192</f>
        <v>176</v>
      </c>
      <c r="F190" s="22">
        <f t="shared" si="110"/>
        <v>739.2</v>
      </c>
      <c r="G190" s="20">
        <f>IF(AND(D190/Summary!$C$4&gt;0, D190/Summary!$C$4&lt;5),E190,0) * D190</f>
        <v>739.2</v>
      </c>
      <c r="H190" s="20">
        <f>IF(AND(D190/Summary!$C$4&gt;= 5, D190/Summary!$C$4&lt;10),E190,0) * D190</f>
        <v>0</v>
      </c>
      <c r="I190" s="20">
        <f>IF(AND(D190/Summary!$C$4&gt;=10, D190/Summary!$C$4&lt;25),E190,0)*D190</f>
        <v>0</v>
      </c>
      <c r="J190" s="20">
        <f>IF(D190/Summary!$C$4&gt;=25,E190,0)*D190</f>
        <v>0</v>
      </c>
      <c r="K190" s="35">
        <f>IF(AND(D190/Frequency!$N$7&gt;0, D190/Frequency!$N$7&lt;1),E190,0)</f>
        <v>0</v>
      </c>
      <c r="L190" s="35">
        <f t="shared" si="111"/>
        <v>0</v>
      </c>
      <c r="M190" s="35">
        <f>IF(D190/Frequency!$N$7=1,1,0)*E190</f>
        <v>0</v>
      </c>
      <c r="N190" s="35">
        <f t="shared" si="112"/>
        <v>0</v>
      </c>
      <c r="O190" s="35">
        <f>IF(AND(D190/Frequency!$N$7&gt;1, D190/Frequency!$N$7&lt;=2),1,0)*E190</f>
        <v>0</v>
      </c>
      <c r="P190" s="35">
        <f t="shared" si="113"/>
        <v>0</v>
      </c>
      <c r="Q190" s="35">
        <f>IF(AND(D190/Frequency!$N$7&gt;2,D190/Frequency!$N$7&lt;=5),1,0)*E190</f>
        <v>176</v>
      </c>
      <c r="R190" s="35">
        <f t="shared" si="114"/>
        <v>739.2</v>
      </c>
      <c r="S190" s="35">
        <f>IF(AND(D190/Frequency!$N$7&gt;5, D190/Frequency!$N$7&lt;=10),1,0)*E190</f>
        <v>0</v>
      </c>
      <c r="T190" s="35">
        <f t="shared" si="115"/>
        <v>0</v>
      </c>
      <c r="U190" s="35">
        <f>IF(AND(D190/Frequency!$N$7&gt;10, D190/Frequency!$N$7&lt;=20),1,0)*E190</f>
        <v>0</v>
      </c>
      <c r="V190" s="35">
        <f t="shared" si="116"/>
        <v>0</v>
      </c>
      <c r="W190" s="35">
        <f>IF(AND(D190/Frequency!$N$7&gt;20, D190/Frequency!$N$7&lt;=30),1,0)*E190</f>
        <v>0</v>
      </c>
      <c r="X190" s="35">
        <f t="shared" si="117"/>
        <v>0</v>
      </c>
      <c r="Y190" s="35">
        <f>IF(AND(D190/Frequency!$N$7&gt;30, D190/Frequency!$N$7&lt;=50),1,0)*E190</f>
        <v>0</v>
      </c>
      <c r="Z190" s="35">
        <f t="shared" si="118"/>
        <v>0</v>
      </c>
      <c r="AA190" s="35">
        <f>IF(AND(D190/Frequency!$N$7&gt;50, D190/Frequency!$N$7&lt;=100),1,0)*E190</f>
        <v>0</v>
      </c>
      <c r="AB190" s="35">
        <f t="shared" si="119"/>
        <v>0</v>
      </c>
      <c r="AC190" s="35">
        <f>IF(D190/Frequency!$N$7&gt;100,1,0)*E190</f>
        <v>0</v>
      </c>
      <c r="AD190" s="35">
        <f t="shared" si="120"/>
        <v>0</v>
      </c>
      <c r="AE190" s="22">
        <f t="shared" si="121"/>
        <v>0</v>
      </c>
      <c r="AF190" s="22">
        <f t="shared" si="122"/>
        <v>0</v>
      </c>
      <c r="AG190" s="22">
        <f t="shared" si="123"/>
        <v>0</v>
      </c>
      <c r="AH190" s="22">
        <f t="shared" si="124"/>
        <v>0</v>
      </c>
      <c r="AI190" s="35">
        <f t="shared" si="125"/>
        <v>1</v>
      </c>
      <c r="AJ190" s="35">
        <f t="shared" si="126"/>
        <v>176</v>
      </c>
      <c r="AK190" s="35">
        <f t="shared" si="127"/>
        <v>739.2</v>
      </c>
      <c r="AL190">
        <f t="shared" si="128"/>
        <v>1</v>
      </c>
      <c r="AM190">
        <f t="shared" si="129"/>
        <v>176</v>
      </c>
      <c r="AN190">
        <f t="shared" si="130"/>
        <v>739.2</v>
      </c>
      <c r="AO190">
        <f t="shared" si="131"/>
        <v>1</v>
      </c>
      <c r="AP190">
        <f t="shared" si="132"/>
        <v>176</v>
      </c>
      <c r="AQ190">
        <f t="shared" si="133"/>
        <v>739.2</v>
      </c>
      <c r="AR190">
        <f t="shared" si="134"/>
        <v>0</v>
      </c>
      <c r="AS190">
        <f t="shared" si="135"/>
        <v>0</v>
      </c>
      <c r="AT190">
        <f t="shared" si="136"/>
        <v>0</v>
      </c>
      <c r="AU190">
        <f t="shared" si="137"/>
        <v>0</v>
      </c>
      <c r="AV190">
        <v>0</v>
      </c>
      <c r="AW190">
        <v>0</v>
      </c>
      <c r="AX190">
        <f t="shared" si="138"/>
        <v>0</v>
      </c>
      <c r="AY190">
        <f t="shared" si="139"/>
        <v>0</v>
      </c>
      <c r="AZ190">
        <f t="shared" si="140"/>
        <v>0</v>
      </c>
      <c r="BA190">
        <f t="shared" si="141"/>
        <v>0</v>
      </c>
      <c r="BB190">
        <f t="shared" si="142"/>
        <v>0</v>
      </c>
      <c r="BC190">
        <f t="shared" si="143"/>
        <v>0</v>
      </c>
      <c r="BD190">
        <f t="shared" si="144"/>
        <v>0</v>
      </c>
      <c r="BE190">
        <f t="shared" si="145"/>
        <v>0</v>
      </c>
      <c r="BF190">
        <f t="shared" si="146"/>
        <v>0</v>
      </c>
      <c r="BG190">
        <f t="shared" si="147"/>
        <v>0</v>
      </c>
      <c r="BH190">
        <f t="shared" si="148"/>
        <v>0</v>
      </c>
      <c r="BI190">
        <f t="shared" si="149"/>
        <v>0</v>
      </c>
      <c r="BJ190">
        <v>0</v>
      </c>
      <c r="BK190" t="str">
        <f t="shared" si="163"/>
        <v>Standard Win</v>
      </c>
      <c r="BL190" s="40" t="str">
        <f t="shared" si="164"/>
        <v>Combo Win</v>
      </c>
      <c r="BM190">
        <f>(D190/Frequency!$N$7-Summary!$C$7)^2*E190</f>
        <v>1986.9696000000004</v>
      </c>
      <c r="BN190">
        <f t="shared" si="150"/>
        <v>0</v>
      </c>
      <c r="BO190">
        <f t="shared" si="151"/>
        <v>0</v>
      </c>
      <c r="BP190">
        <f t="shared" si="152"/>
        <v>0</v>
      </c>
      <c r="BQ190">
        <f t="shared" si="153"/>
        <v>0</v>
      </c>
      <c r="BR190">
        <f t="shared" si="154"/>
        <v>0</v>
      </c>
      <c r="BS190">
        <f t="shared" si="155"/>
        <v>0</v>
      </c>
      <c r="BT190">
        <f t="shared" si="156"/>
        <v>0</v>
      </c>
      <c r="BU190">
        <f t="shared" si="157"/>
        <v>0</v>
      </c>
      <c r="BV190">
        <f t="shared" si="158"/>
        <v>0</v>
      </c>
      <c r="BW190">
        <f t="shared" si="159"/>
        <v>0</v>
      </c>
      <c r="BX190">
        <f t="shared" si="160"/>
        <v>0</v>
      </c>
    </row>
    <row r="191" spans="2:76">
      <c r="B191" s="19">
        <f>Tiers!B192</f>
        <v>189</v>
      </c>
      <c r="C191" s="20" t="str">
        <f>Tiers!X192</f>
        <v>main-1|main-5|wild-16|||||||</v>
      </c>
      <c r="D191" s="21">
        <f>Tiers!C192</f>
        <v>10.199999999999999</v>
      </c>
      <c r="E191" s="22">
        <f>Frequency!E193</f>
        <v>50</v>
      </c>
      <c r="F191" s="22">
        <f t="shared" si="110"/>
        <v>509.99999999999994</v>
      </c>
      <c r="G191" s="20">
        <f>IF(AND(D191/Summary!$C$4&gt;0, D191/Summary!$C$4&lt;5),E191,0) * D191</f>
        <v>0</v>
      </c>
      <c r="H191" s="20">
        <f>IF(AND(D191/Summary!$C$4&gt;= 5, D191/Summary!$C$4&lt;10),E191,0) * D191</f>
        <v>0</v>
      </c>
      <c r="I191" s="20">
        <f>IF(AND(D191/Summary!$C$4&gt;=10, D191/Summary!$C$4&lt;25),E191,0)*D191</f>
        <v>509.99999999999994</v>
      </c>
      <c r="J191" s="20">
        <f>IF(D191/Summary!$C$4&gt;=25,E191,0)*D191</f>
        <v>0</v>
      </c>
      <c r="K191" s="35">
        <f>IF(AND(D191/Frequency!$N$7&gt;0, D191/Frequency!$N$7&lt;1),E191,0)</f>
        <v>0</v>
      </c>
      <c r="L191" s="35">
        <f t="shared" si="111"/>
        <v>0</v>
      </c>
      <c r="M191" s="35">
        <f>IF(D191/Frequency!$N$7=1,1,0)*E191</f>
        <v>0</v>
      </c>
      <c r="N191" s="35">
        <f t="shared" si="112"/>
        <v>0</v>
      </c>
      <c r="O191" s="35">
        <f>IF(AND(D191/Frequency!$N$7&gt;1, D191/Frequency!$N$7&lt;=2),1,0)*E191</f>
        <v>0</v>
      </c>
      <c r="P191" s="35">
        <f t="shared" si="113"/>
        <v>0</v>
      </c>
      <c r="Q191" s="35">
        <f>IF(AND(D191/Frequency!$N$7&gt;2,D191/Frequency!$N$7&lt;=5),1,0)*E191</f>
        <v>0</v>
      </c>
      <c r="R191" s="35">
        <f t="shared" si="114"/>
        <v>0</v>
      </c>
      <c r="S191" s="35">
        <f>IF(AND(D191/Frequency!$N$7&gt;5, D191/Frequency!$N$7&lt;=10),1,0)*E191</f>
        <v>0</v>
      </c>
      <c r="T191" s="35">
        <f t="shared" si="115"/>
        <v>0</v>
      </c>
      <c r="U191" s="35">
        <f>IF(AND(D191/Frequency!$N$7&gt;10, D191/Frequency!$N$7&lt;=20),1,0)*E191</f>
        <v>50</v>
      </c>
      <c r="V191" s="35">
        <f t="shared" si="116"/>
        <v>509.99999999999994</v>
      </c>
      <c r="W191" s="35">
        <f>IF(AND(D191/Frequency!$N$7&gt;20, D191/Frequency!$N$7&lt;=30),1,0)*E191</f>
        <v>0</v>
      </c>
      <c r="X191" s="35">
        <f t="shared" si="117"/>
        <v>0</v>
      </c>
      <c r="Y191" s="35">
        <f>IF(AND(D191/Frequency!$N$7&gt;30, D191/Frequency!$N$7&lt;=50),1,0)*E191</f>
        <v>0</v>
      </c>
      <c r="Z191" s="35">
        <f t="shared" si="118"/>
        <v>0</v>
      </c>
      <c r="AA191" s="35">
        <f>IF(AND(D191/Frequency!$N$7&gt;50, D191/Frequency!$N$7&lt;=100),1,0)*E191</f>
        <v>0</v>
      </c>
      <c r="AB191" s="35">
        <f t="shared" si="119"/>
        <v>0</v>
      </c>
      <c r="AC191" s="35">
        <f>IF(D191/Frequency!$N$7&gt;100,1,0)*E191</f>
        <v>0</v>
      </c>
      <c r="AD191" s="35">
        <f t="shared" si="120"/>
        <v>0</v>
      </c>
      <c r="AE191" s="22">
        <f t="shared" si="121"/>
        <v>0</v>
      </c>
      <c r="AF191" s="22">
        <f t="shared" si="122"/>
        <v>0</v>
      </c>
      <c r="AG191" s="22">
        <f t="shared" si="123"/>
        <v>0</v>
      </c>
      <c r="AH191" s="22">
        <f t="shared" si="124"/>
        <v>0</v>
      </c>
      <c r="AI191" s="35">
        <f t="shared" si="125"/>
        <v>1</v>
      </c>
      <c r="AJ191" s="35">
        <f t="shared" si="126"/>
        <v>50</v>
      </c>
      <c r="AK191" s="35">
        <f t="shared" si="127"/>
        <v>509.99999999999994</v>
      </c>
      <c r="AL191">
        <f t="shared" si="128"/>
        <v>1</v>
      </c>
      <c r="AM191">
        <f t="shared" si="129"/>
        <v>50</v>
      </c>
      <c r="AN191">
        <f t="shared" si="130"/>
        <v>509.99999999999994</v>
      </c>
      <c r="AO191">
        <f t="shared" si="131"/>
        <v>1</v>
      </c>
      <c r="AP191">
        <f t="shared" si="132"/>
        <v>50</v>
      </c>
      <c r="AQ191">
        <f t="shared" si="133"/>
        <v>509.99999999999994</v>
      </c>
      <c r="AR191">
        <f t="shared" si="134"/>
        <v>0</v>
      </c>
      <c r="AS191">
        <f t="shared" si="135"/>
        <v>0</v>
      </c>
      <c r="AT191">
        <f t="shared" si="136"/>
        <v>0</v>
      </c>
      <c r="AU191">
        <f t="shared" si="137"/>
        <v>0</v>
      </c>
      <c r="AV191">
        <v>0</v>
      </c>
      <c r="AW191">
        <v>0</v>
      </c>
      <c r="AX191">
        <f t="shared" si="138"/>
        <v>0</v>
      </c>
      <c r="AY191">
        <f t="shared" si="139"/>
        <v>0</v>
      </c>
      <c r="AZ191">
        <f t="shared" si="140"/>
        <v>0</v>
      </c>
      <c r="BA191">
        <f t="shared" si="141"/>
        <v>0</v>
      </c>
      <c r="BB191">
        <f t="shared" si="142"/>
        <v>0</v>
      </c>
      <c r="BC191">
        <f t="shared" si="143"/>
        <v>0</v>
      </c>
      <c r="BD191">
        <f t="shared" si="144"/>
        <v>0</v>
      </c>
      <c r="BE191">
        <f t="shared" si="145"/>
        <v>0</v>
      </c>
      <c r="BF191">
        <f t="shared" si="146"/>
        <v>0</v>
      </c>
      <c r="BG191">
        <f t="shared" si="147"/>
        <v>0</v>
      </c>
      <c r="BH191">
        <f t="shared" si="148"/>
        <v>0</v>
      </c>
      <c r="BI191">
        <f t="shared" si="149"/>
        <v>0</v>
      </c>
      <c r="BJ191">
        <v>0</v>
      </c>
      <c r="BK191" t="str">
        <f t="shared" si="163"/>
        <v>Big Win</v>
      </c>
      <c r="BL191" s="40" t="str">
        <f t="shared" si="164"/>
        <v>Combo Win</v>
      </c>
      <c r="BM191">
        <f>(D191/Frequency!$N$7-Summary!$C$7)^2*E191</f>
        <v>4380.4799999999996</v>
      </c>
      <c r="BN191">
        <f t="shared" si="150"/>
        <v>0</v>
      </c>
      <c r="BO191">
        <f t="shared" si="151"/>
        <v>0</v>
      </c>
      <c r="BP191">
        <f t="shared" si="152"/>
        <v>0</v>
      </c>
      <c r="BQ191">
        <f t="shared" si="153"/>
        <v>0</v>
      </c>
      <c r="BR191">
        <f t="shared" si="154"/>
        <v>0</v>
      </c>
      <c r="BS191">
        <f t="shared" si="155"/>
        <v>0</v>
      </c>
      <c r="BT191">
        <f t="shared" si="156"/>
        <v>0</v>
      </c>
      <c r="BU191">
        <f t="shared" si="157"/>
        <v>0</v>
      </c>
      <c r="BV191">
        <f t="shared" si="158"/>
        <v>0</v>
      </c>
      <c r="BW191">
        <f t="shared" si="159"/>
        <v>0</v>
      </c>
      <c r="BX191">
        <f t="shared" si="160"/>
        <v>0</v>
      </c>
    </row>
    <row r="192" spans="2:76">
      <c r="B192" s="19">
        <f>Tiers!B193</f>
        <v>190</v>
      </c>
      <c r="C192" s="20" t="str">
        <f>Tiers!X193</f>
        <v>main-4|main-19|wild-17|||||||</v>
      </c>
      <c r="D192" s="21">
        <f>Tiers!C193</f>
        <v>17</v>
      </c>
      <c r="E192" s="22">
        <f>Frequency!E194</f>
        <v>50</v>
      </c>
      <c r="F192" s="22">
        <f t="shared" si="110"/>
        <v>850</v>
      </c>
      <c r="G192" s="20">
        <f>IF(AND(D192/Summary!$C$4&gt;0, D192/Summary!$C$4&lt;5),E192,0) * D192</f>
        <v>0</v>
      </c>
      <c r="H192" s="20">
        <f>IF(AND(D192/Summary!$C$4&gt;= 5, D192/Summary!$C$4&lt;10),E192,0) * D192</f>
        <v>0</v>
      </c>
      <c r="I192" s="20">
        <f>IF(AND(D192/Summary!$C$4&gt;=10, D192/Summary!$C$4&lt;25),E192,0)*D192</f>
        <v>850</v>
      </c>
      <c r="J192" s="20">
        <f>IF(D192/Summary!$C$4&gt;=25,E192,0)*D192</f>
        <v>0</v>
      </c>
      <c r="K192" s="35">
        <f>IF(AND(D192/Frequency!$N$7&gt;0, D192/Frequency!$N$7&lt;1),E192,0)</f>
        <v>0</v>
      </c>
      <c r="L192" s="35">
        <f t="shared" si="111"/>
        <v>0</v>
      </c>
      <c r="M192" s="35">
        <f>IF(D192/Frequency!$N$7=1,1,0)*E192</f>
        <v>0</v>
      </c>
      <c r="N192" s="35">
        <f t="shared" si="112"/>
        <v>0</v>
      </c>
      <c r="O192" s="35">
        <f>IF(AND(D192/Frequency!$N$7&gt;1, D192/Frequency!$N$7&lt;=2),1,0)*E192</f>
        <v>0</v>
      </c>
      <c r="P192" s="35">
        <f t="shared" si="113"/>
        <v>0</v>
      </c>
      <c r="Q192" s="35">
        <f>IF(AND(D192/Frequency!$N$7&gt;2,D192/Frequency!$N$7&lt;=5),1,0)*E192</f>
        <v>0</v>
      </c>
      <c r="R192" s="35">
        <f t="shared" si="114"/>
        <v>0</v>
      </c>
      <c r="S192" s="35">
        <f>IF(AND(D192/Frequency!$N$7&gt;5, D192/Frequency!$N$7&lt;=10),1,0)*E192</f>
        <v>0</v>
      </c>
      <c r="T192" s="35">
        <f t="shared" si="115"/>
        <v>0</v>
      </c>
      <c r="U192" s="35">
        <f>IF(AND(D192/Frequency!$N$7&gt;10, D192/Frequency!$N$7&lt;=20),1,0)*E192</f>
        <v>50</v>
      </c>
      <c r="V192" s="35">
        <f t="shared" si="116"/>
        <v>850</v>
      </c>
      <c r="W192" s="35">
        <f>IF(AND(D192/Frequency!$N$7&gt;20, D192/Frequency!$N$7&lt;=30),1,0)*E192</f>
        <v>0</v>
      </c>
      <c r="X192" s="35">
        <f t="shared" si="117"/>
        <v>0</v>
      </c>
      <c r="Y192" s="35">
        <f>IF(AND(D192/Frequency!$N$7&gt;30, D192/Frequency!$N$7&lt;=50),1,0)*E192</f>
        <v>0</v>
      </c>
      <c r="Z192" s="35">
        <f t="shared" si="118"/>
        <v>0</v>
      </c>
      <c r="AA192" s="35">
        <f>IF(AND(D192/Frequency!$N$7&gt;50, D192/Frequency!$N$7&lt;=100),1,0)*E192</f>
        <v>0</v>
      </c>
      <c r="AB192" s="35">
        <f t="shared" si="119"/>
        <v>0</v>
      </c>
      <c r="AC192" s="35">
        <f>IF(D192/Frequency!$N$7&gt;100,1,0)*E192</f>
        <v>0</v>
      </c>
      <c r="AD192" s="35">
        <f t="shared" si="120"/>
        <v>0</v>
      </c>
      <c r="AE192" s="22">
        <f t="shared" si="121"/>
        <v>0</v>
      </c>
      <c r="AF192" s="22">
        <f t="shared" si="122"/>
        <v>0</v>
      </c>
      <c r="AG192" s="22">
        <f t="shared" si="123"/>
        <v>0</v>
      </c>
      <c r="AH192" s="22">
        <f t="shared" si="124"/>
        <v>0</v>
      </c>
      <c r="AI192" s="35">
        <f t="shared" si="125"/>
        <v>1</v>
      </c>
      <c r="AJ192" s="35">
        <f t="shared" si="126"/>
        <v>50</v>
      </c>
      <c r="AK192" s="35">
        <f t="shared" si="127"/>
        <v>850</v>
      </c>
      <c r="AL192">
        <f t="shared" si="128"/>
        <v>1</v>
      </c>
      <c r="AM192">
        <f t="shared" si="129"/>
        <v>50</v>
      </c>
      <c r="AN192">
        <f t="shared" si="130"/>
        <v>850</v>
      </c>
      <c r="AO192">
        <f t="shared" si="131"/>
        <v>1</v>
      </c>
      <c r="AP192">
        <f t="shared" si="132"/>
        <v>50</v>
      </c>
      <c r="AQ192">
        <f t="shared" si="133"/>
        <v>850</v>
      </c>
      <c r="AR192">
        <f t="shared" si="134"/>
        <v>0</v>
      </c>
      <c r="AS192">
        <f t="shared" si="135"/>
        <v>0</v>
      </c>
      <c r="AT192">
        <f t="shared" si="136"/>
        <v>0</v>
      </c>
      <c r="AU192">
        <f t="shared" si="137"/>
        <v>0</v>
      </c>
      <c r="AV192">
        <v>0</v>
      </c>
      <c r="AW192">
        <v>0</v>
      </c>
      <c r="AX192">
        <f t="shared" si="138"/>
        <v>0</v>
      </c>
      <c r="AY192">
        <f t="shared" si="139"/>
        <v>0</v>
      </c>
      <c r="AZ192">
        <f t="shared" si="140"/>
        <v>0</v>
      </c>
      <c r="BA192">
        <f t="shared" si="141"/>
        <v>0</v>
      </c>
      <c r="BB192">
        <f t="shared" si="142"/>
        <v>0</v>
      </c>
      <c r="BC192">
        <f t="shared" si="143"/>
        <v>0</v>
      </c>
      <c r="BD192">
        <f t="shared" si="144"/>
        <v>0</v>
      </c>
      <c r="BE192">
        <f t="shared" si="145"/>
        <v>0</v>
      </c>
      <c r="BF192">
        <f t="shared" si="146"/>
        <v>0</v>
      </c>
      <c r="BG192">
        <f t="shared" si="147"/>
        <v>0</v>
      </c>
      <c r="BH192">
        <f t="shared" si="148"/>
        <v>0</v>
      </c>
      <c r="BI192">
        <f t="shared" si="149"/>
        <v>0</v>
      </c>
      <c r="BJ192">
        <v>0</v>
      </c>
      <c r="BK192" t="str">
        <f t="shared" si="163"/>
        <v>Big Win</v>
      </c>
      <c r="BL192" s="40" t="str">
        <f t="shared" si="164"/>
        <v>Combo Win</v>
      </c>
      <c r="BM192">
        <f>(D192/Frequency!$N$7-Summary!$C$7)^2*E192</f>
        <v>13057.28</v>
      </c>
      <c r="BN192">
        <f t="shared" si="150"/>
        <v>0</v>
      </c>
      <c r="BO192">
        <f t="shared" si="151"/>
        <v>0</v>
      </c>
      <c r="BP192">
        <f t="shared" si="152"/>
        <v>0</v>
      </c>
      <c r="BQ192">
        <f t="shared" si="153"/>
        <v>0</v>
      </c>
      <c r="BR192">
        <f t="shared" si="154"/>
        <v>0</v>
      </c>
      <c r="BS192">
        <f t="shared" si="155"/>
        <v>0</v>
      </c>
      <c r="BT192">
        <f t="shared" si="156"/>
        <v>0</v>
      </c>
      <c r="BU192">
        <f t="shared" si="157"/>
        <v>0</v>
      </c>
      <c r="BV192">
        <f t="shared" si="158"/>
        <v>0</v>
      </c>
      <c r="BW192">
        <f t="shared" si="159"/>
        <v>0</v>
      </c>
      <c r="BX192">
        <f t="shared" si="160"/>
        <v>0</v>
      </c>
    </row>
    <row r="193" spans="2:76">
      <c r="B193" s="19">
        <f>Tiers!B194</f>
        <v>191</v>
      </c>
      <c r="C193" s="20" t="str">
        <f>Tiers!X194</f>
        <v>main-3|main-20|wild-11|||||||</v>
      </c>
      <c r="D193" s="21">
        <f>Tiers!C194</f>
        <v>13</v>
      </c>
      <c r="E193" s="22">
        <f>Frequency!E195</f>
        <v>111</v>
      </c>
      <c r="F193" s="22">
        <f t="shared" si="110"/>
        <v>1443</v>
      </c>
      <c r="G193" s="20">
        <f>IF(AND(D193/Summary!$C$4&gt;0, D193/Summary!$C$4&lt;5),E193,0) * D193</f>
        <v>0</v>
      </c>
      <c r="H193" s="20">
        <f>IF(AND(D193/Summary!$C$4&gt;= 5, D193/Summary!$C$4&lt;10),E193,0) * D193</f>
        <v>0</v>
      </c>
      <c r="I193" s="20">
        <f>IF(AND(D193/Summary!$C$4&gt;=10, D193/Summary!$C$4&lt;25),E193,0)*D193</f>
        <v>1443</v>
      </c>
      <c r="J193" s="20">
        <f>IF(D193/Summary!$C$4&gt;=25,E193,0)*D193</f>
        <v>0</v>
      </c>
      <c r="K193" s="35">
        <f>IF(AND(D193/Frequency!$N$7&gt;0, D193/Frequency!$N$7&lt;1),E193,0)</f>
        <v>0</v>
      </c>
      <c r="L193" s="35">
        <f t="shared" si="111"/>
        <v>0</v>
      </c>
      <c r="M193" s="35">
        <f>IF(D193/Frequency!$N$7=1,1,0)*E193</f>
        <v>0</v>
      </c>
      <c r="N193" s="35">
        <f t="shared" si="112"/>
        <v>0</v>
      </c>
      <c r="O193" s="35">
        <f>IF(AND(D193/Frequency!$N$7&gt;1, D193/Frequency!$N$7&lt;=2),1,0)*E193</f>
        <v>0</v>
      </c>
      <c r="P193" s="35">
        <f t="shared" si="113"/>
        <v>0</v>
      </c>
      <c r="Q193" s="35">
        <f>IF(AND(D193/Frequency!$N$7&gt;2,D193/Frequency!$N$7&lt;=5),1,0)*E193</f>
        <v>0</v>
      </c>
      <c r="R193" s="35">
        <f t="shared" si="114"/>
        <v>0</v>
      </c>
      <c r="S193" s="35">
        <f>IF(AND(D193/Frequency!$N$7&gt;5, D193/Frequency!$N$7&lt;=10),1,0)*E193</f>
        <v>0</v>
      </c>
      <c r="T193" s="35">
        <f t="shared" si="115"/>
        <v>0</v>
      </c>
      <c r="U193" s="35">
        <f>IF(AND(D193/Frequency!$N$7&gt;10, D193/Frequency!$N$7&lt;=20),1,0)*E193</f>
        <v>111</v>
      </c>
      <c r="V193" s="35">
        <f t="shared" si="116"/>
        <v>1443</v>
      </c>
      <c r="W193" s="35">
        <f>IF(AND(D193/Frequency!$N$7&gt;20, D193/Frequency!$N$7&lt;=30),1,0)*E193</f>
        <v>0</v>
      </c>
      <c r="X193" s="35">
        <f t="shared" si="117"/>
        <v>0</v>
      </c>
      <c r="Y193" s="35">
        <f>IF(AND(D193/Frequency!$N$7&gt;30, D193/Frequency!$N$7&lt;=50),1,0)*E193</f>
        <v>0</v>
      </c>
      <c r="Z193" s="35">
        <f t="shared" si="118"/>
        <v>0</v>
      </c>
      <c r="AA193" s="35">
        <f>IF(AND(D193/Frequency!$N$7&gt;50, D193/Frequency!$N$7&lt;=100),1,0)*E193</f>
        <v>0</v>
      </c>
      <c r="AB193" s="35">
        <f t="shared" si="119"/>
        <v>0</v>
      </c>
      <c r="AC193" s="35">
        <f>IF(D193/Frequency!$N$7&gt;100,1,0)*E193</f>
        <v>0</v>
      </c>
      <c r="AD193" s="35">
        <f t="shared" si="120"/>
        <v>0</v>
      </c>
      <c r="AE193" s="22">
        <f t="shared" si="121"/>
        <v>0</v>
      </c>
      <c r="AF193" s="22">
        <f t="shared" si="122"/>
        <v>0</v>
      </c>
      <c r="AG193" s="22">
        <f t="shared" si="123"/>
        <v>0</v>
      </c>
      <c r="AH193" s="22">
        <f t="shared" si="124"/>
        <v>0</v>
      </c>
      <c r="AI193" s="35">
        <f t="shared" si="125"/>
        <v>1</v>
      </c>
      <c r="AJ193" s="35">
        <f t="shared" si="126"/>
        <v>111</v>
      </c>
      <c r="AK193" s="35">
        <f t="shared" si="127"/>
        <v>1443</v>
      </c>
      <c r="AL193">
        <f t="shared" si="128"/>
        <v>1</v>
      </c>
      <c r="AM193">
        <f t="shared" si="129"/>
        <v>111</v>
      </c>
      <c r="AN193">
        <f t="shared" si="130"/>
        <v>1443</v>
      </c>
      <c r="AO193">
        <f t="shared" si="131"/>
        <v>1</v>
      </c>
      <c r="AP193">
        <f t="shared" si="132"/>
        <v>111</v>
      </c>
      <c r="AQ193">
        <f t="shared" si="133"/>
        <v>1443</v>
      </c>
      <c r="AR193">
        <f t="shared" si="134"/>
        <v>0</v>
      </c>
      <c r="AS193">
        <f t="shared" si="135"/>
        <v>0</v>
      </c>
      <c r="AT193">
        <f t="shared" si="136"/>
        <v>0</v>
      </c>
      <c r="AU193">
        <f t="shared" si="137"/>
        <v>0</v>
      </c>
      <c r="AV193">
        <v>0</v>
      </c>
      <c r="AW193">
        <v>0</v>
      </c>
      <c r="AX193">
        <f t="shared" si="138"/>
        <v>0</v>
      </c>
      <c r="AY193">
        <f t="shared" si="139"/>
        <v>0</v>
      </c>
      <c r="AZ193">
        <f t="shared" si="140"/>
        <v>0</v>
      </c>
      <c r="BA193">
        <f t="shared" si="141"/>
        <v>0</v>
      </c>
      <c r="BB193">
        <f t="shared" si="142"/>
        <v>0</v>
      </c>
      <c r="BC193">
        <f t="shared" si="143"/>
        <v>0</v>
      </c>
      <c r="BD193">
        <f t="shared" si="144"/>
        <v>0</v>
      </c>
      <c r="BE193">
        <f t="shared" si="145"/>
        <v>0</v>
      </c>
      <c r="BF193">
        <f t="shared" si="146"/>
        <v>0</v>
      </c>
      <c r="BG193">
        <f t="shared" si="147"/>
        <v>0</v>
      </c>
      <c r="BH193">
        <f t="shared" si="148"/>
        <v>0</v>
      </c>
      <c r="BI193">
        <f t="shared" si="149"/>
        <v>0</v>
      </c>
      <c r="BJ193">
        <v>0</v>
      </c>
      <c r="BK193" t="str">
        <f t="shared" si="163"/>
        <v>Big Win</v>
      </c>
      <c r="BL193" s="40" t="str">
        <f t="shared" si="164"/>
        <v>Combo Win</v>
      </c>
      <c r="BM193">
        <f>(D193/Frequency!$N$7-Summary!$C$7)^2*E193</f>
        <v>16413.081600000001</v>
      </c>
      <c r="BN193">
        <f t="shared" si="150"/>
        <v>0</v>
      </c>
      <c r="BO193">
        <f t="shared" si="151"/>
        <v>0</v>
      </c>
      <c r="BP193">
        <f t="shared" si="152"/>
        <v>0</v>
      </c>
      <c r="BQ193">
        <f t="shared" si="153"/>
        <v>0</v>
      </c>
      <c r="BR193">
        <f t="shared" si="154"/>
        <v>0</v>
      </c>
      <c r="BS193">
        <f t="shared" si="155"/>
        <v>0</v>
      </c>
      <c r="BT193">
        <f t="shared" si="156"/>
        <v>0</v>
      </c>
      <c r="BU193">
        <f t="shared" si="157"/>
        <v>0</v>
      </c>
      <c r="BV193">
        <f t="shared" si="158"/>
        <v>0</v>
      </c>
      <c r="BW193">
        <f t="shared" si="159"/>
        <v>0</v>
      </c>
      <c r="BX193">
        <f t="shared" si="160"/>
        <v>0</v>
      </c>
    </row>
    <row r="194" spans="2:76">
      <c r="B194" s="19">
        <f>Tiers!B195</f>
        <v>192</v>
      </c>
      <c r="C194" s="20" t="str">
        <f>Tiers!X195</f>
        <v>main-4|main-5|wild-12|||||||</v>
      </c>
      <c r="D194" s="21">
        <f>Tiers!C195</f>
        <v>10</v>
      </c>
      <c r="E194" s="22">
        <f>Frequency!E196</f>
        <v>105</v>
      </c>
      <c r="F194" s="22">
        <f t="shared" ref="F194:F257" si="165">E194*D194</f>
        <v>1050</v>
      </c>
      <c r="G194" s="20">
        <f>IF(AND(D194/Summary!$C$4&gt;0, D194/Summary!$C$4&lt;5),E194,0) * D194</f>
        <v>0</v>
      </c>
      <c r="H194" s="20">
        <f>IF(AND(D194/Summary!$C$4&gt;= 5, D194/Summary!$C$4&lt;10),E194,0) * D194</f>
        <v>0</v>
      </c>
      <c r="I194" s="20">
        <f>IF(AND(D194/Summary!$C$4&gt;=10, D194/Summary!$C$4&lt;25),E194,0)*D194</f>
        <v>1050</v>
      </c>
      <c r="J194" s="20">
        <f>IF(D194/Summary!$C$4&gt;=25,E194,0)*D194</f>
        <v>0</v>
      </c>
      <c r="K194" s="35">
        <f>IF(AND(D194/Frequency!$N$7&gt;0, D194/Frequency!$N$7&lt;1),E194,0)</f>
        <v>0</v>
      </c>
      <c r="L194" s="35">
        <f t="shared" ref="L194:L257" si="166">IF(K194&gt;0,D194*E194,0)</f>
        <v>0</v>
      </c>
      <c r="M194" s="35">
        <f>IF(D194/Frequency!$N$7=1,1,0)*E194</f>
        <v>0</v>
      </c>
      <c r="N194" s="35">
        <f t="shared" ref="N194:N257" si="167">IF(M194&gt;0,D194*E194,0)</f>
        <v>0</v>
      </c>
      <c r="O194" s="35">
        <f>IF(AND(D194/Frequency!$N$7&gt;1, D194/Frequency!$N$7&lt;=2),1,0)*E194</f>
        <v>0</v>
      </c>
      <c r="P194" s="35">
        <f t="shared" ref="P194:P257" si="168">IF(O194&gt;0,D194*E194,0)</f>
        <v>0</v>
      </c>
      <c r="Q194" s="35">
        <f>IF(AND(D194/Frequency!$N$7&gt;2,D194/Frequency!$N$7&lt;=5),1,0)*E194</f>
        <v>0</v>
      </c>
      <c r="R194" s="35">
        <f t="shared" ref="R194:R257" si="169">IF(Q194&gt;0,D194*E194,0)</f>
        <v>0</v>
      </c>
      <c r="S194" s="35">
        <f>IF(AND(D194/Frequency!$N$7&gt;5, D194/Frequency!$N$7&lt;=10),1,0)*E194</f>
        <v>105</v>
      </c>
      <c r="T194" s="35">
        <f t="shared" ref="T194:T257" si="170">IF(S194&gt;0,D194*E194,0)</f>
        <v>1050</v>
      </c>
      <c r="U194" s="35">
        <f>IF(AND(D194/Frequency!$N$7&gt;10, D194/Frequency!$N$7&lt;=20),1,0)*E194</f>
        <v>0</v>
      </c>
      <c r="V194" s="35">
        <f t="shared" ref="V194:V257" si="171">IF(U194&gt;0,D194*E194,0)</f>
        <v>0</v>
      </c>
      <c r="W194" s="35">
        <f>IF(AND(D194/Frequency!$N$7&gt;20, D194/Frequency!$N$7&lt;=30),1,0)*E194</f>
        <v>0</v>
      </c>
      <c r="X194" s="35">
        <f t="shared" ref="X194:X257" si="172">IF(W194&gt;0,D194*E194,0)</f>
        <v>0</v>
      </c>
      <c r="Y194" s="35">
        <f>IF(AND(D194/Frequency!$N$7&gt;30, D194/Frequency!$N$7&lt;=50),1,0)*E194</f>
        <v>0</v>
      </c>
      <c r="Z194" s="35">
        <f t="shared" ref="Z194:Z257" si="173">IF(Y194&gt;0,D194*E194,0)</f>
        <v>0</v>
      </c>
      <c r="AA194" s="35">
        <f>IF(AND(D194/Frequency!$N$7&gt;50, D194/Frequency!$N$7&lt;=100),1,0)*E194</f>
        <v>0</v>
      </c>
      <c r="AB194" s="35">
        <f t="shared" ref="AB194:AB257" si="174">IF(AA194&gt;0,D194*E194,0)</f>
        <v>0</v>
      </c>
      <c r="AC194" s="35">
        <f>IF(D194/Frequency!$N$7&gt;100,1,0)*E194</f>
        <v>0</v>
      </c>
      <c r="AD194" s="35">
        <f t="shared" ref="AD194:AD257" si="175">IF(AC194&gt;0,D194*E194,0)</f>
        <v>0</v>
      </c>
      <c r="AE194" s="22">
        <f t="shared" ref="AE194:AE257" si="176">IF(AU194&gt;0,E194,0)</f>
        <v>0</v>
      </c>
      <c r="AF194" s="22">
        <f t="shared" ref="AF194:AF257" si="177">IF(AX194+BA194&gt;0,E194,0)</f>
        <v>0</v>
      </c>
      <c r="AG194" s="22">
        <f t="shared" ref="AG194:AG257" si="178">AF194*D194</f>
        <v>0</v>
      </c>
      <c r="AH194" s="22">
        <f t="shared" ref="AH194:AH257" si="179">IF(BG194&gt;0,E194,0)</f>
        <v>0</v>
      </c>
      <c r="AI194" s="35">
        <f t="shared" ref="AI194:AI257" si="180">IF(ISNUMBER(SEARCH("|||||||||",C194)),0,1)</f>
        <v>1</v>
      </c>
      <c r="AJ194" s="35">
        <f t="shared" ref="AJ194:AJ257" si="181">IF(AI194=1, E194,0)</f>
        <v>105</v>
      </c>
      <c r="AK194" s="35">
        <f t="shared" ref="AK194:AK257" si="182">IF(AJ194&gt;0,D194*E194,0)</f>
        <v>1050</v>
      </c>
      <c r="AL194">
        <f t="shared" ref="AL194:AL257" si="183">IF(ISNUMBER(SEARCH("wild",C194)),1,0)</f>
        <v>1</v>
      </c>
      <c r="AM194">
        <f t="shared" ref="AM194:AM257" si="184">IF(AL194=1, E194,0)</f>
        <v>105</v>
      </c>
      <c r="AN194">
        <f t="shared" ref="AN194:AN257" si="185">IF(AM194&gt;0,D194*E194,0)</f>
        <v>1050</v>
      </c>
      <c r="AO194">
        <f t="shared" ref="AO194:AO257" si="186">IF(ISNUMBER(SEARCH("wild-",C194)),1,0)</f>
        <v>1</v>
      </c>
      <c r="AP194">
        <f t="shared" ref="AP194:AP257" si="187">IF(AO194=1, E194,0)</f>
        <v>105</v>
      </c>
      <c r="AQ194">
        <f t="shared" ref="AQ194:AQ257" si="188">IF(AP194&gt;0,D194*E194,0)</f>
        <v>1050</v>
      </c>
      <c r="AR194">
        <f t="shared" ref="AR194:AR257" si="189">IF(ISNUMBER(SEARCH("wildX",C194)),1,0)</f>
        <v>0</v>
      </c>
      <c r="AS194">
        <f t="shared" ref="AS194:AS257" si="190">IF(AR194=1, E194,0)</f>
        <v>0</v>
      </c>
      <c r="AT194">
        <f t="shared" ref="AT194:AT257" si="191">IF(AS194&gt;0,D194*E194,0)</f>
        <v>0</v>
      </c>
      <c r="AU194">
        <f t="shared" ref="AU194:AU257" si="192">IF(ISNUMBER(SEARCH("FreePlay",C194)),1,0)</f>
        <v>0</v>
      </c>
      <c r="AV194">
        <v>0</v>
      </c>
      <c r="AW194">
        <v>0</v>
      </c>
      <c r="AX194">
        <f t="shared" ref="AX194:AX257" si="193">IF(ISNUMBER(SEARCH("bonusA",C194)),1,0)</f>
        <v>0</v>
      </c>
      <c r="AY194">
        <f t="shared" ref="AY194:AY257" si="194">AX194*E194</f>
        <v>0</v>
      </c>
      <c r="AZ194">
        <f t="shared" ref="AZ194:AZ257" si="195">AY194*D194</f>
        <v>0</v>
      </c>
      <c r="BA194">
        <f t="shared" ref="BA194:BA257" si="196">IF(ISNUMBER(SEARCH("bonusB",C194)),1,0)</f>
        <v>0</v>
      </c>
      <c r="BB194">
        <f t="shared" ref="BB194:BB257" si="197">BA194*E194</f>
        <v>0</v>
      </c>
      <c r="BC194">
        <f t="shared" ref="BC194:BC257" si="198">BB194*D194</f>
        <v>0</v>
      </c>
      <c r="BD194">
        <f t="shared" ref="BD194:BD257" si="199">IF(ISNUMBER(SEARCH("bonusC",C194)),1,0)</f>
        <v>0</v>
      </c>
      <c r="BE194">
        <f t="shared" ref="BE194:BE257" si="200">BD194*E194</f>
        <v>0</v>
      </c>
      <c r="BF194">
        <f t="shared" ref="BF194:BF257" si="201">BE194*D194</f>
        <v>0</v>
      </c>
      <c r="BG194">
        <f t="shared" ref="BG194:BG257" si="202">IF(ISNUMBER(SEARCH("Instant",C194)),1,0)</f>
        <v>0</v>
      </c>
      <c r="BH194">
        <f t="shared" ref="BH194:BH257" si="203">BG194*E194</f>
        <v>0</v>
      </c>
      <c r="BI194">
        <f t="shared" ref="BI194:BI257" si="204">BH194*D194</f>
        <v>0</v>
      </c>
      <c r="BJ194">
        <v>0</v>
      </c>
      <c r="BK194" t="str">
        <f>IF(D194 &lt; $D$417, $C$417,
      IF(D194 = $D$418, $C$418,
          IF(D194 &lt; $D$419, $C$419,
              IF(D194 &lt; $D$420, $C$420,
                 IF(D194 &lt; $D$421, $C$421, $C$422)))))</f>
        <v>Big Win</v>
      </c>
      <c r="BL194" s="40" t="str">
        <f>IF(AU194 = 1,$C$426,
      IF(AV194 = 1,$C$427,
          IF(AW194 = 1,$C$428,
              IF(AX194 = 1,$C$429,
                  IF(BA194 = 1,$C$430,
                     IF(BD194 = 1,$C$431,
                        IF(BG194 = 1,$C$432,
                           IF(ISNUMBER(SEARCH("|||||||||",C194)), $C$433,$C$434))))))))</f>
        <v>Combo Win</v>
      </c>
      <c r="BM194">
        <f>(D194/Frequency!$N$7-Summary!$C$7)^2*E194</f>
        <v>8810.0880000000016</v>
      </c>
      <c r="BN194">
        <f t="shared" ref="BN194:BN257" si="205">IF(AU194=1, E194*D194,0)</f>
        <v>0</v>
      </c>
      <c r="BO194">
        <f t="shared" ref="BO194:BO257" si="206">IF(BG194=1, D194*E194,0)</f>
        <v>0</v>
      </c>
      <c r="BP194">
        <f t="shared" ref="BP194:BP257" si="207">IF(BJ194&gt;0,BJ194*E194,0)</f>
        <v>0</v>
      </c>
      <c r="BQ194">
        <f t="shared" ref="BQ194:BQ257" si="208">IF(AND(AU194=1, AI194=0),E194,0)</f>
        <v>0</v>
      </c>
      <c r="BR194">
        <f t="shared" ref="BR194:BR257" si="209">IF(BQ194&gt;0,E194*D194,0)</f>
        <v>0</v>
      </c>
      <c r="BS194">
        <f t="shared" ref="BS194:BS257" si="210">IF(AND(AU194=1, AI194=1),E194,0)</f>
        <v>0</v>
      </c>
      <c r="BT194">
        <f t="shared" ref="BT194:BT257" si="211">IF(BS194&gt;0,E194*D194,0)</f>
        <v>0</v>
      </c>
      <c r="BU194">
        <f t="shared" ref="BU194:BU257" si="212">IF(AND(AX194+BA194=1, AI194=0),E194,0)</f>
        <v>0</v>
      </c>
      <c r="BV194">
        <f t="shared" ref="BV194:BV257" si="213">IF(BU194&gt;0,E194*D194,0)</f>
        <v>0</v>
      </c>
      <c r="BW194">
        <f t="shared" ref="BW194:BW257" si="214">IF(AND(AX194+BA194=1, AI194=1),E194,0)</f>
        <v>0</v>
      </c>
      <c r="BX194">
        <f t="shared" ref="BX194:BX257" si="215">IF(BW194&gt;0,E194*D194,0)</f>
        <v>0</v>
      </c>
    </row>
    <row r="195" spans="2:76">
      <c r="B195" s="19">
        <f>Tiers!B196</f>
        <v>193</v>
      </c>
      <c r="C195" s="20" t="str">
        <f>Tiers!X196</f>
        <v>main-5|main-25|wild-13|||||||</v>
      </c>
      <c r="D195" s="21">
        <f>Tiers!C196</f>
        <v>15</v>
      </c>
      <c r="E195" s="22">
        <f>Frequency!E197</f>
        <v>50</v>
      </c>
      <c r="F195" s="22">
        <f t="shared" si="165"/>
        <v>750</v>
      </c>
      <c r="G195" s="20">
        <f>IF(AND(D195/Summary!$C$4&gt;0, D195/Summary!$C$4&lt;5),E195,0) * D195</f>
        <v>0</v>
      </c>
      <c r="H195" s="20">
        <f>IF(AND(D195/Summary!$C$4&gt;= 5, D195/Summary!$C$4&lt;10),E195,0) * D195</f>
        <v>0</v>
      </c>
      <c r="I195" s="20">
        <f>IF(AND(D195/Summary!$C$4&gt;=10, D195/Summary!$C$4&lt;25),E195,0)*D195</f>
        <v>750</v>
      </c>
      <c r="J195" s="20">
        <f>IF(D195/Summary!$C$4&gt;=25,E195,0)*D195</f>
        <v>0</v>
      </c>
      <c r="K195" s="35">
        <f>IF(AND(D195/Frequency!$N$7&gt;0, D195/Frequency!$N$7&lt;1),E195,0)</f>
        <v>0</v>
      </c>
      <c r="L195" s="35">
        <f t="shared" si="166"/>
        <v>0</v>
      </c>
      <c r="M195" s="35">
        <f>IF(D195/Frequency!$N$7=1,1,0)*E195</f>
        <v>0</v>
      </c>
      <c r="N195" s="35">
        <f t="shared" si="167"/>
        <v>0</v>
      </c>
      <c r="O195" s="35">
        <f>IF(AND(D195/Frequency!$N$7&gt;1, D195/Frequency!$N$7&lt;=2),1,0)*E195</f>
        <v>0</v>
      </c>
      <c r="P195" s="35">
        <f t="shared" si="168"/>
        <v>0</v>
      </c>
      <c r="Q195" s="35">
        <f>IF(AND(D195/Frequency!$N$7&gt;2,D195/Frequency!$N$7&lt;=5),1,0)*E195</f>
        <v>0</v>
      </c>
      <c r="R195" s="35">
        <f t="shared" si="169"/>
        <v>0</v>
      </c>
      <c r="S195" s="35">
        <f>IF(AND(D195/Frequency!$N$7&gt;5, D195/Frequency!$N$7&lt;=10),1,0)*E195</f>
        <v>0</v>
      </c>
      <c r="T195" s="35">
        <f t="shared" si="170"/>
        <v>0</v>
      </c>
      <c r="U195" s="35">
        <f>IF(AND(D195/Frequency!$N$7&gt;10, D195/Frequency!$N$7&lt;=20),1,0)*E195</f>
        <v>50</v>
      </c>
      <c r="V195" s="35">
        <f t="shared" si="171"/>
        <v>750</v>
      </c>
      <c r="W195" s="35">
        <f>IF(AND(D195/Frequency!$N$7&gt;20, D195/Frequency!$N$7&lt;=30),1,0)*E195</f>
        <v>0</v>
      </c>
      <c r="X195" s="35">
        <f t="shared" si="172"/>
        <v>0</v>
      </c>
      <c r="Y195" s="35">
        <f>IF(AND(D195/Frequency!$N$7&gt;30, D195/Frequency!$N$7&lt;=50),1,0)*E195</f>
        <v>0</v>
      </c>
      <c r="Z195" s="35">
        <f t="shared" si="173"/>
        <v>0</v>
      </c>
      <c r="AA195" s="35">
        <f>IF(AND(D195/Frequency!$N$7&gt;50, D195/Frequency!$N$7&lt;=100),1,0)*E195</f>
        <v>0</v>
      </c>
      <c r="AB195" s="35">
        <f t="shared" si="174"/>
        <v>0</v>
      </c>
      <c r="AC195" s="35">
        <f>IF(D195/Frequency!$N$7&gt;100,1,0)*E195</f>
        <v>0</v>
      </c>
      <c r="AD195" s="35">
        <f t="shared" si="175"/>
        <v>0</v>
      </c>
      <c r="AE195" s="22">
        <f t="shared" si="176"/>
        <v>0</v>
      </c>
      <c r="AF195" s="22">
        <f t="shared" si="177"/>
        <v>0</v>
      </c>
      <c r="AG195" s="22">
        <f t="shared" si="178"/>
        <v>0</v>
      </c>
      <c r="AH195" s="22">
        <f t="shared" si="179"/>
        <v>0</v>
      </c>
      <c r="AI195" s="35">
        <f t="shared" si="180"/>
        <v>1</v>
      </c>
      <c r="AJ195" s="35">
        <f t="shared" si="181"/>
        <v>50</v>
      </c>
      <c r="AK195" s="35">
        <f t="shared" si="182"/>
        <v>750</v>
      </c>
      <c r="AL195">
        <f t="shared" si="183"/>
        <v>1</v>
      </c>
      <c r="AM195">
        <f t="shared" si="184"/>
        <v>50</v>
      </c>
      <c r="AN195">
        <f t="shared" si="185"/>
        <v>750</v>
      </c>
      <c r="AO195">
        <f t="shared" si="186"/>
        <v>1</v>
      </c>
      <c r="AP195">
        <f t="shared" si="187"/>
        <v>50</v>
      </c>
      <c r="AQ195">
        <f t="shared" si="188"/>
        <v>750</v>
      </c>
      <c r="AR195">
        <f t="shared" si="189"/>
        <v>0</v>
      </c>
      <c r="AS195">
        <f t="shared" si="190"/>
        <v>0</v>
      </c>
      <c r="AT195">
        <f t="shared" si="191"/>
        <v>0</v>
      </c>
      <c r="AU195">
        <f t="shared" si="192"/>
        <v>0</v>
      </c>
      <c r="AV195">
        <v>0</v>
      </c>
      <c r="AW195">
        <v>0</v>
      </c>
      <c r="AX195">
        <f t="shared" si="193"/>
        <v>0</v>
      </c>
      <c r="AY195">
        <f t="shared" si="194"/>
        <v>0</v>
      </c>
      <c r="AZ195">
        <f t="shared" si="195"/>
        <v>0</v>
      </c>
      <c r="BA195">
        <f t="shared" si="196"/>
        <v>0</v>
      </c>
      <c r="BB195">
        <f t="shared" si="197"/>
        <v>0</v>
      </c>
      <c r="BC195">
        <f t="shared" si="198"/>
        <v>0</v>
      </c>
      <c r="BD195">
        <f t="shared" si="199"/>
        <v>0</v>
      </c>
      <c r="BE195">
        <f t="shared" si="200"/>
        <v>0</v>
      </c>
      <c r="BF195">
        <f t="shared" si="201"/>
        <v>0</v>
      </c>
      <c r="BG195">
        <f t="shared" si="202"/>
        <v>0</v>
      </c>
      <c r="BH195">
        <f t="shared" si="203"/>
        <v>0</v>
      </c>
      <c r="BI195">
        <f t="shared" si="204"/>
        <v>0</v>
      </c>
      <c r="BJ195">
        <v>0</v>
      </c>
      <c r="BK195" t="str">
        <f t="shared" ref="BK195:BK226" si="216">IF(D195 &lt; $D$417, $C$417,
IF(D195 = $D$418, $C$418,
IF(D195 &lt; $D$419, $C$419,
IF(D195 &lt; $D$420, $C$420,
IF(D195 &lt; $D$421, $C$421, $C$422)))))</f>
        <v>Big Win</v>
      </c>
      <c r="BL195" s="40" t="str">
        <f t="shared" ref="BL195:BL226" si="217">IF(AU195 = 1,$C$426,
IF(AV195 = 1,$C$427,
IF(AW195 = 1,$C$428,
IF(AX195 = 1,$C$429,
IF(BA195 = 1,$C$430,
IF(BD195 = 1,$C$431,
IF(BG195 = 1,$C$432,
IF(ISNUMBER(SEARCH("|||||||||",C195)), $C$433,$C$434))))))))</f>
        <v>Combo Win</v>
      </c>
      <c r="BM195">
        <f>(D195/Frequency!$N$7-Summary!$C$7)^2*E195</f>
        <v>10025.280000000001</v>
      </c>
      <c r="BN195">
        <f t="shared" si="205"/>
        <v>0</v>
      </c>
      <c r="BO195">
        <f t="shared" si="206"/>
        <v>0</v>
      </c>
      <c r="BP195">
        <f t="shared" si="207"/>
        <v>0</v>
      </c>
      <c r="BQ195">
        <f t="shared" si="208"/>
        <v>0</v>
      </c>
      <c r="BR195">
        <f t="shared" si="209"/>
        <v>0</v>
      </c>
      <c r="BS195">
        <f t="shared" si="210"/>
        <v>0</v>
      </c>
      <c r="BT195">
        <f t="shared" si="211"/>
        <v>0</v>
      </c>
      <c r="BU195">
        <f t="shared" si="212"/>
        <v>0</v>
      </c>
      <c r="BV195">
        <f t="shared" si="213"/>
        <v>0</v>
      </c>
      <c r="BW195">
        <f t="shared" si="214"/>
        <v>0</v>
      </c>
      <c r="BX195">
        <f t="shared" si="215"/>
        <v>0</v>
      </c>
    </row>
    <row r="196" spans="2:76">
      <c r="B196" s="19">
        <f>Tiers!B197</f>
        <v>194</v>
      </c>
      <c r="C196" s="20" t="str">
        <f>Tiers!X197</f>
        <v>main-5|main-26|wild-14|||||||</v>
      </c>
      <c r="D196" s="21">
        <f>Tiers!C197</f>
        <v>17</v>
      </c>
      <c r="E196" s="22">
        <f>Frequency!E198</f>
        <v>50</v>
      </c>
      <c r="F196" s="22">
        <f t="shared" si="165"/>
        <v>850</v>
      </c>
      <c r="G196" s="20">
        <f>IF(AND(D196/Summary!$C$4&gt;0, D196/Summary!$C$4&lt;5),E196,0) * D196</f>
        <v>0</v>
      </c>
      <c r="H196" s="20">
        <f>IF(AND(D196/Summary!$C$4&gt;= 5, D196/Summary!$C$4&lt;10),E196,0) * D196</f>
        <v>0</v>
      </c>
      <c r="I196" s="20">
        <f>IF(AND(D196/Summary!$C$4&gt;=10, D196/Summary!$C$4&lt;25),E196,0)*D196</f>
        <v>850</v>
      </c>
      <c r="J196" s="20">
        <f>IF(D196/Summary!$C$4&gt;=25,E196,0)*D196</f>
        <v>0</v>
      </c>
      <c r="K196" s="35">
        <f>IF(AND(D196/Frequency!$N$7&gt;0, D196/Frequency!$N$7&lt;1),E196,0)</f>
        <v>0</v>
      </c>
      <c r="L196" s="35">
        <f t="shared" si="166"/>
        <v>0</v>
      </c>
      <c r="M196" s="35">
        <f>IF(D196/Frequency!$N$7=1,1,0)*E196</f>
        <v>0</v>
      </c>
      <c r="N196" s="35">
        <f t="shared" si="167"/>
        <v>0</v>
      </c>
      <c r="O196" s="35">
        <f>IF(AND(D196/Frequency!$N$7&gt;1, D196/Frequency!$N$7&lt;=2),1,0)*E196</f>
        <v>0</v>
      </c>
      <c r="P196" s="35">
        <f t="shared" si="168"/>
        <v>0</v>
      </c>
      <c r="Q196" s="35">
        <f>IF(AND(D196/Frequency!$N$7&gt;2,D196/Frequency!$N$7&lt;=5),1,0)*E196</f>
        <v>0</v>
      </c>
      <c r="R196" s="35">
        <f t="shared" si="169"/>
        <v>0</v>
      </c>
      <c r="S196" s="35">
        <f>IF(AND(D196/Frequency!$N$7&gt;5, D196/Frequency!$N$7&lt;=10),1,0)*E196</f>
        <v>0</v>
      </c>
      <c r="T196" s="35">
        <f t="shared" si="170"/>
        <v>0</v>
      </c>
      <c r="U196" s="35">
        <f>IF(AND(D196/Frequency!$N$7&gt;10, D196/Frequency!$N$7&lt;=20),1,0)*E196</f>
        <v>50</v>
      </c>
      <c r="V196" s="35">
        <f t="shared" si="171"/>
        <v>850</v>
      </c>
      <c r="W196" s="35">
        <f>IF(AND(D196/Frequency!$N$7&gt;20, D196/Frequency!$N$7&lt;=30),1,0)*E196</f>
        <v>0</v>
      </c>
      <c r="X196" s="35">
        <f t="shared" si="172"/>
        <v>0</v>
      </c>
      <c r="Y196" s="35">
        <f>IF(AND(D196/Frequency!$N$7&gt;30, D196/Frequency!$N$7&lt;=50),1,0)*E196</f>
        <v>0</v>
      </c>
      <c r="Z196" s="35">
        <f t="shared" si="173"/>
        <v>0</v>
      </c>
      <c r="AA196" s="35">
        <f>IF(AND(D196/Frequency!$N$7&gt;50, D196/Frequency!$N$7&lt;=100),1,0)*E196</f>
        <v>0</v>
      </c>
      <c r="AB196" s="35">
        <f t="shared" si="174"/>
        <v>0</v>
      </c>
      <c r="AC196" s="35">
        <f>IF(D196/Frequency!$N$7&gt;100,1,0)*E196</f>
        <v>0</v>
      </c>
      <c r="AD196" s="35">
        <f t="shared" si="175"/>
        <v>0</v>
      </c>
      <c r="AE196" s="22">
        <f t="shared" si="176"/>
        <v>0</v>
      </c>
      <c r="AF196" s="22">
        <f t="shared" si="177"/>
        <v>0</v>
      </c>
      <c r="AG196" s="22">
        <f t="shared" si="178"/>
        <v>0</v>
      </c>
      <c r="AH196" s="22">
        <f t="shared" si="179"/>
        <v>0</v>
      </c>
      <c r="AI196" s="35">
        <f t="shared" si="180"/>
        <v>1</v>
      </c>
      <c r="AJ196" s="35">
        <f t="shared" si="181"/>
        <v>50</v>
      </c>
      <c r="AK196" s="35">
        <f t="shared" si="182"/>
        <v>850</v>
      </c>
      <c r="AL196">
        <f t="shared" si="183"/>
        <v>1</v>
      </c>
      <c r="AM196">
        <f t="shared" si="184"/>
        <v>50</v>
      </c>
      <c r="AN196">
        <f t="shared" si="185"/>
        <v>850</v>
      </c>
      <c r="AO196">
        <f t="shared" si="186"/>
        <v>1</v>
      </c>
      <c r="AP196">
        <f t="shared" si="187"/>
        <v>50</v>
      </c>
      <c r="AQ196">
        <f t="shared" si="188"/>
        <v>850</v>
      </c>
      <c r="AR196">
        <f t="shared" si="189"/>
        <v>0</v>
      </c>
      <c r="AS196">
        <f t="shared" si="190"/>
        <v>0</v>
      </c>
      <c r="AT196">
        <f t="shared" si="191"/>
        <v>0</v>
      </c>
      <c r="AU196">
        <f t="shared" si="192"/>
        <v>0</v>
      </c>
      <c r="AV196">
        <v>0</v>
      </c>
      <c r="AW196">
        <v>0</v>
      </c>
      <c r="AX196">
        <f t="shared" si="193"/>
        <v>0</v>
      </c>
      <c r="AY196">
        <f t="shared" si="194"/>
        <v>0</v>
      </c>
      <c r="AZ196">
        <f t="shared" si="195"/>
        <v>0</v>
      </c>
      <c r="BA196">
        <f t="shared" si="196"/>
        <v>0</v>
      </c>
      <c r="BB196">
        <f t="shared" si="197"/>
        <v>0</v>
      </c>
      <c r="BC196">
        <f t="shared" si="198"/>
        <v>0</v>
      </c>
      <c r="BD196">
        <f t="shared" si="199"/>
        <v>0</v>
      </c>
      <c r="BE196">
        <f t="shared" si="200"/>
        <v>0</v>
      </c>
      <c r="BF196">
        <f t="shared" si="201"/>
        <v>0</v>
      </c>
      <c r="BG196">
        <f t="shared" si="202"/>
        <v>0</v>
      </c>
      <c r="BH196">
        <f t="shared" si="203"/>
        <v>0</v>
      </c>
      <c r="BI196">
        <f t="shared" si="204"/>
        <v>0</v>
      </c>
      <c r="BJ196">
        <v>0</v>
      </c>
      <c r="BK196" t="str">
        <f t="shared" si="216"/>
        <v>Big Win</v>
      </c>
      <c r="BL196" s="40" t="str">
        <f t="shared" si="217"/>
        <v>Combo Win</v>
      </c>
      <c r="BM196">
        <f>(D196/Frequency!$N$7-Summary!$C$7)^2*E196</f>
        <v>13057.28</v>
      </c>
      <c r="BN196">
        <f t="shared" si="205"/>
        <v>0</v>
      </c>
      <c r="BO196">
        <f t="shared" si="206"/>
        <v>0</v>
      </c>
      <c r="BP196">
        <f t="shared" si="207"/>
        <v>0</v>
      </c>
      <c r="BQ196">
        <f t="shared" si="208"/>
        <v>0</v>
      </c>
      <c r="BR196">
        <f t="shared" si="209"/>
        <v>0</v>
      </c>
      <c r="BS196">
        <f t="shared" si="210"/>
        <v>0</v>
      </c>
      <c r="BT196">
        <f t="shared" si="211"/>
        <v>0</v>
      </c>
      <c r="BU196">
        <f t="shared" si="212"/>
        <v>0</v>
      </c>
      <c r="BV196">
        <f t="shared" si="213"/>
        <v>0</v>
      </c>
      <c r="BW196">
        <f t="shared" si="214"/>
        <v>0</v>
      </c>
      <c r="BX196">
        <f t="shared" si="215"/>
        <v>0</v>
      </c>
    </row>
    <row r="197" spans="2:76">
      <c r="B197" s="19">
        <f>Tiers!B198</f>
        <v>195</v>
      </c>
      <c r="C197" s="20" t="str">
        <f>Tiers!X198</f>
        <v>main-0|main-27|wild-15|||||||</v>
      </c>
      <c r="D197" s="21">
        <f>Tiers!C198</f>
        <v>23.1</v>
      </c>
      <c r="E197" s="22">
        <f>Frequency!E199</f>
        <v>100</v>
      </c>
      <c r="F197" s="22">
        <f t="shared" si="165"/>
        <v>2310</v>
      </c>
      <c r="G197" s="20">
        <f>IF(AND(D197/Summary!$C$4&gt;0, D197/Summary!$C$4&lt;5),E197,0) * D197</f>
        <v>0</v>
      </c>
      <c r="H197" s="20">
        <f>IF(AND(D197/Summary!$C$4&gt;= 5, D197/Summary!$C$4&lt;10),E197,0) * D197</f>
        <v>0</v>
      </c>
      <c r="I197" s="20">
        <f>IF(AND(D197/Summary!$C$4&gt;=10, D197/Summary!$C$4&lt;25),E197,0)*D197</f>
        <v>2310</v>
      </c>
      <c r="J197" s="20">
        <f>IF(D197/Summary!$C$4&gt;=25,E197,0)*D197</f>
        <v>0</v>
      </c>
      <c r="K197" s="35">
        <f>IF(AND(D197/Frequency!$N$7&gt;0, D197/Frequency!$N$7&lt;1),E197,0)</f>
        <v>0</v>
      </c>
      <c r="L197" s="35">
        <f t="shared" si="166"/>
        <v>0</v>
      </c>
      <c r="M197" s="35">
        <f>IF(D197/Frequency!$N$7=1,1,0)*E197</f>
        <v>0</v>
      </c>
      <c r="N197" s="35">
        <f t="shared" si="167"/>
        <v>0</v>
      </c>
      <c r="O197" s="35">
        <f>IF(AND(D197/Frequency!$N$7&gt;1, D197/Frequency!$N$7&lt;=2),1,0)*E197</f>
        <v>0</v>
      </c>
      <c r="P197" s="35">
        <f t="shared" si="168"/>
        <v>0</v>
      </c>
      <c r="Q197" s="35">
        <f>IF(AND(D197/Frequency!$N$7&gt;2,D197/Frequency!$N$7&lt;=5),1,0)*E197</f>
        <v>0</v>
      </c>
      <c r="R197" s="35">
        <f t="shared" si="169"/>
        <v>0</v>
      </c>
      <c r="S197" s="35">
        <f>IF(AND(D197/Frequency!$N$7&gt;5, D197/Frequency!$N$7&lt;=10),1,0)*E197</f>
        <v>0</v>
      </c>
      <c r="T197" s="35">
        <f t="shared" si="170"/>
        <v>0</v>
      </c>
      <c r="U197" s="35">
        <f>IF(AND(D197/Frequency!$N$7&gt;10, D197/Frequency!$N$7&lt;=20),1,0)*E197</f>
        <v>0</v>
      </c>
      <c r="V197" s="35">
        <f t="shared" si="171"/>
        <v>0</v>
      </c>
      <c r="W197" s="35">
        <f>IF(AND(D197/Frequency!$N$7&gt;20, D197/Frequency!$N$7&lt;=30),1,0)*E197</f>
        <v>100</v>
      </c>
      <c r="X197" s="35">
        <f t="shared" si="172"/>
        <v>2310</v>
      </c>
      <c r="Y197" s="35">
        <f>IF(AND(D197/Frequency!$N$7&gt;30, D197/Frequency!$N$7&lt;=50),1,0)*E197</f>
        <v>0</v>
      </c>
      <c r="Z197" s="35">
        <f t="shared" si="173"/>
        <v>0</v>
      </c>
      <c r="AA197" s="35">
        <f>IF(AND(D197/Frequency!$N$7&gt;50, D197/Frequency!$N$7&lt;=100),1,0)*E197</f>
        <v>0</v>
      </c>
      <c r="AB197" s="35">
        <f t="shared" si="174"/>
        <v>0</v>
      </c>
      <c r="AC197" s="35">
        <f>IF(D197/Frequency!$N$7&gt;100,1,0)*E197</f>
        <v>0</v>
      </c>
      <c r="AD197" s="35">
        <f t="shared" si="175"/>
        <v>0</v>
      </c>
      <c r="AE197" s="22">
        <f t="shared" si="176"/>
        <v>0</v>
      </c>
      <c r="AF197" s="22">
        <f t="shared" si="177"/>
        <v>0</v>
      </c>
      <c r="AG197" s="22">
        <f t="shared" si="178"/>
        <v>0</v>
      </c>
      <c r="AH197" s="22">
        <f t="shared" si="179"/>
        <v>0</v>
      </c>
      <c r="AI197" s="35">
        <f t="shared" si="180"/>
        <v>1</v>
      </c>
      <c r="AJ197" s="35">
        <f t="shared" si="181"/>
        <v>100</v>
      </c>
      <c r="AK197" s="35">
        <f t="shared" si="182"/>
        <v>2310</v>
      </c>
      <c r="AL197">
        <f t="shared" si="183"/>
        <v>1</v>
      </c>
      <c r="AM197">
        <f t="shared" si="184"/>
        <v>100</v>
      </c>
      <c r="AN197">
        <f t="shared" si="185"/>
        <v>2310</v>
      </c>
      <c r="AO197">
        <f t="shared" si="186"/>
        <v>1</v>
      </c>
      <c r="AP197">
        <f t="shared" si="187"/>
        <v>100</v>
      </c>
      <c r="AQ197">
        <f t="shared" si="188"/>
        <v>2310</v>
      </c>
      <c r="AR197">
        <f t="shared" si="189"/>
        <v>0</v>
      </c>
      <c r="AS197">
        <f t="shared" si="190"/>
        <v>0</v>
      </c>
      <c r="AT197">
        <f t="shared" si="191"/>
        <v>0</v>
      </c>
      <c r="AU197">
        <f t="shared" si="192"/>
        <v>0</v>
      </c>
      <c r="AV197">
        <v>0</v>
      </c>
      <c r="AW197">
        <v>0</v>
      </c>
      <c r="AX197">
        <f t="shared" si="193"/>
        <v>0</v>
      </c>
      <c r="AY197">
        <f t="shared" si="194"/>
        <v>0</v>
      </c>
      <c r="AZ197">
        <f t="shared" si="195"/>
        <v>0</v>
      </c>
      <c r="BA197">
        <f t="shared" si="196"/>
        <v>0</v>
      </c>
      <c r="BB197">
        <f t="shared" si="197"/>
        <v>0</v>
      </c>
      <c r="BC197">
        <f t="shared" si="198"/>
        <v>0</v>
      </c>
      <c r="BD197">
        <f t="shared" si="199"/>
        <v>0</v>
      </c>
      <c r="BE197">
        <f t="shared" si="200"/>
        <v>0</v>
      </c>
      <c r="BF197">
        <f t="shared" si="201"/>
        <v>0</v>
      </c>
      <c r="BG197">
        <f t="shared" si="202"/>
        <v>0</v>
      </c>
      <c r="BH197">
        <f t="shared" si="203"/>
        <v>0</v>
      </c>
      <c r="BI197">
        <f t="shared" si="204"/>
        <v>0</v>
      </c>
      <c r="BJ197">
        <v>0</v>
      </c>
      <c r="BK197" t="str">
        <f t="shared" si="216"/>
        <v>Big Win</v>
      </c>
      <c r="BL197" s="40" t="str">
        <f t="shared" si="217"/>
        <v>Combo Win</v>
      </c>
      <c r="BM197">
        <f>(D197/Frequency!$N$7-Summary!$C$7)^2*E197</f>
        <v>49550.760000000009</v>
      </c>
      <c r="BN197">
        <f t="shared" si="205"/>
        <v>0</v>
      </c>
      <c r="BO197">
        <f t="shared" si="206"/>
        <v>0</v>
      </c>
      <c r="BP197">
        <f t="shared" si="207"/>
        <v>0</v>
      </c>
      <c r="BQ197">
        <f t="shared" si="208"/>
        <v>0</v>
      </c>
      <c r="BR197">
        <f t="shared" si="209"/>
        <v>0</v>
      </c>
      <c r="BS197">
        <f t="shared" si="210"/>
        <v>0</v>
      </c>
      <c r="BT197">
        <f t="shared" si="211"/>
        <v>0</v>
      </c>
      <c r="BU197">
        <f t="shared" si="212"/>
        <v>0</v>
      </c>
      <c r="BV197">
        <f t="shared" si="213"/>
        <v>0</v>
      </c>
      <c r="BW197">
        <f t="shared" si="214"/>
        <v>0</v>
      </c>
      <c r="BX197">
        <f t="shared" si="215"/>
        <v>0</v>
      </c>
    </row>
    <row r="198" spans="2:76">
      <c r="B198" s="19">
        <f>Tiers!B199</f>
        <v>196</v>
      </c>
      <c r="C198" s="20" t="str">
        <f>Tiers!X199</f>
        <v>main-4|main-21|wild-16|||||||</v>
      </c>
      <c r="D198" s="21">
        <f>Tiers!C199</f>
        <v>27</v>
      </c>
      <c r="E198" s="22">
        <f>Frequency!E200</f>
        <v>100</v>
      </c>
      <c r="F198" s="22">
        <f t="shared" si="165"/>
        <v>2700</v>
      </c>
      <c r="G198" s="20">
        <f>IF(AND(D198/Summary!$C$4&gt;0, D198/Summary!$C$4&lt;5),E198,0) * D198</f>
        <v>0</v>
      </c>
      <c r="H198" s="20">
        <f>IF(AND(D198/Summary!$C$4&gt;= 5, D198/Summary!$C$4&lt;10),E198,0) * D198</f>
        <v>0</v>
      </c>
      <c r="I198" s="20">
        <f>IF(AND(D198/Summary!$C$4&gt;=10, D198/Summary!$C$4&lt;25),E198,0)*D198</f>
        <v>0</v>
      </c>
      <c r="J198" s="20">
        <f>IF(D198/Summary!$C$4&gt;=25,E198,0)*D198</f>
        <v>2700</v>
      </c>
      <c r="K198" s="35">
        <f>IF(AND(D198/Frequency!$N$7&gt;0, D198/Frequency!$N$7&lt;1),E198,0)</f>
        <v>0</v>
      </c>
      <c r="L198" s="35">
        <f t="shared" si="166"/>
        <v>0</v>
      </c>
      <c r="M198" s="35">
        <f>IF(D198/Frequency!$N$7=1,1,0)*E198</f>
        <v>0</v>
      </c>
      <c r="N198" s="35">
        <f t="shared" si="167"/>
        <v>0</v>
      </c>
      <c r="O198" s="35">
        <f>IF(AND(D198/Frequency!$N$7&gt;1, D198/Frequency!$N$7&lt;=2),1,0)*E198</f>
        <v>0</v>
      </c>
      <c r="P198" s="35">
        <f t="shared" si="168"/>
        <v>0</v>
      </c>
      <c r="Q198" s="35">
        <f>IF(AND(D198/Frequency!$N$7&gt;2,D198/Frequency!$N$7&lt;=5),1,0)*E198</f>
        <v>0</v>
      </c>
      <c r="R198" s="35">
        <f t="shared" si="169"/>
        <v>0</v>
      </c>
      <c r="S198" s="35">
        <f>IF(AND(D198/Frequency!$N$7&gt;5, D198/Frequency!$N$7&lt;=10),1,0)*E198</f>
        <v>0</v>
      </c>
      <c r="T198" s="35">
        <f t="shared" si="170"/>
        <v>0</v>
      </c>
      <c r="U198" s="35">
        <f>IF(AND(D198/Frequency!$N$7&gt;10, D198/Frequency!$N$7&lt;=20),1,0)*E198</f>
        <v>0</v>
      </c>
      <c r="V198" s="35">
        <f t="shared" si="171"/>
        <v>0</v>
      </c>
      <c r="W198" s="35">
        <f>IF(AND(D198/Frequency!$N$7&gt;20, D198/Frequency!$N$7&lt;=30),1,0)*E198</f>
        <v>100</v>
      </c>
      <c r="X198" s="35">
        <f t="shared" si="172"/>
        <v>2700</v>
      </c>
      <c r="Y198" s="35">
        <f>IF(AND(D198/Frequency!$N$7&gt;30, D198/Frequency!$N$7&lt;=50),1,0)*E198</f>
        <v>0</v>
      </c>
      <c r="Z198" s="35">
        <f t="shared" si="173"/>
        <v>0</v>
      </c>
      <c r="AA198" s="35">
        <f>IF(AND(D198/Frequency!$N$7&gt;50, D198/Frequency!$N$7&lt;=100),1,0)*E198</f>
        <v>0</v>
      </c>
      <c r="AB198" s="35">
        <f t="shared" si="174"/>
        <v>0</v>
      </c>
      <c r="AC198" s="35">
        <f>IF(D198/Frequency!$N$7&gt;100,1,0)*E198</f>
        <v>0</v>
      </c>
      <c r="AD198" s="35">
        <f t="shared" si="175"/>
        <v>0</v>
      </c>
      <c r="AE198" s="22">
        <f t="shared" si="176"/>
        <v>0</v>
      </c>
      <c r="AF198" s="22">
        <f t="shared" si="177"/>
        <v>0</v>
      </c>
      <c r="AG198" s="22">
        <f t="shared" si="178"/>
        <v>0</v>
      </c>
      <c r="AH198" s="22">
        <f t="shared" si="179"/>
        <v>0</v>
      </c>
      <c r="AI198" s="35">
        <f t="shared" si="180"/>
        <v>1</v>
      </c>
      <c r="AJ198" s="35">
        <f t="shared" si="181"/>
        <v>100</v>
      </c>
      <c r="AK198" s="35">
        <f t="shared" si="182"/>
        <v>2700</v>
      </c>
      <c r="AL198">
        <f t="shared" si="183"/>
        <v>1</v>
      </c>
      <c r="AM198">
        <f t="shared" si="184"/>
        <v>100</v>
      </c>
      <c r="AN198">
        <f t="shared" si="185"/>
        <v>2700</v>
      </c>
      <c r="AO198">
        <f t="shared" si="186"/>
        <v>1</v>
      </c>
      <c r="AP198">
        <f t="shared" si="187"/>
        <v>100</v>
      </c>
      <c r="AQ198">
        <f t="shared" si="188"/>
        <v>2700</v>
      </c>
      <c r="AR198">
        <f t="shared" si="189"/>
        <v>0</v>
      </c>
      <c r="AS198">
        <f t="shared" si="190"/>
        <v>0</v>
      </c>
      <c r="AT198">
        <f t="shared" si="191"/>
        <v>0</v>
      </c>
      <c r="AU198">
        <f t="shared" si="192"/>
        <v>0</v>
      </c>
      <c r="AV198">
        <v>0</v>
      </c>
      <c r="AW198">
        <v>0</v>
      </c>
      <c r="AX198">
        <f t="shared" si="193"/>
        <v>0</v>
      </c>
      <c r="AY198">
        <f t="shared" si="194"/>
        <v>0</v>
      </c>
      <c r="AZ198">
        <f t="shared" si="195"/>
        <v>0</v>
      </c>
      <c r="BA198">
        <f t="shared" si="196"/>
        <v>0</v>
      </c>
      <c r="BB198">
        <f t="shared" si="197"/>
        <v>0</v>
      </c>
      <c r="BC198">
        <f t="shared" si="198"/>
        <v>0</v>
      </c>
      <c r="BD198">
        <f t="shared" si="199"/>
        <v>0</v>
      </c>
      <c r="BE198">
        <f t="shared" si="200"/>
        <v>0</v>
      </c>
      <c r="BF198">
        <f t="shared" si="201"/>
        <v>0</v>
      </c>
      <c r="BG198">
        <f t="shared" si="202"/>
        <v>0</v>
      </c>
      <c r="BH198">
        <f t="shared" si="203"/>
        <v>0</v>
      </c>
      <c r="BI198">
        <f t="shared" si="204"/>
        <v>0</v>
      </c>
      <c r="BJ198">
        <v>0</v>
      </c>
      <c r="BK198" t="str">
        <f t="shared" si="216"/>
        <v>Big Win</v>
      </c>
      <c r="BL198" s="40" t="str">
        <f t="shared" si="217"/>
        <v>Combo Win</v>
      </c>
      <c r="BM198">
        <f>(D198/Frequency!$N$7-Summary!$C$7)^2*E198</f>
        <v>68434.559999999998</v>
      </c>
      <c r="BN198">
        <f t="shared" si="205"/>
        <v>0</v>
      </c>
      <c r="BO198">
        <f t="shared" si="206"/>
        <v>0</v>
      </c>
      <c r="BP198">
        <f t="shared" si="207"/>
        <v>0</v>
      </c>
      <c r="BQ198">
        <f t="shared" si="208"/>
        <v>0</v>
      </c>
      <c r="BR198">
        <f t="shared" si="209"/>
        <v>0</v>
      </c>
      <c r="BS198">
        <f t="shared" si="210"/>
        <v>0</v>
      </c>
      <c r="BT198">
        <f t="shared" si="211"/>
        <v>0</v>
      </c>
      <c r="BU198">
        <f t="shared" si="212"/>
        <v>0</v>
      </c>
      <c r="BV198">
        <f t="shared" si="213"/>
        <v>0</v>
      </c>
      <c r="BW198">
        <f t="shared" si="214"/>
        <v>0</v>
      </c>
      <c r="BX198">
        <f t="shared" si="215"/>
        <v>0</v>
      </c>
    </row>
    <row r="199" spans="2:76">
      <c r="B199" s="19">
        <f>Tiers!B200</f>
        <v>197</v>
      </c>
      <c r="C199" s="20" t="str">
        <f>Tiers!X200</f>
        <v>main-0|main-18|main-4|wild-21||||||</v>
      </c>
      <c r="D199" s="21">
        <f>Tiers!C200</f>
        <v>25.1</v>
      </c>
      <c r="E199" s="22">
        <f>Frequency!E201</f>
        <v>20</v>
      </c>
      <c r="F199" s="22">
        <f t="shared" si="165"/>
        <v>502</v>
      </c>
      <c r="G199" s="20">
        <f>IF(AND(D199/Summary!$C$4&gt;0, D199/Summary!$C$4&lt;5),E199,0) * D199</f>
        <v>0</v>
      </c>
      <c r="H199" s="20">
        <f>IF(AND(D199/Summary!$C$4&gt;= 5, D199/Summary!$C$4&lt;10),E199,0) * D199</f>
        <v>0</v>
      </c>
      <c r="I199" s="20">
        <f>IF(AND(D199/Summary!$C$4&gt;=10, D199/Summary!$C$4&lt;25),E199,0)*D199</f>
        <v>0</v>
      </c>
      <c r="J199" s="20">
        <f>IF(D199/Summary!$C$4&gt;=25,E199,0)*D199</f>
        <v>502</v>
      </c>
      <c r="K199" s="35">
        <f>IF(AND(D199/Frequency!$N$7&gt;0, D199/Frequency!$N$7&lt;1),E199,0)</f>
        <v>0</v>
      </c>
      <c r="L199" s="35">
        <f t="shared" si="166"/>
        <v>0</v>
      </c>
      <c r="M199" s="35">
        <f>IF(D199/Frequency!$N$7=1,1,0)*E199</f>
        <v>0</v>
      </c>
      <c r="N199" s="35">
        <f t="shared" si="167"/>
        <v>0</v>
      </c>
      <c r="O199" s="35">
        <f>IF(AND(D199/Frequency!$N$7&gt;1, D199/Frequency!$N$7&lt;=2),1,0)*E199</f>
        <v>0</v>
      </c>
      <c r="P199" s="35">
        <f t="shared" si="168"/>
        <v>0</v>
      </c>
      <c r="Q199" s="35">
        <f>IF(AND(D199/Frequency!$N$7&gt;2,D199/Frequency!$N$7&lt;=5),1,0)*E199</f>
        <v>0</v>
      </c>
      <c r="R199" s="35">
        <f t="shared" si="169"/>
        <v>0</v>
      </c>
      <c r="S199" s="35">
        <f>IF(AND(D199/Frequency!$N$7&gt;5, D199/Frequency!$N$7&lt;=10),1,0)*E199</f>
        <v>0</v>
      </c>
      <c r="T199" s="35">
        <f t="shared" si="170"/>
        <v>0</v>
      </c>
      <c r="U199" s="35">
        <f>IF(AND(D199/Frequency!$N$7&gt;10, D199/Frequency!$N$7&lt;=20),1,0)*E199</f>
        <v>0</v>
      </c>
      <c r="V199" s="35">
        <f t="shared" si="171"/>
        <v>0</v>
      </c>
      <c r="W199" s="35">
        <f>IF(AND(D199/Frequency!$N$7&gt;20, D199/Frequency!$N$7&lt;=30),1,0)*E199</f>
        <v>20</v>
      </c>
      <c r="X199" s="35">
        <f t="shared" si="172"/>
        <v>502</v>
      </c>
      <c r="Y199" s="35">
        <f>IF(AND(D199/Frequency!$N$7&gt;30, D199/Frequency!$N$7&lt;=50),1,0)*E199</f>
        <v>0</v>
      </c>
      <c r="Z199" s="35">
        <f t="shared" si="173"/>
        <v>0</v>
      </c>
      <c r="AA199" s="35">
        <f>IF(AND(D199/Frequency!$N$7&gt;50, D199/Frequency!$N$7&lt;=100),1,0)*E199</f>
        <v>0</v>
      </c>
      <c r="AB199" s="35">
        <f t="shared" si="174"/>
        <v>0</v>
      </c>
      <c r="AC199" s="35">
        <f>IF(D199/Frequency!$N$7&gt;100,1,0)*E199</f>
        <v>0</v>
      </c>
      <c r="AD199" s="35">
        <f t="shared" si="175"/>
        <v>0</v>
      </c>
      <c r="AE199" s="22">
        <f t="shared" si="176"/>
        <v>0</v>
      </c>
      <c r="AF199" s="22">
        <f t="shared" si="177"/>
        <v>0</v>
      </c>
      <c r="AG199" s="22">
        <f t="shared" si="178"/>
        <v>0</v>
      </c>
      <c r="AH199" s="22">
        <f t="shared" si="179"/>
        <v>0</v>
      </c>
      <c r="AI199" s="35">
        <f t="shared" si="180"/>
        <v>1</v>
      </c>
      <c r="AJ199" s="35">
        <f t="shared" si="181"/>
        <v>20</v>
      </c>
      <c r="AK199" s="35">
        <f t="shared" si="182"/>
        <v>502</v>
      </c>
      <c r="AL199">
        <f t="shared" si="183"/>
        <v>1</v>
      </c>
      <c r="AM199">
        <f t="shared" si="184"/>
        <v>20</v>
      </c>
      <c r="AN199">
        <f t="shared" si="185"/>
        <v>502</v>
      </c>
      <c r="AO199">
        <f t="shared" si="186"/>
        <v>1</v>
      </c>
      <c r="AP199">
        <f t="shared" si="187"/>
        <v>20</v>
      </c>
      <c r="AQ199">
        <f t="shared" si="188"/>
        <v>502</v>
      </c>
      <c r="AR199">
        <f t="shared" si="189"/>
        <v>0</v>
      </c>
      <c r="AS199">
        <f t="shared" si="190"/>
        <v>0</v>
      </c>
      <c r="AT199">
        <f t="shared" si="191"/>
        <v>0</v>
      </c>
      <c r="AU199">
        <f t="shared" si="192"/>
        <v>0</v>
      </c>
      <c r="AV199">
        <v>0</v>
      </c>
      <c r="AW199">
        <v>0</v>
      </c>
      <c r="AX199">
        <f t="shared" si="193"/>
        <v>0</v>
      </c>
      <c r="AY199">
        <f t="shared" si="194"/>
        <v>0</v>
      </c>
      <c r="AZ199">
        <f t="shared" si="195"/>
        <v>0</v>
      </c>
      <c r="BA199">
        <f t="shared" si="196"/>
        <v>0</v>
      </c>
      <c r="BB199">
        <f t="shared" si="197"/>
        <v>0</v>
      </c>
      <c r="BC199">
        <f t="shared" si="198"/>
        <v>0</v>
      </c>
      <c r="BD199">
        <f t="shared" si="199"/>
        <v>0</v>
      </c>
      <c r="BE199">
        <f t="shared" si="200"/>
        <v>0</v>
      </c>
      <c r="BF199">
        <f t="shared" si="201"/>
        <v>0</v>
      </c>
      <c r="BG199">
        <f t="shared" si="202"/>
        <v>0</v>
      </c>
      <c r="BH199">
        <f t="shared" si="203"/>
        <v>0</v>
      </c>
      <c r="BI199">
        <f t="shared" si="204"/>
        <v>0</v>
      </c>
      <c r="BJ199">
        <v>0</v>
      </c>
      <c r="BK199" t="str">
        <f t="shared" si="216"/>
        <v>Big Win</v>
      </c>
      <c r="BL199" s="40" t="str">
        <f t="shared" si="217"/>
        <v>Combo Win</v>
      </c>
      <c r="BM199">
        <f>(D199/Frequency!$N$7-Summary!$C$7)^2*E199</f>
        <v>11770.952000000001</v>
      </c>
      <c r="BN199">
        <f t="shared" si="205"/>
        <v>0</v>
      </c>
      <c r="BO199">
        <f t="shared" si="206"/>
        <v>0</v>
      </c>
      <c r="BP199">
        <f t="shared" si="207"/>
        <v>0</v>
      </c>
      <c r="BQ199">
        <f t="shared" si="208"/>
        <v>0</v>
      </c>
      <c r="BR199">
        <f t="shared" si="209"/>
        <v>0</v>
      </c>
      <c r="BS199">
        <f t="shared" si="210"/>
        <v>0</v>
      </c>
      <c r="BT199">
        <f t="shared" si="211"/>
        <v>0</v>
      </c>
      <c r="BU199">
        <f t="shared" si="212"/>
        <v>0</v>
      </c>
      <c r="BV199">
        <f t="shared" si="213"/>
        <v>0</v>
      </c>
      <c r="BW199">
        <f t="shared" si="214"/>
        <v>0</v>
      </c>
      <c r="BX199">
        <f t="shared" si="215"/>
        <v>0</v>
      </c>
    </row>
    <row r="200" spans="2:76">
      <c r="B200" s="19">
        <f>Tiers!B201</f>
        <v>198</v>
      </c>
      <c r="C200" s="20" t="str">
        <f>Tiers!X201</f>
        <v>main-1|main-25|main-18|wild-2||||||</v>
      </c>
      <c r="D200" s="21">
        <f>Tiers!C201</f>
        <v>8.6999999999999993</v>
      </c>
      <c r="E200" s="22">
        <f>Frequency!E202</f>
        <v>72</v>
      </c>
      <c r="F200" s="22">
        <f t="shared" si="165"/>
        <v>626.4</v>
      </c>
      <c r="G200" s="20">
        <f>IF(AND(D200/Summary!$C$4&gt;0, D200/Summary!$C$4&lt;5),E200,0) * D200</f>
        <v>0</v>
      </c>
      <c r="H200" s="20">
        <f>IF(AND(D200/Summary!$C$4&gt;= 5, D200/Summary!$C$4&lt;10),E200,0) * D200</f>
        <v>626.4</v>
      </c>
      <c r="I200" s="20">
        <f>IF(AND(D200/Summary!$C$4&gt;=10, D200/Summary!$C$4&lt;25),E200,0)*D200</f>
        <v>0</v>
      </c>
      <c r="J200" s="20">
        <f>IF(D200/Summary!$C$4&gt;=25,E200,0)*D200</f>
        <v>0</v>
      </c>
      <c r="K200" s="35">
        <f>IF(AND(D200/Frequency!$N$7&gt;0, D200/Frequency!$N$7&lt;1),E200,0)</f>
        <v>0</v>
      </c>
      <c r="L200" s="35">
        <f t="shared" si="166"/>
        <v>0</v>
      </c>
      <c r="M200" s="35">
        <f>IF(D200/Frequency!$N$7=1,1,0)*E200</f>
        <v>0</v>
      </c>
      <c r="N200" s="35">
        <f t="shared" si="167"/>
        <v>0</v>
      </c>
      <c r="O200" s="35">
        <f>IF(AND(D200/Frequency!$N$7&gt;1, D200/Frequency!$N$7&lt;=2),1,0)*E200</f>
        <v>0</v>
      </c>
      <c r="P200" s="35">
        <f t="shared" si="168"/>
        <v>0</v>
      </c>
      <c r="Q200" s="35">
        <f>IF(AND(D200/Frequency!$N$7&gt;2,D200/Frequency!$N$7&lt;=5),1,0)*E200</f>
        <v>0</v>
      </c>
      <c r="R200" s="35">
        <f t="shared" si="169"/>
        <v>0</v>
      </c>
      <c r="S200" s="35">
        <f>IF(AND(D200/Frequency!$N$7&gt;5, D200/Frequency!$N$7&lt;=10),1,0)*E200</f>
        <v>72</v>
      </c>
      <c r="T200" s="35">
        <f t="shared" si="170"/>
        <v>626.4</v>
      </c>
      <c r="U200" s="35">
        <f>IF(AND(D200/Frequency!$N$7&gt;10, D200/Frequency!$N$7&lt;=20),1,0)*E200</f>
        <v>0</v>
      </c>
      <c r="V200" s="35">
        <f t="shared" si="171"/>
        <v>0</v>
      </c>
      <c r="W200" s="35">
        <f>IF(AND(D200/Frequency!$N$7&gt;20, D200/Frequency!$N$7&lt;=30),1,0)*E200</f>
        <v>0</v>
      </c>
      <c r="X200" s="35">
        <f t="shared" si="172"/>
        <v>0</v>
      </c>
      <c r="Y200" s="35">
        <f>IF(AND(D200/Frequency!$N$7&gt;30, D200/Frequency!$N$7&lt;=50),1,0)*E200</f>
        <v>0</v>
      </c>
      <c r="Z200" s="35">
        <f t="shared" si="173"/>
        <v>0</v>
      </c>
      <c r="AA200" s="35">
        <f>IF(AND(D200/Frequency!$N$7&gt;50, D200/Frequency!$N$7&lt;=100),1,0)*E200</f>
        <v>0</v>
      </c>
      <c r="AB200" s="35">
        <f t="shared" si="174"/>
        <v>0</v>
      </c>
      <c r="AC200" s="35">
        <f>IF(D200/Frequency!$N$7&gt;100,1,0)*E200</f>
        <v>0</v>
      </c>
      <c r="AD200" s="35">
        <f t="shared" si="175"/>
        <v>0</v>
      </c>
      <c r="AE200" s="22">
        <f t="shared" si="176"/>
        <v>0</v>
      </c>
      <c r="AF200" s="22">
        <f t="shared" si="177"/>
        <v>0</v>
      </c>
      <c r="AG200" s="22">
        <f t="shared" si="178"/>
        <v>0</v>
      </c>
      <c r="AH200" s="22">
        <f t="shared" si="179"/>
        <v>0</v>
      </c>
      <c r="AI200" s="35">
        <f t="shared" si="180"/>
        <v>1</v>
      </c>
      <c r="AJ200" s="35">
        <f t="shared" si="181"/>
        <v>72</v>
      </c>
      <c r="AK200" s="35">
        <f t="shared" si="182"/>
        <v>626.4</v>
      </c>
      <c r="AL200">
        <f t="shared" si="183"/>
        <v>1</v>
      </c>
      <c r="AM200">
        <f t="shared" si="184"/>
        <v>72</v>
      </c>
      <c r="AN200">
        <f t="shared" si="185"/>
        <v>626.4</v>
      </c>
      <c r="AO200">
        <f t="shared" si="186"/>
        <v>1</v>
      </c>
      <c r="AP200">
        <f t="shared" si="187"/>
        <v>72</v>
      </c>
      <c r="AQ200">
        <f t="shared" si="188"/>
        <v>626.4</v>
      </c>
      <c r="AR200">
        <f t="shared" si="189"/>
        <v>0</v>
      </c>
      <c r="AS200">
        <f t="shared" si="190"/>
        <v>0</v>
      </c>
      <c r="AT200">
        <f t="shared" si="191"/>
        <v>0</v>
      </c>
      <c r="AU200">
        <f t="shared" si="192"/>
        <v>0</v>
      </c>
      <c r="AV200">
        <v>0</v>
      </c>
      <c r="AW200">
        <v>0</v>
      </c>
      <c r="AX200">
        <f t="shared" si="193"/>
        <v>0</v>
      </c>
      <c r="AY200">
        <f t="shared" si="194"/>
        <v>0</v>
      </c>
      <c r="AZ200">
        <f t="shared" si="195"/>
        <v>0</v>
      </c>
      <c r="BA200">
        <f t="shared" si="196"/>
        <v>0</v>
      </c>
      <c r="BB200">
        <f t="shared" si="197"/>
        <v>0</v>
      </c>
      <c r="BC200">
        <f t="shared" si="198"/>
        <v>0</v>
      </c>
      <c r="BD200">
        <f t="shared" si="199"/>
        <v>0</v>
      </c>
      <c r="BE200">
        <f t="shared" si="200"/>
        <v>0</v>
      </c>
      <c r="BF200">
        <f t="shared" si="201"/>
        <v>0</v>
      </c>
      <c r="BG200">
        <f t="shared" si="202"/>
        <v>0</v>
      </c>
      <c r="BH200">
        <f t="shared" si="203"/>
        <v>0</v>
      </c>
      <c r="BI200">
        <f t="shared" si="204"/>
        <v>0</v>
      </c>
      <c r="BJ200">
        <v>0</v>
      </c>
      <c r="BK200" t="str">
        <f t="shared" si="216"/>
        <v>Standard Win</v>
      </c>
      <c r="BL200" s="40" t="str">
        <f t="shared" si="217"/>
        <v>Combo Win</v>
      </c>
      <c r="BM200">
        <f>(D200/Frequency!$N$7-Summary!$C$7)^2*E200</f>
        <v>4448.1311999999989</v>
      </c>
      <c r="BN200">
        <f t="shared" si="205"/>
        <v>0</v>
      </c>
      <c r="BO200">
        <f t="shared" si="206"/>
        <v>0</v>
      </c>
      <c r="BP200">
        <f t="shared" si="207"/>
        <v>0</v>
      </c>
      <c r="BQ200">
        <f t="shared" si="208"/>
        <v>0</v>
      </c>
      <c r="BR200">
        <f t="shared" si="209"/>
        <v>0</v>
      </c>
      <c r="BS200">
        <f t="shared" si="210"/>
        <v>0</v>
      </c>
      <c r="BT200">
        <f t="shared" si="211"/>
        <v>0</v>
      </c>
      <c r="BU200">
        <f t="shared" si="212"/>
        <v>0</v>
      </c>
      <c r="BV200">
        <f t="shared" si="213"/>
        <v>0</v>
      </c>
      <c r="BW200">
        <f t="shared" si="214"/>
        <v>0</v>
      </c>
      <c r="BX200">
        <f t="shared" si="215"/>
        <v>0</v>
      </c>
    </row>
    <row r="201" spans="2:76">
      <c r="B201" s="19">
        <f>Tiers!B202</f>
        <v>199</v>
      </c>
      <c r="C201" s="20" t="str">
        <f>Tiers!X202</f>
        <v>main-2|main-19|main-3|wild-3||||||</v>
      </c>
      <c r="D201" s="21">
        <f>Tiers!C202</f>
        <v>7.5</v>
      </c>
      <c r="E201" s="22">
        <f>Frequency!E203</f>
        <v>50</v>
      </c>
      <c r="F201" s="22">
        <f t="shared" si="165"/>
        <v>375</v>
      </c>
      <c r="G201" s="20">
        <f>IF(AND(D201/Summary!$C$4&gt;0, D201/Summary!$C$4&lt;5),E201,0) * D201</f>
        <v>0</v>
      </c>
      <c r="H201" s="20">
        <f>IF(AND(D201/Summary!$C$4&gt;= 5, D201/Summary!$C$4&lt;10),E201,0) * D201</f>
        <v>375</v>
      </c>
      <c r="I201" s="20">
        <f>IF(AND(D201/Summary!$C$4&gt;=10, D201/Summary!$C$4&lt;25),E201,0)*D201</f>
        <v>0</v>
      </c>
      <c r="J201" s="20">
        <f>IF(D201/Summary!$C$4&gt;=25,E201,0)*D201</f>
        <v>0</v>
      </c>
      <c r="K201" s="35">
        <f>IF(AND(D201/Frequency!$N$7&gt;0, D201/Frequency!$N$7&lt;1),E201,0)</f>
        <v>0</v>
      </c>
      <c r="L201" s="35">
        <f t="shared" si="166"/>
        <v>0</v>
      </c>
      <c r="M201" s="35">
        <f>IF(D201/Frequency!$N$7=1,1,0)*E201</f>
        <v>0</v>
      </c>
      <c r="N201" s="35">
        <f t="shared" si="167"/>
        <v>0</v>
      </c>
      <c r="O201" s="35">
        <f>IF(AND(D201/Frequency!$N$7&gt;1, D201/Frequency!$N$7&lt;=2),1,0)*E201</f>
        <v>0</v>
      </c>
      <c r="P201" s="35">
        <f t="shared" si="168"/>
        <v>0</v>
      </c>
      <c r="Q201" s="35">
        <f>IF(AND(D201/Frequency!$N$7&gt;2,D201/Frequency!$N$7&lt;=5),1,0)*E201</f>
        <v>0</v>
      </c>
      <c r="R201" s="35">
        <f t="shared" si="169"/>
        <v>0</v>
      </c>
      <c r="S201" s="35">
        <f>IF(AND(D201/Frequency!$N$7&gt;5, D201/Frequency!$N$7&lt;=10),1,0)*E201</f>
        <v>50</v>
      </c>
      <c r="T201" s="35">
        <f t="shared" si="170"/>
        <v>375</v>
      </c>
      <c r="U201" s="35">
        <f>IF(AND(D201/Frequency!$N$7&gt;10, D201/Frequency!$N$7&lt;=20),1,0)*E201</f>
        <v>0</v>
      </c>
      <c r="V201" s="35">
        <f t="shared" si="171"/>
        <v>0</v>
      </c>
      <c r="W201" s="35">
        <f>IF(AND(D201/Frequency!$N$7&gt;20, D201/Frequency!$N$7&lt;=30),1,0)*E201</f>
        <v>0</v>
      </c>
      <c r="X201" s="35">
        <f t="shared" si="172"/>
        <v>0</v>
      </c>
      <c r="Y201" s="35">
        <f>IF(AND(D201/Frequency!$N$7&gt;30, D201/Frequency!$N$7&lt;=50),1,0)*E201</f>
        <v>0</v>
      </c>
      <c r="Z201" s="35">
        <f t="shared" si="173"/>
        <v>0</v>
      </c>
      <c r="AA201" s="35">
        <f>IF(AND(D201/Frequency!$N$7&gt;50, D201/Frequency!$N$7&lt;=100),1,0)*E201</f>
        <v>0</v>
      </c>
      <c r="AB201" s="35">
        <f t="shared" si="174"/>
        <v>0</v>
      </c>
      <c r="AC201" s="35">
        <f>IF(D201/Frequency!$N$7&gt;100,1,0)*E201</f>
        <v>0</v>
      </c>
      <c r="AD201" s="35">
        <f t="shared" si="175"/>
        <v>0</v>
      </c>
      <c r="AE201" s="22">
        <f t="shared" si="176"/>
        <v>0</v>
      </c>
      <c r="AF201" s="22">
        <f t="shared" si="177"/>
        <v>0</v>
      </c>
      <c r="AG201" s="22">
        <f t="shared" si="178"/>
        <v>0</v>
      </c>
      <c r="AH201" s="22">
        <f t="shared" si="179"/>
        <v>0</v>
      </c>
      <c r="AI201" s="35">
        <f t="shared" si="180"/>
        <v>1</v>
      </c>
      <c r="AJ201" s="35">
        <f t="shared" si="181"/>
        <v>50</v>
      </c>
      <c r="AK201" s="35">
        <f t="shared" si="182"/>
        <v>375</v>
      </c>
      <c r="AL201">
        <f t="shared" si="183"/>
        <v>1</v>
      </c>
      <c r="AM201">
        <f t="shared" si="184"/>
        <v>50</v>
      </c>
      <c r="AN201">
        <f t="shared" si="185"/>
        <v>375</v>
      </c>
      <c r="AO201">
        <f t="shared" si="186"/>
        <v>1</v>
      </c>
      <c r="AP201">
        <f t="shared" si="187"/>
        <v>50</v>
      </c>
      <c r="AQ201">
        <f t="shared" si="188"/>
        <v>375</v>
      </c>
      <c r="AR201">
        <f t="shared" si="189"/>
        <v>0</v>
      </c>
      <c r="AS201">
        <f t="shared" si="190"/>
        <v>0</v>
      </c>
      <c r="AT201">
        <f t="shared" si="191"/>
        <v>0</v>
      </c>
      <c r="AU201">
        <f t="shared" si="192"/>
        <v>0</v>
      </c>
      <c r="AV201">
        <v>0</v>
      </c>
      <c r="AW201">
        <v>0</v>
      </c>
      <c r="AX201">
        <f t="shared" si="193"/>
        <v>0</v>
      </c>
      <c r="AY201">
        <f t="shared" si="194"/>
        <v>0</v>
      </c>
      <c r="AZ201">
        <f t="shared" si="195"/>
        <v>0</v>
      </c>
      <c r="BA201">
        <f t="shared" si="196"/>
        <v>0</v>
      </c>
      <c r="BB201">
        <f t="shared" si="197"/>
        <v>0</v>
      </c>
      <c r="BC201">
        <f t="shared" si="198"/>
        <v>0</v>
      </c>
      <c r="BD201">
        <f t="shared" si="199"/>
        <v>0</v>
      </c>
      <c r="BE201">
        <f t="shared" si="200"/>
        <v>0</v>
      </c>
      <c r="BF201">
        <f t="shared" si="201"/>
        <v>0</v>
      </c>
      <c r="BG201">
        <f t="shared" si="202"/>
        <v>0</v>
      </c>
      <c r="BH201">
        <f t="shared" si="203"/>
        <v>0</v>
      </c>
      <c r="BI201">
        <f t="shared" si="204"/>
        <v>0</v>
      </c>
      <c r="BJ201">
        <v>0</v>
      </c>
      <c r="BK201" t="str">
        <f t="shared" si="216"/>
        <v>Standard Win</v>
      </c>
      <c r="BL201" s="40" t="str">
        <f t="shared" si="217"/>
        <v>Combo Win</v>
      </c>
      <c r="BM201">
        <f>(D201/Frequency!$N$7-Summary!$C$7)^2*E201</f>
        <v>2217.7800000000002</v>
      </c>
      <c r="BN201">
        <f t="shared" si="205"/>
        <v>0</v>
      </c>
      <c r="BO201">
        <f t="shared" si="206"/>
        <v>0</v>
      </c>
      <c r="BP201">
        <f t="shared" si="207"/>
        <v>0</v>
      </c>
      <c r="BQ201">
        <f t="shared" si="208"/>
        <v>0</v>
      </c>
      <c r="BR201">
        <f t="shared" si="209"/>
        <v>0</v>
      </c>
      <c r="BS201">
        <f t="shared" si="210"/>
        <v>0</v>
      </c>
      <c r="BT201">
        <f t="shared" si="211"/>
        <v>0</v>
      </c>
      <c r="BU201">
        <f t="shared" si="212"/>
        <v>0</v>
      </c>
      <c r="BV201">
        <f t="shared" si="213"/>
        <v>0</v>
      </c>
      <c r="BW201">
        <f t="shared" si="214"/>
        <v>0</v>
      </c>
      <c r="BX201">
        <f t="shared" si="215"/>
        <v>0</v>
      </c>
    </row>
    <row r="202" spans="2:76">
      <c r="B202" s="19">
        <f>Tiers!B203</f>
        <v>200</v>
      </c>
      <c r="C202" s="20" t="str">
        <f>Tiers!X203</f>
        <v>main-4|main-13|main-0|wild-4||||||</v>
      </c>
      <c r="D202" s="21">
        <f>Tiers!C203</f>
        <v>9.1</v>
      </c>
      <c r="E202" s="22">
        <f>Frequency!E204</f>
        <v>42</v>
      </c>
      <c r="F202" s="22">
        <f t="shared" si="165"/>
        <v>382.2</v>
      </c>
      <c r="G202" s="20">
        <f>IF(AND(D202/Summary!$C$4&gt;0, D202/Summary!$C$4&lt;5),E202,0) * D202</f>
        <v>0</v>
      </c>
      <c r="H202" s="20">
        <f>IF(AND(D202/Summary!$C$4&gt;= 5, D202/Summary!$C$4&lt;10),E202,0) * D202</f>
        <v>382.2</v>
      </c>
      <c r="I202" s="20">
        <f>IF(AND(D202/Summary!$C$4&gt;=10, D202/Summary!$C$4&lt;25),E202,0)*D202</f>
        <v>0</v>
      </c>
      <c r="J202" s="20">
        <f>IF(D202/Summary!$C$4&gt;=25,E202,0)*D202</f>
        <v>0</v>
      </c>
      <c r="K202" s="35">
        <f>IF(AND(D202/Frequency!$N$7&gt;0, D202/Frequency!$N$7&lt;1),E202,0)</f>
        <v>0</v>
      </c>
      <c r="L202" s="35">
        <f t="shared" si="166"/>
        <v>0</v>
      </c>
      <c r="M202" s="35">
        <f>IF(D202/Frequency!$N$7=1,1,0)*E202</f>
        <v>0</v>
      </c>
      <c r="N202" s="35">
        <f t="shared" si="167"/>
        <v>0</v>
      </c>
      <c r="O202" s="35">
        <f>IF(AND(D202/Frequency!$N$7&gt;1, D202/Frequency!$N$7&lt;=2),1,0)*E202</f>
        <v>0</v>
      </c>
      <c r="P202" s="35">
        <f t="shared" si="168"/>
        <v>0</v>
      </c>
      <c r="Q202" s="35">
        <f>IF(AND(D202/Frequency!$N$7&gt;2,D202/Frequency!$N$7&lt;=5),1,0)*E202</f>
        <v>0</v>
      </c>
      <c r="R202" s="35">
        <f t="shared" si="169"/>
        <v>0</v>
      </c>
      <c r="S202" s="35">
        <f>IF(AND(D202/Frequency!$N$7&gt;5, D202/Frequency!$N$7&lt;=10),1,0)*E202</f>
        <v>42</v>
      </c>
      <c r="T202" s="35">
        <f t="shared" si="170"/>
        <v>382.2</v>
      </c>
      <c r="U202" s="35">
        <f>IF(AND(D202/Frequency!$N$7&gt;10, D202/Frequency!$N$7&lt;=20),1,0)*E202</f>
        <v>0</v>
      </c>
      <c r="V202" s="35">
        <f t="shared" si="171"/>
        <v>0</v>
      </c>
      <c r="W202" s="35">
        <f>IF(AND(D202/Frequency!$N$7&gt;20, D202/Frequency!$N$7&lt;=30),1,0)*E202</f>
        <v>0</v>
      </c>
      <c r="X202" s="35">
        <f t="shared" si="172"/>
        <v>0</v>
      </c>
      <c r="Y202" s="35">
        <f>IF(AND(D202/Frequency!$N$7&gt;30, D202/Frequency!$N$7&lt;=50),1,0)*E202</f>
        <v>0</v>
      </c>
      <c r="Z202" s="35">
        <f t="shared" si="173"/>
        <v>0</v>
      </c>
      <c r="AA202" s="35">
        <f>IF(AND(D202/Frequency!$N$7&gt;50, D202/Frequency!$N$7&lt;=100),1,0)*E202</f>
        <v>0</v>
      </c>
      <c r="AB202" s="35">
        <f t="shared" si="174"/>
        <v>0</v>
      </c>
      <c r="AC202" s="35">
        <f>IF(D202/Frequency!$N$7&gt;100,1,0)*E202</f>
        <v>0</v>
      </c>
      <c r="AD202" s="35">
        <f t="shared" si="175"/>
        <v>0</v>
      </c>
      <c r="AE202" s="22">
        <f t="shared" si="176"/>
        <v>0</v>
      </c>
      <c r="AF202" s="22">
        <f t="shared" si="177"/>
        <v>0</v>
      </c>
      <c r="AG202" s="22">
        <f t="shared" si="178"/>
        <v>0</v>
      </c>
      <c r="AH202" s="22">
        <f t="shared" si="179"/>
        <v>0</v>
      </c>
      <c r="AI202" s="35">
        <f t="shared" si="180"/>
        <v>1</v>
      </c>
      <c r="AJ202" s="35">
        <f t="shared" si="181"/>
        <v>42</v>
      </c>
      <c r="AK202" s="35">
        <f t="shared" si="182"/>
        <v>382.2</v>
      </c>
      <c r="AL202">
        <f t="shared" si="183"/>
        <v>1</v>
      </c>
      <c r="AM202">
        <f t="shared" si="184"/>
        <v>42</v>
      </c>
      <c r="AN202">
        <f t="shared" si="185"/>
        <v>382.2</v>
      </c>
      <c r="AO202">
        <f t="shared" si="186"/>
        <v>1</v>
      </c>
      <c r="AP202">
        <f t="shared" si="187"/>
        <v>42</v>
      </c>
      <c r="AQ202">
        <f t="shared" si="188"/>
        <v>382.2</v>
      </c>
      <c r="AR202">
        <f t="shared" si="189"/>
        <v>0</v>
      </c>
      <c r="AS202">
        <f t="shared" si="190"/>
        <v>0</v>
      </c>
      <c r="AT202">
        <f t="shared" si="191"/>
        <v>0</v>
      </c>
      <c r="AU202">
        <f t="shared" si="192"/>
        <v>0</v>
      </c>
      <c r="AV202">
        <v>0</v>
      </c>
      <c r="AW202">
        <v>0</v>
      </c>
      <c r="AX202">
        <f t="shared" si="193"/>
        <v>0</v>
      </c>
      <c r="AY202">
        <f t="shared" si="194"/>
        <v>0</v>
      </c>
      <c r="AZ202">
        <f t="shared" si="195"/>
        <v>0</v>
      </c>
      <c r="BA202">
        <f t="shared" si="196"/>
        <v>0</v>
      </c>
      <c r="BB202">
        <f t="shared" si="197"/>
        <v>0</v>
      </c>
      <c r="BC202">
        <f t="shared" si="198"/>
        <v>0</v>
      </c>
      <c r="BD202">
        <f t="shared" si="199"/>
        <v>0</v>
      </c>
      <c r="BE202">
        <f t="shared" si="200"/>
        <v>0</v>
      </c>
      <c r="BF202">
        <f t="shared" si="201"/>
        <v>0</v>
      </c>
      <c r="BG202">
        <f t="shared" si="202"/>
        <v>0</v>
      </c>
      <c r="BH202">
        <f t="shared" si="203"/>
        <v>0</v>
      </c>
      <c r="BI202">
        <f t="shared" si="204"/>
        <v>0</v>
      </c>
      <c r="BJ202">
        <v>0</v>
      </c>
      <c r="BK202" t="str">
        <f t="shared" si="216"/>
        <v>Standard Win</v>
      </c>
      <c r="BL202" s="40" t="str">
        <f t="shared" si="217"/>
        <v>Combo Win</v>
      </c>
      <c r="BM202">
        <f>(D202/Frequency!$N$7-Summary!$C$7)^2*E202</f>
        <v>2865.5591999999997</v>
      </c>
      <c r="BN202">
        <f t="shared" si="205"/>
        <v>0</v>
      </c>
      <c r="BO202">
        <f t="shared" si="206"/>
        <v>0</v>
      </c>
      <c r="BP202">
        <f t="shared" si="207"/>
        <v>0</v>
      </c>
      <c r="BQ202">
        <f t="shared" si="208"/>
        <v>0</v>
      </c>
      <c r="BR202">
        <f t="shared" si="209"/>
        <v>0</v>
      </c>
      <c r="BS202">
        <f t="shared" si="210"/>
        <v>0</v>
      </c>
      <c r="BT202">
        <f t="shared" si="211"/>
        <v>0</v>
      </c>
      <c r="BU202">
        <f t="shared" si="212"/>
        <v>0</v>
      </c>
      <c r="BV202">
        <f t="shared" si="213"/>
        <v>0</v>
      </c>
      <c r="BW202">
        <f t="shared" si="214"/>
        <v>0</v>
      </c>
      <c r="BX202">
        <f t="shared" si="215"/>
        <v>0</v>
      </c>
    </row>
    <row r="203" spans="2:76">
      <c r="B203" s="19">
        <f>Tiers!B204</f>
        <v>201</v>
      </c>
      <c r="C203" s="20" t="str">
        <f>Tiers!X204</f>
        <v>main-1|main-18|main-26|wild-16||||||</v>
      </c>
      <c r="D203" s="21">
        <f>Tiers!C204</f>
        <v>18.2</v>
      </c>
      <c r="E203" s="22">
        <f>Frequency!E205</f>
        <v>100</v>
      </c>
      <c r="F203" s="22">
        <f t="shared" si="165"/>
        <v>1820</v>
      </c>
      <c r="G203" s="20">
        <f>IF(AND(D203/Summary!$C$4&gt;0, D203/Summary!$C$4&lt;5),E203,0) * D203</f>
        <v>0</v>
      </c>
      <c r="H203" s="20">
        <f>IF(AND(D203/Summary!$C$4&gt;= 5, D203/Summary!$C$4&lt;10),E203,0) * D203</f>
        <v>0</v>
      </c>
      <c r="I203" s="20">
        <f>IF(AND(D203/Summary!$C$4&gt;=10, D203/Summary!$C$4&lt;25),E203,0)*D203</f>
        <v>1820</v>
      </c>
      <c r="J203" s="20">
        <f>IF(D203/Summary!$C$4&gt;=25,E203,0)*D203</f>
        <v>0</v>
      </c>
      <c r="K203" s="35">
        <f>IF(AND(D203/Frequency!$N$7&gt;0, D203/Frequency!$N$7&lt;1),E203,0)</f>
        <v>0</v>
      </c>
      <c r="L203" s="35">
        <f t="shared" si="166"/>
        <v>0</v>
      </c>
      <c r="M203" s="35">
        <f>IF(D203/Frequency!$N$7=1,1,0)*E203</f>
        <v>0</v>
      </c>
      <c r="N203" s="35">
        <f t="shared" si="167"/>
        <v>0</v>
      </c>
      <c r="O203" s="35">
        <f>IF(AND(D203/Frequency!$N$7&gt;1, D203/Frequency!$N$7&lt;=2),1,0)*E203</f>
        <v>0</v>
      </c>
      <c r="P203" s="35">
        <f t="shared" si="168"/>
        <v>0</v>
      </c>
      <c r="Q203" s="35">
        <f>IF(AND(D203/Frequency!$N$7&gt;2,D203/Frequency!$N$7&lt;=5),1,0)*E203</f>
        <v>0</v>
      </c>
      <c r="R203" s="35">
        <f t="shared" si="169"/>
        <v>0</v>
      </c>
      <c r="S203" s="35">
        <f>IF(AND(D203/Frequency!$N$7&gt;5, D203/Frequency!$N$7&lt;=10),1,0)*E203</f>
        <v>0</v>
      </c>
      <c r="T203" s="35">
        <f t="shared" si="170"/>
        <v>0</v>
      </c>
      <c r="U203" s="35">
        <f>IF(AND(D203/Frequency!$N$7&gt;10, D203/Frequency!$N$7&lt;=20),1,0)*E203</f>
        <v>100</v>
      </c>
      <c r="V203" s="35">
        <f t="shared" si="171"/>
        <v>1820</v>
      </c>
      <c r="W203" s="35">
        <f>IF(AND(D203/Frequency!$N$7&gt;20, D203/Frequency!$N$7&lt;=30),1,0)*E203</f>
        <v>0</v>
      </c>
      <c r="X203" s="35">
        <f t="shared" si="172"/>
        <v>0</v>
      </c>
      <c r="Y203" s="35">
        <f>IF(AND(D203/Frequency!$N$7&gt;30, D203/Frequency!$N$7&lt;=50),1,0)*E203</f>
        <v>0</v>
      </c>
      <c r="Z203" s="35">
        <f t="shared" si="173"/>
        <v>0</v>
      </c>
      <c r="AA203" s="35">
        <f>IF(AND(D203/Frequency!$N$7&gt;50, D203/Frequency!$N$7&lt;=100),1,0)*E203</f>
        <v>0</v>
      </c>
      <c r="AB203" s="35">
        <f t="shared" si="174"/>
        <v>0</v>
      </c>
      <c r="AC203" s="35">
        <f>IF(D203/Frequency!$N$7&gt;100,1,0)*E203</f>
        <v>0</v>
      </c>
      <c r="AD203" s="35">
        <f t="shared" si="175"/>
        <v>0</v>
      </c>
      <c r="AE203" s="22">
        <f t="shared" si="176"/>
        <v>0</v>
      </c>
      <c r="AF203" s="22">
        <f t="shared" si="177"/>
        <v>0</v>
      </c>
      <c r="AG203" s="22">
        <f t="shared" si="178"/>
        <v>0</v>
      </c>
      <c r="AH203" s="22">
        <f t="shared" si="179"/>
        <v>0</v>
      </c>
      <c r="AI203" s="35">
        <f t="shared" si="180"/>
        <v>1</v>
      </c>
      <c r="AJ203" s="35">
        <f t="shared" si="181"/>
        <v>100</v>
      </c>
      <c r="AK203" s="35">
        <f t="shared" si="182"/>
        <v>1820</v>
      </c>
      <c r="AL203">
        <f t="shared" si="183"/>
        <v>1</v>
      </c>
      <c r="AM203">
        <f t="shared" si="184"/>
        <v>100</v>
      </c>
      <c r="AN203">
        <f t="shared" si="185"/>
        <v>1820</v>
      </c>
      <c r="AO203">
        <f t="shared" si="186"/>
        <v>1</v>
      </c>
      <c r="AP203">
        <f t="shared" si="187"/>
        <v>100</v>
      </c>
      <c r="AQ203">
        <f t="shared" si="188"/>
        <v>1820</v>
      </c>
      <c r="AR203">
        <f t="shared" si="189"/>
        <v>0</v>
      </c>
      <c r="AS203">
        <f t="shared" si="190"/>
        <v>0</v>
      </c>
      <c r="AT203">
        <f t="shared" si="191"/>
        <v>0</v>
      </c>
      <c r="AU203">
        <f t="shared" si="192"/>
        <v>0</v>
      </c>
      <c r="AV203">
        <v>0</v>
      </c>
      <c r="AW203">
        <v>0</v>
      </c>
      <c r="AX203">
        <f t="shared" si="193"/>
        <v>0</v>
      </c>
      <c r="AY203">
        <f t="shared" si="194"/>
        <v>0</v>
      </c>
      <c r="AZ203">
        <f t="shared" si="195"/>
        <v>0</v>
      </c>
      <c r="BA203">
        <f t="shared" si="196"/>
        <v>0</v>
      </c>
      <c r="BB203">
        <f t="shared" si="197"/>
        <v>0</v>
      </c>
      <c r="BC203">
        <f t="shared" si="198"/>
        <v>0</v>
      </c>
      <c r="BD203">
        <f t="shared" si="199"/>
        <v>0</v>
      </c>
      <c r="BE203">
        <f t="shared" si="200"/>
        <v>0</v>
      </c>
      <c r="BF203">
        <f t="shared" si="201"/>
        <v>0</v>
      </c>
      <c r="BG203">
        <f t="shared" si="202"/>
        <v>0</v>
      </c>
      <c r="BH203">
        <f t="shared" si="203"/>
        <v>0</v>
      </c>
      <c r="BI203">
        <f t="shared" si="204"/>
        <v>0</v>
      </c>
      <c r="BJ203">
        <v>0</v>
      </c>
      <c r="BK203" t="str">
        <f t="shared" si="216"/>
        <v>Big Win</v>
      </c>
      <c r="BL203" s="40" t="str">
        <f t="shared" si="217"/>
        <v>Combo Win</v>
      </c>
      <c r="BM203">
        <f>(D203/Frequency!$N$7-Summary!$C$7)^2*E203</f>
        <v>30136.959999999999</v>
      </c>
      <c r="BN203">
        <f t="shared" si="205"/>
        <v>0</v>
      </c>
      <c r="BO203">
        <f t="shared" si="206"/>
        <v>0</v>
      </c>
      <c r="BP203">
        <f t="shared" si="207"/>
        <v>0</v>
      </c>
      <c r="BQ203">
        <f t="shared" si="208"/>
        <v>0</v>
      </c>
      <c r="BR203">
        <f t="shared" si="209"/>
        <v>0</v>
      </c>
      <c r="BS203">
        <f t="shared" si="210"/>
        <v>0</v>
      </c>
      <c r="BT203">
        <f t="shared" si="211"/>
        <v>0</v>
      </c>
      <c r="BU203">
        <f t="shared" si="212"/>
        <v>0</v>
      </c>
      <c r="BV203">
        <f t="shared" si="213"/>
        <v>0</v>
      </c>
      <c r="BW203">
        <f t="shared" si="214"/>
        <v>0</v>
      </c>
      <c r="BX203">
        <f t="shared" si="215"/>
        <v>0</v>
      </c>
    </row>
    <row r="204" spans="2:76">
      <c r="B204" s="19">
        <f>Tiers!B205</f>
        <v>202</v>
      </c>
      <c r="C204" s="20" t="str">
        <f>Tiers!X205</f>
        <v>main-5|main-25|main-0|wild-17||||||</v>
      </c>
      <c r="D204" s="21">
        <f>Tiers!C205</f>
        <v>20.100000000000001</v>
      </c>
      <c r="E204" s="22">
        <f>Frequency!E206</f>
        <v>50</v>
      </c>
      <c r="F204" s="22">
        <f t="shared" si="165"/>
        <v>1005.0000000000001</v>
      </c>
      <c r="G204" s="20">
        <f>IF(AND(D204/Summary!$C$4&gt;0, D204/Summary!$C$4&lt;5),E204,0) * D204</f>
        <v>0</v>
      </c>
      <c r="H204" s="20">
        <f>IF(AND(D204/Summary!$C$4&gt;= 5, D204/Summary!$C$4&lt;10),E204,0) * D204</f>
        <v>0</v>
      </c>
      <c r="I204" s="20">
        <f>IF(AND(D204/Summary!$C$4&gt;=10, D204/Summary!$C$4&lt;25),E204,0)*D204</f>
        <v>1005.0000000000001</v>
      </c>
      <c r="J204" s="20">
        <f>IF(D204/Summary!$C$4&gt;=25,E204,0)*D204</f>
        <v>0</v>
      </c>
      <c r="K204" s="35">
        <f>IF(AND(D204/Frequency!$N$7&gt;0, D204/Frequency!$N$7&lt;1),E204,0)</f>
        <v>0</v>
      </c>
      <c r="L204" s="35">
        <f t="shared" si="166"/>
        <v>0</v>
      </c>
      <c r="M204" s="35">
        <f>IF(D204/Frequency!$N$7=1,1,0)*E204</f>
        <v>0</v>
      </c>
      <c r="N204" s="35">
        <f t="shared" si="167"/>
        <v>0</v>
      </c>
      <c r="O204" s="35">
        <f>IF(AND(D204/Frequency!$N$7&gt;1, D204/Frequency!$N$7&lt;=2),1,0)*E204</f>
        <v>0</v>
      </c>
      <c r="P204" s="35">
        <f t="shared" si="168"/>
        <v>0</v>
      </c>
      <c r="Q204" s="35">
        <f>IF(AND(D204/Frequency!$N$7&gt;2,D204/Frequency!$N$7&lt;=5),1,0)*E204</f>
        <v>0</v>
      </c>
      <c r="R204" s="35">
        <f t="shared" si="169"/>
        <v>0</v>
      </c>
      <c r="S204" s="35">
        <f>IF(AND(D204/Frequency!$N$7&gt;5, D204/Frequency!$N$7&lt;=10),1,0)*E204</f>
        <v>0</v>
      </c>
      <c r="T204" s="35">
        <f t="shared" si="170"/>
        <v>0</v>
      </c>
      <c r="U204" s="35">
        <f>IF(AND(D204/Frequency!$N$7&gt;10, D204/Frequency!$N$7&lt;=20),1,0)*E204</f>
        <v>0</v>
      </c>
      <c r="V204" s="35">
        <f t="shared" si="171"/>
        <v>0</v>
      </c>
      <c r="W204" s="35">
        <f>IF(AND(D204/Frequency!$N$7&gt;20, D204/Frequency!$N$7&lt;=30),1,0)*E204</f>
        <v>50</v>
      </c>
      <c r="X204" s="35">
        <f t="shared" si="172"/>
        <v>1005.0000000000001</v>
      </c>
      <c r="Y204" s="35">
        <f>IF(AND(D204/Frequency!$N$7&gt;30, D204/Frequency!$N$7&lt;=50),1,0)*E204</f>
        <v>0</v>
      </c>
      <c r="Z204" s="35">
        <f t="shared" si="173"/>
        <v>0</v>
      </c>
      <c r="AA204" s="35">
        <f>IF(AND(D204/Frequency!$N$7&gt;50, D204/Frequency!$N$7&lt;=100),1,0)*E204</f>
        <v>0</v>
      </c>
      <c r="AB204" s="35">
        <f t="shared" si="174"/>
        <v>0</v>
      </c>
      <c r="AC204" s="35">
        <f>IF(D204/Frequency!$N$7&gt;100,1,0)*E204</f>
        <v>0</v>
      </c>
      <c r="AD204" s="35">
        <f t="shared" si="175"/>
        <v>0</v>
      </c>
      <c r="AE204" s="22">
        <f t="shared" si="176"/>
        <v>0</v>
      </c>
      <c r="AF204" s="22">
        <f t="shared" si="177"/>
        <v>0</v>
      </c>
      <c r="AG204" s="22">
        <f t="shared" si="178"/>
        <v>0</v>
      </c>
      <c r="AH204" s="22">
        <f t="shared" si="179"/>
        <v>0</v>
      </c>
      <c r="AI204" s="35">
        <f t="shared" si="180"/>
        <v>1</v>
      </c>
      <c r="AJ204" s="35">
        <f t="shared" si="181"/>
        <v>50</v>
      </c>
      <c r="AK204" s="35">
        <f t="shared" si="182"/>
        <v>1005.0000000000001</v>
      </c>
      <c r="AL204">
        <f t="shared" si="183"/>
        <v>1</v>
      </c>
      <c r="AM204">
        <f t="shared" si="184"/>
        <v>50</v>
      </c>
      <c r="AN204">
        <f t="shared" si="185"/>
        <v>1005.0000000000001</v>
      </c>
      <c r="AO204">
        <f t="shared" si="186"/>
        <v>1</v>
      </c>
      <c r="AP204">
        <f t="shared" si="187"/>
        <v>50</v>
      </c>
      <c r="AQ204">
        <f t="shared" si="188"/>
        <v>1005.0000000000001</v>
      </c>
      <c r="AR204">
        <f t="shared" si="189"/>
        <v>0</v>
      </c>
      <c r="AS204">
        <f t="shared" si="190"/>
        <v>0</v>
      </c>
      <c r="AT204">
        <f t="shared" si="191"/>
        <v>0</v>
      </c>
      <c r="AU204">
        <f t="shared" si="192"/>
        <v>0</v>
      </c>
      <c r="AV204">
        <v>0</v>
      </c>
      <c r="AW204">
        <v>0</v>
      </c>
      <c r="AX204">
        <f t="shared" si="193"/>
        <v>0</v>
      </c>
      <c r="AY204">
        <f t="shared" si="194"/>
        <v>0</v>
      </c>
      <c r="AZ204">
        <f t="shared" si="195"/>
        <v>0</v>
      </c>
      <c r="BA204">
        <f t="shared" si="196"/>
        <v>0</v>
      </c>
      <c r="BB204">
        <f t="shared" si="197"/>
        <v>0</v>
      </c>
      <c r="BC204">
        <f t="shared" si="198"/>
        <v>0</v>
      </c>
      <c r="BD204">
        <f t="shared" si="199"/>
        <v>0</v>
      </c>
      <c r="BE204">
        <f t="shared" si="200"/>
        <v>0</v>
      </c>
      <c r="BF204">
        <f t="shared" si="201"/>
        <v>0</v>
      </c>
      <c r="BG204">
        <f t="shared" si="202"/>
        <v>0</v>
      </c>
      <c r="BH204">
        <f t="shared" si="203"/>
        <v>0</v>
      </c>
      <c r="BI204">
        <f t="shared" si="204"/>
        <v>0</v>
      </c>
      <c r="BJ204">
        <v>0</v>
      </c>
      <c r="BK204" t="str">
        <f t="shared" si="216"/>
        <v>Big Win</v>
      </c>
      <c r="BL204" s="40" t="str">
        <f t="shared" si="217"/>
        <v>Combo Win</v>
      </c>
      <c r="BM204">
        <f>(D204/Frequency!$N$7-Summary!$C$7)^2*E204</f>
        <v>18547.380000000005</v>
      </c>
      <c r="BN204">
        <f t="shared" si="205"/>
        <v>0</v>
      </c>
      <c r="BO204">
        <f t="shared" si="206"/>
        <v>0</v>
      </c>
      <c r="BP204">
        <f t="shared" si="207"/>
        <v>0</v>
      </c>
      <c r="BQ204">
        <f t="shared" si="208"/>
        <v>0</v>
      </c>
      <c r="BR204">
        <f t="shared" si="209"/>
        <v>0</v>
      </c>
      <c r="BS204">
        <f t="shared" si="210"/>
        <v>0</v>
      </c>
      <c r="BT204">
        <f t="shared" si="211"/>
        <v>0</v>
      </c>
      <c r="BU204">
        <f t="shared" si="212"/>
        <v>0</v>
      </c>
      <c r="BV204">
        <f t="shared" si="213"/>
        <v>0</v>
      </c>
      <c r="BW204">
        <f t="shared" si="214"/>
        <v>0</v>
      </c>
      <c r="BX204">
        <f t="shared" si="215"/>
        <v>0</v>
      </c>
    </row>
    <row r="205" spans="2:76">
      <c r="B205" s="19">
        <f>Tiers!B206</f>
        <v>203</v>
      </c>
      <c r="C205" s="20" t="str">
        <f>Tiers!X206</f>
        <v>main-4|main-0|main-20|wild-18||||||</v>
      </c>
      <c r="D205" s="21">
        <f>Tiers!C206</f>
        <v>15.1</v>
      </c>
      <c r="E205" s="22">
        <f>Frequency!E207</f>
        <v>100</v>
      </c>
      <c r="F205" s="22">
        <f t="shared" si="165"/>
        <v>1510</v>
      </c>
      <c r="G205" s="20">
        <f>IF(AND(D205/Summary!$C$4&gt;0, D205/Summary!$C$4&lt;5),E205,0) * D205</f>
        <v>0</v>
      </c>
      <c r="H205" s="20">
        <f>IF(AND(D205/Summary!$C$4&gt;= 5, D205/Summary!$C$4&lt;10),E205,0) * D205</f>
        <v>0</v>
      </c>
      <c r="I205" s="20">
        <f>IF(AND(D205/Summary!$C$4&gt;=10, D205/Summary!$C$4&lt;25),E205,0)*D205</f>
        <v>1510</v>
      </c>
      <c r="J205" s="20">
        <f>IF(D205/Summary!$C$4&gt;=25,E205,0)*D205</f>
        <v>0</v>
      </c>
      <c r="K205" s="35">
        <f>IF(AND(D205/Frequency!$N$7&gt;0, D205/Frequency!$N$7&lt;1),E205,0)</f>
        <v>0</v>
      </c>
      <c r="L205" s="35">
        <f t="shared" si="166"/>
        <v>0</v>
      </c>
      <c r="M205" s="35">
        <f>IF(D205/Frequency!$N$7=1,1,0)*E205</f>
        <v>0</v>
      </c>
      <c r="N205" s="35">
        <f t="shared" si="167"/>
        <v>0</v>
      </c>
      <c r="O205" s="35">
        <f>IF(AND(D205/Frequency!$N$7&gt;1, D205/Frequency!$N$7&lt;=2),1,0)*E205</f>
        <v>0</v>
      </c>
      <c r="P205" s="35">
        <f t="shared" si="168"/>
        <v>0</v>
      </c>
      <c r="Q205" s="35">
        <f>IF(AND(D205/Frequency!$N$7&gt;2,D205/Frequency!$N$7&lt;=5),1,0)*E205</f>
        <v>0</v>
      </c>
      <c r="R205" s="35">
        <f t="shared" si="169"/>
        <v>0</v>
      </c>
      <c r="S205" s="35">
        <f>IF(AND(D205/Frequency!$N$7&gt;5, D205/Frequency!$N$7&lt;=10),1,0)*E205</f>
        <v>0</v>
      </c>
      <c r="T205" s="35">
        <f t="shared" si="170"/>
        <v>0</v>
      </c>
      <c r="U205" s="35">
        <f>IF(AND(D205/Frequency!$N$7&gt;10, D205/Frequency!$N$7&lt;=20),1,0)*E205</f>
        <v>100</v>
      </c>
      <c r="V205" s="35">
        <f t="shared" si="171"/>
        <v>1510</v>
      </c>
      <c r="W205" s="35">
        <f>IF(AND(D205/Frequency!$N$7&gt;20, D205/Frequency!$N$7&lt;=30),1,0)*E205</f>
        <v>0</v>
      </c>
      <c r="X205" s="35">
        <f t="shared" si="172"/>
        <v>0</v>
      </c>
      <c r="Y205" s="35">
        <f>IF(AND(D205/Frequency!$N$7&gt;30, D205/Frequency!$N$7&lt;=50),1,0)*E205</f>
        <v>0</v>
      </c>
      <c r="Z205" s="35">
        <f t="shared" si="173"/>
        <v>0</v>
      </c>
      <c r="AA205" s="35">
        <f>IF(AND(D205/Frequency!$N$7&gt;50, D205/Frequency!$N$7&lt;=100),1,0)*E205</f>
        <v>0</v>
      </c>
      <c r="AB205" s="35">
        <f t="shared" si="174"/>
        <v>0</v>
      </c>
      <c r="AC205" s="35">
        <f>IF(D205/Frequency!$N$7&gt;100,1,0)*E205</f>
        <v>0</v>
      </c>
      <c r="AD205" s="35">
        <f t="shared" si="175"/>
        <v>0</v>
      </c>
      <c r="AE205" s="22">
        <f t="shared" si="176"/>
        <v>0</v>
      </c>
      <c r="AF205" s="22">
        <f t="shared" si="177"/>
        <v>0</v>
      </c>
      <c r="AG205" s="22">
        <f t="shared" si="178"/>
        <v>0</v>
      </c>
      <c r="AH205" s="22">
        <f t="shared" si="179"/>
        <v>0</v>
      </c>
      <c r="AI205" s="35">
        <f t="shared" si="180"/>
        <v>1</v>
      </c>
      <c r="AJ205" s="35">
        <f t="shared" si="181"/>
        <v>100</v>
      </c>
      <c r="AK205" s="35">
        <f t="shared" si="182"/>
        <v>1510</v>
      </c>
      <c r="AL205">
        <f t="shared" si="183"/>
        <v>1</v>
      </c>
      <c r="AM205">
        <f t="shared" si="184"/>
        <v>100</v>
      </c>
      <c r="AN205">
        <f t="shared" si="185"/>
        <v>1510</v>
      </c>
      <c r="AO205">
        <f t="shared" si="186"/>
        <v>1</v>
      </c>
      <c r="AP205">
        <f t="shared" si="187"/>
        <v>100</v>
      </c>
      <c r="AQ205">
        <f t="shared" si="188"/>
        <v>1510</v>
      </c>
      <c r="AR205">
        <f t="shared" si="189"/>
        <v>0</v>
      </c>
      <c r="AS205">
        <f t="shared" si="190"/>
        <v>0</v>
      </c>
      <c r="AT205">
        <f t="shared" si="191"/>
        <v>0</v>
      </c>
      <c r="AU205">
        <f t="shared" si="192"/>
        <v>0</v>
      </c>
      <c r="AV205">
        <v>0</v>
      </c>
      <c r="AW205">
        <v>0</v>
      </c>
      <c r="AX205">
        <f t="shared" si="193"/>
        <v>0</v>
      </c>
      <c r="AY205">
        <f t="shared" si="194"/>
        <v>0</v>
      </c>
      <c r="AZ205">
        <f t="shared" si="195"/>
        <v>0</v>
      </c>
      <c r="BA205">
        <f t="shared" si="196"/>
        <v>0</v>
      </c>
      <c r="BB205">
        <f t="shared" si="197"/>
        <v>0</v>
      </c>
      <c r="BC205">
        <f t="shared" si="198"/>
        <v>0</v>
      </c>
      <c r="BD205">
        <f t="shared" si="199"/>
        <v>0</v>
      </c>
      <c r="BE205">
        <f t="shared" si="200"/>
        <v>0</v>
      </c>
      <c r="BF205">
        <f t="shared" si="201"/>
        <v>0</v>
      </c>
      <c r="BG205">
        <f t="shared" si="202"/>
        <v>0</v>
      </c>
      <c r="BH205">
        <f t="shared" si="203"/>
        <v>0</v>
      </c>
      <c r="BI205">
        <f t="shared" si="204"/>
        <v>0</v>
      </c>
      <c r="BJ205">
        <v>0</v>
      </c>
      <c r="BK205" t="str">
        <f t="shared" si="216"/>
        <v>Big Win</v>
      </c>
      <c r="BL205" s="40" t="str">
        <f t="shared" si="217"/>
        <v>Combo Win</v>
      </c>
      <c r="BM205">
        <f>(D205/Frequency!$N$7-Summary!$C$7)^2*E205</f>
        <v>20334.759999999998</v>
      </c>
      <c r="BN205">
        <f t="shared" si="205"/>
        <v>0</v>
      </c>
      <c r="BO205">
        <f t="shared" si="206"/>
        <v>0</v>
      </c>
      <c r="BP205">
        <f t="shared" si="207"/>
        <v>0</v>
      </c>
      <c r="BQ205">
        <f t="shared" si="208"/>
        <v>0</v>
      </c>
      <c r="BR205">
        <f t="shared" si="209"/>
        <v>0</v>
      </c>
      <c r="BS205">
        <f t="shared" si="210"/>
        <v>0</v>
      </c>
      <c r="BT205">
        <f t="shared" si="211"/>
        <v>0</v>
      </c>
      <c r="BU205">
        <f t="shared" si="212"/>
        <v>0</v>
      </c>
      <c r="BV205">
        <f t="shared" si="213"/>
        <v>0</v>
      </c>
      <c r="BW205">
        <f t="shared" si="214"/>
        <v>0</v>
      </c>
      <c r="BX205">
        <f t="shared" si="215"/>
        <v>0</v>
      </c>
    </row>
    <row r="206" spans="2:76">
      <c r="B206" s="19">
        <f>Tiers!B207</f>
        <v>204</v>
      </c>
      <c r="C206" s="20" t="str">
        <f>Tiers!X207</f>
        <v>main-11|main-25|main-5|wild-12||||||</v>
      </c>
      <c r="D206" s="21">
        <f>Tiers!C207</f>
        <v>15</v>
      </c>
      <c r="E206" s="22">
        <f>Frequency!E208</f>
        <v>20</v>
      </c>
      <c r="F206" s="22">
        <f t="shared" si="165"/>
        <v>300</v>
      </c>
      <c r="G206" s="20">
        <f>IF(AND(D206/Summary!$C$4&gt;0, D206/Summary!$C$4&lt;5),E206,0) * D206</f>
        <v>0</v>
      </c>
      <c r="H206" s="20">
        <f>IF(AND(D206/Summary!$C$4&gt;= 5, D206/Summary!$C$4&lt;10),E206,0) * D206</f>
        <v>0</v>
      </c>
      <c r="I206" s="20">
        <f>IF(AND(D206/Summary!$C$4&gt;=10, D206/Summary!$C$4&lt;25),E206,0)*D206</f>
        <v>300</v>
      </c>
      <c r="J206" s="20">
        <f>IF(D206/Summary!$C$4&gt;=25,E206,0)*D206</f>
        <v>0</v>
      </c>
      <c r="K206" s="35">
        <f>IF(AND(D206/Frequency!$N$7&gt;0, D206/Frequency!$N$7&lt;1),E206,0)</f>
        <v>0</v>
      </c>
      <c r="L206" s="35">
        <f t="shared" si="166"/>
        <v>0</v>
      </c>
      <c r="M206" s="35">
        <f>IF(D206/Frequency!$N$7=1,1,0)*E206</f>
        <v>0</v>
      </c>
      <c r="N206" s="35">
        <f t="shared" si="167"/>
        <v>0</v>
      </c>
      <c r="O206" s="35">
        <f>IF(AND(D206/Frequency!$N$7&gt;1, D206/Frequency!$N$7&lt;=2),1,0)*E206</f>
        <v>0</v>
      </c>
      <c r="P206" s="35">
        <f t="shared" si="168"/>
        <v>0</v>
      </c>
      <c r="Q206" s="35">
        <f>IF(AND(D206/Frequency!$N$7&gt;2,D206/Frequency!$N$7&lt;=5),1,0)*E206</f>
        <v>0</v>
      </c>
      <c r="R206" s="35">
        <f t="shared" si="169"/>
        <v>0</v>
      </c>
      <c r="S206" s="35">
        <f>IF(AND(D206/Frequency!$N$7&gt;5, D206/Frequency!$N$7&lt;=10),1,0)*E206</f>
        <v>0</v>
      </c>
      <c r="T206" s="35">
        <f t="shared" si="170"/>
        <v>0</v>
      </c>
      <c r="U206" s="35">
        <f>IF(AND(D206/Frequency!$N$7&gt;10, D206/Frequency!$N$7&lt;=20),1,0)*E206</f>
        <v>20</v>
      </c>
      <c r="V206" s="35">
        <f t="shared" si="171"/>
        <v>300</v>
      </c>
      <c r="W206" s="35">
        <f>IF(AND(D206/Frequency!$N$7&gt;20, D206/Frequency!$N$7&lt;=30),1,0)*E206</f>
        <v>0</v>
      </c>
      <c r="X206" s="35">
        <f t="shared" si="172"/>
        <v>0</v>
      </c>
      <c r="Y206" s="35">
        <f>IF(AND(D206/Frequency!$N$7&gt;30, D206/Frequency!$N$7&lt;=50),1,0)*E206</f>
        <v>0</v>
      </c>
      <c r="Z206" s="35">
        <f t="shared" si="173"/>
        <v>0</v>
      </c>
      <c r="AA206" s="35">
        <f>IF(AND(D206/Frequency!$N$7&gt;50, D206/Frequency!$N$7&lt;=100),1,0)*E206</f>
        <v>0</v>
      </c>
      <c r="AB206" s="35">
        <f t="shared" si="174"/>
        <v>0</v>
      </c>
      <c r="AC206" s="35">
        <f>IF(D206/Frequency!$N$7&gt;100,1,0)*E206</f>
        <v>0</v>
      </c>
      <c r="AD206" s="35">
        <f t="shared" si="175"/>
        <v>0</v>
      </c>
      <c r="AE206" s="22">
        <f t="shared" si="176"/>
        <v>0</v>
      </c>
      <c r="AF206" s="22">
        <f t="shared" si="177"/>
        <v>0</v>
      </c>
      <c r="AG206" s="22">
        <f t="shared" si="178"/>
        <v>0</v>
      </c>
      <c r="AH206" s="22">
        <f t="shared" si="179"/>
        <v>0</v>
      </c>
      <c r="AI206" s="35">
        <f t="shared" si="180"/>
        <v>1</v>
      </c>
      <c r="AJ206" s="35">
        <f t="shared" si="181"/>
        <v>20</v>
      </c>
      <c r="AK206" s="35">
        <f t="shared" si="182"/>
        <v>300</v>
      </c>
      <c r="AL206">
        <f t="shared" si="183"/>
        <v>1</v>
      </c>
      <c r="AM206">
        <f t="shared" si="184"/>
        <v>20</v>
      </c>
      <c r="AN206">
        <f t="shared" si="185"/>
        <v>300</v>
      </c>
      <c r="AO206">
        <f t="shared" si="186"/>
        <v>1</v>
      </c>
      <c r="AP206">
        <f t="shared" si="187"/>
        <v>20</v>
      </c>
      <c r="AQ206">
        <f t="shared" si="188"/>
        <v>300</v>
      </c>
      <c r="AR206">
        <f t="shared" si="189"/>
        <v>0</v>
      </c>
      <c r="AS206">
        <f t="shared" si="190"/>
        <v>0</v>
      </c>
      <c r="AT206">
        <f t="shared" si="191"/>
        <v>0</v>
      </c>
      <c r="AU206">
        <f t="shared" si="192"/>
        <v>0</v>
      </c>
      <c r="AV206">
        <v>0</v>
      </c>
      <c r="AW206">
        <v>0</v>
      </c>
      <c r="AX206">
        <f t="shared" si="193"/>
        <v>0</v>
      </c>
      <c r="AY206">
        <f t="shared" si="194"/>
        <v>0</v>
      </c>
      <c r="AZ206">
        <f t="shared" si="195"/>
        <v>0</v>
      </c>
      <c r="BA206">
        <f t="shared" si="196"/>
        <v>0</v>
      </c>
      <c r="BB206">
        <f t="shared" si="197"/>
        <v>0</v>
      </c>
      <c r="BC206">
        <f t="shared" si="198"/>
        <v>0</v>
      </c>
      <c r="BD206">
        <f t="shared" si="199"/>
        <v>0</v>
      </c>
      <c r="BE206">
        <f t="shared" si="200"/>
        <v>0</v>
      </c>
      <c r="BF206">
        <f t="shared" si="201"/>
        <v>0</v>
      </c>
      <c r="BG206">
        <f t="shared" si="202"/>
        <v>0</v>
      </c>
      <c r="BH206">
        <f t="shared" si="203"/>
        <v>0</v>
      </c>
      <c r="BI206">
        <f t="shared" si="204"/>
        <v>0</v>
      </c>
      <c r="BJ206">
        <v>0</v>
      </c>
      <c r="BK206" t="str">
        <f t="shared" si="216"/>
        <v>Big Win</v>
      </c>
      <c r="BL206" s="40" t="str">
        <f t="shared" si="217"/>
        <v>Combo Win</v>
      </c>
      <c r="BM206">
        <f>(D206/Frequency!$N$7-Summary!$C$7)^2*E206</f>
        <v>4010.1120000000001</v>
      </c>
      <c r="BN206">
        <f t="shared" si="205"/>
        <v>0</v>
      </c>
      <c r="BO206">
        <f t="shared" si="206"/>
        <v>0</v>
      </c>
      <c r="BP206">
        <f t="shared" si="207"/>
        <v>0</v>
      </c>
      <c r="BQ206">
        <f t="shared" si="208"/>
        <v>0</v>
      </c>
      <c r="BR206">
        <f t="shared" si="209"/>
        <v>0</v>
      </c>
      <c r="BS206">
        <f t="shared" si="210"/>
        <v>0</v>
      </c>
      <c r="BT206">
        <f t="shared" si="211"/>
        <v>0</v>
      </c>
      <c r="BU206">
        <f t="shared" si="212"/>
        <v>0</v>
      </c>
      <c r="BV206">
        <f t="shared" si="213"/>
        <v>0</v>
      </c>
      <c r="BW206">
        <f t="shared" si="214"/>
        <v>0</v>
      </c>
      <c r="BX206">
        <f t="shared" si="215"/>
        <v>0</v>
      </c>
    </row>
    <row r="207" spans="2:76">
      <c r="B207" s="19">
        <f>Tiers!B208</f>
        <v>205</v>
      </c>
      <c r="C207" s="20" t="str">
        <f>Tiers!X208</f>
        <v>main-18|main-19|main-5|wild-13||||||</v>
      </c>
      <c r="D207" s="21">
        <f>Tiers!C208</f>
        <v>18</v>
      </c>
      <c r="E207" s="22">
        <f>Frequency!E209</f>
        <v>100</v>
      </c>
      <c r="F207" s="22">
        <f t="shared" si="165"/>
        <v>1800</v>
      </c>
      <c r="G207" s="20">
        <f>IF(AND(D207/Summary!$C$4&gt;0, D207/Summary!$C$4&lt;5),E207,0) * D207</f>
        <v>0</v>
      </c>
      <c r="H207" s="20">
        <f>IF(AND(D207/Summary!$C$4&gt;= 5, D207/Summary!$C$4&lt;10),E207,0) * D207</f>
        <v>0</v>
      </c>
      <c r="I207" s="20">
        <f>IF(AND(D207/Summary!$C$4&gt;=10, D207/Summary!$C$4&lt;25),E207,0)*D207</f>
        <v>1800</v>
      </c>
      <c r="J207" s="20">
        <f>IF(D207/Summary!$C$4&gt;=25,E207,0)*D207</f>
        <v>0</v>
      </c>
      <c r="K207" s="35">
        <f>IF(AND(D207/Frequency!$N$7&gt;0, D207/Frequency!$N$7&lt;1),E207,0)</f>
        <v>0</v>
      </c>
      <c r="L207" s="35">
        <f t="shared" si="166"/>
        <v>0</v>
      </c>
      <c r="M207" s="35">
        <f>IF(D207/Frequency!$N$7=1,1,0)*E207</f>
        <v>0</v>
      </c>
      <c r="N207" s="35">
        <f t="shared" si="167"/>
        <v>0</v>
      </c>
      <c r="O207" s="35">
        <f>IF(AND(D207/Frequency!$N$7&gt;1, D207/Frequency!$N$7&lt;=2),1,0)*E207</f>
        <v>0</v>
      </c>
      <c r="P207" s="35">
        <f t="shared" si="168"/>
        <v>0</v>
      </c>
      <c r="Q207" s="35">
        <f>IF(AND(D207/Frequency!$N$7&gt;2,D207/Frequency!$N$7&lt;=5),1,0)*E207</f>
        <v>0</v>
      </c>
      <c r="R207" s="35">
        <f t="shared" si="169"/>
        <v>0</v>
      </c>
      <c r="S207" s="35">
        <f>IF(AND(D207/Frequency!$N$7&gt;5, D207/Frequency!$N$7&lt;=10),1,0)*E207</f>
        <v>0</v>
      </c>
      <c r="T207" s="35">
        <f t="shared" si="170"/>
        <v>0</v>
      </c>
      <c r="U207" s="35">
        <f>IF(AND(D207/Frequency!$N$7&gt;10, D207/Frequency!$N$7&lt;=20),1,0)*E207</f>
        <v>100</v>
      </c>
      <c r="V207" s="35">
        <f t="shared" si="171"/>
        <v>1800</v>
      </c>
      <c r="W207" s="35">
        <f>IF(AND(D207/Frequency!$N$7&gt;20, D207/Frequency!$N$7&lt;=30),1,0)*E207</f>
        <v>0</v>
      </c>
      <c r="X207" s="35">
        <f t="shared" si="172"/>
        <v>0</v>
      </c>
      <c r="Y207" s="35">
        <f>IF(AND(D207/Frequency!$N$7&gt;30, D207/Frequency!$N$7&lt;=50),1,0)*E207</f>
        <v>0</v>
      </c>
      <c r="Z207" s="35">
        <f t="shared" si="173"/>
        <v>0</v>
      </c>
      <c r="AA207" s="35">
        <f>IF(AND(D207/Frequency!$N$7&gt;50, D207/Frequency!$N$7&lt;=100),1,0)*E207</f>
        <v>0</v>
      </c>
      <c r="AB207" s="35">
        <f t="shared" si="174"/>
        <v>0</v>
      </c>
      <c r="AC207" s="35">
        <f>IF(D207/Frequency!$N$7&gt;100,1,0)*E207</f>
        <v>0</v>
      </c>
      <c r="AD207" s="35">
        <f t="shared" si="175"/>
        <v>0</v>
      </c>
      <c r="AE207" s="22">
        <f t="shared" si="176"/>
        <v>0</v>
      </c>
      <c r="AF207" s="22">
        <f t="shared" si="177"/>
        <v>0</v>
      </c>
      <c r="AG207" s="22">
        <f t="shared" si="178"/>
        <v>0</v>
      </c>
      <c r="AH207" s="22">
        <f t="shared" si="179"/>
        <v>0</v>
      </c>
      <c r="AI207" s="35">
        <f t="shared" si="180"/>
        <v>1</v>
      </c>
      <c r="AJ207" s="35">
        <f t="shared" si="181"/>
        <v>100</v>
      </c>
      <c r="AK207" s="35">
        <f t="shared" si="182"/>
        <v>1800</v>
      </c>
      <c r="AL207">
        <f t="shared" si="183"/>
        <v>1</v>
      </c>
      <c r="AM207">
        <f t="shared" si="184"/>
        <v>100</v>
      </c>
      <c r="AN207">
        <f t="shared" si="185"/>
        <v>1800</v>
      </c>
      <c r="AO207">
        <f t="shared" si="186"/>
        <v>1</v>
      </c>
      <c r="AP207">
        <f t="shared" si="187"/>
        <v>100</v>
      </c>
      <c r="AQ207">
        <f t="shared" si="188"/>
        <v>1800</v>
      </c>
      <c r="AR207">
        <f t="shared" si="189"/>
        <v>0</v>
      </c>
      <c r="AS207">
        <f t="shared" si="190"/>
        <v>0</v>
      </c>
      <c r="AT207">
        <f t="shared" si="191"/>
        <v>0</v>
      </c>
      <c r="AU207">
        <f t="shared" si="192"/>
        <v>0</v>
      </c>
      <c r="AV207">
        <v>0</v>
      </c>
      <c r="AW207">
        <v>0</v>
      </c>
      <c r="AX207">
        <f t="shared" si="193"/>
        <v>0</v>
      </c>
      <c r="AY207">
        <f t="shared" si="194"/>
        <v>0</v>
      </c>
      <c r="AZ207">
        <f t="shared" si="195"/>
        <v>0</v>
      </c>
      <c r="BA207">
        <f t="shared" si="196"/>
        <v>0</v>
      </c>
      <c r="BB207">
        <f t="shared" si="197"/>
        <v>0</v>
      </c>
      <c r="BC207">
        <f t="shared" si="198"/>
        <v>0</v>
      </c>
      <c r="BD207">
        <f t="shared" si="199"/>
        <v>0</v>
      </c>
      <c r="BE207">
        <f t="shared" si="200"/>
        <v>0</v>
      </c>
      <c r="BF207">
        <f t="shared" si="201"/>
        <v>0</v>
      </c>
      <c r="BG207">
        <f t="shared" si="202"/>
        <v>0</v>
      </c>
      <c r="BH207">
        <f t="shared" si="203"/>
        <v>0</v>
      </c>
      <c r="BI207">
        <f t="shared" si="204"/>
        <v>0</v>
      </c>
      <c r="BJ207">
        <v>0</v>
      </c>
      <c r="BK207" t="str">
        <f t="shared" si="216"/>
        <v>Big Win</v>
      </c>
      <c r="BL207" s="40" t="str">
        <f t="shared" si="217"/>
        <v>Combo Win</v>
      </c>
      <c r="BM207">
        <f>(D207/Frequency!$N$7-Summary!$C$7)^2*E207</f>
        <v>29446.559999999998</v>
      </c>
      <c r="BN207">
        <f t="shared" si="205"/>
        <v>0</v>
      </c>
      <c r="BO207">
        <f t="shared" si="206"/>
        <v>0</v>
      </c>
      <c r="BP207">
        <f t="shared" si="207"/>
        <v>0</v>
      </c>
      <c r="BQ207">
        <f t="shared" si="208"/>
        <v>0</v>
      </c>
      <c r="BR207">
        <f t="shared" si="209"/>
        <v>0</v>
      </c>
      <c r="BS207">
        <f t="shared" si="210"/>
        <v>0</v>
      </c>
      <c r="BT207">
        <f t="shared" si="211"/>
        <v>0</v>
      </c>
      <c r="BU207">
        <f t="shared" si="212"/>
        <v>0</v>
      </c>
      <c r="BV207">
        <f t="shared" si="213"/>
        <v>0</v>
      </c>
      <c r="BW207">
        <f t="shared" si="214"/>
        <v>0</v>
      </c>
      <c r="BX207">
        <f t="shared" si="215"/>
        <v>0</v>
      </c>
    </row>
    <row r="208" spans="2:76">
      <c r="B208" s="19">
        <f>Tiers!B209</f>
        <v>206</v>
      </c>
      <c r="C208" s="20" t="str">
        <f>Tiers!X209</f>
        <v>main-3|main-20|main-4|wild-15||||||</v>
      </c>
      <c r="D208" s="21">
        <f>Tiers!C209</f>
        <v>16</v>
      </c>
      <c r="E208" s="22">
        <f>Frequency!E210</f>
        <v>20</v>
      </c>
      <c r="F208" s="22">
        <f t="shared" si="165"/>
        <v>320</v>
      </c>
      <c r="G208" s="20">
        <f>IF(AND(D208/Summary!$C$4&gt;0, D208/Summary!$C$4&lt;5),E208,0) * D208</f>
        <v>0</v>
      </c>
      <c r="H208" s="20">
        <f>IF(AND(D208/Summary!$C$4&gt;= 5, D208/Summary!$C$4&lt;10),E208,0) * D208</f>
        <v>0</v>
      </c>
      <c r="I208" s="20">
        <f>IF(AND(D208/Summary!$C$4&gt;=10, D208/Summary!$C$4&lt;25),E208,0)*D208</f>
        <v>320</v>
      </c>
      <c r="J208" s="20">
        <f>IF(D208/Summary!$C$4&gt;=25,E208,0)*D208</f>
        <v>0</v>
      </c>
      <c r="K208" s="35">
        <f>IF(AND(D208/Frequency!$N$7&gt;0, D208/Frequency!$N$7&lt;1),E208,0)</f>
        <v>0</v>
      </c>
      <c r="L208" s="35">
        <f t="shared" si="166"/>
        <v>0</v>
      </c>
      <c r="M208" s="35">
        <f>IF(D208/Frequency!$N$7=1,1,0)*E208</f>
        <v>0</v>
      </c>
      <c r="N208" s="35">
        <f t="shared" si="167"/>
        <v>0</v>
      </c>
      <c r="O208" s="35">
        <f>IF(AND(D208/Frequency!$N$7&gt;1, D208/Frequency!$N$7&lt;=2),1,0)*E208</f>
        <v>0</v>
      </c>
      <c r="P208" s="35">
        <f t="shared" si="168"/>
        <v>0</v>
      </c>
      <c r="Q208" s="35">
        <f>IF(AND(D208/Frequency!$N$7&gt;2,D208/Frequency!$N$7&lt;=5),1,0)*E208</f>
        <v>0</v>
      </c>
      <c r="R208" s="35">
        <f t="shared" si="169"/>
        <v>0</v>
      </c>
      <c r="S208" s="35">
        <f>IF(AND(D208/Frequency!$N$7&gt;5, D208/Frequency!$N$7&lt;=10),1,0)*E208</f>
        <v>0</v>
      </c>
      <c r="T208" s="35">
        <f t="shared" si="170"/>
        <v>0</v>
      </c>
      <c r="U208" s="35">
        <f>IF(AND(D208/Frequency!$N$7&gt;10, D208/Frequency!$N$7&lt;=20),1,0)*E208</f>
        <v>20</v>
      </c>
      <c r="V208" s="35">
        <f t="shared" si="171"/>
        <v>320</v>
      </c>
      <c r="W208" s="35">
        <f>IF(AND(D208/Frequency!$N$7&gt;20, D208/Frequency!$N$7&lt;=30),1,0)*E208</f>
        <v>0</v>
      </c>
      <c r="X208" s="35">
        <f t="shared" si="172"/>
        <v>0</v>
      </c>
      <c r="Y208" s="35">
        <f>IF(AND(D208/Frequency!$N$7&gt;30, D208/Frequency!$N$7&lt;=50),1,0)*E208</f>
        <v>0</v>
      </c>
      <c r="Z208" s="35">
        <f t="shared" si="173"/>
        <v>0</v>
      </c>
      <c r="AA208" s="35">
        <f>IF(AND(D208/Frequency!$N$7&gt;50, D208/Frequency!$N$7&lt;=100),1,0)*E208</f>
        <v>0</v>
      </c>
      <c r="AB208" s="35">
        <f t="shared" si="174"/>
        <v>0</v>
      </c>
      <c r="AC208" s="35">
        <f>IF(D208/Frequency!$N$7&gt;100,1,0)*E208</f>
        <v>0</v>
      </c>
      <c r="AD208" s="35">
        <f t="shared" si="175"/>
        <v>0</v>
      </c>
      <c r="AE208" s="22">
        <f t="shared" si="176"/>
        <v>0</v>
      </c>
      <c r="AF208" s="22">
        <f t="shared" si="177"/>
        <v>0</v>
      </c>
      <c r="AG208" s="22">
        <f t="shared" si="178"/>
        <v>0</v>
      </c>
      <c r="AH208" s="22">
        <f t="shared" si="179"/>
        <v>0</v>
      </c>
      <c r="AI208" s="35">
        <f t="shared" si="180"/>
        <v>1</v>
      </c>
      <c r="AJ208" s="35">
        <f t="shared" si="181"/>
        <v>20</v>
      </c>
      <c r="AK208" s="35">
        <f t="shared" si="182"/>
        <v>320</v>
      </c>
      <c r="AL208">
        <f t="shared" si="183"/>
        <v>1</v>
      </c>
      <c r="AM208">
        <f t="shared" si="184"/>
        <v>20</v>
      </c>
      <c r="AN208">
        <f t="shared" si="185"/>
        <v>320</v>
      </c>
      <c r="AO208">
        <f t="shared" si="186"/>
        <v>1</v>
      </c>
      <c r="AP208">
        <f t="shared" si="187"/>
        <v>20</v>
      </c>
      <c r="AQ208">
        <f t="shared" si="188"/>
        <v>320</v>
      </c>
      <c r="AR208">
        <f t="shared" si="189"/>
        <v>0</v>
      </c>
      <c r="AS208">
        <f t="shared" si="190"/>
        <v>0</v>
      </c>
      <c r="AT208">
        <f t="shared" si="191"/>
        <v>0</v>
      </c>
      <c r="AU208">
        <f t="shared" si="192"/>
        <v>0</v>
      </c>
      <c r="AV208">
        <v>0</v>
      </c>
      <c r="AW208">
        <v>0</v>
      </c>
      <c r="AX208">
        <f t="shared" si="193"/>
        <v>0</v>
      </c>
      <c r="AY208">
        <f t="shared" si="194"/>
        <v>0</v>
      </c>
      <c r="AZ208">
        <f t="shared" si="195"/>
        <v>0</v>
      </c>
      <c r="BA208">
        <f t="shared" si="196"/>
        <v>0</v>
      </c>
      <c r="BB208">
        <f t="shared" si="197"/>
        <v>0</v>
      </c>
      <c r="BC208">
        <f t="shared" si="198"/>
        <v>0</v>
      </c>
      <c r="BD208">
        <f t="shared" si="199"/>
        <v>0</v>
      </c>
      <c r="BE208">
        <f t="shared" si="200"/>
        <v>0</v>
      </c>
      <c r="BF208">
        <f t="shared" si="201"/>
        <v>0</v>
      </c>
      <c r="BG208">
        <f t="shared" si="202"/>
        <v>0</v>
      </c>
      <c r="BH208">
        <f t="shared" si="203"/>
        <v>0</v>
      </c>
      <c r="BI208">
        <f t="shared" si="204"/>
        <v>0</v>
      </c>
      <c r="BJ208">
        <v>0</v>
      </c>
      <c r="BK208" t="str">
        <f t="shared" si="216"/>
        <v>Big Win</v>
      </c>
      <c r="BL208" s="40" t="str">
        <f t="shared" si="217"/>
        <v>Combo Win</v>
      </c>
      <c r="BM208">
        <f>(D208/Frequency!$N$7-Summary!$C$7)^2*E208</f>
        <v>4596.5120000000006</v>
      </c>
      <c r="BN208">
        <f t="shared" si="205"/>
        <v>0</v>
      </c>
      <c r="BO208">
        <f t="shared" si="206"/>
        <v>0</v>
      </c>
      <c r="BP208">
        <f t="shared" si="207"/>
        <v>0</v>
      </c>
      <c r="BQ208">
        <f t="shared" si="208"/>
        <v>0</v>
      </c>
      <c r="BR208">
        <f t="shared" si="209"/>
        <v>0</v>
      </c>
      <c r="BS208">
        <f t="shared" si="210"/>
        <v>0</v>
      </c>
      <c r="BT208">
        <f t="shared" si="211"/>
        <v>0</v>
      </c>
      <c r="BU208">
        <f t="shared" si="212"/>
        <v>0</v>
      </c>
      <c r="BV208">
        <f t="shared" si="213"/>
        <v>0</v>
      </c>
      <c r="BW208">
        <f t="shared" si="214"/>
        <v>0</v>
      </c>
      <c r="BX208">
        <f t="shared" si="215"/>
        <v>0</v>
      </c>
    </row>
    <row r="209" spans="2:76">
      <c r="B209" s="19">
        <f>Tiers!B210</f>
        <v>207</v>
      </c>
      <c r="C209" s="20" t="str">
        <f>Tiers!X210</f>
        <v>main-3|main-5|main-19|wild-16||||||</v>
      </c>
      <c r="D209" s="21">
        <f>Tiers!C210</f>
        <v>16</v>
      </c>
      <c r="E209" s="22">
        <f>Frequency!E211</f>
        <v>100</v>
      </c>
      <c r="F209" s="22">
        <f t="shared" si="165"/>
        <v>1600</v>
      </c>
      <c r="G209" s="20">
        <f>IF(AND(D209/Summary!$C$4&gt;0, D209/Summary!$C$4&lt;5),E209,0) * D209</f>
        <v>0</v>
      </c>
      <c r="H209" s="20">
        <f>IF(AND(D209/Summary!$C$4&gt;= 5, D209/Summary!$C$4&lt;10),E209,0) * D209</f>
        <v>0</v>
      </c>
      <c r="I209" s="20">
        <f>IF(AND(D209/Summary!$C$4&gt;=10, D209/Summary!$C$4&lt;25),E209,0)*D209</f>
        <v>1600</v>
      </c>
      <c r="J209" s="20">
        <f>IF(D209/Summary!$C$4&gt;=25,E209,0)*D209</f>
        <v>0</v>
      </c>
      <c r="K209" s="35">
        <f>IF(AND(D209/Frequency!$N$7&gt;0, D209/Frequency!$N$7&lt;1),E209,0)</f>
        <v>0</v>
      </c>
      <c r="L209" s="35">
        <f t="shared" si="166"/>
        <v>0</v>
      </c>
      <c r="M209" s="35">
        <f>IF(D209/Frequency!$N$7=1,1,0)*E209</f>
        <v>0</v>
      </c>
      <c r="N209" s="35">
        <f t="shared" si="167"/>
        <v>0</v>
      </c>
      <c r="O209" s="35">
        <f>IF(AND(D209/Frequency!$N$7&gt;1, D209/Frequency!$N$7&lt;=2),1,0)*E209</f>
        <v>0</v>
      </c>
      <c r="P209" s="35">
        <f t="shared" si="168"/>
        <v>0</v>
      </c>
      <c r="Q209" s="35">
        <f>IF(AND(D209/Frequency!$N$7&gt;2,D209/Frequency!$N$7&lt;=5),1,0)*E209</f>
        <v>0</v>
      </c>
      <c r="R209" s="35">
        <f t="shared" si="169"/>
        <v>0</v>
      </c>
      <c r="S209" s="35">
        <f>IF(AND(D209/Frequency!$N$7&gt;5, D209/Frequency!$N$7&lt;=10),1,0)*E209</f>
        <v>0</v>
      </c>
      <c r="T209" s="35">
        <f t="shared" si="170"/>
        <v>0</v>
      </c>
      <c r="U209" s="35">
        <f>IF(AND(D209/Frequency!$N$7&gt;10, D209/Frequency!$N$7&lt;=20),1,0)*E209</f>
        <v>100</v>
      </c>
      <c r="V209" s="35">
        <f t="shared" si="171"/>
        <v>1600</v>
      </c>
      <c r="W209" s="35">
        <f>IF(AND(D209/Frequency!$N$7&gt;20, D209/Frequency!$N$7&lt;=30),1,0)*E209</f>
        <v>0</v>
      </c>
      <c r="X209" s="35">
        <f t="shared" si="172"/>
        <v>0</v>
      </c>
      <c r="Y209" s="35">
        <f>IF(AND(D209/Frequency!$N$7&gt;30, D209/Frequency!$N$7&lt;=50),1,0)*E209</f>
        <v>0</v>
      </c>
      <c r="Z209" s="35">
        <f t="shared" si="173"/>
        <v>0</v>
      </c>
      <c r="AA209" s="35">
        <f>IF(AND(D209/Frequency!$N$7&gt;50, D209/Frequency!$N$7&lt;=100),1,0)*E209</f>
        <v>0</v>
      </c>
      <c r="AB209" s="35">
        <f t="shared" si="174"/>
        <v>0</v>
      </c>
      <c r="AC209" s="35">
        <f>IF(D209/Frequency!$N$7&gt;100,1,0)*E209</f>
        <v>0</v>
      </c>
      <c r="AD209" s="35">
        <f t="shared" si="175"/>
        <v>0</v>
      </c>
      <c r="AE209" s="22">
        <f t="shared" si="176"/>
        <v>0</v>
      </c>
      <c r="AF209" s="22">
        <f t="shared" si="177"/>
        <v>0</v>
      </c>
      <c r="AG209" s="22">
        <f t="shared" si="178"/>
        <v>0</v>
      </c>
      <c r="AH209" s="22">
        <f t="shared" si="179"/>
        <v>0</v>
      </c>
      <c r="AI209" s="35">
        <f t="shared" si="180"/>
        <v>1</v>
      </c>
      <c r="AJ209" s="35">
        <f t="shared" si="181"/>
        <v>100</v>
      </c>
      <c r="AK209" s="35">
        <f t="shared" si="182"/>
        <v>1600</v>
      </c>
      <c r="AL209">
        <f t="shared" si="183"/>
        <v>1</v>
      </c>
      <c r="AM209">
        <f t="shared" si="184"/>
        <v>100</v>
      </c>
      <c r="AN209">
        <f t="shared" si="185"/>
        <v>1600</v>
      </c>
      <c r="AO209">
        <f t="shared" si="186"/>
        <v>1</v>
      </c>
      <c r="AP209">
        <f t="shared" si="187"/>
        <v>100</v>
      </c>
      <c r="AQ209">
        <f t="shared" si="188"/>
        <v>1600</v>
      </c>
      <c r="AR209">
        <f t="shared" si="189"/>
        <v>0</v>
      </c>
      <c r="AS209">
        <f t="shared" si="190"/>
        <v>0</v>
      </c>
      <c r="AT209">
        <f t="shared" si="191"/>
        <v>0</v>
      </c>
      <c r="AU209">
        <f t="shared" si="192"/>
        <v>0</v>
      </c>
      <c r="AV209">
        <v>0</v>
      </c>
      <c r="AW209">
        <v>0</v>
      </c>
      <c r="AX209">
        <f t="shared" si="193"/>
        <v>0</v>
      </c>
      <c r="AY209">
        <f t="shared" si="194"/>
        <v>0</v>
      </c>
      <c r="AZ209">
        <f t="shared" si="195"/>
        <v>0</v>
      </c>
      <c r="BA209">
        <f t="shared" si="196"/>
        <v>0</v>
      </c>
      <c r="BB209">
        <f t="shared" si="197"/>
        <v>0</v>
      </c>
      <c r="BC209">
        <f t="shared" si="198"/>
        <v>0</v>
      </c>
      <c r="BD209">
        <f t="shared" si="199"/>
        <v>0</v>
      </c>
      <c r="BE209">
        <f t="shared" si="200"/>
        <v>0</v>
      </c>
      <c r="BF209">
        <f t="shared" si="201"/>
        <v>0</v>
      </c>
      <c r="BG209">
        <f t="shared" si="202"/>
        <v>0</v>
      </c>
      <c r="BH209">
        <f t="shared" si="203"/>
        <v>0</v>
      </c>
      <c r="BI209">
        <f t="shared" si="204"/>
        <v>0</v>
      </c>
      <c r="BJ209">
        <v>0</v>
      </c>
      <c r="BK209" t="str">
        <f t="shared" si="216"/>
        <v>Big Win</v>
      </c>
      <c r="BL209" s="40" t="str">
        <f t="shared" si="217"/>
        <v>Combo Win</v>
      </c>
      <c r="BM209">
        <f>(D209/Frequency!$N$7-Summary!$C$7)^2*E209</f>
        <v>22982.560000000001</v>
      </c>
      <c r="BN209">
        <f t="shared" si="205"/>
        <v>0</v>
      </c>
      <c r="BO209">
        <f t="shared" si="206"/>
        <v>0</v>
      </c>
      <c r="BP209">
        <f t="shared" si="207"/>
        <v>0</v>
      </c>
      <c r="BQ209">
        <f t="shared" si="208"/>
        <v>0</v>
      </c>
      <c r="BR209">
        <f t="shared" si="209"/>
        <v>0</v>
      </c>
      <c r="BS209">
        <f t="shared" si="210"/>
        <v>0</v>
      </c>
      <c r="BT209">
        <f t="shared" si="211"/>
        <v>0</v>
      </c>
      <c r="BU209">
        <f t="shared" si="212"/>
        <v>0</v>
      </c>
      <c r="BV209">
        <f t="shared" si="213"/>
        <v>0</v>
      </c>
      <c r="BW209">
        <f t="shared" si="214"/>
        <v>0</v>
      </c>
      <c r="BX209">
        <f t="shared" si="215"/>
        <v>0</v>
      </c>
    </row>
    <row r="210" spans="2:76">
      <c r="B210" s="19">
        <f>Tiers!B211</f>
        <v>208</v>
      </c>
      <c r="C210" s="20" t="str">
        <f>Tiers!X211</f>
        <v>main-5|main-26|main-1|wild-17||||||</v>
      </c>
      <c r="D210" s="21">
        <f>Tiers!C211</f>
        <v>25.2</v>
      </c>
      <c r="E210" s="22">
        <f>Frequency!E212</f>
        <v>109</v>
      </c>
      <c r="F210" s="22">
        <f t="shared" si="165"/>
        <v>2746.7999999999997</v>
      </c>
      <c r="G210" s="20">
        <f>IF(AND(D210/Summary!$C$4&gt;0, D210/Summary!$C$4&lt;5),E210,0) * D210</f>
        <v>0</v>
      </c>
      <c r="H210" s="20">
        <f>IF(AND(D210/Summary!$C$4&gt;= 5, D210/Summary!$C$4&lt;10),E210,0) * D210</f>
        <v>0</v>
      </c>
      <c r="I210" s="20">
        <f>IF(AND(D210/Summary!$C$4&gt;=10, D210/Summary!$C$4&lt;25),E210,0)*D210</f>
        <v>0</v>
      </c>
      <c r="J210" s="20">
        <f>IF(D210/Summary!$C$4&gt;=25,E210,0)*D210</f>
        <v>2746.7999999999997</v>
      </c>
      <c r="K210" s="35">
        <f>IF(AND(D210/Frequency!$N$7&gt;0, D210/Frequency!$N$7&lt;1),E210,0)</f>
        <v>0</v>
      </c>
      <c r="L210" s="35">
        <f t="shared" si="166"/>
        <v>0</v>
      </c>
      <c r="M210" s="35">
        <f>IF(D210/Frequency!$N$7=1,1,0)*E210</f>
        <v>0</v>
      </c>
      <c r="N210" s="35">
        <f t="shared" si="167"/>
        <v>0</v>
      </c>
      <c r="O210" s="35">
        <f>IF(AND(D210/Frequency!$N$7&gt;1, D210/Frequency!$N$7&lt;=2),1,0)*E210</f>
        <v>0</v>
      </c>
      <c r="P210" s="35">
        <f t="shared" si="168"/>
        <v>0</v>
      </c>
      <c r="Q210" s="35">
        <f>IF(AND(D210/Frequency!$N$7&gt;2,D210/Frequency!$N$7&lt;=5),1,0)*E210</f>
        <v>0</v>
      </c>
      <c r="R210" s="35">
        <f t="shared" si="169"/>
        <v>0</v>
      </c>
      <c r="S210" s="35">
        <f>IF(AND(D210/Frequency!$N$7&gt;5, D210/Frequency!$N$7&lt;=10),1,0)*E210</f>
        <v>0</v>
      </c>
      <c r="T210" s="35">
        <f t="shared" si="170"/>
        <v>0</v>
      </c>
      <c r="U210" s="35">
        <f>IF(AND(D210/Frequency!$N$7&gt;10, D210/Frequency!$N$7&lt;=20),1,0)*E210</f>
        <v>0</v>
      </c>
      <c r="V210" s="35">
        <f t="shared" si="171"/>
        <v>0</v>
      </c>
      <c r="W210" s="35">
        <f>IF(AND(D210/Frequency!$N$7&gt;20, D210/Frequency!$N$7&lt;=30),1,0)*E210</f>
        <v>109</v>
      </c>
      <c r="X210" s="35">
        <f t="shared" si="172"/>
        <v>2746.7999999999997</v>
      </c>
      <c r="Y210" s="35">
        <f>IF(AND(D210/Frequency!$N$7&gt;30, D210/Frequency!$N$7&lt;=50),1,0)*E210</f>
        <v>0</v>
      </c>
      <c r="Z210" s="35">
        <f t="shared" si="173"/>
        <v>0</v>
      </c>
      <c r="AA210" s="35">
        <f>IF(AND(D210/Frequency!$N$7&gt;50, D210/Frequency!$N$7&lt;=100),1,0)*E210</f>
        <v>0</v>
      </c>
      <c r="AB210" s="35">
        <f t="shared" si="174"/>
        <v>0</v>
      </c>
      <c r="AC210" s="35">
        <f>IF(D210/Frequency!$N$7&gt;100,1,0)*E210</f>
        <v>0</v>
      </c>
      <c r="AD210" s="35">
        <f t="shared" si="175"/>
        <v>0</v>
      </c>
      <c r="AE210" s="22">
        <f t="shared" si="176"/>
        <v>0</v>
      </c>
      <c r="AF210" s="22">
        <f t="shared" si="177"/>
        <v>0</v>
      </c>
      <c r="AG210" s="22">
        <f t="shared" si="178"/>
        <v>0</v>
      </c>
      <c r="AH210" s="22">
        <f t="shared" si="179"/>
        <v>0</v>
      </c>
      <c r="AI210" s="35">
        <f t="shared" si="180"/>
        <v>1</v>
      </c>
      <c r="AJ210" s="35">
        <f t="shared" si="181"/>
        <v>109</v>
      </c>
      <c r="AK210" s="35">
        <f t="shared" si="182"/>
        <v>2746.7999999999997</v>
      </c>
      <c r="AL210">
        <f t="shared" si="183"/>
        <v>1</v>
      </c>
      <c r="AM210">
        <f t="shared" si="184"/>
        <v>109</v>
      </c>
      <c r="AN210">
        <f t="shared" si="185"/>
        <v>2746.7999999999997</v>
      </c>
      <c r="AO210">
        <f t="shared" si="186"/>
        <v>1</v>
      </c>
      <c r="AP210">
        <f t="shared" si="187"/>
        <v>109</v>
      </c>
      <c r="AQ210">
        <f t="shared" si="188"/>
        <v>2746.7999999999997</v>
      </c>
      <c r="AR210">
        <f t="shared" si="189"/>
        <v>0</v>
      </c>
      <c r="AS210">
        <f t="shared" si="190"/>
        <v>0</v>
      </c>
      <c r="AT210">
        <f t="shared" si="191"/>
        <v>0</v>
      </c>
      <c r="AU210">
        <f t="shared" si="192"/>
        <v>0</v>
      </c>
      <c r="AV210">
        <v>0</v>
      </c>
      <c r="AW210">
        <v>0</v>
      </c>
      <c r="AX210">
        <f t="shared" si="193"/>
        <v>0</v>
      </c>
      <c r="AY210">
        <f t="shared" si="194"/>
        <v>0</v>
      </c>
      <c r="AZ210">
        <f t="shared" si="195"/>
        <v>0</v>
      </c>
      <c r="BA210">
        <f t="shared" si="196"/>
        <v>0</v>
      </c>
      <c r="BB210">
        <f t="shared" si="197"/>
        <v>0</v>
      </c>
      <c r="BC210">
        <f t="shared" si="198"/>
        <v>0</v>
      </c>
      <c r="BD210">
        <f t="shared" si="199"/>
        <v>0</v>
      </c>
      <c r="BE210">
        <f t="shared" si="200"/>
        <v>0</v>
      </c>
      <c r="BF210">
        <f t="shared" si="201"/>
        <v>0</v>
      </c>
      <c r="BG210">
        <f t="shared" si="202"/>
        <v>0</v>
      </c>
      <c r="BH210">
        <f t="shared" si="203"/>
        <v>0</v>
      </c>
      <c r="BI210">
        <f t="shared" si="204"/>
        <v>0</v>
      </c>
      <c r="BJ210">
        <v>0</v>
      </c>
      <c r="BK210" t="str">
        <f t="shared" si="216"/>
        <v>Big Win</v>
      </c>
      <c r="BL210" s="40" t="str">
        <f t="shared" si="217"/>
        <v>Combo Win</v>
      </c>
      <c r="BM210">
        <f>(D210/Frequency!$N$7-Summary!$C$7)^2*E210</f>
        <v>64681.646399999998</v>
      </c>
      <c r="BN210">
        <f t="shared" si="205"/>
        <v>0</v>
      </c>
      <c r="BO210">
        <f t="shared" si="206"/>
        <v>0</v>
      </c>
      <c r="BP210">
        <f t="shared" si="207"/>
        <v>0</v>
      </c>
      <c r="BQ210">
        <f t="shared" si="208"/>
        <v>0</v>
      </c>
      <c r="BR210">
        <f t="shared" si="209"/>
        <v>0</v>
      </c>
      <c r="BS210">
        <f t="shared" si="210"/>
        <v>0</v>
      </c>
      <c r="BT210">
        <f t="shared" si="211"/>
        <v>0</v>
      </c>
      <c r="BU210">
        <f t="shared" si="212"/>
        <v>0</v>
      </c>
      <c r="BV210">
        <f t="shared" si="213"/>
        <v>0</v>
      </c>
      <c r="BW210">
        <f t="shared" si="214"/>
        <v>0</v>
      </c>
      <c r="BX210">
        <f t="shared" si="215"/>
        <v>0</v>
      </c>
    </row>
    <row r="211" spans="2:76">
      <c r="B211" s="19">
        <f>Tiers!B212</f>
        <v>209</v>
      </c>
      <c r="C211" s="20" t="str">
        <f>Tiers!X212</f>
        <v>main-5|main-25|main-19|wild-11||||||</v>
      </c>
      <c r="D211" s="21">
        <f>Tiers!C212</f>
        <v>17</v>
      </c>
      <c r="E211" s="22">
        <f>Frequency!E213</f>
        <v>100</v>
      </c>
      <c r="F211" s="22">
        <f t="shared" si="165"/>
        <v>1700</v>
      </c>
      <c r="G211" s="20">
        <f>IF(AND(D211/Summary!$C$4&gt;0, D211/Summary!$C$4&lt;5),E211,0) * D211</f>
        <v>0</v>
      </c>
      <c r="H211" s="20">
        <f>IF(AND(D211/Summary!$C$4&gt;= 5, D211/Summary!$C$4&lt;10),E211,0) * D211</f>
        <v>0</v>
      </c>
      <c r="I211" s="20">
        <f>IF(AND(D211/Summary!$C$4&gt;=10, D211/Summary!$C$4&lt;25),E211,0)*D211</f>
        <v>1700</v>
      </c>
      <c r="J211" s="20">
        <f>IF(D211/Summary!$C$4&gt;=25,E211,0)*D211</f>
        <v>0</v>
      </c>
      <c r="K211" s="35">
        <f>IF(AND(D211/Frequency!$N$7&gt;0, D211/Frequency!$N$7&lt;1),E211,0)</f>
        <v>0</v>
      </c>
      <c r="L211" s="35">
        <f t="shared" si="166"/>
        <v>0</v>
      </c>
      <c r="M211" s="35">
        <f>IF(D211/Frequency!$N$7=1,1,0)*E211</f>
        <v>0</v>
      </c>
      <c r="N211" s="35">
        <f t="shared" si="167"/>
        <v>0</v>
      </c>
      <c r="O211" s="35">
        <f>IF(AND(D211/Frequency!$N$7&gt;1, D211/Frequency!$N$7&lt;=2),1,0)*E211</f>
        <v>0</v>
      </c>
      <c r="P211" s="35">
        <f t="shared" si="168"/>
        <v>0</v>
      </c>
      <c r="Q211" s="35">
        <f>IF(AND(D211/Frequency!$N$7&gt;2,D211/Frequency!$N$7&lt;=5),1,0)*E211</f>
        <v>0</v>
      </c>
      <c r="R211" s="35">
        <f t="shared" si="169"/>
        <v>0</v>
      </c>
      <c r="S211" s="35">
        <f>IF(AND(D211/Frequency!$N$7&gt;5, D211/Frequency!$N$7&lt;=10),1,0)*E211</f>
        <v>0</v>
      </c>
      <c r="T211" s="35">
        <f t="shared" si="170"/>
        <v>0</v>
      </c>
      <c r="U211" s="35">
        <f>IF(AND(D211/Frequency!$N$7&gt;10, D211/Frequency!$N$7&lt;=20),1,0)*E211</f>
        <v>100</v>
      </c>
      <c r="V211" s="35">
        <f t="shared" si="171"/>
        <v>1700</v>
      </c>
      <c r="W211" s="35">
        <f>IF(AND(D211/Frequency!$N$7&gt;20, D211/Frequency!$N$7&lt;=30),1,0)*E211</f>
        <v>0</v>
      </c>
      <c r="X211" s="35">
        <f t="shared" si="172"/>
        <v>0</v>
      </c>
      <c r="Y211" s="35">
        <f>IF(AND(D211/Frequency!$N$7&gt;30, D211/Frequency!$N$7&lt;=50),1,0)*E211</f>
        <v>0</v>
      </c>
      <c r="Z211" s="35">
        <f t="shared" si="173"/>
        <v>0</v>
      </c>
      <c r="AA211" s="35">
        <f>IF(AND(D211/Frequency!$N$7&gt;50, D211/Frequency!$N$7&lt;=100),1,0)*E211</f>
        <v>0</v>
      </c>
      <c r="AB211" s="35">
        <f t="shared" si="174"/>
        <v>0</v>
      </c>
      <c r="AC211" s="35">
        <f>IF(D211/Frequency!$N$7&gt;100,1,0)*E211</f>
        <v>0</v>
      </c>
      <c r="AD211" s="35">
        <f t="shared" si="175"/>
        <v>0</v>
      </c>
      <c r="AE211" s="22">
        <f t="shared" si="176"/>
        <v>0</v>
      </c>
      <c r="AF211" s="22">
        <f t="shared" si="177"/>
        <v>0</v>
      </c>
      <c r="AG211" s="22">
        <f t="shared" si="178"/>
        <v>0</v>
      </c>
      <c r="AH211" s="22">
        <f t="shared" si="179"/>
        <v>0</v>
      </c>
      <c r="AI211" s="35">
        <f t="shared" si="180"/>
        <v>1</v>
      </c>
      <c r="AJ211" s="35">
        <f t="shared" si="181"/>
        <v>100</v>
      </c>
      <c r="AK211" s="35">
        <f t="shared" si="182"/>
        <v>1700</v>
      </c>
      <c r="AL211">
        <f t="shared" si="183"/>
        <v>1</v>
      </c>
      <c r="AM211">
        <f t="shared" si="184"/>
        <v>100</v>
      </c>
      <c r="AN211">
        <f t="shared" si="185"/>
        <v>1700</v>
      </c>
      <c r="AO211">
        <f t="shared" si="186"/>
        <v>1</v>
      </c>
      <c r="AP211">
        <f t="shared" si="187"/>
        <v>100</v>
      </c>
      <c r="AQ211">
        <f t="shared" si="188"/>
        <v>1700</v>
      </c>
      <c r="AR211">
        <f t="shared" si="189"/>
        <v>0</v>
      </c>
      <c r="AS211">
        <f t="shared" si="190"/>
        <v>0</v>
      </c>
      <c r="AT211">
        <f t="shared" si="191"/>
        <v>0</v>
      </c>
      <c r="AU211">
        <f t="shared" si="192"/>
        <v>0</v>
      </c>
      <c r="AV211">
        <v>0</v>
      </c>
      <c r="AW211">
        <v>0</v>
      </c>
      <c r="AX211">
        <f t="shared" si="193"/>
        <v>0</v>
      </c>
      <c r="AY211">
        <f t="shared" si="194"/>
        <v>0</v>
      </c>
      <c r="AZ211">
        <f t="shared" si="195"/>
        <v>0</v>
      </c>
      <c r="BA211">
        <f t="shared" si="196"/>
        <v>0</v>
      </c>
      <c r="BB211">
        <f t="shared" si="197"/>
        <v>0</v>
      </c>
      <c r="BC211">
        <f t="shared" si="198"/>
        <v>0</v>
      </c>
      <c r="BD211">
        <f t="shared" si="199"/>
        <v>0</v>
      </c>
      <c r="BE211">
        <f t="shared" si="200"/>
        <v>0</v>
      </c>
      <c r="BF211">
        <f t="shared" si="201"/>
        <v>0</v>
      </c>
      <c r="BG211">
        <f t="shared" si="202"/>
        <v>0</v>
      </c>
      <c r="BH211">
        <f t="shared" si="203"/>
        <v>0</v>
      </c>
      <c r="BI211">
        <f t="shared" si="204"/>
        <v>0</v>
      </c>
      <c r="BJ211">
        <v>0</v>
      </c>
      <c r="BK211" t="str">
        <f t="shared" si="216"/>
        <v>Big Win</v>
      </c>
      <c r="BL211" s="40" t="str">
        <f t="shared" si="217"/>
        <v>Combo Win</v>
      </c>
      <c r="BM211">
        <f>(D211/Frequency!$N$7-Summary!$C$7)^2*E211</f>
        <v>26114.560000000001</v>
      </c>
      <c r="BN211">
        <f t="shared" si="205"/>
        <v>0</v>
      </c>
      <c r="BO211">
        <f t="shared" si="206"/>
        <v>0</v>
      </c>
      <c r="BP211">
        <f t="shared" si="207"/>
        <v>0</v>
      </c>
      <c r="BQ211">
        <f t="shared" si="208"/>
        <v>0</v>
      </c>
      <c r="BR211">
        <f t="shared" si="209"/>
        <v>0</v>
      </c>
      <c r="BS211">
        <f t="shared" si="210"/>
        <v>0</v>
      </c>
      <c r="BT211">
        <f t="shared" si="211"/>
        <v>0</v>
      </c>
      <c r="BU211">
        <f t="shared" si="212"/>
        <v>0</v>
      </c>
      <c r="BV211">
        <f t="shared" si="213"/>
        <v>0</v>
      </c>
      <c r="BW211">
        <f t="shared" si="214"/>
        <v>0</v>
      </c>
      <c r="BX211">
        <f t="shared" si="215"/>
        <v>0</v>
      </c>
    </row>
    <row r="212" spans="2:76">
      <c r="B212" s="19">
        <f>Tiers!B213</f>
        <v>210</v>
      </c>
      <c r="C212" s="20" t="str">
        <f>Tiers!X213</f>
        <v>main-4|main-19|main-5|wild-2||||||</v>
      </c>
      <c r="D212" s="21">
        <f>Tiers!C213</f>
        <v>12.5</v>
      </c>
      <c r="E212" s="22">
        <f>Frequency!E214</f>
        <v>100</v>
      </c>
      <c r="F212" s="22">
        <f t="shared" si="165"/>
        <v>1250</v>
      </c>
      <c r="G212" s="20">
        <f>IF(AND(D212/Summary!$C$4&gt;0, D212/Summary!$C$4&lt;5),E212,0) * D212</f>
        <v>0</v>
      </c>
      <c r="H212" s="20">
        <f>IF(AND(D212/Summary!$C$4&gt;= 5, D212/Summary!$C$4&lt;10),E212,0) * D212</f>
        <v>0</v>
      </c>
      <c r="I212" s="20">
        <f>IF(AND(D212/Summary!$C$4&gt;=10, D212/Summary!$C$4&lt;25),E212,0)*D212</f>
        <v>1250</v>
      </c>
      <c r="J212" s="20">
        <f>IF(D212/Summary!$C$4&gt;=25,E212,0)*D212</f>
        <v>0</v>
      </c>
      <c r="K212" s="35">
        <f>IF(AND(D212/Frequency!$N$7&gt;0, D212/Frequency!$N$7&lt;1),E212,0)</f>
        <v>0</v>
      </c>
      <c r="L212" s="35">
        <f t="shared" si="166"/>
        <v>0</v>
      </c>
      <c r="M212" s="35">
        <f>IF(D212/Frequency!$N$7=1,1,0)*E212</f>
        <v>0</v>
      </c>
      <c r="N212" s="35">
        <f t="shared" si="167"/>
        <v>0</v>
      </c>
      <c r="O212" s="35">
        <f>IF(AND(D212/Frequency!$N$7&gt;1, D212/Frequency!$N$7&lt;=2),1,0)*E212</f>
        <v>0</v>
      </c>
      <c r="P212" s="35">
        <f t="shared" si="168"/>
        <v>0</v>
      </c>
      <c r="Q212" s="35">
        <f>IF(AND(D212/Frequency!$N$7&gt;2,D212/Frequency!$N$7&lt;=5),1,0)*E212</f>
        <v>0</v>
      </c>
      <c r="R212" s="35">
        <f t="shared" si="169"/>
        <v>0</v>
      </c>
      <c r="S212" s="35">
        <f>IF(AND(D212/Frequency!$N$7&gt;5, D212/Frequency!$N$7&lt;=10),1,0)*E212</f>
        <v>0</v>
      </c>
      <c r="T212" s="35">
        <f t="shared" si="170"/>
        <v>0</v>
      </c>
      <c r="U212" s="35">
        <f>IF(AND(D212/Frequency!$N$7&gt;10, D212/Frequency!$N$7&lt;=20),1,0)*E212</f>
        <v>100</v>
      </c>
      <c r="V212" s="35">
        <f t="shared" si="171"/>
        <v>1250</v>
      </c>
      <c r="W212" s="35">
        <f>IF(AND(D212/Frequency!$N$7&gt;20, D212/Frequency!$N$7&lt;=30),1,0)*E212</f>
        <v>0</v>
      </c>
      <c r="X212" s="35">
        <f t="shared" si="172"/>
        <v>0</v>
      </c>
      <c r="Y212" s="35">
        <f>IF(AND(D212/Frequency!$N$7&gt;30, D212/Frequency!$N$7&lt;=50),1,0)*E212</f>
        <v>0</v>
      </c>
      <c r="Z212" s="35">
        <f t="shared" si="173"/>
        <v>0</v>
      </c>
      <c r="AA212" s="35">
        <f>IF(AND(D212/Frequency!$N$7&gt;50, D212/Frequency!$N$7&lt;=100),1,0)*E212</f>
        <v>0</v>
      </c>
      <c r="AB212" s="35">
        <f t="shared" si="174"/>
        <v>0</v>
      </c>
      <c r="AC212" s="35">
        <f>IF(D212/Frequency!$N$7&gt;100,1,0)*E212</f>
        <v>0</v>
      </c>
      <c r="AD212" s="35">
        <f t="shared" si="175"/>
        <v>0</v>
      </c>
      <c r="AE212" s="22">
        <f t="shared" si="176"/>
        <v>0</v>
      </c>
      <c r="AF212" s="22">
        <f t="shared" si="177"/>
        <v>0</v>
      </c>
      <c r="AG212" s="22">
        <f t="shared" si="178"/>
        <v>0</v>
      </c>
      <c r="AH212" s="22">
        <f t="shared" si="179"/>
        <v>0</v>
      </c>
      <c r="AI212" s="35">
        <f t="shared" si="180"/>
        <v>1</v>
      </c>
      <c r="AJ212" s="35">
        <f t="shared" si="181"/>
        <v>100</v>
      </c>
      <c r="AK212" s="35">
        <f t="shared" si="182"/>
        <v>1250</v>
      </c>
      <c r="AL212">
        <f t="shared" si="183"/>
        <v>1</v>
      </c>
      <c r="AM212">
        <f t="shared" si="184"/>
        <v>100</v>
      </c>
      <c r="AN212">
        <f t="shared" si="185"/>
        <v>1250</v>
      </c>
      <c r="AO212">
        <f t="shared" si="186"/>
        <v>1</v>
      </c>
      <c r="AP212">
        <f t="shared" si="187"/>
        <v>100</v>
      </c>
      <c r="AQ212">
        <f t="shared" si="188"/>
        <v>1250</v>
      </c>
      <c r="AR212">
        <f t="shared" si="189"/>
        <v>0</v>
      </c>
      <c r="AS212">
        <f t="shared" si="190"/>
        <v>0</v>
      </c>
      <c r="AT212">
        <f t="shared" si="191"/>
        <v>0</v>
      </c>
      <c r="AU212">
        <f t="shared" si="192"/>
        <v>0</v>
      </c>
      <c r="AV212">
        <v>0</v>
      </c>
      <c r="AW212">
        <v>0</v>
      </c>
      <c r="AX212">
        <f t="shared" si="193"/>
        <v>0</v>
      </c>
      <c r="AY212">
        <f t="shared" si="194"/>
        <v>0</v>
      </c>
      <c r="AZ212">
        <f t="shared" si="195"/>
        <v>0</v>
      </c>
      <c r="BA212">
        <f t="shared" si="196"/>
        <v>0</v>
      </c>
      <c r="BB212">
        <f t="shared" si="197"/>
        <v>0</v>
      </c>
      <c r="BC212">
        <f t="shared" si="198"/>
        <v>0</v>
      </c>
      <c r="BD212">
        <f t="shared" si="199"/>
        <v>0</v>
      </c>
      <c r="BE212">
        <f t="shared" si="200"/>
        <v>0</v>
      </c>
      <c r="BF212">
        <f t="shared" si="201"/>
        <v>0</v>
      </c>
      <c r="BG212">
        <f t="shared" si="202"/>
        <v>0</v>
      </c>
      <c r="BH212">
        <f t="shared" si="203"/>
        <v>0</v>
      </c>
      <c r="BI212">
        <f t="shared" si="204"/>
        <v>0</v>
      </c>
      <c r="BJ212">
        <v>0</v>
      </c>
      <c r="BK212" t="str">
        <f t="shared" si="216"/>
        <v>Big Win</v>
      </c>
      <c r="BL212" s="40" t="str">
        <f t="shared" si="217"/>
        <v>Combo Win</v>
      </c>
      <c r="BM212">
        <f>(D212/Frequency!$N$7-Summary!$C$7)^2*E212</f>
        <v>13595.560000000001</v>
      </c>
      <c r="BN212">
        <f t="shared" si="205"/>
        <v>0</v>
      </c>
      <c r="BO212">
        <f t="shared" si="206"/>
        <v>0</v>
      </c>
      <c r="BP212">
        <f t="shared" si="207"/>
        <v>0</v>
      </c>
      <c r="BQ212">
        <f t="shared" si="208"/>
        <v>0</v>
      </c>
      <c r="BR212">
        <f t="shared" si="209"/>
        <v>0</v>
      </c>
      <c r="BS212">
        <f t="shared" si="210"/>
        <v>0</v>
      </c>
      <c r="BT212">
        <f t="shared" si="211"/>
        <v>0</v>
      </c>
      <c r="BU212">
        <f t="shared" si="212"/>
        <v>0</v>
      </c>
      <c r="BV212">
        <f t="shared" si="213"/>
        <v>0</v>
      </c>
      <c r="BW212">
        <f t="shared" si="214"/>
        <v>0</v>
      </c>
      <c r="BX212">
        <f t="shared" si="215"/>
        <v>0</v>
      </c>
    </row>
    <row r="213" spans="2:76">
      <c r="B213" s="19">
        <f>Tiers!B214</f>
        <v>211</v>
      </c>
      <c r="C213" s="20" t="str">
        <f>Tiers!X214</f>
        <v>main-0|main-27|main-2|wild-3||||||</v>
      </c>
      <c r="D213" s="21">
        <f>Tiers!C214</f>
        <v>21.6</v>
      </c>
      <c r="E213" s="22">
        <f>Frequency!E215</f>
        <v>31</v>
      </c>
      <c r="F213" s="22">
        <f t="shared" si="165"/>
        <v>669.6</v>
      </c>
      <c r="G213" s="20">
        <f>IF(AND(D213/Summary!$C$4&gt;0, D213/Summary!$C$4&lt;5),E213,0) * D213</f>
        <v>0</v>
      </c>
      <c r="H213" s="20">
        <f>IF(AND(D213/Summary!$C$4&gt;= 5, D213/Summary!$C$4&lt;10),E213,0) * D213</f>
        <v>0</v>
      </c>
      <c r="I213" s="20">
        <f>IF(AND(D213/Summary!$C$4&gt;=10, D213/Summary!$C$4&lt;25),E213,0)*D213</f>
        <v>669.6</v>
      </c>
      <c r="J213" s="20">
        <f>IF(D213/Summary!$C$4&gt;=25,E213,0)*D213</f>
        <v>0</v>
      </c>
      <c r="K213" s="35">
        <f>IF(AND(D213/Frequency!$N$7&gt;0, D213/Frequency!$N$7&lt;1),E213,0)</f>
        <v>0</v>
      </c>
      <c r="L213" s="35">
        <f t="shared" si="166"/>
        <v>0</v>
      </c>
      <c r="M213" s="35">
        <f>IF(D213/Frequency!$N$7=1,1,0)*E213</f>
        <v>0</v>
      </c>
      <c r="N213" s="35">
        <f t="shared" si="167"/>
        <v>0</v>
      </c>
      <c r="O213" s="35">
        <f>IF(AND(D213/Frequency!$N$7&gt;1, D213/Frequency!$N$7&lt;=2),1,0)*E213</f>
        <v>0</v>
      </c>
      <c r="P213" s="35">
        <f t="shared" si="168"/>
        <v>0</v>
      </c>
      <c r="Q213" s="35">
        <f>IF(AND(D213/Frequency!$N$7&gt;2,D213/Frequency!$N$7&lt;=5),1,0)*E213</f>
        <v>0</v>
      </c>
      <c r="R213" s="35">
        <f t="shared" si="169"/>
        <v>0</v>
      </c>
      <c r="S213" s="35">
        <f>IF(AND(D213/Frequency!$N$7&gt;5, D213/Frequency!$N$7&lt;=10),1,0)*E213</f>
        <v>0</v>
      </c>
      <c r="T213" s="35">
        <f t="shared" si="170"/>
        <v>0</v>
      </c>
      <c r="U213" s="35">
        <f>IF(AND(D213/Frequency!$N$7&gt;10, D213/Frequency!$N$7&lt;=20),1,0)*E213</f>
        <v>0</v>
      </c>
      <c r="V213" s="35">
        <f t="shared" si="171"/>
        <v>0</v>
      </c>
      <c r="W213" s="35">
        <f>IF(AND(D213/Frequency!$N$7&gt;20, D213/Frequency!$N$7&lt;=30),1,0)*E213</f>
        <v>31</v>
      </c>
      <c r="X213" s="35">
        <f t="shared" si="172"/>
        <v>669.6</v>
      </c>
      <c r="Y213" s="35">
        <f>IF(AND(D213/Frequency!$N$7&gt;30, D213/Frequency!$N$7&lt;=50),1,0)*E213</f>
        <v>0</v>
      </c>
      <c r="Z213" s="35">
        <f t="shared" si="173"/>
        <v>0</v>
      </c>
      <c r="AA213" s="35">
        <f>IF(AND(D213/Frequency!$N$7&gt;50, D213/Frequency!$N$7&lt;=100),1,0)*E213</f>
        <v>0</v>
      </c>
      <c r="AB213" s="35">
        <f t="shared" si="174"/>
        <v>0</v>
      </c>
      <c r="AC213" s="35">
        <f>IF(D213/Frequency!$N$7&gt;100,1,0)*E213</f>
        <v>0</v>
      </c>
      <c r="AD213" s="35">
        <f t="shared" si="175"/>
        <v>0</v>
      </c>
      <c r="AE213" s="22">
        <f t="shared" si="176"/>
        <v>0</v>
      </c>
      <c r="AF213" s="22">
        <f t="shared" si="177"/>
        <v>0</v>
      </c>
      <c r="AG213" s="22">
        <f t="shared" si="178"/>
        <v>0</v>
      </c>
      <c r="AH213" s="22">
        <f t="shared" si="179"/>
        <v>0</v>
      </c>
      <c r="AI213" s="35">
        <f t="shared" si="180"/>
        <v>1</v>
      </c>
      <c r="AJ213" s="35">
        <f t="shared" si="181"/>
        <v>31</v>
      </c>
      <c r="AK213" s="35">
        <f t="shared" si="182"/>
        <v>669.6</v>
      </c>
      <c r="AL213">
        <f t="shared" si="183"/>
        <v>1</v>
      </c>
      <c r="AM213">
        <f t="shared" si="184"/>
        <v>31</v>
      </c>
      <c r="AN213">
        <f t="shared" si="185"/>
        <v>669.6</v>
      </c>
      <c r="AO213">
        <f t="shared" si="186"/>
        <v>1</v>
      </c>
      <c r="AP213">
        <f t="shared" si="187"/>
        <v>31</v>
      </c>
      <c r="AQ213">
        <f t="shared" si="188"/>
        <v>669.6</v>
      </c>
      <c r="AR213">
        <f t="shared" si="189"/>
        <v>0</v>
      </c>
      <c r="AS213">
        <f t="shared" si="190"/>
        <v>0</v>
      </c>
      <c r="AT213">
        <f t="shared" si="191"/>
        <v>0</v>
      </c>
      <c r="AU213">
        <f t="shared" si="192"/>
        <v>0</v>
      </c>
      <c r="AV213">
        <v>0</v>
      </c>
      <c r="AW213">
        <v>0</v>
      </c>
      <c r="AX213">
        <f t="shared" si="193"/>
        <v>0</v>
      </c>
      <c r="AY213">
        <f t="shared" si="194"/>
        <v>0</v>
      </c>
      <c r="AZ213">
        <f t="shared" si="195"/>
        <v>0</v>
      </c>
      <c r="BA213">
        <f t="shared" si="196"/>
        <v>0</v>
      </c>
      <c r="BB213">
        <f t="shared" si="197"/>
        <v>0</v>
      </c>
      <c r="BC213">
        <f t="shared" si="198"/>
        <v>0</v>
      </c>
      <c r="BD213">
        <f t="shared" si="199"/>
        <v>0</v>
      </c>
      <c r="BE213">
        <f t="shared" si="200"/>
        <v>0</v>
      </c>
      <c r="BF213">
        <f t="shared" si="201"/>
        <v>0</v>
      </c>
      <c r="BG213">
        <f t="shared" si="202"/>
        <v>0</v>
      </c>
      <c r="BH213">
        <f t="shared" si="203"/>
        <v>0</v>
      </c>
      <c r="BI213">
        <f t="shared" si="204"/>
        <v>0</v>
      </c>
      <c r="BJ213">
        <v>0</v>
      </c>
      <c r="BK213" t="str">
        <f t="shared" si="216"/>
        <v>Big Win</v>
      </c>
      <c r="BL213" s="40" t="str">
        <f t="shared" si="217"/>
        <v>Combo Win</v>
      </c>
      <c r="BM213">
        <f>(D213/Frequency!$N$7-Summary!$C$7)^2*E213</f>
        <v>13360.305600000002</v>
      </c>
      <c r="BN213">
        <f t="shared" si="205"/>
        <v>0</v>
      </c>
      <c r="BO213">
        <f t="shared" si="206"/>
        <v>0</v>
      </c>
      <c r="BP213">
        <f t="shared" si="207"/>
        <v>0</v>
      </c>
      <c r="BQ213">
        <f t="shared" si="208"/>
        <v>0</v>
      </c>
      <c r="BR213">
        <f t="shared" si="209"/>
        <v>0</v>
      </c>
      <c r="BS213">
        <f t="shared" si="210"/>
        <v>0</v>
      </c>
      <c r="BT213">
        <f t="shared" si="211"/>
        <v>0</v>
      </c>
      <c r="BU213">
        <f t="shared" si="212"/>
        <v>0</v>
      </c>
      <c r="BV213">
        <f t="shared" si="213"/>
        <v>0</v>
      </c>
      <c r="BW213">
        <f t="shared" si="214"/>
        <v>0</v>
      </c>
      <c r="BX213">
        <f t="shared" si="215"/>
        <v>0</v>
      </c>
    </row>
    <row r="214" spans="2:76">
      <c r="B214" s="19">
        <f>Tiers!B215</f>
        <v>212</v>
      </c>
      <c r="C214" s="20" t="str">
        <f>Tiers!X215</f>
        <v>main-4|main-14|main-15|wild-4||||||</v>
      </c>
      <c r="D214" s="21">
        <f>Tiers!C215</f>
        <v>34</v>
      </c>
      <c r="E214" s="22">
        <f>Frequency!E216</f>
        <v>50</v>
      </c>
      <c r="F214" s="22">
        <f t="shared" si="165"/>
        <v>1700</v>
      </c>
      <c r="G214" s="20">
        <f>IF(AND(D214/Summary!$C$4&gt;0, D214/Summary!$C$4&lt;5),E214,0) * D214</f>
        <v>0</v>
      </c>
      <c r="H214" s="20">
        <f>IF(AND(D214/Summary!$C$4&gt;= 5, D214/Summary!$C$4&lt;10),E214,0) * D214</f>
        <v>0</v>
      </c>
      <c r="I214" s="20">
        <f>IF(AND(D214/Summary!$C$4&gt;=10, D214/Summary!$C$4&lt;25),E214,0)*D214</f>
        <v>0</v>
      </c>
      <c r="J214" s="20">
        <f>IF(D214/Summary!$C$4&gt;=25,E214,0)*D214</f>
        <v>1700</v>
      </c>
      <c r="K214" s="35">
        <f>IF(AND(D214/Frequency!$N$7&gt;0, D214/Frequency!$N$7&lt;1),E214,0)</f>
        <v>0</v>
      </c>
      <c r="L214" s="35">
        <f t="shared" si="166"/>
        <v>0</v>
      </c>
      <c r="M214" s="35">
        <f>IF(D214/Frequency!$N$7=1,1,0)*E214</f>
        <v>0</v>
      </c>
      <c r="N214" s="35">
        <f t="shared" si="167"/>
        <v>0</v>
      </c>
      <c r="O214" s="35">
        <f>IF(AND(D214/Frequency!$N$7&gt;1, D214/Frequency!$N$7&lt;=2),1,0)*E214</f>
        <v>0</v>
      </c>
      <c r="P214" s="35">
        <f t="shared" si="168"/>
        <v>0</v>
      </c>
      <c r="Q214" s="35">
        <f>IF(AND(D214/Frequency!$N$7&gt;2,D214/Frequency!$N$7&lt;=5),1,0)*E214</f>
        <v>0</v>
      </c>
      <c r="R214" s="35">
        <f t="shared" si="169"/>
        <v>0</v>
      </c>
      <c r="S214" s="35">
        <f>IF(AND(D214/Frequency!$N$7&gt;5, D214/Frequency!$N$7&lt;=10),1,0)*E214</f>
        <v>0</v>
      </c>
      <c r="T214" s="35">
        <f t="shared" si="170"/>
        <v>0</v>
      </c>
      <c r="U214" s="35">
        <f>IF(AND(D214/Frequency!$N$7&gt;10, D214/Frequency!$N$7&lt;=20),1,0)*E214</f>
        <v>0</v>
      </c>
      <c r="V214" s="35">
        <f t="shared" si="171"/>
        <v>0</v>
      </c>
      <c r="W214" s="35">
        <f>IF(AND(D214/Frequency!$N$7&gt;20, D214/Frequency!$N$7&lt;=30),1,0)*E214</f>
        <v>0</v>
      </c>
      <c r="X214" s="35">
        <f t="shared" si="172"/>
        <v>0</v>
      </c>
      <c r="Y214" s="35">
        <f>IF(AND(D214/Frequency!$N$7&gt;30, D214/Frequency!$N$7&lt;=50),1,0)*E214</f>
        <v>50</v>
      </c>
      <c r="Z214" s="35">
        <f t="shared" si="173"/>
        <v>1700</v>
      </c>
      <c r="AA214" s="35">
        <f>IF(AND(D214/Frequency!$N$7&gt;50, D214/Frequency!$N$7&lt;=100),1,0)*E214</f>
        <v>0</v>
      </c>
      <c r="AB214" s="35">
        <f t="shared" si="174"/>
        <v>0</v>
      </c>
      <c r="AC214" s="35">
        <f>IF(D214/Frequency!$N$7&gt;100,1,0)*E214</f>
        <v>0</v>
      </c>
      <c r="AD214" s="35">
        <f t="shared" si="175"/>
        <v>0</v>
      </c>
      <c r="AE214" s="22">
        <f t="shared" si="176"/>
        <v>0</v>
      </c>
      <c r="AF214" s="22">
        <f t="shared" si="177"/>
        <v>0</v>
      </c>
      <c r="AG214" s="22">
        <f t="shared" si="178"/>
        <v>0</v>
      </c>
      <c r="AH214" s="22">
        <f t="shared" si="179"/>
        <v>0</v>
      </c>
      <c r="AI214" s="35">
        <f t="shared" si="180"/>
        <v>1</v>
      </c>
      <c r="AJ214" s="35">
        <f t="shared" si="181"/>
        <v>50</v>
      </c>
      <c r="AK214" s="35">
        <f t="shared" si="182"/>
        <v>1700</v>
      </c>
      <c r="AL214">
        <f t="shared" si="183"/>
        <v>1</v>
      </c>
      <c r="AM214">
        <f t="shared" si="184"/>
        <v>50</v>
      </c>
      <c r="AN214">
        <f t="shared" si="185"/>
        <v>1700</v>
      </c>
      <c r="AO214">
        <f t="shared" si="186"/>
        <v>1</v>
      </c>
      <c r="AP214">
        <f t="shared" si="187"/>
        <v>50</v>
      </c>
      <c r="AQ214">
        <f t="shared" si="188"/>
        <v>1700</v>
      </c>
      <c r="AR214">
        <f t="shared" si="189"/>
        <v>0</v>
      </c>
      <c r="AS214">
        <f t="shared" si="190"/>
        <v>0</v>
      </c>
      <c r="AT214">
        <f t="shared" si="191"/>
        <v>0</v>
      </c>
      <c r="AU214">
        <f t="shared" si="192"/>
        <v>0</v>
      </c>
      <c r="AV214">
        <v>0</v>
      </c>
      <c r="AW214">
        <v>0</v>
      </c>
      <c r="AX214">
        <f t="shared" si="193"/>
        <v>0</v>
      </c>
      <c r="AY214">
        <f t="shared" si="194"/>
        <v>0</v>
      </c>
      <c r="AZ214">
        <f t="shared" si="195"/>
        <v>0</v>
      </c>
      <c r="BA214">
        <f t="shared" si="196"/>
        <v>0</v>
      </c>
      <c r="BB214">
        <f t="shared" si="197"/>
        <v>0</v>
      </c>
      <c r="BC214">
        <f t="shared" si="198"/>
        <v>0</v>
      </c>
      <c r="BD214">
        <f t="shared" si="199"/>
        <v>0</v>
      </c>
      <c r="BE214">
        <f t="shared" si="200"/>
        <v>0</v>
      </c>
      <c r="BF214">
        <f t="shared" si="201"/>
        <v>0</v>
      </c>
      <c r="BG214">
        <f t="shared" si="202"/>
        <v>0</v>
      </c>
      <c r="BH214">
        <f t="shared" si="203"/>
        <v>0</v>
      </c>
      <c r="BI214">
        <f t="shared" si="204"/>
        <v>0</v>
      </c>
      <c r="BJ214">
        <v>0</v>
      </c>
      <c r="BK214" t="str">
        <f t="shared" si="216"/>
        <v>Big Win</v>
      </c>
      <c r="BL214" s="40" t="str">
        <f t="shared" si="217"/>
        <v>Combo Win</v>
      </c>
      <c r="BM214">
        <f>(D214/Frequency!$N$7-Summary!$C$7)^2*E214</f>
        <v>54979.279999999992</v>
      </c>
      <c r="BN214">
        <f t="shared" si="205"/>
        <v>0</v>
      </c>
      <c r="BO214">
        <f t="shared" si="206"/>
        <v>0</v>
      </c>
      <c r="BP214">
        <f t="shared" si="207"/>
        <v>0</v>
      </c>
      <c r="BQ214">
        <f t="shared" si="208"/>
        <v>0</v>
      </c>
      <c r="BR214">
        <f t="shared" si="209"/>
        <v>0</v>
      </c>
      <c r="BS214">
        <f t="shared" si="210"/>
        <v>0</v>
      </c>
      <c r="BT214">
        <f t="shared" si="211"/>
        <v>0</v>
      </c>
      <c r="BU214">
        <f t="shared" si="212"/>
        <v>0</v>
      </c>
      <c r="BV214">
        <f t="shared" si="213"/>
        <v>0</v>
      </c>
      <c r="BW214">
        <f t="shared" si="214"/>
        <v>0</v>
      </c>
      <c r="BX214">
        <f t="shared" si="215"/>
        <v>0</v>
      </c>
    </row>
    <row r="215" spans="2:76">
      <c r="B215" s="19">
        <f>Tiers!B216</f>
        <v>213</v>
      </c>
      <c r="C215" s="20" t="str">
        <f>Tiers!X216</f>
        <v>main-4|main-28|main-3|wild-5||||||</v>
      </c>
      <c r="D215" s="21">
        <f>Tiers!C216</f>
        <v>108</v>
      </c>
      <c r="E215" s="22">
        <f>Frequency!E217</f>
        <v>3</v>
      </c>
      <c r="F215" s="22">
        <f t="shared" si="165"/>
        <v>324</v>
      </c>
      <c r="G215" s="20">
        <f>IF(AND(D215/Summary!$C$4&gt;0, D215/Summary!$C$4&lt;5),E215,0) * D215</f>
        <v>0</v>
      </c>
      <c r="H215" s="20">
        <f>IF(AND(D215/Summary!$C$4&gt;= 5, D215/Summary!$C$4&lt;10),E215,0) * D215</f>
        <v>0</v>
      </c>
      <c r="I215" s="20">
        <f>IF(AND(D215/Summary!$C$4&gt;=10, D215/Summary!$C$4&lt;25),E215,0)*D215</f>
        <v>0</v>
      </c>
      <c r="J215" s="20">
        <f>IF(D215/Summary!$C$4&gt;=25,E215,0)*D215</f>
        <v>324</v>
      </c>
      <c r="K215" s="35">
        <f>IF(AND(D215/Frequency!$N$7&gt;0, D215/Frequency!$N$7&lt;1),E215,0)</f>
        <v>0</v>
      </c>
      <c r="L215" s="35">
        <f t="shared" si="166"/>
        <v>0</v>
      </c>
      <c r="M215" s="35">
        <f>IF(D215/Frequency!$N$7=1,1,0)*E215</f>
        <v>0</v>
      </c>
      <c r="N215" s="35">
        <f t="shared" si="167"/>
        <v>0</v>
      </c>
      <c r="O215" s="35">
        <f>IF(AND(D215/Frequency!$N$7&gt;1, D215/Frequency!$N$7&lt;=2),1,0)*E215</f>
        <v>0</v>
      </c>
      <c r="P215" s="35">
        <f t="shared" si="168"/>
        <v>0</v>
      </c>
      <c r="Q215" s="35">
        <f>IF(AND(D215/Frequency!$N$7&gt;2,D215/Frequency!$N$7&lt;=5),1,0)*E215</f>
        <v>0</v>
      </c>
      <c r="R215" s="35">
        <f t="shared" si="169"/>
        <v>0</v>
      </c>
      <c r="S215" s="35">
        <f>IF(AND(D215/Frequency!$N$7&gt;5, D215/Frequency!$N$7&lt;=10),1,0)*E215</f>
        <v>0</v>
      </c>
      <c r="T215" s="35">
        <f t="shared" si="170"/>
        <v>0</v>
      </c>
      <c r="U215" s="35">
        <f>IF(AND(D215/Frequency!$N$7&gt;10, D215/Frequency!$N$7&lt;=20),1,0)*E215</f>
        <v>0</v>
      </c>
      <c r="V215" s="35">
        <f t="shared" si="171"/>
        <v>0</v>
      </c>
      <c r="W215" s="35">
        <f>IF(AND(D215/Frequency!$N$7&gt;20, D215/Frequency!$N$7&lt;=30),1,0)*E215</f>
        <v>0</v>
      </c>
      <c r="X215" s="35">
        <f t="shared" si="172"/>
        <v>0</v>
      </c>
      <c r="Y215" s="35">
        <f>IF(AND(D215/Frequency!$N$7&gt;30, D215/Frequency!$N$7&lt;=50),1,0)*E215</f>
        <v>0</v>
      </c>
      <c r="Z215" s="35">
        <f t="shared" si="173"/>
        <v>0</v>
      </c>
      <c r="AA215" s="35">
        <f>IF(AND(D215/Frequency!$N$7&gt;50, D215/Frequency!$N$7&lt;=100),1,0)*E215</f>
        <v>0</v>
      </c>
      <c r="AB215" s="35">
        <f t="shared" si="174"/>
        <v>0</v>
      </c>
      <c r="AC215" s="35">
        <f>IF(D215/Frequency!$N$7&gt;100,1,0)*E215</f>
        <v>3</v>
      </c>
      <c r="AD215" s="35">
        <f t="shared" si="175"/>
        <v>324</v>
      </c>
      <c r="AE215" s="22">
        <f t="shared" si="176"/>
        <v>0</v>
      </c>
      <c r="AF215" s="22">
        <f t="shared" si="177"/>
        <v>0</v>
      </c>
      <c r="AG215" s="22">
        <f t="shared" si="178"/>
        <v>0</v>
      </c>
      <c r="AH215" s="22">
        <f t="shared" si="179"/>
        <v>0</v>
      </c>
      <c r="AI215" s="35">
        <f t="shared" si="180"/>
        <v>1</v>
      </c>
      <c r="AJ215" s="35">
        <f t="shared" si="181"/>
        <v>3</v>
      </c>
      <c r="AK215" s="35">
        <f t="shared" si="182"/>
        <v>324</v>
      </c>
      <c r="AL215">
        <f t="shared" si="183"/>
        <v>1</v>
      </c>
      <c r="AM215">
        <f t="shared" si="184"/>
        <v>3</v>
      </c>
      <c r="AN215">
        <f t="shared" si="185"/>
        <v>324</v>
      </c>
      <c r="AO215">
        <f t="shared" si="186"/>
        <v>1</v>
      </c>
      <c r="AP215">
        <f t="shared" si="187"/>
        <v>3</v>
      </c>
      <c r="AQ215">
        <f t="shared" si="188"/>
        <v>324</v>
      </c>
      <c r="AR215">
        <f t="shared" si="189"/>
        <v>0</v>
      </c>
      <c r="AS215">
        <f t="shared" si="190"/>
        <v>0</v>
      </c>
      <c r="AT215">
        <f t="shared" si="191"/>
        <v>0</v>
      </c>
      <c r="AU215">
        <f t="shared" si="192"/>
        <v>0</v>
      </c>
      <c r="AV215">
        <v>0</v>
      </c>
      <c r="AW215">
        <v>0</v>
      </c>
      <c r="AX215">
        <f t="shared" si="193"/>
        <v>0</v>
      </c>
      <c r="AY215">
        <f t="shared" si="194"/>
        <v>0</v>
      </c>
      <c r="AZ215">
        <f t="shared" si="195"/>
        <v>0</v>
      </c>
      <c r="BA215">
        <f t="shared" si="196"/>
        <v>0</v>
      </c>
      <c r="BB215">
        <f t="shared" si="197"/>
        <v>0</v>
      </c>
      <c r="BC215">
        <f t="shared" si="198"/>
        <v>0</v>
      </c>
      <c r="BD215">
        <f t="shared" si="199"/>
        <v>0</v>
      </c>
      <c r="BE215">
        <f t="shared" si="200"/>
        <v>0</v>
      </c>
      <c r="BF215">
        <f t="shared" si="201"/>
        <v>0</v>
      </c>
      <c r="BG215">
        <f t="shared" si="202"/>
        <v>0</v>
      </c>
      <c r="BH215">
        <f t="shared" si="203"/>
        <v>0</v>
      </c>
      <c r="BI215">
        <f t="shared" si="204"/>
        <v>0</v>
      </c>
      <c r="BJ215">
        <v>0</v>
      </c>
      <c r="BK215" t="str">
        <f t="shared" si="216"/>
        <v>Huge Win</v>
      </c>
      <c r="BL215" s="40" t="str">
        <f t="shared" si="217"/>
        <v>Combo Win</v>
      </c>
      <c r="BM215">
        <f>(D215/Frequency!$N$7-Summary!$C$7)^2*E215</f>
        <v>34449.796799999996</v>
      </c>
      <c r="BN215">
        <f t="shared" si="205"/>
        <v>0</v>
      </c>
      <c r="BO215">
        <f t="shared" si="206"/>
        <v>0</v>
      </c>
      <c r="BP215">
        <f t="shared" si="207"/>
        <v>0</v>
      </c>
      <c r="BQ215">
        <f t="shared" si="208"/>
        <v>0</v>
      </c>
      <c r="BR215">
        <f t="shared" si="209"/>
        <v>0</v>
      </c>
      <c r="BS215">
        <f t="shared" si="210"/>
        <v>0</v>
      </c>
      <c r="BT215">
        <f t="shared" si="211"/>
        <v>0</v>
      </c>
      <c r="BU215">
        <f t="shared" si="212"/>
        <v>0</v>
      </c>
      <c r="BV215">
        <f t="shared" si="213"/>
        <v>0</v>
      </c>
      <c r="BW215">
        <f t="shared" si="214"/>
        <v>0</v>
      </c>
      <c r="BX215">
        <f t="shared" si="215"/>
        <v>0</v>
      </c>
    </row>
    <row r="216" spans="2:76">
      <c r="B216" s="19">
        <f>Tiers!B217</f>
        <v>214</v>
      </c>
      <c r="C216" s="20" t="str">
        <f>Tiers!X217</f>
        <v>main-4|main-0|main-1|main-18|wild-6|||||</v>
      </c>
      <c r="D216" s="21">
        <f>Tiers!C217</f>
        <v>15.3</v>
      </c>
      <c r="E216" s="22">
        <f>Frequency!E218</f>
        <v>16</v>
      </c>
      <c r="F216" s="22">
        <f t="shared" si="165"/>
        <v>244.8</v>
      </c>
      <c r="G216" s="20">
        <f>IF(AND(D216/Summary!$C$4&gt;0, D216/Summary!$C$4&lt;5),E216,0) * D216</f>
        <v>0</v>
      </c>
      <c r="H216" s="20">
        <f>IF(AND(D216/Summary!$C$4&gt;= 5, D216/Summary!$C$4&lt;10),E216,0) * D216</f>
        <v>0</v>
      </c>
      <c r="I216" s="20">
        <f>IF(AND(D216/Summary!$C$4&gt;=10, D216/Summary!$C$4&lt;25),E216,0)*D216</f>
        <v>244.8</v>
      </c>
      <c r="J216" s="20">
        <f>IF(D216/Summary!$C$4&gt;=25,E216,0)*D216</f>
        <v>0</v>
      </c>
      <c r="K216" s="35">
        <f>IF(AND(D216/Frequency!$N$7&gt;0, D216/Frequency!$N$7&lt;1),E216,0)</f>
        <v>0</v>
      </c>
      <c r="L216" s="35">
        <f t="shared" si="166"/>
        <v>0</v>
      </c>
      <c r="M216" s="35">
        <f>IF(D216/Frequency!$N$7=1,1,0)*E216</f>
        <v>0</v>
      </c>
      <c r="N216" s="35">
        <f t="shared" si="167"/>
        <v>0</v>
      </c>
      <c r="O216" s="35">
        <f>IF(AND(D216/Frequency!$N$7&gt;1, D216/Frequency!$N$7&lt;=2),1,0)*E216</f>
        <v>0</v>
      </c>
      <c r="P216" s="35">
        <f t="shared" si="168"/>
        <v>0</v>
      </c>
      <c r="Q216" s="35">
        <f>IF(AND(D216/Frequency!$N$7&gt;2,D216/Frequency!$N$7&lt;=5),1,0)*E216</f>
        <v>0</v>
      </c>
      <c r="R216" s="35">
        <f t="shared" si="169"/>
        <v>0</v>
      </c>
      <c r="S216" s="35">
        <f>IF(AND(D216/Frequency!$N$7&gt;5, D216/Frequency!$N$7&lt;=10),1,0)*E216</f>
        <v>0</v>
      </c>
      <c r="T216" s="35">
        <f t="shared" si="170"/>
        <v>0</v>
      </c>
      <c r="U216" s="35">
        <f>IF(AND(D216/Frequency!$N$7&gt;10, D216/Frequency!$N$7&lt;=20),1,0)*E216</f>
        <v>16</v>
      </c>
      <c r="V216" s="35">
        <f t="shared" si="171"/>
        <v>244.8</v>
      </c>
      <c r="W216" s="35">
        <f>IF(AND(D216/Frequency!$N$7&gt;20, D216/Frequency!$N$7&lt;=30),1,0)*E216</f>
        <v>0</v>
      </c>
      <c r="X216" s="35">
        <f t="shared" si="172"/>
        <v>0</v>
      </c>
      <c r="Y216" s="35">
        <f>IF(AND(D216/Frequency!$N$7&gt;30, D216/Frequency!$N$7&lt;=50),1,0)*E216</f>
        <v>0</v>
      </c>
      <c r="Z216" s="35">
        <f t="shared" si="173"/>
        <v>0</v>
      </c>
      <c r="AA216" s="35">
        <f>IF(AND(D216/Frequency!$N$7&gt;50, D216/Frequency!$N$7&lt;=100),1,0)*E216</f>
        <v>0</v>
      </c>
      <c r="AB216" s="35">
        <f t="shared" si="174"/>
        <v>0</v>
      </c>
      <c r="AC216" s="35">
        <f>IF(D216/Frequency!$N$7&gt;100,1,0)*E216</f>
        <v>0</v>
      </c>
      <c r="AD216" s="35">
        <f t="shared" si="175"/>
        <v>0</v>
      </c>
      <c r="AE216" s="22">
        <f t="shared" si="176"/>
        <v>0</v>
      </c>
      <c r="AF216" s="22">
        <f t="shared" si="177"/>
        <v>0</v>
      </c>
      <c r="AG216" s="22">
        <f t="shared" si="178"/>
        <v>0</v>
      </c>
      <c r="AH216" s="22">
        <f t="shared" si="179"/>
        <v>0</v>
      </c>
      <c r="AI216" s="35">
        <f t="shared" si="180"/>
        <v>1</v>
      </c>
      <c r="AJ216" s="35">
        <f t="shared" si="181"/>
        <v>16</v>
      </c>
      <c r="AK216" s="35">
        <f t="shared" si="182"/>
        <v>244.8</v>
      </c>
      <c r="AL216">
        <f t="shared" si="183"/>
        <v>1</v>
      </c>
      <c r="AM216">
        <f t="shared" si="184"/>
        <v>16</v>
      </c>
      <c r="AN216">
        <f t="shared" si="185"/>
        <v>244.8</v>
      </c>
      <c r="AO216">
        <f t="shared" si="186"/>
        <v>1</v>
      </c>
      <c r="AP216">
        <f t="shared" si="187"/>
        <v>16</v>
      </c>
      <c r="AQ216">
        <f t="shared" si="188"/>
        <v>244.8</v>
      </c>
      <c r="AR216">
        <f t="shared" si="189"/>
        <v>0</v>
      </c>
      <c r="AS216">
        <f t="shared" si="190"/>
        <v>0</v>
      </c>
      <c r="AT216">
        <f t="shared" si="191"/>
        <v>0</v>
      </c>
      <c r="AU216">
        <f t="shared" si="192"/>
        <v>0</v>
      </c>
      <c r="AV216">
        <v>0</v>
      </c>
      <c r="AW216">
        <v>0</v>
      </c>
      <c r="AX216">
        <f t="shared" si="193"/>
        <v>0</v>
      </c>
      <c r="AY216">
        <f t="shared" si="194"/>
        <v>0</v>
      </c>
      <c r="AZ216">
        <f t="shared" si="195"/>
        <v>0</v>
      </c>
      <c r="BA216">
        <f t="shared" si="196"/>
        <v>0</v>
      </c>
      <c r="BB216">
        <f t="shared" si="197"/>
        <v>0</v>
      </c>
      <c r="BC216">
        <f t="shared" si="198"/>
        <v>0</v>
      </c>
      <c r="BD216">
        <f t="shared" si="199"/>
        <v>0</v>
      </c>
      <c r="BE216">
        <f t="shared" si="200"/>
        <v>0</v>
      </c>
      <c r="BF216">
        <f t="shared" si="201"/>
        <v>0</v>
      </c>
      <c r="BG216">
        <f t="shared" si="202"/>
        <v>0</v>
      </c>
      <c r="BH216">
        <f t="shared" si="203"/>
        <v>0</v>
      </c>
      <c r="BI216">
        <f t="shared" si="204"/>
        <v>0</v>
      </c>
      <c r="BJ216">
        <v>0</v>
      </c>
      <c r="BK216" t="str">
        <f t="shared" si="216"/>
        <v>Big Win</v>
      </c>
      <c r="BL216" s="40" t="str">
        <f t="shared" si="217"/>
        <v>Combo Win</v>
      </c>
      <c r="BM216">
        <f>(D216/Frequency!$N$7-Summary!$C$7)^2*E216</f>
        <v>3345.4656000000004</v>
      </c>
      <c r="BN216">
        <f t="shared" si="205"/>
        <v>0</v>
      </c>
      <c r="BO216">
        <f t="shared" si="206"/>
        <v>0</v>
      </c>
      <c r="BP216">
        <f t="shared" si="207"/>
        <v>0</v>
      </c>
      <c r="BQ216">
        <f t="shared" si="208"/>
        <v>0</v>
      </c>
      <c r="BR216">
        <f t="shared" si="209"/>
        <v>0</v>
      </c>
      <c r="BS216">
        <f t="shared" si="210"/>
        <v>0</v>
      </c>
      <c r="BT216">
        <f t="shared" si="211"/>
        <v>0</v>
      </c>
      <c r="BU216">
        <f t="shared" si="212"/>
        <v>0</v>
      </c>
      <c r="BV216">
        <f t="shared" si="213"/>
        <v>0</v>
      </c>
      <c r="BW216">
        <f t="shared" si="214"/>
        <v>0</v>
      </c>
      <c r="BX216">
        <f t="shared" si="215"/>
        <v>0</v>
      </c>
    </row>
    <row r="217" spans="2:76">
      <c r="B217" s="19">
        <f>Tiers!B218</f>
        <v>215</v>
      </c>
      <c r="C217" s="20" t="str">
        <f>Tiers!X218</f>
        <v>main-0|main-4|main-0|main-19|wild-7|||||</v>
      </c>
      <c r="D217" s="21">
        <f>Tiers!C218</f>
        <v>27.2</v>
      </c>
      <c r="E217" s="22">
        <f>Frequency!E219</f>
        <v>8</v>
      </c>
      <c r="F217" s="22">
        <f t="shared" si="165"/>
        <v>217.6</v>
      </c>
      <c r="G217" s="20">
        <f>IF(AND(D217/Summary!$C$4&gt;0, D217/Summary!$C$4&lt;5),E217,0) * D217</f>
        <v>0</v>
      </c>
      <c r="H217" s="20">
        <f>IF(AND(D217/Summary!$C$4&gt;= 5, D217/Summary!$C$4&lt;10),E217,0) * D217</f>
        <v>0</v>
      </c>
      <c r="I217" s="20">
        <f>IF(AND(D217/Summary!$C$4&gt;=10, D217/Summary!$C$4&lt;25),E217,0)*D217</f>
        <v>0</v>
      </c>
      <c r="J217" s="20">
        <f>IF(D217/Summary!$C$4&gt;=25,E217,0)*D217</f>
        <v>217.6</v>
      </c>
      <c r="K217" s="35">
        <f>IF(AND(D217/Frequency!$N$7&gt;0, D217/Frequency!$N$7&lt;1),E217,0)</f>
        <v>0</v>
      </c>
      <c r="L217" s="35">
        <f t="shared" si="166"/>
        <v>0</v>
      </c>
      <c r="M217" s="35">
        <f>IF(D217/Frequency!$N$7=1,1,0)*E217</f>
        <v>0</v>
      </c>
      <c r="N217" s="35">
        <f t="shared" si="167"/>
        <v>0</v>
      </c>
      <c r="O217" s="35">
        <f>IF(AND(D217/Frequency!$N$7&gt;1, D217/Frequency!$N$7&lt;=2),1,0)*E217</f>
        <v>0</v>
      </c>
      <c r="P217" s="35">
        <f t="shared" si="168"/>
        <v>0</v>
      </c>
      <c r="Q217" s="35">
        <f>IF(AND(D217/Frequency!$N$7&gt;2,D217/Frequency!$N$7&lt;=5),1,0)*E217</f>
        <v>0</v>
      </c>
      <c r="R217" s="35">
        <f t="shared" si="169"/>
        <v>0</v>
      </c>
      <c r="S217" s="35">
        <f>IF(AND(D217/Frequency!$N$7&gt;5, D217/Frequency!$N$7&lt;=10),1,0)*E217</f>
        <v>0</v>
      </c>
      <c r="T217" s="35">
        <f t="shared" si="170"/>
        <v>0</v>
      </c>
      <c r="U217" s="35">
        <f>IF(AND(D217/Frequency!$N$7&gt;10, D217/Frequency!$N$7&lt;=20),1,0)*E217</f>
        <v>0</v>
      </c>
      <c r="V217" s="35">
        <f t="shared" si="171"/>
        <v>0</v>
      </c>
      <c r="W217" s="35">
        <f>IF(AND(D217/Frequency!$N$7&gt;20, D217/Frequency!$N$7&lt;=30),1,0)*E217</f>
        <v>8</v>
      </c>
      <c r="X217" s="35">
        <f t="shared" si="172"/>
        <v>217.6</v>
      </c>
      <c r="Y217" s="35">
        <f>IF(AND(D217/Frequency!$N$7&gt;30, D217/Frequency!$N$7&lt;=50),1,0)*E217</f>
        <v>0</v>
      </c>
      <c r="Z217" s="35">
        <f t="shared" si="173"/>
        <v>0</v>
      </c>
      <c r="AA217" s="35">
        <f>IF(AND(D217/Frequency!$N$7&gt;50, D217/Frequency!$N$7&lt;=100),1,0)*E217</f>
        <v>0</v>
      </c>
      <c r="AB217" s="35">
        <f t="shared" si="174"/>
        <v>0</v>
      </c>
      <c r="AC217" s="35">
        <f>IF(D217/Frequency!$N$7&gt;100,1,0)*E217</f>
        <v>0</v>
      </c>
      <c r="AD217" s="35">
        <f t="shared" si="175"/>
        <v>0</v>
      </c>
      <c r="AE217" s="22">
        <f t="shared" si="176"/>
        <v>0</v>
      </c>
      <c r="AF217" s="22">
        <f t="shared" si="177"/>
        <v>0</v>
      </c>
      <c r="AG217" s="22">
        <f t="shared" si="178"/>
        <v>0</v>
      </c>
      <c r="AH217" s="22">
        <f t="shared" si="179"/>
        <v>0</v>
      </c>
      <c r="AI217" s="35">
        <f t="shared" si="180"/>
        <v>1</v>
      </c>
      <c r="AJ217" s="35">
        <f t="shared" si="181"/>
        <v>8</v>
      </c>
      <c r="AK217" s="35">
        <f t="shared" si="182"/>
        <v>217.6</v>
      </c>
      <c r="AL217">
        <f t="shared" si="183"/>
        <v>1</v>
      </c>
      <c r="AM217">
        <f t="shared" si="184"/>
        <v>8</v>
      </c>
      <c r="AN217">
        <f t="shared" si="185"/>
        <v>217.6</v>
      </c>
      <c r="AO217">
        <f t="shared" si="186"/>
        <v>1</v>
      </c>
      <c r="AP217">
        <f t="shared" si="187"/>
        <v>8</v>
      </c>
      <c r="AQ217">
        <f t="shared" si="188"/>
        <v>217.6</v>
      </c>
      <c r="AR217">
        <f t="shared" si="189"/>
        <v>0</v>
      </c>
      <c r="AS217">
        <f t="shared" si="190"/>
        <v>0</v>
      </c>
      <c r="AT217">
        <f t="shared" si="191"/>
        <v>0</v>
      </c>
      <c r="AU217">
        <f t="shared" si="192"/>
        <v>0</v>
      </c>
      <c r="AV217">
        <v>0</v>
      </c>
      <c r="AW217">
        <v>0</v>
      </c>
      <c r="AX217">
        <f t="shared" si="193"/>
        <v>0</v>
      </c>
      <c r="AY217">
        <f t="shared" si="194"/>
        <v>0</v>
      </c>
      <c r="AZ217">
        <f t="shared" si="195"/>
        <v>0</v>
      </c>
      <c r="BA217">
        <f t="shared" si="196"/>
        <v>0</v>
      </c>
      <c r="BB217">
        <f t="shared" si="197"/>
        <v>0</v>
      </c>
      <c r="BC217">
        <f t="shared" si="198"/>
        <v>0</v>
      </c>
      <c r="BD217">
        <f t="shared" si="199"/>
        <v>0</v>
      </c>
      <c r="BE217">
        <f t="shared" si="200"/>
        <v>0</v>
      </c>
      <c r="BF217">
        <f t="shared" si="201"/>
        <v>0</v>
      </c>
      <c r="BG217">
        <f t="shared" si="202"/>
        <v>0</v>
      </c>
      <c r="BH217">
        <f t="shared" si="203"/>
        <v>0</v>
      </c>
      <c r="BI217">
        <f t="shared" si="204"/>
        <v>0</v>
      </c>
      <c r="BJ217">
        <v>0</v>
      </c>
      <c r="BK217" t="str">
        <f t="shared" si="216"/>
        <v>Big Win</v>
      </c>
      <c r="BL217" s="40" t="str">
        <f t="shared" si="217"/>
        <v>Combo Win</v>
      </c>
      <c r="BM217">
        <f>(D217/Frequency!$N$7-Summary!$C$7)^2*E217</f>
        <v>5558.7968000000001</v>
      </c>
      <c r="BN217">
        <f t="shared" si="205"/>
        <v>0</v>
      </c>
      <c r="BO217">
        <f t="shared" si="206"/>
        <v>0</v>
      </c>
      <c r="BP217">
        <f t="shared" si="207"/>
        <v>0</v>
      </c>
      <c r="BQ217">
        <f t="shared" si="208"/>
        <v>0</v>
      </c>
      <c r="BR217">
        <f t="shared" si="209"/>
        <v>0</v>
      </c>
      <c r="BS217">
        <f t="shared" si="210"/>
        <v>0</v>
      </c>
      <c r="BT217">
        <f t="shared" si="211"/>
        <v>0</v>
      </c>
      <c r="BU217">
        <f t="shared" si="212"/>
        <v>0</v>
      </c>
      <c r="BV217">
        <f t="shared" si="213"/>
        <v>0</v>
      </c>
      <c r="BW217">
        <f t="shared" si="214"/>
        <v>0</v>
      </c>
      <c r="BX217">
        <f t="shared" si="215"/>
        <v>0</v>
      </c>
    </row>
    <row r="218" spans="2:76">
      <c r="B218" s="19">
        <f>Tiers!B219</f>
        <v>216</v>
      </c>
      <c r="C218" s="20" t="str">
        <f>Tiers!X219</f>
        <v>main-0|main-13|main-26|main-18|wild-8|||||</v>
      </c>
      <c r="D218" s="21">
        <f>Tiers!C219</f>
        <v>48.1</v>
      </c>
      <c r="E218" s="22">
        <f>Frequency!E220</f>
        <v>5</v>
      </c>
      <c r="F218" s="22">
        <f t="shared" si="165"/>
        <v>240.5</v>
      </c>
      <c r="G218" s="20">
        <f>IF(AND(D218/Summary!$C$4&gt;0, D218/Summary!$C$4&lt;5),E218,0) * D218</f>
        <v>0</v>
      </c>
      <c r="H218" s="20">
        <f>IF(AND(D218/Summary!$C$4&gt;= 5, D218/Summary!$C$4&lt;10),E218,0) * D218</f>
        <v>0</v>
      </c>
      <c r="I218" s="20">
        <f>IF(AND(D218/Summary!$C$4&gt;=10, D218/Summary!$C$4&lt;25),E218,0)*D218</f>
        <v>0</v>
      </c>
      <c r="J218" s="20">
        <f>IF(D218/Summary!$C$4&gt;=25,E218,0)*D218</f>
        <v>240.5</v>
      </c>
      <c r="K218" s="35">
        <f>IF(AND(D218/Frequency!$N$7&gt;0, D218/Frequency!$N$7&lt;1),E218,0)</f>
        <v>0</v>
      </c>
      <c r="L218" s="35">
        <f t="shared" si="166"/>
        <v>0</v>
      </c>
      <c r="M218" s="35">
        <f>IF(D218/Frequency!$N$7=1,1,0)*E218</f>
        <v>0</v>
      </c>
      <c r="N218" s="35">
        <f t="shared" si="167"/>
        <v>0</v>
      </c>
      <c r="O218" s="35">
        <f>IF(AND(D218/Frequency!$N$7&gt;1, D218/Frequency!$N$7&lt;=2),1,0)*E218</f>
        <v>0</v>
      </c>
      <c r="P218" s="35">
        <f t="shared" si="168"/>
        <v>0</v>
      </c>
      <c r="Q218" s="35">
        <f>IF(AND(D218/Frequency!$N$7&gt;2,D218/Frequency!$N$7&lt;=5),1,0)*E218</f>
        <v>0</v>
      </c>
      <c r="R218" s="35">
        <f t="shared" si="169"/>
        <v>0</v>
      </c>
      <c r="S218" s="35">
        <f>IF(AND(D218/Frequency!$N$7&gt;5, D218/Frequency!$N$7&lt;=10),1,0)*E218</f>
        <v>0</v>
      </c>
      <c r="T218" s="35">
        <f t="shared" si="170"/>
        <v>0</v>
      </c>
      <c r="U218" s="35">
        <f>IF(AND(D218/Frequency!$N$7&gt;10, D218/Frequency!$N$7&lt;=20),1,0)*E218</f>
        <v>0</v>
      </c>
      <c r="V218" s="35">
        <f t="shared" si="171"/>
        <v>0</v>
      </c>
      <c r="W218" s="35">
        <f>IF(AND(D218/Frequency!$N$7&gt;20, D218/Frequency!$N$7&lt;=30),1,0)*E218</f>
        <v>0</v>
      </c>
      <c r="X218" s="35">
        <f t="shared" si="172"/>
        <v>0</v>
      </c>
      <c r="Y218" s="35">
        <f>IF(AND(D218/Frequency!$N$7&gt;30, D218/Frequency!$N$7&lt;=50),1,0)*E218</f>
        <v>5</v>
      </c>
      <c r="Z218" s="35">
        <f t="shared" si="173"/>
        <v>240.5</v>
      </c>
      <c r="AA218" s="35">
        <f>IF(AND(D218/Frequency!$N$7&gt;50, D218/Frequency!$N$7&lt;=100),1,0)*E218</f>
        <v>0</v>
      </c>
      <c r="AB218" s="35">
        <f t="shared" si="174"/>
        <v>0</v>
      </c>
      <c r="AC218" s="35">
        <f>IF(D218/Frequency!$N$7&gt;100,1,0)*E218</f>
        <v>0</v>
      </c>
      <c r="AD218" s="35">
        <f t="shared" si="175"/>
        <v>0</v>
      </c>
      <c r="AE218" s="22">
        <f t="shared" si="176"/>
        <v>0</v>
      </c>
      <c r="AF218" s="22">
        <f t="shared" si="177"/>
        <v>0</v>
      </c>
      <c r="AG218" s="22">
        <f t="shared" si="178"/>
        <v>0</v>
      </c>
      <c r="AH218" s="22">
        <f t="shared" si="179"/>
        <v>0</v>
      </c>
      <c r="AI218" s="35">
        <f t="shared" si="180"/>
        <v>1</v>
      </c>
      <c r="AJ218" s="35">
        <f t="shared" si="181"/>
        <v>5</v>
      </c>
      <c r="AK218" s="35">
        <f t="shared" si="182"/>
        <v>240.5</v>
      </c>
      <c r="AL218">
        <f t="shared" si="183"/>
        <v>1</v>
      </c>
      <c r="AM218">
        <f t="shared" si="184"/>
        <v>5</v>
      </c>
      <c r="AN218">
        <f t="shared" si="185"/>
        <v>240.5</v>
      </c>
      <c r="AO218">
        <f t="shared" si="186"/>
        <v>1</v>
      </c>
      <c r="AP218">
        <f t="shared" si="187"/>
        <v>5</v>
      </c>
      <c r="AQ218">
        <f t="shared" si="188"/>
        <v>240.5</v>
      </c>
      <c r="AR218">
        <f t="shared" si="189"/>
        <v>0</v>
      </c>
      <c r="AS218">
        <f t="shared" si="190"/>
        <v>0</v>
      </c>
      <c r="AT218">
        <f t="shared" si="191"/>
        <v>0</v>
      </c>
      <c r="AU218">
        <f t="shared" si="192"/>
        <v>0</v>
      </c>
      <c r="AV218">
        <v>0</v>
      </c>
      <c r="AW218">
        <v>0</v>
      </c>
      <c r="AX218">
        <f t="shared" si="193"/>
        <v>0</v>
      </c>
      <c r="AY218">
        <f t="shared" si="194"/>
        <v>0</v>
      </c>
      <c r="AZ218">
        <f t="shared" si="195"/>
        <v>0</v>
      </c>
      <c r="BA218">
        <f t="shared" si="196"/>
        <v>0</v>
      </c>
      <c r="BB218">
        <f t="shared" si="197"/>
        <v>0</v>
      </c>
      <c r="BC218">
        <f t="shared" si="198"/>
        <v>0</v>
      </c>
      <c r="BD218">
        <f t="shared" si="199"/>
        <v>0</v>
      </c>
      <c r="BE218">
        <f t="shared" si="200"/>
        <v>0</v>
      </c>
      <c r="BF218">
        <f t="shared" si="201"/>
        <v>0</v>
      </c>
      <c r="BG218">
        <f t="shared" si="202"/>
        <v>0</v>
      </c>
      <c r="BH218">
        <f t="shared" si="203"/>
        <v>0</v>
      </c>
      <c r="BI218">
        <f t="shared" si="204"/>
        <v>0</v>
      </c>
      <c r="BJ218">
        <v>0</v>
      </c>
      <c r="BK218" t="str">
        <f t="shared" si="216"/>
        <v>Big Win</v>
      </c>
      <c r="BL218" s="40" t="str">
        <f t="shared" si="217"/>
        <v>Combo Win</v>
      </c>
      <c r="BM218">
        <f>(D218/Frequency!$N$7-Summary!$C$7)^2*E218</f>
        <v>11167.538</v>
      </c>
      <c r="BN218">
        <f t="shared" si="205"/>
        <v>0</v>
      </c>
      <c r="BO218">
        <f t="shared" si="206"/>
        <v>0</v>
      </c>
      <c r="BP218">
        <f t="shared" si="207"/>
        <v>0</v>
      </c>
      <c r="BQ218">
        <f t="shared" si="208"/>
        <v>0</v>
      </c>
      <c r="BR218">
        <f t="shared" si="209"/>
        <v>0</v>
      </c>
      <c r="BS218">
        <f t="shared" si="210"/>
        <v>0</v>
      </c>
      <c r="BT218">
        <f t="shared" si="211"/>
        <v>0</v>
      </c>
      <c r="BU218">
        <f t="shared" si="212"/>
        <v>0</v>
      </c>
      <c r="BV218">
        <f t="shared" si="213"/>
        <v>0</v>
      </c>
      <c r="BW218">
        <f t="shared" si="214"/>
        <v>0</v>
      </c>
      <c r="BX218">
        <f t="shared" si="215"/>
        <v>0</v>
      </c>
    </row>
    <row r="219" spans="2:76">
      <c r="B219" s="19">
        <f>Tiers!B220</f>
        <v>217</v>
      </c>
      <c r="C219" s="20" t="str">
        <f>Tiers!X220</f>
        <v>main-5|main-13|main-25|main-0|wild-18|||||</v>
      </c>
      <c r="D219" s="21">
        <f>Tiers!C220</f>
        <v>18.100000000000001</v>
      </c>
      <c r="E219" s="22">
        <f>Frequency!E221</f>
        <v>50</v>
      </c>
      <c r="F219" s="22">
        <f t="shared" si="165"/>
        <v>905.00000000000011</v>
      </c>
      <c r="G219" s="20">
        <f>IF(AND(D219/Summary!$C$4&gt;0, D219/Summary!$C$4&lt;5),E219,0) * D219</f>
        <v>0</v>
      </c>
      <c r="H219" s="20">
        <f>IF(AND(D219/Summary!$C$4&gt;= 5, D219/Summary!$C$4&lt;10),E219,0) * D219</f>
        <v>0</v>
      </c>
      <c r="I219" s="20">
        <f>IF(AND(D219/Summary!$C$4&gt;=10, D219/Summary!$C$4&lt;25),E219,0)*D219</f>
        <v>905.00000000000011</v>
      </c>
      <c r="J219" s="20">
        <f>IF(D219/Summary!$C$4&gt;=25,E219,0)*D219</f>
        <v>0</v>
      </c>
      <c r="K219" s="35">
        <f>IF(AND(D219/Frequency!$N$7&gt;0, D219/Frequency!$N$7&lt;1),E219,0)</f>
        <v>0</v>
      </c>
      <c r="L219" s="35">
        <f t="shared" si="166"/>
        <v>0</v>
      </c>
      <c r="M219" s="35">
        <f>IF(D219/Frequency!$N$7=1,1,0)*E219</f>
        <v>0</v>
      </c>
      <c r="N219" s="35">
        <f t="shared" si="167"/>
        <v>0</v>
      </c>
      <c r="O219" s="35">
        <f>IF(AND(D219/Frequency!$N$7&gt;1, D219/Frequency!$N$7&lt;=2),1,0)*E219</f>
        <v>0</v>
      </c>
      <c r="P219" s="35">
        <f t="shared" si="168"/>
        <v>0</v>
      </c>
      <c r="Q219" s="35">
        <f>IF(AND(D219/Frequency!$N$7&gt;2,D219/Frequency!$N$7&lt;=5),1,0)*E219</f>
        <v>0</v>
      </c>
      <c r="R219" s="35">
        <f t="shared" si="169"/>
        <v>0</v>
      </c>
      <c r="S219" s="35">
        <f>IF(AND(D219/Frequency!$N$7&gt;5, D219/Frequency!$N$7&lt;=10),1,0)*E219</f>
        <v>0</v>
      </c>
      <c r="T219" s="35">
        <f t="shared" si="170"/>
        <v>0</v>
      </c>
      <c r="U219" s="35">
        <f>IF(AND(D219/Frequency!$N$7&gt;10, D219/Frequency!$N$7&lt;=20),1,0)*E219</f>
        <v>50</v>
      </c>
      <c r="V219" s="35">
        <f t="shared" si="171"/>
        <v>905.00000000000011</v>
      </c>
      <c r="W219" s="35">
        <f>IF(AND(D219/Frequency!$N$7&gt;20, D219/Frequency!$N$7&lt;=30),1,0)*E219</f>
        <v>0</v>
      </c>
      <c r="X219" s="35">
        <f t="shared" si="172"/>
        <v>0</v>
      </c>
      <c r="Y219" s="35">
        <f>IF(AND(D219/Frequency!$N$7&gt;30, D219/Frequency!$N$7&lt;=50),1,0)*E219</f>
        <v>0</v>
      </c>
      <c r="Z219" s="35">
        <f t="shared" si="173"/>
        <v>0</v>
      </c>
      <c r="AA219" s="35">
        <f>IF(AND(D219/Frequency!$N$7&gt;50, D219/Frequency!$N$7&lt;=100),1,0)*E219</f>
        <v>0</v>
      </c>
      <c r="AB219" s="35">
        <f t="shared" si="174"/>
        <v>0</v>
      </c>
      <c r="AC219" s="35">
        <f>IF(D219/Frequency!$N$7&gt;100,1,0)*E219</f>
        <v>0</v>
      </c>
      <c r="AD219" s="35">
        <f t="shared" si="175"/>
        <v>0</v>
      </c>
      <c r="AE219" s="22">
        <f t="shared" si="176"/>
        <v>0</v>
      </c>
      <c r="AF219" s="22">
        <f t="shared" si="177"/>
        <v>0</v>
      </c>
      <c r="AG219" s="22">
        <f t="shared" si="178"/>
        <v>0</v>
      </c>
      <c r="AH219" s="22">
        <f t="shared" si="179"/>
        <v>0</v>
      </c>
      <c r="AI219" s="35">
        <f t="shared" si="180"/>
        <v>1</v>
      </c>
      <c r="AJ219" s="35">
        <f t="shared" si="181"/>
        <v>50</v>
      </c>
      <c r="AK219" s="35">
        <f t="shared" si="182"/>
        <v>905.00000000000011</v>
      </c>
      <c r="AL219">
        <f t="shared" si="183"/>
        <v>1</v>
      </c>
      <c r="AM219">
        <f t="shared" si="184"/>
        <v>50</v>
      </c>
      <c r="AN219">
        <f t="shared" si="185"/>
        <v>905.00000000000011</v>
      </c>
      <c r="AO219">
        <f t="shared" si="186"/>
        <v>1</v>
      </c>
      <c r="AP219">
        <f t="shared" si="187"/>
        <v>50</v>
      </c>
      <c r="AQ219">
        <f t="shared" si="188"/>
        <v>905.00000000000011</v>
      </c>
      <c r="AR219">
        <f t="shared" si="189"/>
        <v>0</v>
      </c>
      <c r="AS219">
        <f t="shared" si="190"/>
        <v>0</v>
      </c>
      <c r="AT219">
        <f t="shared" si="191"/>
        <v>0</v>
      </c>
      <c r="AU219">
        <f t="shared" si="192"/>
        <v>0</v>
      </c>
      <c r="AV219">
        <v>0</v>
      </c>
      <c r="AW219">
        <v>0</v>
      </c>
      <c r="AX219">
        <f t="shared" si="193"/>
        <v>0</v>
      </c>
      <c r="AY219">
        <f t="shared" si="194"/>
        <v>0</v>
      </c>
      <c r="AZ219">
        <f t="shared" si="195"/>
        <v>0</v>
      </c>
      <c r="BA219">
        <f t="shared" si="196"/>
        <v>0</v>
      </c>
      <c r="BB219">
        <f t="shared" si="197"/>
        <v>0</v>
      </c>
      <c r="BC219">
        <f t="shared" si="198"/>
        <v>0</v>
      </c>
      <c r="BD219">
        <f t="shared" si="199"/>
        <v>0</v>
      </c>
      <c r="BE219">
        <f t="shared" si="200"/>
        <v>0</v>
      </c>
      <c r="BF219">
        <f t="shared" si="201"/>
        <v>0</v>
      </c>
      <c r="BG219">
        <f t="shared" si="202"/>
        <v>0</v>
      </c>
      <c r="BH219">
        <f t="shared" si="203"/>
        <v>0</v>
      </c>
      <c r="BI219">
        <f t="shared" si="204"/>
        <v>0</v>
      </c>
      <c r="BJ219">
        <v>0</v>
      </c>
      <c r="BK219" t="str">
        <f t="shared" si="216"/>
        <v>Big Win</v>
      </c>
      <c r="BL219" s="40" t="str">
        <f t="shared" si="217"/>
        <v>Combo Win</v>
      </c>
      <c r="BM219">
        <f>(D219/Frequency!$N$7-Summary!$C$7)^2*E219</f>
        <v>14895.380000000003</v>
      </c>
      <c r="BN219">
        <f t="shared" si="205"/>
        <v>0</v>
      </c>
      <c r="BO219">
        <f t="shared" si="206"/>
        <v>0</v>
      </c>
      <c r="BP219">
        <f t="shared" si="207"/>
        <v>0</v>
      </c>
      <c r="BQ219">
        <f t="shared" si="208"/>
        <v>0</v>
      </c>
      <c r="BR219">
        <f t="shared" si="209"/>
        <v>0</v>
      </c>
      <c r="BS219">
        <f t="shared" si="210"/>
        <v>0</v>
      </c>
      <c r="BT219">
        <f t="shared" si="211"/>
        <v>0</v>
      </c>
      <c r="BU219">
        <f t="shared" si="212"/>
        <v>0</v>
      </c>
      <c r="BV219">
        <f t="shared" si="213"/>
        <v>0</v>
      </c>
      <c r="BW219">
        <f t="shared" si="214"/>
        <v>0</v>
      </c>
      <c r="BX219">
        <f t="shared" si="215"/>
        <v>0</v>
      </c>
    </row>
    <row r="220" spans="2:76">
      <c r="B220" s="19">
        <f>Tiers!B221</f>
        <v>218</v>
      </c>
      <c r="C220" s="20" t="str">
        <f>Tiers!X221</f>
        <v>main-18|main-5|main-13|main-3|wild-11|||||</v>
      </c>
      <c r="D220" s="21">
        <f>Tiers!C221</f>
        <v>16</v>
      </c>
      <c r="E220" s="22">
        <f>Frequency!E222</f>
        <v>80</v>
      </c>
      <c r="F220" s="22">
        <f t="shared" si="165"/>
        <v>1280</v>
      </c>
      <c r="G220" s="20">
        <f>IF(AND(D220/Summary!$C$4&gt;0, D220/Summary!$C$4&lt;5),E220,0) * D220</f>
        <v>0</v>
      </c>
      <c r="H220" s="20">
        <f>IF(AND(D220/Summary!$C$4&gt;= 5, D220/Summary!$C$4&lt;10),E220,0) * D220</f>
        <v>0</v>
      </c>
      <c r="I220" s="20">
        <f>IF(AND(D220/Summary!$C$4&gt;=10, D220/Summary!$C$4&lt;25),E220,0)*D220</f>
        <v>1280</v>
      </c>
      <c r="J220" s="20">
        <f>IF(D220/Summary!$C$4&gt;=25,E220,0)*D220</f>
        <v>0</v>
      </c>
      <c r="K220" s="35">
        <f>IF(AND(D220/Frequency!$N$7&gt;0, D220/Frequency!$N$7&lt;1),E220,0)</f>
        <v>0</v>
      </c>
      <c r="L220" s="35">
        <f t="shared" si="166"/>
        <v>0</v>
      </c>
      <c r="M220" s="35">
        <f>IF(D220/Frequency!$N$7=1,1,0)*E220</f>
        <v>0</v>
      </c>
      <c r="N220" s="35">
        <f t="shared" si="167"/>
        <v>0</v>
      </c>
      <c r="O220" s="35">
        <f>IF(AND(D220/Frequency!$N$7&gt;1, D220/Frequency!$N$7&lt;=2),1,0)*E220</f>
        <v>0</v>
      </c>
      <c r="P220" s="35">
        <f t="shared" si="168"/>
        <v>0</v>
      </c>
      <c r="Q220" s="35">
        <f>IF(AND(D220/Frequency!$N$7&gt;2,D220/Frequency!$N$7&lt;=5),1,0)*E220</f>
        <v>0</v>
      </c>
      <c r="R220" s="35">
        <f t="shared" si="169"/>
        <v>0</v>
      </c>
      <c r="S220" s="35">
        <f>IF(AND(D220/Frequency!$N$7&gt;5, D220/Frequency!$N$7&lt;=10),1,0)*E220</f>
        <v>0</v>
      </c>
      <c r="T220" s="35">
        <f t="shared" si="170"/>
        <v>0</v>
      </c>
      <c r="U220" s="35">
        <f>IF(AND(D220/Frequency!$N$7&gt;10, D220/Frequency!$N$7&lt;=20),1,0)*E220</f>
        <v>80</v>
      </c>
      <c r="V220" s="35">
        <f t="shared" si="171"/>
        <v>1280</v>
      </c>
      <c r="W220" s="35">
        <f>IF(AND(D220/Frequency!$N$7&gt;20, D220/Frequency!$N$7&lt;=30),1,0)*E220</f>
        <v>0</v>
      </c>
      <c r="X220" s="35">
        <f t="shared" si="172"/>
        <v>0</v>
      </c>
      <c r="Y220" s="35">
        <f>IF(AND(D220/Frequency!$N$7&gt;30, D220/Frequency!$N$7&lt;=50),1,0)*E220</f>
        <v>0</v>
      </c>
      <c r="Z220" s="35">
        <f t="shared" si="173"/>
        <v>0</v>
      </c>
      <c r="AA220" s="35">
        <f>IF(AND(D220/Frequency!$N$7&gt;50, D220/Frequency!$N$7&lt;=100),1,0)*E220</f>
        <v>0</v>
      </c>
      <c r="AB220" s="35">
        <f t="shared" si="174"/>
        <v>0</v>
      </c>
      <c r="AC220" s="35">
        <f>IF(D220/Frequency!$N$7&gt;100,1,0)*E220</f>
        <v>0</v>
      </c>
      <c r="AD220" s="35">
        <f t="shared" si="175"/>
        <v>0</v>
      </c>
      <c r="AE220" s="22">
        <f t="shared" si="176"/>
        <v>0</v>
      </c>
      <c r="AF220" s="22">
        <f t="shared" si="177"/>
        <v>0</v>
      </c>
      <c r="AG220" s="22">
        <f t="shared" si="178"/>
        <v>0</v>
      </c>
      <c r="AH220" s="22">
        <f t="shared" si="179"/>
        <v>0</v>
      </c>
      <c r="AI220" s="35">
        <f t="shared" si="180"/>
        <v>1</v>
      </c>
      <c r="AJ220" s="35">
        <f t="shared" si="181"/>
        <v>80</v>
      </c>
      <c r="AK220" s="35">
        <f t="shared" si="182"/>
        <v>1280</v>
      </c>
      <c r="AL220">
        <f t="shared" si="183"/>
        <v>1</v>
      </c>
      <c r="AM220">
        <f t="shared" si="184"/>
        <v>80</v>
      </c>
      <c r="AN220">
        <f t="shared" si="185"/>
        <v>1280</v>
      </c>
      <c r="AO220">
        <f t="shared" si="186"/>
        <v>1</v>
      </c>
      <c r="AP220">
        <f t="shared" si="187"/>
        <v>80</v>
      </c>
      <c r="AQ220">
        <f t="shared" si="188"/>
        <v>1280</v>
      </c>
      <c r="AR220">
        <f t="shared" si="189"/>
        <v>0</v>
      </c>
      <c r="AS220">
        <f t="shared" si="190"/>
        <v>0</v>
      </c>
      <c r="AT220">
        <f t="shared" si="191"/>
        <v>0</v>
      </c>
      <c r="AU220">
        <f t="shared" si="192"/>
        <v>0</v>
      </c>
      <c r="AV220">
        <v>0</v>
      </c>
      <c r="AW220">
        <v>0</v>
      </c>
      <c r="AX220">
        <f t="shared" si="193"/>
        <v>0</v>
      </c>
      <c r="AY220">
        <f t="shared" si="194"/>
        <v>0</v>
      </c>
      <c r="AZ220">
        <f t="shared" si="195"/>
        <v>0</v>
      </c>
      <c r="BA220">
        <f t="shared" si="196"/>
        <v>0</v>
      </c>
      <c r="BB220">
        <f t="shared" si="197"/>
        <v>0</v>
      </c>
      <c r="BC220">
        <f t="shared" si="198"/>
        <v>0</v>
      </c>
      <c r="BD220">
        <f t="shared" si="199"/>
        <v>0</v>
      </c>
      <c r="BE220">
        <f t="shared" si="200"/>
        <v>0</v>
      </c>
      <c r="BF220">
        <f t="shared" si="201"/>
        <v>0</v>
      </c>
      <c r="BG220">
        <f t="shared" si="202"/>
        <v>0</v>
      </c>
      <c r="BH220">
        <f t="shared" si="203"/>
        <v>0</v>
      </c>
      <c r="BI220">
        <f t="shared" si="204"/>
        <v>0</v>
      </c>
      <c r="BJ220">
        <v>0</v>
      </c>
      <c r="BK220" t="str">
        <f t="shared" si="216"/>
        <v>Big Win</v>
      </c>
      <c r="BL220" s="40" t="str">
        <f t="shared" si="217"/>
        <v>Combo Win</v>
      </c>
      <c r="BM220">
        <f>(D220/Frequency!$N$7-Summary!$C$7)^2*E220</f>
        <v>18386.048000000003</v>
      </c>
      <c r="BN220">
        <f t="shared" si="205"/>
        <v>0</v>
      </c>
      <c r="BO220">
        <f t="shared" si="206"/>
        <v>0</v>
      </c>
      <c r="BP220">
        <f t="shared" si="207"/>
        <v>0</v>
      </c>
      <c r="BQ220">
        <f t="shared" si="208"/>
        <v>0</v>
      </c>
      <c r="BR220">
        <f t="shared" si="209"/>
        <v>0</v>
      </c>
      <c r="BS220">
        <f t="shared" si="210"/>
        <v>0</v>
      </c>
      <c r="BT220">
        <f t="shared" si="211"/>
        <v>0</v>
      </c>
      <c r="BU220">
        <f t="shared" si="212"/>
        <v>0</v>
      </c>
      <c r="BV220">
        <f t="shared" si="213"/>
        <v>0</v>
      </c>
      <c r="BW220">
        <f t="shared" si="214"/>
        <v>0</v>
      </c>
      <c r="BX220">
        <f t="shared" si="215"/>
        <v>0</v>
      </c>
    </row>
    <row r="221" spans="2:76">
      <c r="B221" s="19">
        <f>Tiers!B222</f>
        <v>219</v>
      </c>
      <c r="C221" s="20" t="str">
        <f>Tiers!X222</f>
        <v>main-3|main-19|main-13|main-26|wild-12|||||</v>
      </c>
      <c r="D221" s="21">
        <f>Tiers!C222</f>
        <v>24</v>
      </c>
      <c r="E221" s="22">
        <f>Frequency!E223</f>
        <v>23</v>
      </c>
      <c r="F221" s="22">
        <f t="shared" si="165"/>
        <v>552</v>
      </c>
      <c r="G221" s="20">
        <f>IF(AND(D221/Summary!$C$4&gt;0, D221/Summary!$C$4&lt;5),E221,0) * D221</f>
        <v>0</v>
      </c>
      <c r="H221" s="20">
        <f>IF(AND(D221/Summary!$C$4&gt;= 5, D221/Summary!$C$4&lt;10),E221,0) * D221</f>
        <v>0</v>
      </c>
      <c r="I221" s="20">
        <f>IF(AND(D221/Summary!$C$4&gt;=10, D221/Summary!$C$4&lt;25),E221,0)*D221</f>
        <v>552</v>
      </c>
      <c r="J221" s="20">
        <f>IF(D221/Summary!$C$4&gt;=25,E221,0)*D221</f>
        <v>0</v>
      </c>
      <c r="K221" s="35">
        <f>IF(AND(D221/Frequency!$N$7&gt;0, D221/Frequency!$N$7&lt;1),E221,0)</f>
        <v>0</v>
      </c>
      <c r="L221" s="35">
        <f t="shared" si="166"/>
        <v>0</v>
      </c>
      <c r="M221" s="35">
        <f>IF(D221/Frequency!$N$7=1,1,0)*E221</f>
        <v>0</v>
      </c>
      <c r="N221" s="35">
        <f t="shared" si="167"/>
        <v>0</v>
      </c>
      <c r="O221" s="35">
        <f>IF(AND(D221/Frequency!$N$7&gt;1, D221/Frequency!$N$7&lt;=2),1,0)*E221</f>
        <v>0</v>
      </c>
      <c r="P221" s="35">
        <f t="shared" si="168"/>
        <v>0</v>
      </c>
      <c r="Q221" s="35">
        <f>IF(AND(D221/Frequency!$N$7&gt;2,D221/Frequency!$N$7&lt;=5),1,0)*E221</f>
        <v>0</v>
      </c>
      <c r="R221" s="35">
        <f t="shared" si="169"/>
        <v>0</v>
      </c>
      <c r="S221" s="35">
        <f>IF(AND(D221/Frequency!$N$7&gt;5, D221/Frequency!$N$7&lt;=10),1,0)*E221</f>
        <v>0</v>
      </c>
      <c r="T221" s="35">
        <f t="shared" si="170"/>
        <v>0</v>
      </c>
      <c r="U221" s="35">
        <f>IF(AND(D221/Frequency!$N$7&gt;10, D221/Frequency!$N$7&lt;=20),1,0)*E221</f>
        <v>0</v>
      </c>
      <c r="V221" s="35">
        <f t="shared" si="171"/>
        <v>0</v>
      </c>
      <c r="W221" s="35">
        <f>IF(AND(D221/Frequency!$N$7&gt;20, D221/Frequency!$N$7&lt;=30),1,0)*E221</f>
        <v>23</v>
      </c>
      <c r="X221" s="35">
        <f t="shared" si="172"/>
        <v>552</v>
      </c>
      <c r="Y221" s="35">
        <f>IF(AND(D221/Frequency!$N$7&gt;30, D221/Frequency!$N$7&lt;=50),1,0)*E221</f>
        <v>0</v>
      </c>
      <c r="Z221" s="35">
        <f t="shared" si="173"/>
        <v>0</v>
      </c>
      <c r="AA221" s="35">
        <f>IF(AND(D221/Frequency!$N$7&gt;50, D221/Frequency!$N$7&lt;=100),1,0)*E221</f>
        <v>0</v>
      </c>
      <c r="AB221" s="35">
        <f t="shared" si="174"/>
        <v>0</v>
      </c>
      <c r="AC221" s="35">
        <f>IF(D221/Frequency!$N$7&gt;100,1,0)*E221</f>
        <v>0</v>
      </c>
      <c r="AD221" s="35">
        <f t="shared" si="175"/>
        <v>0</v>
      </c>
      <c r="AE221" s="22">
        <f t="shared" si="176"/>
        <v>0</v>
      </c>
      <c r="AF221" s="22">
        <f t="shared" si="177"/>
        <v>0</v>
      </c>
      <c r="AG221" s="22">
        <f t="shared" si="178"/>
        <v>0</v>
      </c>
      <c r="AH221" s="22">
        <f t="shared" si="179"/>
        <v>0</v>
      </c>
      <c r="AI221" s="35">
        <f t="shared" si="180"/>
        <v>1</v>
      </c>
      <c r="AJ221" s="35">
        <f t="shared" si="181"/>
        <v>23</v>
      </c>
      <c r="AK221" s="35">
        <f t="shared" si="182"/>
        <v>552</v>
      </c>
      <c r="AL221">
        <f t="shared" si="183"/>
        <v>1</v>
      </c>
      <c r="AM221">
        <f t="shared" si="184"/>
        <v>23</v>
      </c>
      <c r="AN221">
        <f t="shared" si="185"/>
        <v>552</v>
      </c>
      <c r="AO221">
        <f t="shared" si="186"/>
        <v>1</v>
      </c>
      <c r="AP221">
        <f t="shared" si="187"/>
        <v>23</v>
      </c>
      <c r="AQ221">
        <f t="shared" si="188"/>
        <v>552</v>
      </c>
      <c r="AR221">
        <f t="shared" si="189"/>
        <v>0</v>
      </c>
      <c r="AS221">
        <f t="shared" si="190"/>
        <v>0</v>
      </c>
      <c r="AT221">
        <f t="shared" si="191"/>
        <v>0</v>
      </c>
      <c r="AU221">
        <f t="shared" si="192"/>
        <v>0</v>
      </c>
      <c r="AV221">
        <v>0</v>
      </c>
      <c r="AW221">
        <v>0</v>
      </c>
      <c r="AX221">
        <f t="shared" si="193"/>
        <v>0</v>
      </c>
      <c r="AY221">
        <f t="shared" si="194"/>
        <v>0</v>
      </c>
      <c r="AZ221">
        <f t="shared" si="195"/>
        <v>0</v>
      </c>
      <c r="BA221">
        <f t="shared" si="196"/>
        <v>0</v>
      </c>
      <c r="BB221">
        <f t="shared" si="197"/>
        <v>0</v>
      </c>
      <c r="BC221">
        <f t="shared" si="198"/>
        <v>0</v>
      </c>
      <c r="BD221">
        <f t="shared" si="199"/>
        <v>0</v>
      </c>
      <c r="BE221">
        <f t="shared" si="200"/>
        <v>0</v>
      </c>
      <c r="BF221">
        <f t="shared" si="201"/>
        <v>0</v>
      </c>
      <c r="BG221">
        <f t="shared" si="202"/>
        <v>0</v>
      </c>
      <c r="BH221">
        <f t="shared" si="203"/>
        <v>0</v>
      </c>
      <c r="BI221">
        <f t="shared" si="204"/>
        <v>0</v>
      </c>
      <c r="BJ221">
        <v>0</v>
      </c>
      <c r="BK221" t="str">
        <f t="shared" si="216"/>
        <v>Big Win</v>
      </c>
      <c r="BL221" s="40" t="str">
        <f t="shared" si="217"/>
        <v>Combo Win</v>
      </c>
      <c r="BM221">
        <f>(D221/Frequency!$N$7-Summary!$C$7)^2*E221</f>
        <v>12336.868799999998</v>
      </c>
      <c r="BN221">
        <f t="shared" si="205"/>
        <v>0</v>
      </c>
      <c r="BO221">
        <f t="shared" si="206"/>
        <v>0</v>
      </c>
      <c r="BP221">
        <f t="shared" si="207"/>
        <v>0</v>
      </c>
      <c r="BQ221">
        <f t="shared" si="208"/>
        <v>0</v>
      </c>
      <c r="BR221">
        <f t="shared" si="209"/>
        <v>0</v>
      </c>
      <c r="BS221">
        <f t="shared" si="210"/>
        <v>0</v>
      </c>
      <c r="BT221">
        <f t="shared" si="211"/>
        <v>0</v>
      </c>
      <c r="BU221">
        <f t="shared" si="212"/>
        <v>0</v>
      </c>
      <c r="BV221">
        <f t="shared" si="213"/>
        <v>0</v>
      </c>
      <c r="BW221">
        <f t="shared" si="214"/>
        <v>0</v>
      </c>
      <c r="BX221">
        <f t="shared" si="215"/>
        <v>0</v>
      </c>
    </row>
    <row r="222" spans="2:76">
      <c r="B222" s="19">
        <f>Tiers!B223</f>
        <v>220</v>
      </c>
      <c r="C222" s="20" t="str">
        <f>Tiers!X223</f>
        <v>main-19|main-4|main-1|main-15|wild-13|||||</v>
      </c>
      <c r="D222" s="21">
        <f>Tiers!C223</f>
        <v>32.200000000000003</v>
      </c>
      <c r="E222" s="22">
        <f>Frequency!E224</f>
        <v>50</v>
      </c>
      <c r="F222" s="22">
        <f t="shared" si="165"/>
        <v>1610.0000000000002</v>
      </c>
      <c r="G222" s="20">
        <f>IF(AND(D222/Summary!$C$4&gt;0, D222/Summary!$C$4&lt;5),E222,0) * D222</f>
        <v>0</v>
      </c>
      <c r="H222" s="20">
        <f>IF(AND(D222/Summary!$C$4&gt;= 5, D222/Summary!$C$4&lt;10),E222,0) * D222</f>
        <v>0</v>
      </c>
      <c r="I222" s="20">
        <f>IF(AND(D222/Summary!$C$4&gt;=10, D222/Summary!$C$4&lt;25),E222,0)*D222</f>
        <v>0</v>
      </c>
      <c r="J222" s="20">
        <f>IF(D222/Summary!$C$4&gt;=25,E222,0)*D222</f>
        <v>1610.0000000000002</v>
      </c>
      <c r="K222" s="35">
        <f>IF(AND(D222/Frequency!$N$7&gt;0, D222/Frequency!$N$7&lt;1),E222,0)</f>
        <v>0</v>
      </c>
      <c r="L222" s="35">
        <f t="shared" si="166"/>
        <v>0</v>
      </c>
      <c r="M222" s="35">
        <f>IF(D222/Frequency!$N$7=1,1,0)*E222</f>
        <v>0</v>
      </c>
      <c r="N222" s="35">
        <f t="shared" si="167"/>
        <v>0</v>
      </c>
      <c r="O222" s="35">
        <f>IF(AND(D222/Frequency!$N$7&gt;1, D222/Frequency!$N$7&lt;=2),1,0)*E222</f>
        <v>0</v>
      </c>
      <c r="P222" s="35">
        <f t="shared" si="168"/>
        <v>0</v>
      </c>
      <c r="Q222" s="35">
        <f>IF(AND(D222/Frequency!$N$7&gt;2,D222/Frequency!$N$7&lt;=5),1,0)*E222</f>
        <v>0</v>
      </c>
      <c r="R222" s="35">
        <f t="shared" si="169"/>
        <v>0</v>
      </c>
      <c r="S222" s="35">
        <f>IF(AND(D222/Frequency!$N$7&gt;5, D222/Frequency!$N$7&lt;=10),1,0)*E222</f>
        <v>0</v>
      </c>
      <c r="T222" s="35">
        <f t="shared" si="170"/>
        <v>0</v>
      </c>
      <c r="U222" s="35">
        <f>IF(AND(D222/Frequency!$N$7&gt;10, D222/Frequency!$N$7&lt;=20),1,0)*E222</f>
        <v>0</v>
      </c>
      <c r="V222" s="35">
        <f t="shared" si="171"/>
        <v>0</v>
      </c>
      <c r="W222" s="35">
        <f>IF(AND(D222/Frequency!$N$7&gt;20, D222/Frequency!$N$7&lt;=30),1,0)*E222</f>
        <v>0</v>
      </c>
      <c r="X222" s="35">
        <f t="shared" si="172"/>
        <v>0</v>
      </c>
      <c r="Y222" s="35">
        <f>IF(AND(D222/Frequency!$N$7&gt;30, D222/Frequency!$N$7&lt;=50),1,0)*E222</f>
        <v>50</v>
      </c>
      <c r="Z222" s="35">
        <f t="shared" si="173"/>
        <v>1610.0000000000002</v>
      </c>
      <c r="AA222" s="35">
        <f>IF(AND(D222/Frequency!$N$7&gt;50, D222/Frequency!$N$7&lt;=100),1,0)*E222</f>
        <v>0</v>
      </c>
      <c r="AB222" s="35">
        <f t="shared" si="174"/>
        <v>0</v>
      </c>
      <c r="AC222" s="35">
        <f>IF(D222/Frequency!$N$7&gt;100,1,0)*E222</f>
        <v>0</v>
      </c>
      <c r="AD222" s="35">
        <f t="shared" si="175"/>
        <v>0</v>
      </c>
      <c r="AE222" s="22">
        <f t="shared" si="176"/>
        <v>0</v>
      </c>
      <c r="AF222" s="22">
        <f t="shared" si="177"/>
        <v>0</v>
      </c>
      <c r="AG222" s="22">
        <f t="shared" si="178"/>
        <v>0</v>
      </c>
      <c r="AH222" s="22">
        <f t="shared" si="179"/>
        <v>0</v>
      </c>
      <c r="AI222" s="35">
        <f t="shared" si="180"/>
        <v>1</v>
      </c>
      <c r="AJ222" s="35">
        <f t="shared" si="181"/>
        <v>50</v>
      </c>
      <c r="AK222" s="35">
        <f t="shared" si="182"/>
        <v>1610.0000000000002</v>
      </c>
      <c r="AL222">
        <f t="shared" si="183"/>
        <v>1</v>
      </c>
      <c r="AM222">
        <f t="shared" si="184"/>
        <v>50</v>
      </c>
      <c r="AN222">
        <f t="shared" si="185"/>
        <v>1610.0000000000002</v>
      </c>
      <c r="AO222">
        <f t="shared" si="186"/>
        <v>1</v>
      </c>
      <c r="AP222">
        <f t="shared" si="187"/>
        <v>50</v>
      </c>
      <c r="AQ222">
        <f t="shared" si="188"/>
        <v>1610.0000000000002</v>
      </c>
      <c r="AR222">
        <f t="shared" si="189"/>
        <v>0</v>
      </c>
      <c r="AS222">
        <f t="shared" si="190"/>
        <v>0</v>
      </c>
      <c r="AT222">
        <f t="shared" si="191"/>
        <v>0</v>
      </c>
      <c r="AU222">
        <f t="shared" si="192"/>
        <v>0</v>
      </c>
      <c r="AV222">
        <v>0</v>
      </c>
      <c r="AW222">
        <v>0</v>
      </c>
      <c r="AX222">
        <f t="shared" si="193"/>
        <v>0</v>
      </c>
      <c r="AY222">
        <f t="shared" si="194"/>
        <v>0</v>
      </c>
      <c r="AZ222">
        <f t="shared" si="195"/>
        <v>0</v>
      </c>
      <c r="BA222">
        <f t="shared" si="196"/>
        <v>0</v>
      </c>
      <c r="BB222">
        <f t="shared" si="197"/>
        <v>0</v>
      </c>
      <c r="BC222">
        <f t="shared" si="198"/>
        <v>0</v>
      </c>
      <c r="BD222">
        <f t="shared" si="199"/>
        <v>0</v>
      </c>
      <c r="BE222">
        <f t="shared" si="200"/>
        <v>0</v>
      </c>
      <c r="BF222">
        <f t="shared" si="201"/>
        <v>0</v>
      </c>
      <c r="BG222">
        <f t="shared" si="202"/>
        <v>0</v>
      </c>
      <c r="BH222">
        <f t="shared" si="203"/>
        <v>0</v>
      </c>
      <c r="BI222">
        <f t="shared" si="204"/>
        <v>0</v>
      </c>
      <c r="BJ222">
        <v>0</v>
      </c>
      <c r="BK222" t="str">
        <f t="shared" si="216"/>
        <v>Big Win</v>
      </c>
      <c r="BL222" s="40" t="str">
        <f t="shared" si="217"/>
        <v>Combo Win</v>
      </c>
      <c r="BM222">
        <f>(D222/Frequency!$N$7-Summary!$C$7)^2*E222</f>
        <v>49172.48000000001</v>
      </c>
      <c r="BN222">
        <f t="shared" si="205"/>
        <v>0</v>
      </c>
      <c r="BO222">
        <f t="shared" si="206"/>
        <v>0</v>
      </c>
      <c r="BP222">
        <f t="shared" si="207"/>
        <v>0</v>
      </c>
      <c r="BQ222">
        <f t="shared" si="208"/>
        <v>0</v>
      </c>
      <c r="BR222">
        <f t="shared" si="209"/>
        <v>0</v>
      </c>
      <c r="BS222">
        <f t="shared" si="210"/>
        <v>0</v>
      </c>
      <c r="BT222">
        <f t="shared" si="211"/>
        <v>0</v>
      </c>
      <c r="BU222">
        <f t="shared" si="212"/>
        <v>0</v>
      </c>
      <c r="BV222">
        <f t="shared" si="213"/>
        <v>0</v>
      </c>
      <c r="BW222">
        <f t="shared" si="214"/>
        <v>0</v>
      </c>
      <c r="BX222">
        <f t="shared" si="215"/>
        <v>0</v>
      </c>
    </row>
    <row r="223" spans="2:76">
      <c r="B223" s="19">
        <f>Tiers!B224</f>
        <v>221</v>
      </c>
      <c r="C223" s="20" t="str">
        <f>Tiers!X224</f>
        <v>main-5|main-3|main-5|main-15|wild-14|||||</v>
      </c>
      <c r="D223" s="21">
        <f>Tiers!C224</f>
        <v>33</v>
      </c>
      <c r="E223" s="22">
        <f>Frequency!E225</f>
        <v>50</v>
      </c>
      <c r="F223" s="22">
        <f t="shared" si="165"/>
        <v>1650</v>
      </c>
      <c r="G223" s="20">
        <f>IF(AND(D223/Summary!$C$4&gt;0, D223/Summary!$C$4&lt;5),E223,0) * D223</f>
        <v>0</v>
      </c>
      <c r="H223" s="20">
        <f>IF(AND(D223/Summary!$C$4&gt;= 5, D223/Summary!$C$4&lt;10),E223,0) * D223</f>
        <v>0</v>
      </c>
      <c r="I223" s="20">
        <f>IF(AND(D223/Summary!$C$4&gt;=10, D223/Summary!$C$4&lt;25),E223,0)*D223</f>
        <v>0</v>
      </c>
      <c r="J223" s="20">
        <f>IF(D223/Summary!$C$4&gt;=25,E223,0)*D223</f>
        <v>1650</v>
      </c>
      <c r="K223" s="35">
        <f>IF(AND(D223/Frequency!$N$7&gt;0, D223/Frequency!$N$7&lt;1),E223,0)</f>
        <v>0</v>
      </c>
      <c r="L223" s="35">
        <f t="shared" si="166"/>
        <v>0</v>
      </c>
      <c r="M223" s="35">
        <f>IF(D223/Frequency!$N$7=1,1,0)*E223</f>
        <v>0</v>
      </c>
      <c r="N223" s="35">
        <f t="shared" si="167"/>
        <v>0</v>
      </c>
      <c r="O223" s="35">
        <f>IF(AND(D223/Frequency!$N$7&gt;1, D223/Frequency!$N$7&lt;=2),1,0)*E223</f>
        <v>0</v>
      </c>
      <c r="P223" s="35">
        <f t="shared" si="168"/>
        <v>0</v>
      </c>
      <c r="Q223" s="35">
        <f>IF(AND(D223/Frequency!$N$7&gt;2,D223/Frequency!$N$7&lt;=5),1,0)*E223</f>
        <v>0</v>
      </c>
      <c r="R223" s="35">
        <f t="shared" si="169"/>
        <v>0</v>
      </c>
      <c r="S223" s="35">
        <f>IF(AND(D223/Frequency!$N$7&gt;5, D223/Frequency!$N$7&lt;=10),1,0)*E223</f>
        <v>0</v>
      </c>
      <c r="T223" s="35">
        <f t="shared" si="170"/>
        <v>0</v>
      </c>
      <c r="U223" s="35">
        <f>IF(AND(D223/Frequency!$N$7&gt;10, D223/Frequency!$N$7&lt;=20),1,0)*E223</f>
        <v>0</v>
      </c>
      <c r="V223" s="35">
        <f t="shared" si="171"/>
        <v>0</v>
      </c>
      <c r="W223" s="35">
        <f>IF(AND(D223/Frequency!$N$7&gt;20, D223/Frequency!$N$7&lt;=30),1,0)*E223</f>
        <v>0</v>
      </c>
      <c r="X223" s="35">
        <f t="shared" si="172"/>
        <v>0</v>
      </c>
      <c r="Y223" s="35">
        <f>IF(AND(D223/Frequency!$N$7&gt;30, D223/Frequency!$N$7&lt;=50),1,0)*E223</f>
        <v>50</v>
      </c>
      <c r="Z223" s="35">
        <f t="shared" si="173"/>
        <v>1650</v>
      </c>
      <c r="AA223" s="35">
        <f>IF(AND(D223/Frequency!$N$7&gt;50, D223/Frequency!$N$7&lt;=100),1,0)*E223</f>
        <v>0</v>
      </c>
      <c r="AB223" s="35">
        <f t="shared" si="174"/>
        <v>0</v>
      </c>
      <c r="AC223" s="35">
        <f>IF(D223/Frequency!$N$7&gt;100,1,0)*E223</f>
        <v>0</v>
      </c>
      <c r="AD223" s="35">
        <f t="shared" si="175"/>
        <v>0</v>
      </c>
      <c r="AE223" s="22">
        <f t="shared" si="176"/>
        <v>0</v>
      </c>
      <c r="AF223" s="22">
        <f t="shared" si="177"/>
        <v>0</v>
      </c>
      <c r="AG223" s="22">
        <f t="shared" si="178"/>
        <v>0</v>
      </c>
      <c r="AH223" s="22">
        <f t="shared" si="179"/>
        <v>0</v>
      </c>
      <c r="AI223" s="35">
        <f t="shared" si="180"/>
        <v>1</v>
      </c>
      <c r="AJ223" s="35">
        <f t="shared" si="181"/>
        <v>50</v>
      </c>
      <c r="AK223" s="35">
        <f t="shared" si="182"/>
        <v>1650</v>
      </c>
      <c r="AL223">
        <f t="shared" si="183"/>
        <v>1</v>
      </c>
      <c r="AM223">
        <f t="shared" si="184"/>
        <v>50</v>
      </c>
      <c r="AN223">
        <f t="shared" si="185"/>
        <v>1650</v>
      </c>
      <c r="AO223">
        <f t="shared" si="186"/>
        <v>1</v>
      </c>
      <c r="AP223">
        <f t="shared" si="187"/>
        <v>50</v>
      </c>
      <c r="AQ223">
        <f t="shared" si="188"/>
        <v>1650</v>
      </c>
      <c r="AR223">
        <f t="shared" si="189"/>
        <v>0</v>
      </c>
      <c r="AS223">
        <f t="shared" si="190"/>
        <v>0</v>
      </c>
      <c r="AT223">
        <f t="shared" si="191"/>
        <v>0</v>
      </c>
      <c r="AU223">
        <f t="shared" si="192"/>
        <v>0</v>
      </c>
      <c r="AV223">
        <v>0</v>
      </c>
      <c r="AW223">
        <v>0</v>
      </c>
      <c r="AX223">
        <f t="shared" si="193"/>
        <v>0</v>
      </c>
      <c r="AY223">
        <f t="shared" si="194"/>
        <v>0</v>
      </c>
      <c r="AZ223">
        <f t="shared" si="195"/>
        <v>0</v>
      </c>
      <c r="BA223">
        <f t="shared" si="196"/>
        <v>0</v>
      </c>
      <c r="BB223">
        <f t="shared" si="197"/>
        <v>0</v>
      </c>
      <c r="BC223">
        <f t="shared" si="198"/>
        <v>0</v>
      </c>
      <c r="BD223">
        <f t="shared" si="199"/>
        <v>0</v>
      </c>
      <c r="BE223">
        <f t="shared" si="200"/>
        <v>0</v>
      </c>
      <c r="BF223">
        <f t="shared" si="201"/>
        <v>0</v>
      </c>
      <c r="BG223">
        <f t="shared" si="202"/>
        <v>0</v>
      </c>
      <c r="BH223">
        <f t="shared" si="203"/>
        <v>0</v>
      </c>
      <c r="BI223">
        <f t="shared" si="204"/>
        <v>0</v>
      </c>
      <c r="BJ223">
        <v>0</v>
      </c>
      <c r="BK223" t="str">
        <f t="shared" si="216"/>
        <v>Big Win</v>
      </c>
      <c r="BL223" s="40" t="str">
        <f t="shared" si="217"/>
        <v>Combo Win</v>
      </c>
      <c r="BM223">
        <f>(D223/Frequency!$N$7-Summary!$C$7)^2*E223</f>
        <v>51713.279999999984</v>
      </c>
      <c r="BN223">
        <f t="shared" si="205"/>
        <v>0</v>
      </c>
      <c r="BO223">
        <f t="shared" si="206"/>
        <v>0</v>
      </c>
      <c r="BP223">
        <f t="shared" si="207"/>
        <v>0</v>
      </c>
      <c r="BQ223">
        <f t="shared" si="208"/>
        <v>0</v>
      </c>
      <c r="BR223">
        <f t="shared" si="209"/>
        <v>0</v>
      </c>
      <c r="BS223">
        <f t="shared" si="210"/>
        <v>0</v>
      </c>
      <c r="BT223">
        <f t="shared" si="211"/>
        <v>0</v>
      </c>
      <c r="BU223">
        <f t="shared" si="212"/>
        <v>0</v>
      </c>
      <c r="BV223">
        <f t="shared" si="213"/>
        <v>0</v>
      </c>
      <c r="BW223">
        <f t="shared" si="214"/>
        <v>0</v>
      </c>
      <c r="BX223">
        <f t="shared" si="215"/>
        <v>0</v>
      </c>
    </row>
    <row r="224" spans="2:76">
      <c r="B224" s="19">
        <f>Tiers!B225</f>
        <v>222</v>
      </c>
      <c r="C224" s="20" t="str">
        <f>Tiers!X225</f>
        <v>main-4|main-18|main-28|main-0|wild-15|||||</v>
      </c>
      <c r="D224" s="21">
        <f>Tiers!C225</f>
        <v>108.1</v>
      </c>
      <c r="E224" s="22">
        <f>Frequency!E226</f>
        <v>2</v>
      </c>
      <c r="F224" s="22">
        <f t="shared" si="165"/>
        <v>216.2</v>
      </c>
      <c r="G224" s="20">
        <f>IF(AND(D224/Summary!$C$4&gt;0, D224/Summary!$C$4&lt;5),E224,0) * D224</f>
        <v>0</v>
      </c>
      <c r="H224" s="20">
        <f>IF(AND(D224/Summary!$C$4&gt;= 5, D224/Summary!$C$4&lt;10),E224,0) * D224</f>
        <v>0</v>
      </c>
      <c r="I224" s="20">
        <f>IF(AND(D224/Summary!$C$4&gt;=10, D224/Summary!$C$4&lt;25),E224,0)*D224</f>
        <v>0</v>
      </c>
      <c r="J224" s="20">
        <f>IF(D224/Summary!$C$4&gt;=25,E224,0)*D224</f>
        <v>216.2</v>
      </c>
      <c r="K224" s="35">
        <f>IF(AND(D224/Frequency!$N$7&gt;0, D224/Frequency!$N$7&lt;1),E224,0)</f>
        <v>0</v>
      </c>
      <c r="L224" s="35">
        <f t="shared" si="166"/>
        <v>0</v>
      </c>
      <c r="M224" s="35">
        <f>IF(D224/Frequency!$N$7=1,1,0)*E224</f>
        <v>0</v>
      </c>
      <c r="N224" s="35">
        <f t="shared" si="167"/>
        <v>0</v>
      </c>
      <c r="O224" s="35">
        <f>IF(AND(D224/Frequency!$N$7&gt;1, D224/Frequency!$N$7&lt;=2),1,0)*E224</f>
        <v>0</v>
      </c>
      <c r="P224" s="35">
        <f t="shared" si="168"/>
        <v>0</v>
      </c>
      <c r="Q224" s="35">
        <f>IF(AND(D224/Frequency!$N$7&gt;2,D224/Frequency!$N$7&lt;=5),1,0)*E224</f>
        <v>0</v>
      </c>
      <c r="R224" s="35">
        <f t="shared" si="169"/>
        <v>0</v>
      </c>
      <c r="S224" s="35">
        <f>IF(AND(D224/Frequency!$N$7&gt;5, D224/Frequency!$N$7&lt;=10),1,0)*E224</f>
        <v>0</v>
      </c>
      <c r="T224" s="35">
        <f t="shared" si="170"/>
        <v>0</v>
      </c>
      <c r="U224" s="35">
        <f>IF(AND(D224/Frequency!$N$7&gt;10, D224/Frequency!$N$7&lt;=20),1,0)*E224</f>
        <v>0</v>
      </c>
      <c r="V224" s="35">
        <f t="shared" si="171"/>
        <v>0</v>
      </c>
      <c r="W224" s="35">
        <f>IF(AND(D224/Frequency!$N$7&gt;20, D224/Frequency!$N$7&lt;=30),1,0)*E224</f>
        <v>0</v>
      </c>
      <c r="X224" s="35">
        <f t="shared" si="172"/>
        <v>0</v>
      </c>
      <c r="Y224" s="35">
        <f>IF(AND(D224/Frequency!$N$7&gt;30, D224/Frequency!$N$7&lt;=50),1,0)*E224</f>
        <v>0</v>
      </c>
      <c r="Z224" s="35">
        <f t="shared" si="173"/>
        <v>0</v>
      </c>
      <c r="AA224" s="35">
        <f>IF(AND(D224/Frequency!$N$7&gt;50, D224/Frequency!$N$7&lt;=100),1,0)*E224</f>
        <v>0</v>
      </c>
      <c r="AB224" s="35">
        <f t="shared" si="174"/>
        <v>0</v>
      </c>
      <c r="AC224" s="35">
        <f>IF(D224/Frequency!$N$7&gt;100,1,0)*E224</f>
        <v>2</v>
      </c>
      <c r="AD224" s="35">
        <f t="shared" si="175"/>
        <v>216.2</v>
      </c>
      <c r="AE224" s="22">
        <f t="shared" si="176"/>
        <v>0</v>
      </c>
      <c r="AF224" s="22">
        <f t="shared" si="177"/>
        <v>0</v>
      </c>
      <c r="AG224" s="22">
        <f t="shared" si="178"/>
        <v>0</v>
      </c>
      <c r="AH224" s="22">
        <f t="shared" si="179"/>
        <v>0</v>
      </c>
      <c r="AI224" s="35">
        <f t="shared" si="180"/>
        <v>1</v>
      </c>
      <c r="AJ224" s="35">
        <f t="shared" si="181"/>
        <v>2</v>
      </c>
      <c r="AK224" s="35">
        <f t="shared" si="182"/>
        <v>216.2</v>
      </c>
      <c r="AL224">
        <f t="shared" si="183"/>
        <v>1</v>
      </c>
      <c r="AM224">
        <f t="shared" si="184"/>
        <v>2</v>
      </c>
      <c r="AN224">
        <f t="shared" si="185"/>
        <v>216.2</v>
      </c>
      <c r="AO224">
        <f t="shared" si="186"/>
        <v>1</v>
      </c>
      <c r="AP224">
        <f t="shared" si="187"/>
        <v>2</v>
      </c>
      <c r="AQ224">
        <f t="shared" si="188"/>
        <v>216.2</v>
      </c>
      <c r="AR224">
        <f t="shared" si="189"/>
        <v>0</v>
      </c>
      <c r="AS224">
        <f t="shared" si="190"/>
        <v>0</v>
      </c>
      <c r="AT224">
        <f t="shared" si="191"/>
        <v>0</v>
      </c>
      <c r="AU224">
        <f t="shared" si="192"/>
        <v>0</v>
      </c>
      <c r="AV224">
        <v>0</v>
      </c>
      <c r="AW224">
        <v>0</v>
      </c>
      <c r="AX224">
        <f t="shared" si="193"/>
        <v>0</v>
      </c>
      <c r="AY224">
        <f t="shared" si="194"/>
        <v>0</v>
      </c>
      <c r="AZ224">
        <f t="shared" si="195"/>
        <v>0</v>
      </c>
      <c r="BA224">
        <f t="shared" si="196"/>
        <v>0</v>
      </c>
      <c r="BB224">
        <f t="shared" si="197"/>
        <v>0</v>
      </c>
      <c r="BC224">
        <f t="shared" si="198"/>
        <v>0</v>
      </c>
      <c r="BD224">
        <f t="shared" si="199"/>
        <v>0</v>
      </c>
      <c r="BE224">
        <f t="shared" si="200"/>
        <v>0</v>
      </c>
      <c r="BF224">
        <f t="shared" si="201"/>
        <v>0</v>
      </c>
      <c r="BG224">
        <f t="shared" si="202"/>
        <v>0</v>
      </c>
      <c r="BH224">
        <f t="shared" si="203"/>
        <v>0</v>
      </c>
      <c r="BI224">
        <f t="shared" si="204"/>
        <v>0</v>
      </c>
      <c r="BJ224">
        <v>0</v>
      </c>
      <c r="BK224" t="str">
        <f t="shared" si="216"/>
        <v>Huge Win</v>
      </c>
      <c r="BL224" s="40" t="str">
        <f t="shared" si="217"/>
        <v>Combo Win</v>
      </c>
      <c r="BM224">
        <f>(D224/Frequency!$N$7-Summary!$C$7)^2*E224</f>
        <v>23009.415199999996</v>
      </c>
      <c r="BN224">
        <f t="shared" si="205"/>
        <v>0</v>
      </c>
      <c r="BO224">
        <f t="shared" si="206"/>
        <v>0</v>
      </c>
      <c r="BP224">
        <f t="shared" si="207"/>
        <v>0</v>
      </c>
      <c r="BQ224">
        <f t="shared" si="208"/>
        <v>0</v>
      </c>
      <c r="BR224">
        <f t="shared" si="209"/>
        <v>0</v>
      </c>
      <c r="BS224">
        <f t="shared" si="210"/>
        <v>0</v>
      </c>
      <c r="BT224">
        <f t="shared" si="211"/>
        <v>0</v>
      </c>
      <c r="BU224">
        <f t="shared" si="212"/>
        <v>0</v>
      </c>
      <c r="BV224">
        <f t="shared" si="213"/>
        <v>0</v>
      </c>
      <c r="BW224">
        <f t="shared" si="214"/>
        <v>0</v>
      </c>
      <c r="BX224">
        <f t="shared" si="215"/>
        <v>0</v>
      </c>
    </row>
    <row r="225" spans="2:76">
      <c r="B225" s="19">
        <f>Tiers!B226</f>
        <v>223</v>
      </c>
      <c r="C225" s="20" t="str">
        <f>Tiers!X226</f>
        <v>main-19|main-3|main-1|main-18|main-4|wild-15||||</v>
      </c>
      <c r="D225" s="21">
        <f>Tiers!C226</f>
        <v>14.2</v>
      </c>
      <c r="E225" s="22">
        <f>Frequency!E227</f>
        <v>50</v>
      </c>
      <c r="F225" s="22">
        <f t="shared" si="165"/>
        <v>710</v>
      </c>
      <c r="G225" s="20">
        <f>IF(AND(D225/Summary!$C$4&gt;0, D225/Summary!$C$4&lt;5),E225,0) * D225</f>
        <v>0</v>
      </c>
      <c r="H225" s="20">
        <f>IF(AND(D225/Summary!$C$4&gt;= 5, D225/Summary!$C$4&lt;10),E225,0) * D225</f>
        <v>0</v>
      </c>
      <c r="I225" s="20">
        <f>IF(AND(D225/Summary!$C$4&gt;=10, D225/Summary!$C$4&lt;25),E225,0)*D225</f>
        <v>710</v>
      </c>
      <c r="J225" s="20">
        <f>IF(D225/Summary!$C$4&gt;=25,E225,0)*D225</f>
        <v>0</v>
      </c>
      <c r="K225" s="35">
        <f>IF(AND(D225/Frequency!$N$7&gt;0, D225/Frequency!$N$7&lt;1),E225,0)</f>
        <v>0</v>
      </c>
      <c r="L225" s="35">
        <f t="shared" si="166"/>
        <v>0</v>
      </c>
      <c r="M225" s="35">
        <f>IF(D225/Frequency!$N$7=1,1,0)*E225</f>
        <v>0</v>
      </c>
      <c r="N225" s="35">
        <f t="shared" si="167"/>
        <v>0</v>
      </c>
      <c r="O225" s="35">
        <f>IF(AND(D225/Frequency!$N$7&gt;1, D225/Frequency!$N$7&lt;=2),1,0)*E225</f>
        <v>0</v>
      </c>
      <c r="P225" s="35">
        <f t="shared" si="168"/>
        <v>0</v>
      </c>
      <c r="Q225" s="35">
        <f>IF(AND(D225/Frequency!$N$7&gt;2,D225/Frequency!$N$7&lt;=5),1,0)*E225</f>
        <v>0</v>
      </c>
      <c r="R225" s="35">
        <f t="shared" si="169"/>
        <v>0</v>
      </c>
      <c r="S225" s="35">
        <f>IF(AND(D225/Frequency!$N$7&gt;5, D225/Frequency!$N$7&lt;=10),1,0)*E225</f>
        <v>0</v>
      </c>
      <c r="T225" s="35">
        <f t="shared" si="170"/>
        <v>0</v>
      </c>
      <c r="U225" s="35">
        <f>IF(AND(D225/Frequency!$N$7&gt;10, D225/Frequency!$N$7&lt;=20),1,0)*E225</f>
        <v>50</v>
      </c>
      <c r="V225" s="35">
        <f t="shared" si="171"/>
        <v>710</v>
      </c>
      <c r="W225" s="35">
        <f>IF(AND(D225/Frequency!$N$7&gt;20, D225/Frequency!$N$7&lt;=30),1,0)*E225</f>
        <v>0</v>
      </c>
      <c r="X225" s="35">
        <f t="shared" si="172"/>
        <v>0</v>
      </c>
      <c r="Y225" s="35">
        <f>IF(AND(D225/Frequency!$N$7&gt;30, D225/Frequency!$N$7&lt;=50),1,0)*E225</f>
        <v>0</v>
      </c>
      <c r="Z225" s="35">
        <f t="shared" si="173"/>
        <v>0</v>
      </c>
      <c r="AA225" s="35">
        <f>IF(AND(D225/Frequency!$N$7&gt;50, D225/Frequency!$N$7&lt;=100),1,0)*E225</f>
        <v>0</v>
      </c>
      <c r="AB225" s="35">
        <f t="shared" si="174"/>
        <v>0</v>
      </c>
      <c r="AC225" s="35">
        <f>IF(D225/Frequency!$N$7&gt;100,1,0)*E225</f>
        <v>0</v>
      </c>
      <c r="AD225" s="35">
        <f t="shared" si="175"/>
        <v>0</v>
      </c>
      <c r="AE225" s="22">
        <f t="shared" si="176"/>
        <v>0</v>
      </c>
      <c r="AF225" s="22">
        <f t="shared" si="177"/>
        <v>0</v>
      </c>
      <c r="AG225" s="22">
        <f t="shared" si="178"/>
        <v>0</v>
      </c>
      <c r="AH225" s="22">
        <f t="shared" si="179"/>
        <v>0</v>
      </c>
      <c r="AI225" s="35">
        <f t="shared" si="180"/>
        <v>1</v>
      </c>
      <c r="AJ225" s="35">
        <f t="shared" si="181"/>
        <v>50</v>
      </c>
      <c r="AK225" s="35">
        <f t="shared" si="182"/>
        <v>710</v>
      </c>
      <c r="AL225">
        <f t="shared" si="183"/>
        <v>1</v>
      </c>
      <c r="AM225">
        <f t="shared" si="184"/>
        <v>50</v>
      </c>
      <c r="AN225">
        <f t="shared" si="185"/>
        <v>710</v>
      </c>
      <c r="AO225">
        <f t="shared" si="186"/>
        <v>1</v>
      </c>
      <c r="AP225">
        <f t="shared" si="187"/>
        <v>50</v>
      </c>
      <c r="AQ225">
        <f t="shared" si="188"/>
        <v>710</v>
      </c>
      <c r="AR225">
        <f t="shared" si="189"/>
        <v>0</v>
      </c>
      <c r="AS225">
        <f t="shared" si="190"/>
        <v>0</v>
      </c>
      <c r="AT225">
        <f t="shared" si="191"/>
        <v>0</v>
      </c>
      <c r="AU225">
        <f t="shared" si="192"/>
        <v>0</v>
      </c>
      <c r="AV225">
        <v>0</v>
      </c>
      <c r="AW225">
        <v>0</v>
      </c>
      <c r="AX225">
        <f t="shared" si="193"/>
        <v>0</v>
      </c>
      <c r="AY225">
        <f t="shared" si="194"/>
        <v>0</v>
      </c>
      <c r="AZ225">
        <f t="shared" si="195"/>
        <v>0</v>
      </c>
      <c r="BA225">
        <f t="shared" si="196"/>
        <v>0</v>
      </c>
      <c r="BB225">
        <f t="shared" si="197"/>
        <v>0</v>
      </c>
      <c r="BC225">
        <f t="shared" si="198"/>
        <v>0</v>
      </c>
      <c r="BD225">
        <f t="shared" si="199"/>
        <v>0</v>
      </c>
      <c r="BE225">
        <f t="shared" si="200"/>
        <v>0</v>
      </c>
      <c r="BF225">
        <f t="shared" si="201"/>
        <v>0</v>
      </c>
      <c r="BG225">
        <f t="shared" si="202"/>
        <v>0</v>
      </c>
      <c r="BH225">
        <f t="shared" si="203"/>
        <v>0</v>
      </c>
      <c r="BI225">
        <f t="shared" si="204"/>
        <v>0</v>
      </c>
      <c r="BJ225">
        <v>0</v>
      </c>
      <c r="BK225" t="str">
        <f t="shared" si="216"/>
        <v>Big Win</v>
      </c>
      <c r="BL225" s="40" t="str">
        <f t="shared" si="217"/>
        <v>Combo Win</v>
      </c>
      <c r="BM225">
        <f>(D225/Frequency!$N$7-Summary!$C$7)^2*E225</f>
        <v>8924.48</v>
      </c>
      <c r="BN225">
        <f t="shared" si="205"/>
        <v>0</v>
      </c>
      <c r="BO225">
        <f t="shared" si="206"/>
        <v>0</v>
      </c>
      <c r="BP225">
        <f t="shared" si="207"/>
        <v>0</v>
      </c>
      <c r="BQ225">
        <f t="shared" si="208"/>
        <v>0</v>
      </c>
      <c r="BR225">
        <f t="shared" si="209"/>
        <v>0</v>
      </c>
      <c r="BS225">
        <f t="shared" si="210"/>
        <v>0</v>
      </c>
      <c r="BT225">
        <f t="shared" si="211"/>
        <v>0</v>
      </c>
      <c r="BU225">
        <f t="shared" si="212"/>
        <v>0</v>
      </c>
      <c r="BV225">
        <f t="shared" si="213"/>
        <v>0</v>
      </c>
      <c r="BW225">
        <f t="shared" si="214"/>
        <v>0</v>
      </c>
      <c r="BX225">
        <f t="shared" si="215"/>
        <v>0</v>
      </c>
    </row>
    <row r="226" spans="2:76">
      <c r="B226" s="19">
        <f>Tiers!B227</f>
        <v>224</v>
      </c>
      <c r="C226" s="20" t="str">
        <f>Tiers!X227</f>
        <v>main-26|main-0|main-3|main-18|main-18|wild-16||||</v>
      </c>
      <c r="D226" s="21">
        <f>Tiers!C227</f>
        <v>22.1</v>
      </c>
      <c r="E226" s="22">
        <f>Frequency!E228</f>
        <v>94</v>
      </c>
      <c r="F226" s="22">
        <f t="shared" si="165"/>
        <v>2077.4</v>
      </c>
      <c r="G226" s="20">
        <f>IF(AND(D226/Summary!$C$4&gt;0, D226/Summary!$C$4&lt;5),E226,0) * D226</f>
        <v>0</v>
      </c>
      <c r="H226" s="20">
        <f>IF(AND(D226/Summary!$C$4&gt;= 5, D226/Summary!$C$4&lt;10),E226,0) * D226</f>
        <v>0</v>
      </c>
      <c r="I226" s="20">
        <f>IF(AND(D226/Summary!$C$4&gt;=10, D226/Summary!$C$4&lt;25),E226,0)*D226</f>
        <v>2077.4</v>
      </c>
      <c r="J226" s="20">
        <f>IF(D226/Summary!$C$4&gt;=25,E226,0)*D226</f>
        <v>0</v>
      </c>
      <c r="K226" s="35">
        <f>IF(AND(D226/Frequency!$N$7&gt;0, D226/Frequency!$N$7&lt;1),E226,0)</f>
        <v>0</v>
      </c>
      <c r="L226" s="35">
        <f t="shared" si="166"/>
        <v>0</v>
      </c>
      <c r="M226" s="35">
        <f>IF(D226/Frequency!$N$7=1,1,0)*E226</f>
        <v>0</v>
      </c>
      <c r="N226" s="35">
        <f t="shared" si="167"/>
        <v>0</v>
      </c>
      <c r="O226" s="35">
        <f>IF(AND(D226/Frequency!$N$7&gt;1, D226/Frequency!$N$7&lt;=2),1,0)*E226</f>
        <v>0</v>
      </c>
      <c r="P226" s="35">
        <f t="shared" si="168"/>
        <v>0</v>
      </c>
      <c r="Q226" s="35">
        <f>IF(AND(D226/Frequency!$N$7&gt;2,D226/Frequency!$N$7&lt;=5),1,0)*E226</f>
        <v>0</v>
      </c>
      <c r="R226" s="35">
        <f t="shared" si="169"/>
        <v>0</v>
      </c>
      <c r="S226" s="35">
        <f>IF(AND(D226/Frequency!$N$7&gt;5, D226/Frequency!$N$7&lt;=10),1,0)*E226</f>
        <v>0</v>
      </c>
      <c r="T226" s="35">
        <f t="shared" si="170"/>
        <v>0</v>
      </c>
      <c r="U226" s="35">
        <f>IF(AND(D226/Frequency!$N$7&gt;10, D226/Frequency!$N$7&lt;=20),1,0)*E226</f>
        <v>0</v>
      </c>
      <c r="V226" s="35">
        <f t="shared" si="171"/>
        <v>0</v>
      </c>
      <c r="W226" s="35">
        <f>IF(AND(D226/Frequency!$N$7&gt;20, D226/Frequency!$N$7&lt;=30),1,0)*E226</f>
        <v>94</v>
      </c>
      <c r="X226" s="35">
        <f t="shared" si="172"/>
        <v>2077.4</v>
      </c>
      <c r="Y226" s="35">
        <f>IF(AND(D226/Frequency!$N$7&gt;30, D226/Frequency!$N$7&lt;=50),1,0)*E226</f>
        <v>0</v>
      </c>
      <c r="Z226" s="35">
        <f t="shared" si="173"/>
        <v>0</v>
      </c>
      <c r="AA226" s="35">
        <f>IF(AND(D226/Frequency!$N$7&gt;50, D226/Frequency!$N$7&lt;=100),1,0)*E226</f>
        <v>0</v>
      </c>
      <c r="AB226" s="35">
        <f t="shared" si="174"/>
        <v>0</v>
      </c>
      <c r="AC226" s="35">
        <f>IF(D226/Frequency!$N$7&gt;100,1,0)*E226</f>
        <v>0</v>
      </c>
      <c r="AD226" s="35">
        <f t="shared" si="175"/>
        <v>0</v>
      </c>
      <c r="AE226" s="22">
        <f t="shared" si="176"/>
        <v>0</v>
      </c>
      <c r="AF226" s="22">
        <f t="shared" si="177"/>
        <v>0</v>
      </c>
      <c r="AG226" s="22">
        <f t="shared" si="178"/>
        <v>0</v>
      </c>
      <c r="AH226" s="22">
        <f t="shared" si="179"/>
        <v>0</v>
      </c>
      <c r="AI226" s="35">
        <f t="shared" si="180"/>
        <v>1</v>
      </c>
      <c r="AJ226" s="35">
        <f t="shared" si="181"/>
        <v>94</v>
      </c>
      <c r="AK226" s="35">
        <f t="shared" si="182"/>
        <v>2077.4</v>
      </c>
      <c r="AL226">
        <f t="shared" si="183"/>
        <v>1</v>
      </c>
      <c r="AM226">
        <f t="shared" si="184"/>
        <v>94</v>
      </c>
      <c r="AN226">
        <f t="shared" si="185"/>
        <v>2077.4</v>
      </c>
      <c r="AO226">
        <f t="shared" si="186"/>
        <v>1</v>
      </c>
      <c r="AP226">
        <f t="shared" si="187"/>
        <v>94</v>
      </c>
      <c r="AQ226">
        <f t="shared" si="188"/>
        <v>2077.4</v>
      </c>
      <c r="AR226">
        <f t="shared" si="189"/>
        <v>0</v>
      </c>
      <c r="AS226">
        <f t="shared" si="190"/>
        <v>0</v>
      </c>
      <c r="AT226">
        <f t="shared" si="191"/>
        <v>0</v>
      </c>
      <c r="AU226">
        <f t="shared" si="192"/>
        <v>0</v>
      </c>
      <c r="AV226">
        <v>0</v>
      </c>
      <c r="AW226">
        <v>0</v>
      </c>
      <c r="AX226">
        <f t="shared" si="193"/>
        <v>0</v>
      </c>
      <c r="AY226">
        <f t="shared" si="194"/>
        <v>0</v>
      </c>
      <c r="AZ226">
        <f t="shared" si="195"/>
        <v>0</v>
      </c>
      <c r="BA226">
        <f t="shared" si="196"/>
        <v>0</v>
      </c>
      <c r="BB226">
        <f t="shared" si="197"/>
        <v>0</v>
      </c>
      <c r="BC226">
        <f t="shared" si="198"/>
        <v>0</v>
      </c>
      <c r="BD226">
        <f t="shared" si="199"/>
        <v>0</v>
      </c>
      <c r="BE226">
        <f t="shared" si="200"/>
        <v>0</v>
      </c>
      <c r="BF226">
        <f t="shared" si="201"/>
        <v>0</v>
      </c>
      <c r="BG226">
        <f t="shared" si="202"/>
        <v>0</v>
      </c>
      <c r="BH226">
        <f t="shared" si="203"/>
        <v>0</v>
      </c>
      <c r="BI226">
        <f t="shared" si="204"/>
        <v>0</v>
      </c>
      <c r="BJ226">
        <v>0</v>
      </c>
      <c r="BK226" t="str">
        <f t="shared" si="216"/>
        <v>Big Win</v>
      </c>
      <c r="BL226" s="40" t="str">
        <f t="shared" si="217"/>
        <v>Combo Win</v>
      </c>
      <c r="BM226">
        <f>(D226/Frequency!$N$7-Summary!$C$7)^2*E226</f>
        <v>42486.834400000007</v>
      </c>
      <c r="BN226">
        <f t="shared" si="205"/>
        <v>0</v>
      </c>
      <c r="BO226">
        <f t="shared" si="206"/>
        <v>0</v>
      </c>
      <c r="BP226">
        <f t="shared" si="207"/>
        <v>0</v>
      </c>
      <c r="BQ226">
        <f t="shared" si="208"/>
        <v>0</v>
      </c>
      <c r="BR226">
        <f t="shared" si="209"/>
        <v>0</v>
      </c>
      <c r="BS226">
        <f t="shared" si="210"/>
        <v>0</v>
      </c>
      <c r="BT226">
        <f t="shared" si="211"/>
        <v>0</v>
      </c>
      <c r="BU226">
        <f t="shared" si="212"/>
        <v>0</v>
      </c>
      <c r="BV226">
        <f t="shared" si="213"/>
        <v>0</v>
      </c>
      <c r="BW226">
        <f t="shared" si="214"/>
        <v>0</v>
      </c>
      <c r="BX226">
        <f t="shared" si="215"/>
        <v>0</v>
      </c>
    </row>
    <row r="227" spans="2:76">
      <c r="B227" s="19">
        <f>Tiers!B228</f>
        <v>225</v>
      </c>
      <c r="C227" s="20" t="str">
        <f>Tiers!X228</f>
        <v>main-4|main-2|main-5|main-3|main-3|wild-17||||</v>
      </c>
      <c r="D227" s="21">
        <f>Tiers!C228</f>
        <v>19.5</v>
      </c>
      <c r="E227" s="22">
        <f>Frequency!E229</f>
        <v>10</v>
      </c>
      <c r="F227" s="22">
        <f t="shared" si="165"/>
        <v>195</v>
      </c>
      <c r="G227" s="20">
        <f>IF(AND(D227/Summary!$C$4&gt;0, D227/Summary!$C$4&lt;5),E227,0) * D227</f>
        <v>0</v>
      </c>
      <c r="H227" s="20">
        <f>IF(AND(D227/Summary!$C$4&gt;= 5, D227/Summary!$C$4&lt;10),E227,0) * D227</f>
        <v>0</v>
      </c>
      <c r="I227" s="20">
        <f>IF(AND(D227/Summary!$C$4&gt;=10, D227/Summary!$C$4&lt;25),E227,0)*D227</f>
        <v>195</v>
      </c>
      <c r="J227" s="20">
        <f>IF(D227/Summary!$C$4&gt;=25,E227,0)*D227</f>
        <v>0</v>
      </c>
      <c r="K227" s="35">
        <f>IF(AND(D227/Frequency!$N$7&gt;0, D227/Frequency!$N$7&lt;1),E227,0)</f>
        <v>0</v>
      </c>
      <c r="L227" s="35">
        <f t="shared" si="166"/>
        <v>0</v>
      </c>
      <c r="M227" s="35">
        <f>IF(D227/Frequency!$N$7=1,1,0)*E227</f>
        <v>0</v>
      </c>
      <c r="N227" s="35">
        <f t="shared" si="167"/>
        <v>0</v>
      </c>
      <c r="O227" s="35">
        <f>IF(AND(D227/Frequency!$N$7&gt;1, D227/Frequency!$N$7&lt;=2),1,0)*E227</f>
        <v>0</v>
      </c>
      <c r="P227" s="35">
        <f t="shared" si="168"/>
        <v>0</v>
      </c>
      <c r="Q227" s="35">
        <f>IF(AND(D227/Frequency!$N$7&gt;2,D227/Frequency!$N$7&lt;=5),1,0)*E227</f>
        <v>0</v>
      </c>
      <c r="R227" s="35">
        <f t="shared" si="169"/>
        <v>0</v>
      </c>
      <c r="S227" s="35">
        <f>IF(AND(D227/Frequency!$N$7&gt;5, D227/Frequency!$N$7&lt;=10),1,0)*E227</f>
        <v>0</v>
      </c>
      <c r="T227" s="35">
        <f t="shared" si="170"/>
        <v>0</v>
      </c>
      <c r="U227" s="35">
        <f>IF(AND(D227/Frequency!$N$7&gt;10, D227/Frequency!$N$7&lt;=20),1,0)*E227</f>
        <v>10</v>
      </c>
      <c r="V227" s="35">
        <f t="shared" si="171"/>
        <v>195</v>
      </c>
      <c r="W227" s="35">
        <f>IF(AND(D227/Frequency!$N$7&gt;20, D227/Frequency!$N$7&lt;=30),1,0)*E227</f>
        <v>0</v>
      </c>
      <c r="X227" s="35">
        <f t="shared" si="172"/>
        <v>0</v>
      </c>
      <c r="Y227" s="35">
        <f>IF(AND(D227/Frequency!$N$7&gt;30, D227/Frequency!$N$7&lt;=50),1,0)*E227</f>
        <v>0</v>
      </c>
      <c r="Z227" s="35">
        <f t="shared" si="173"/>
        <v>0</v>
      </c>
      <c r="AA227" s="35">
        <f>IF(AND(D227/Frequency!$N$7&gt;50, D227/Frequency!$N$7&lt;=100),1,0)*E227</f>
        <v>0</v>
      </c>
      <c r="AB227" s="35">
        <f t="shared" si="174"/>
        <v>0</v>
      </c>
      <c r="AC227" s="35">
        <f>IF(D227/Frequency!$N$7&gt;100,1,0)*E227</f>
        <v>0</v>
      </c>
      <c r="AD227" s="35">
        <f t="shared" si="175"/>
        <v>0</v>
      </c>
      <c r="AE227" s="22">
        <f t="shared" si="176"/>
        <v>0</v>
      </c>
      <c r="AF227" s="22">
        <f t="shared" si="177"/>
        <v>0</v>
      </c>
      <c r="AG227" s="22">
        <f t="shared" si="178"/>
        <v>0</v>
      </c>
      <c r="AH227" s="22">
        <f t="shared" si="179"/>
        <v>0</v>
      </c>
      <c r="AI227" s="35">
        <f t="shared" si="180"/>
        <v>1</v>
      </c>
      <c r="AJ227" s="35">
        <f t="shared" si="181"/>
        <v>10</v>
      </c>
      <c r="AK227" s="35">
        <f t="shared" si="182"/>
        <v>195</v>
      </c>
      <c r="AL227">
        <f t="shared" si="183"/>
        <v>1</v>
      </c>
      <c r="AM227">
        <f t="shared" si="184"/>
        <v>10</v>
      </c>
      <c r="AN227">
        <f t="shared" si="185"/>
        <v>195</v>
      </c>
      <c r="AO227">
        <f t="shared" si="186"/>
        <v>1</v>
      </c>
      <c r="AP227">
        <f t="shared" si="187"/>
        <v>10</v>
      </c>
      <c r="AQ227">
        <f t="shared" si="188"/>
        <v>195</v>
      </c>
      <c r="AR227">
        <f t="shared" si="189"/>
        <v>0</v>
      </c>
      <c r="AS227">
        <f t="shared" si="190"/>
        <v>0</v>
      </c>
      <c r="AT227">
        <f t="shared" si="191"/>
        <v>0</v>
      </c>
      <c r="AU227">
        <f t="shared" si="192"/>
        <v>0</v>
      </c>
      <c r="AV227">
        <v>0</v>
      </c>
      <c r="AW227">
        <v>0</v>
      </c>
      <c r="AX227">
        <f t="shared" si="193"/>
        <v>0</v>
      </c>
      <c r="AY227">
        <f t="shared" si="194"/>
        <v>0</v>
      </c>
      <c r="AZ227">
        <f t="shared" si="195"/>
        <v>0</v>
      </c>
      <c r="BA227">
        <f t="shared" si="196"/>
        <v>0</v>
      </c>
      <c r="BB227">
        <f t="shared" si="197"/>
        <v>0</v>
      </c>
      <c r="BC227">
        <f t="shared" si="198"/>
        <v>0</v>
      </c>
      <c r="BD227">
        <f t="shared" si="199"/>
        <v>0</v>
      </c>
      <c r="BE227">
        <f t="shared" si="200"/>
        <v>0</v>
      </c>
      <c r="BF227">
        <f t="shared" si="201"/>
        <v>0</v>
      </c>
      <c r="BG227">
        <f t="shared" si="202"/>
        <v>0</v>
      </c>
      <c r="BH227">
        <f t="shared" si="203"/>
        <v>0</v>
      </c>
      <c r="BI227">
        <f t="shared" si="204"/>
        <v>0</v>
      </c>
      <c r="BJ227">
        <v>0</v>
      </c>
      <c r="BK227" t="str">
        <f t="shared" ref="BK227:BK257" si="218">IF(D227 &lt; $D$417, $C$417,
IF(D227 = $D$418, $C$418,
IF(D227 &lt; $D$419, $C$419,
IF(D227 &lt; $D$420, $C$420,
IF(D227 &lt; $D$421, $C$421, $C$422)))))</f>
        <v>Big Win</v>
      </c>
      <c r="BL227" s="40" t="str">
        <f t="shared" ref="BL227:BL257" si="219">IF(AU227 = 1,$C$426,
IF(AV227 = 1,$C$427,
IF(AW227 = 1,$C$428,
IF(AX227 = 1,$C$429,
IF(BA227 = 1,$C$430,
IF(BD227 = 1,$C$431,
IF(BG227 = 1,$C$432,
IF(ISNUMBER(SEARCH("|||||||||",C227)), $C$433,$C$434))))))))</f>
        <v>Combo Win</v>
      </c>
      <c r="BM227">
        <f>(D227/Frequency!$N$7-Summary!$C$7)^2*E227</f>
        <v>3481.9560000000001</v>
      </c>
      <c r="BN227">
        <f t="shared" si="205"/>
        <v>0</v>
      </c>
      <c r="BO227">
        <f t="shared" si="206"/>
        <v>0</v>
      </c>
      <c r="BP227">
        <f t="shared" si="207"/>
        <v>0</v>
      </c>
      <c r="BQ227">
        <f t="shared" si="208"/>
        <v>0</v>
      </c>
      <c r="BR227">
        <f t="shared" si="209"/>
        <v>0</v>
      </c>
      <c r="BS227">
        <f t="shared" si="210"/>
        <v>0</v>
      </c>
      <c r="BT227">
        <f t="shared" si="211"/>
        <v>0</v>
      </c>
      <c r="BU227">
        <f t="shared" si="212"/>
        <v>0</v>
      </c>
      <c r="BV227">
        <f t="shared" si="213"/>
        <v>0</v>
      </c>
      <c r="BW227">
        <f t="shared" si="214"/>
        <v>0</v>
      </c>
      <c r="BX227">
        <f t="shared" si="215"/>
        <v>0</v>
      </c>
    </row>
    <row r="228" spans="2:76">
      <c r="B228" s="19">
        <f>Tiers!B229</f>
        <v>226</v>
      </c>
      <c r="C228" s="20" t="str">
        <f>Tiers!X229</f>
        <v>main-5|main-0|main-4|main-4|main-18|wild-19||||</v>
      </c>
      <c r="D228" s="21">
        <f>Tiers!C229</f>
        <v>17.100000000000001</v>
      </c>
      <c r="E228" s="22">
        <f>Frequency!E230</f>
        <v>50</v>
      </c>
      <c r="F228" s="22">
        <f t="shared" si="165"/>
        <v>855.00000000000011</v>
      </c>
      <c r="G228" s="20">
        <f>IF(AND(D228/Summary!$C$4&gt;0, D228/Summary!$C$4&lt;5),E228,0) * D228</f>
        <v>0</v>
      </c>
      <c r="H228" s="20">
        <f>IF(AND(D228/Summary!$C$4&gt;= 5, D228/Summary!$C$4&lt;10),E228,0) * D228</f>
        <v>0</v>
      </c>
      <c r="I228" s="20">
        <f>IF(AND(D228/Summary!$C$4&gt;=10, D228/Summary!$C$4&lt;25),E228,0)*D228</f>
        <v>855.00000000000011</v>
      </c>
      <c r="J228" s="20">
        <f>IF(D228/Summary!$C$4&gt;=25,E228,0)*D228</f>
        <v>0</v>
      </c>
      <c r="K228" s="35">
        <f>IF(AND(D228/Frequency!$N$7&gt;0, D228/Frequency!$N$7&lt;1),E228,0)</f>
        <v>0</v>
      </c>
      <c r="L228" s="35">
        <f t="shared" si="166"/>
        <v>0</v>
      </c>
      <c r="M228" s="35">
        <f>IF(D228/Frequency!$N$7=1,1,0)*E228</f>
        <v>0</v>
      </c>
      <c r="N228" s="35">
        <f t="shared" si="167"/>
        <v>0</v>
      </c>
      <c r="O228" s="35">
        <f>IF(AND(D228/Frequency!$N$7&gt;1, D228/Frequency!$N$7&lt;=2),1,0)*E228</f>
        <v>0</v>
      </c>
      <c r="P228" s="35">
        <f t="shared" si="168"/>
        <v>0</v>
      </c>
      <c r="Q228" s="35">
        <f>IF(AND(D228/Frequency!$N$7&gt;2,D228/Frequency!$N$7&lt;=5),1,0)*E228</f>
        <v>0</v>
      </c>
      <c r="R228" s="35">
        <f t="shared" si="169"/>
        <v>0</v>
      </c>
      <c r="S228" s="35">
        <f>IF(AND(D228/Frequency!$N$7&gt;5, D228/Frequency!$N$7&lt;=10),1,0)*E228</f>
        <v>0</v>
      </c>
      <c r="T228" s="35">
        <f t="shared" si="170"/>
        <v>0</v>
      </c>
      <c r="U228" s="35">
        <f>IF(AND(D228/Frequency!$N$7&gt;10, D228/Frequency!$N$7&lt;=20),1,0)*E228</f>
        <v>50</v>
      </c>
      <c r="V228" s="35">
        <f t="shared" si="171"/>
        <v>855.00000000000011</v>
      </c>
      <c r="W228" s="35">
        <f>IF(AND(D228/Frequency!$N$7&gt;20, D228/Frequency!$N$7&lt;=30),1,0)*E228</f>
        <v>0</v>
      </c>
      <c r="X228" s="35">
        <f t="shared" si="172"/>
        <v>0</v>
      </c>
      <c r="Y228" s="35">
        <f>IF(AND(D228/Frequency!$N$7&gt;30, D228/Frequency!$N$7&lt;=50),1,0)*E228</f>
        <v>0</v>
      </c>
      <c r="Z228" s="35">
        <f t="shared" si="173"/>
        <v>0</v>
      </c>
      <c r="AA228" s="35">
        <f>IF(AND(D228/Frequency!$N$7&gt;50, D228/Frequency!$N$7&lt;=100),1,0)*E228</f>
        <v>0</v>
      </c>
      <c r="AB228" s="35">
        <f t="shared" si="174"/>
        <v>0</v>
      </c>
      <c r="AC228" s="35">
        <f>IF(D228/Frequency!$N$7&gt;100,1,0)*E228</f>
        <v>0</v>
      </c>
      <c r="AD228" s="35">
        <f t="shared" si="175"/>
        <v>0</v>
      </c>
      <c r="AE228" s="22">
        <f t="shared" si="176"/>
        <v>0</v>
      </c>
      <c r="AF228" s="22">
        <f t="shared" si="177"/>
        <v>0</v>
      </c>
      <c r="AG228" s="22">
        <f t="shared" si="178"/>
        <v>0</v>
      </c>
      <c r="AH228" s="22">
        <f t="shared" si="179"/>
        <v>0</v>
      </c>
      <c r="AI228" s="35">
        <f t="shared" si="180"/>
        <v>1</v>
      </c>
      <c r="AJ228" s="35">
        <f t="shared" si="181"/>
        <v>50</v>
      </c>
      <c r="AK228" s="35">
        <f t="shared" si="182"/>
        <v>855.00000000000011</v>
      </c>
      <c r="AL228">
        <f t="shared" si="183"/>
        <v>1</v>
      </c>
      <c r="AM228">
        <f t="shared" si="184"/>
        <v>50</v>
      </c>
      <c r="AN228">
        <f t="shared" si="185"/>
        <v>855.00000000000011</v>
      </c>
      <c r="AO228">
        <f t="shared" si="186"/>
        <v>1</v>
      </c>
      <c r="AP228">
        <f t="shared" si="187"/>
        <v>50</v>
      </c>
      <c r="AQ228">
        <f t="shared" si="188"/>
        <v>855.00000000000011</v>
      </c>
      <c r="AR228">
        <f t="shared" si="189"/>
        <v>0</v>
      </c>
      <c r="AS228">
        <f t="shared" si="190"/>
        <v>0</v>
      </c>
      <c r="AT228">
        <f t="shared" si="191"/>
        <v>0</v>
      </c>
      <c r="AU228">
        <f t="shared" si="192"/>
        <v>0</v>
      </c>
      <c r="AV228">
        <v>0</v>
      </c>
      <c r="AW228">
        <v>0</v>
      </c>
      <c r="AX228">
        <f t="shared" si="193"/>
        <v>0</v>
      </c>
      <c r="AY228">
        <f t="shared" si="194"/>
        <v>0</v>
      </c>
      <c r="AZ228">
        <f t="shared" si="195"/>
        <v>0</v>
      </c>
      <c r="BA228">
        <f t="shared" si="196"/>
        <v>0</v>
      </c>
      <c r="BB228">
        <f t="shared" si="197"/>
        <v>0</v>
      </c>
      <c r="BC228">
        <f t="shared" si="198"/>
        <v>0</v>
      </c>
      <c r="BD228">
        <f t="shared" si="199"/>
        <v>0</v>
      </c>
      <c r="BE228">
        <f t="shared" si="200"/>
        <v>0</v>
      </c>
      <c r="BF228">
        <f t="shared" si="201"/>
        <v>0</v>
      </c>
      <c r="BG228">
        <f t="shared" si="202"/>
        <v>0</v>
      </c>
      <c r="BH228">
        <f t="shared" si="203"/>
        <v>0</v>
      </c>
      <c r="BI228">
        <f t="shared" si="204"/>
        <v>0</v>
      </c>
      <c r="BJ228">
        <v>0</v>
      </c>
      <c r="BK228" t="str">
        <f t="shared" si="218"/>
        <v>Big Win</v>
      </c>
      <c r="BL228" s="40" t="str">
        <f t="shared" si="219"/>
        <v>Combo Win</v>
      </c>
      <c r="BM228">
        <f>(D228/Frequency!$N$7-Summary!$C$7)^2*E228</f>
        <v>13219.380000000005</v>
      </c>
      <c r="BN228">
        <f t="shared" si="205"/>
        <v>0</v>
      </c>
      <c r="BO228">
        <f t="shared" si="206"/>
        <v>0</v>
      </c>
      <c r="BP228">
        <f t="shared" si="207"/>
        <v>0</v>
      </c>
      <c r="BQ228">
        <f t="shared" si="208"/>
        <v>0</v>
      </c>
      <c r="BR228">
        <f t="shared" si="209"/>
        <v>0</v>
      </c>
      <c r="BS228">
        <f t="shared" si="210"/>
        <v>0</v>
      </c>
      <c r="BT228">
        <f t="shared" si="211"/>
        <v>0</v>
      </c>
      <c r="BU228">
        <f t="shared" si="212"/>
        <v>0</v>
      </c>
      <c r="BV228">
        <f t="shared" si="213"/>
        <v>0</v>
      </c>
      <c r="BW228">
        <f t="shared" si="214"/>
        <v>0</v>
      </c>
      <c r="BX228">
        <f t="shared" si="215"/>
        <v>0</v>
      </c>
    </row>
    <row r="229" spans="2:76">
      <c r="B229" s="19">
        <f>Tiers!B230</f>
        <v>227</v>
      </c>
      <c r="C229" s="20" t="str">
        <f>Tiers!X230</f>
        <v>main-5|main-3|main-18|main-0|main-26|wild-20||||</v>
      </c>
      <c r="D229" s="21">
        <f>Tiers!C230</f>
        <v>29.1</v>
      </c>
      <c r="E229" s="22">
        <f>Frequency!E231</f>
        <v>50</v>
      </c>
      <c r="F229" s="22">
        <f t="shared" si="165"/>
        <v>1455</v>
      </c>
      <c r="G229" s="20">
        <f>IF(AND(D229/Summary!$C$4&gt;0, D229/Summary!$C$4&lt;5),E229,0) * D229</f>
        <v>0</v>
      </c>
      <c r="H229" s="20">
        <f>IF(AND(D229/Summary!$C$4&gt;= 5, D229/Summary!$C$4&lt;10),E229,0) * D229</f>
        <v>0</v>
      </c>
      <c r="I229" s="20">
        <f>IF(AND(D229/Summary!$C$4&gt;=10, D229/Summary!$C$4&lt;25),E229,0)*D229</f>
        <v>0</v>
      </c>
      <c r="J229" s="20">
        <f>IF(D229/Summary!$C$4&gt;=25,E229,0)*D229</f>
        <v>1455</v>
      </c>
      <c r="K229" s="35">
        <f>IF(AND(D229/Frequency!$N$7&gt;0, D229/Frequency!$N$7&lt;1),E229,0)</f>
        <v>0</v>
      </c>
      <c r="L229" s="35">
        <f t="shared" si="166"/>
        <v>0</v>
      </c>
      <c r="M229" s="35">
        <f>IF(D229/Frequency!$N$7=1,1,0)*E229</f>
        <v>0</v>
      </c>
      <c r="N229" s="35">
        <f t="shared" si="167"/>
        <v>0</v>
      </c>
      <c r="O229" s="35">
        <f>IF(AND(D229/Frequency!$N$7&gt;1, D229/Frequency!$N$7&lt;=2),1,0)*E229</f>
        <v>0</v>
      </c>
      <c r="P229" s="35">
        <f t="shared" si="168"/>
        <v>0</v>
      </c>
      <c r="Q229" s="35">
        <f>IF(AND(D229/Frequency!$N$7&gt;2,D229/Frequency!$N$7&lt;=5),1,0)*E229</f>
        <v>0</v>
      </c>
      <c r="R229" s="35">
        <f t="shared" si="169"/>
        <v>0</v>
      </c>
      <c r="S229" s="35">
        <f>IF(AND(D229/Frequency!$N$7&gt;5, D229/Frequency!$N$7&lt;=10),1,0)*E229</f>
        <v>0</v>
      </c>
      <c r="T229" s="35">
        <f t="shared" si="170"/>
        <v>0</v>
      </c>
      <c r="U229" s="35">
        <f>IF(AND(D229/Frequency!$N$7&gt;10, D229/Frequency!$N$7&lt;=20),1,0)*E229</f>
        <v>0</v>
      </c>
      <c r="V229" s="35">
        <f t="shared" si="171"/>
        <v>0</v>
      </c>
      <c r="W229" s="35">
        <f>IF(AND(D229/Frequency!$N$7&gt;20, D229/Frequency!$N$7&lt;=30),1,0)*E229</f>
        <v>50</v>
      </c>
      <c r="X229" s="35">
        <f t="shared" si="172"/>
        <v>1455</v>
      </c>
      <c r="Y229" s="35">
        <f>IF(AND(D229/Frequency!$N$7&gt;30, D229/Frequency!$N$7&lt;=50),1,0)*E229</f>
        <v>0</v>
      </c>
      <c r="Z229" s="35">
        <f t="shared" si="173"/>
        <v>0</v>
      </c>
      <c r="AA229" s="35">
        <f>IF(AND(D229/Frequency!$N$7&gt;50, D229/Frequency!$N$7&lt;=100),1,0)*E229</f>
        <v>0</v>
      </c>
      <c r="AB229" s="35">
        <f t="shared" si="174"/>
        <v>0</v>
      </c>
      <c r="AC229" s="35">
        <f>IF(D229/Frequency!$N$7&gt;100,1,0)*E229</f>
        <v>0</v>
      </c>
      <c r="AD229" s="35">
        <f t="shared" si="175"/>
        <v>0</v>
      </c>
      <c r="AE229" s="22">
        <f t="shared" si="176"/>
        <v>0</v>
      </c>
      <c r="AF229" s="22">
        <f t="shared" si="177"/>
        <v>0</v>
      </c>
      <c r="AG229" s="22">
        <f t="shared" si="178"/>
        <v>0</v>
      </c>
      <c r="AH229" s="22">
        <f t="shared" si="179"/>
        <v>0</v>
      </c>
      <c r="AI229" s="35">
        <f t="shared" si="180"/>
        <v>1</v>
      </c>
      <c r="AJ229" s="35">
        <f t="shared" si="181"/>
        <v>50</v>
      </c>
      <c r="AK229" s="35">
        <f t="shared" si="182"/>
        <v>1455</v>
      </c>
      <c r="AL229">
        <f t="shared" si="183"/>
        <v>1</v>
      </c>
      <c r="AM229">
        <f t="shared" si="184"/>
        <v>50</v>
      </c>
      <c r="AN229">
        <f t="shared" si="185"/>
        <v>1455</v>
      </c>
      <c r="AO229">
        <f t="shared" si="186"/>
        <v>1</v>
      </c>
      <c r="AP229">
        <f t="shared" si="187"/>
        <v>50</v>
      </c>
      <c r="AQ229">
        <f t="shared" si="188"/>
        <v>1455</v>
      </c>
      <c r="AR229">
        <f t="shared" si="189"/>
        <v>0</v>
      </c>
      <c r="AS229">
        <f t="shared" si="190"/>
        <v>0</v>
      </c>
      <c r="AT229">
        <f t="shared" si="191"/>
        <v>0</v>
      </c>
      <c r="AU229">
        <f t="shared" si="192"/>
        <v>0</v>
      </c>
      <c r="AV229">
        <v>0</v>
      </c>
      <c r="AW229">
        <v>0</v>
      </c>
      <c r="AX229">
        <f t="shared" si="193"/>
        <v>0</v>
      </c>
      <c r="AY229">
        <f t="shared" si="194"/>
        <v>0</v>
      </c>
      <c r="AZ229">
        <f t="shared" si="195"/>
        <v>0</v>
      </c>
      <c r="BA229">
        <f t="shared" si="196"/>
        <v>0</v>
      </c>
      <c r="BB229">
        <f t="shared" si="197"/>
        <v>0</v>
      </c>
      <c r="BC229">
        <f t="shared" si="198"/>
        <v>0</v>
      </c>
      <c r="BD229">
        <f t="shared" si="199"/>
        <v>0</v>
      </c>
      <c r="BE229">
        <f t="shared" si="200"/>
        <v>0</v>
      </c>
      <c r="BF229">
        <f t="shared" si="201"/>
        <v>0</v>
      </c>
      <c r="BG229">
        <f t="shared" si="202"/>
        <v>0</v>
      </c>
      <c r="BH229">
        <f t="shared" si="203"/>
        <v>0</v>
      </c>
      <c r="BI229">
        <f t="shared" si="204"/>
        <v>0</v>
      </c>
      <c r="BJ229">
        <v>0</v>
      </c>
      <c r="BK229" t="str">
        <f t="shared" si="218"/>
        <v>Big Win</v>
      </c>
      <c r="BL229" s="40" t="str">
        <f t="shared" si="219"/>
        <v>Combo Win</v>
      </c>
      <c r="BM229">
        <f>(D229/Frequency!$N$7-Summary!$C$7)^2*E229</f>
        <v>39931.380000000005</v>
      </c>
      <c r="BN229">
        <f t="shared" si="205"/>
        <v>0</v>
      </c>
      <c r="BO229">
        <f t="shared" si="206"/>
        <v>0</v>
      </c>
      <c r="BP229">
        <f t="shared" si="207"/>
        <v>0</v>
      </c>
      <c r="BQ229">
        <f t="shared" si="208"/>
        <v>0</v>
      </c>
      <c r="BR229">
        <f t="shared" si="209"/>
        <v>0</v>
      </c>
      <c r="BS229">
        <f t="shared" si="210"/>
        <v>0</v>
      </c>
      <c r="BT229">
        <f t="shared" si="211"/>
        <v>0</v>
      </c>
      <c r="BU229">
        <f t="shared" si="212"/>
        <v>0</v>
      </c>
      <c r="BV229">
        <f t="shared" si="213"/>
        <v>0</v>
      </c>
      <c r="BW229">
        <f t="shared" si="214"/>
        <v>0</v>
      </c>
      <c r="BX229">
        <f t="shared" si="215"/>
        <v>0</v>
      </c>
    </row>
    <row r="230" spans="2:76">
      <c r="B230" s="19">
        <f>Tiers!B231</f>
        <v>228</v>
      </c>
      <c r="C230" s="20" t="str">
        <f>Tiers!X231</f>
        <v>main-3|main-1|main-4|main-26|main-26|wild-21||||</v>
      </c>
      <c r="D230" s="21">
        <f>Tiers!C231</f>
        <v>43.2</v>
      </c>
      <c r="E230" s="22">
        <f>Frequency!E232</f>
        <v>50</v>
      </c>
      <c r="F230" s="22">
        <f t="shared" si="165"/>
        <v>2160</v>
      </c>
      <c r="G230" s="20">
        <f>IF(AND(D230/Summary!$C$4&gt;0, D230/Summary!$C$4&lt;5),E230,0) * D230</f>
        <v>0</v>
      </c>
      <c r="H230" s="20">
        <f>IF(AND(D230/Summary!$C$4&gt;= 5, D230/Summary!$C$4&lt;10),E230,0) * D230</f>
        <v>0</v>
      </c>
      <c r="I230" s="20">
        <f>IF(AND(D230/Summary!$C$4&gt;=10, D230/Summary!$C$4&lt;25),E230,0)*D230</f>
        <v>0</v>
      </c>
      <c r="J230" s="20">
        <f>IF(D230/Summary!$C$4&gt;=25,E230,0)*D230</f>
        <v>2160</v>
      </c>
      <c r="K230" s="35">
        <f>IF(AND(D230/Frequency!$N$7&gt;0, D230/Frequency!$N$7&lt;1),E230,0)</f>
        <v>0</v>
      </c>
      <c r="L230" s="35">
        <f t="shared" si="166"/>
        <v>0</v>
      </c>
      <c r="M230" s="35">
        <f>IF(D230/Frequency!$N$7=1,1,0)*E230</f>
        <v>0</v>
      </c>
      <c r="N230" s="35">
        <f t="shared" si="167"/>
        <v>0</v>
      </c>
      <c r="O230" s="35">
        <f>IF(AND(D230/Frequency!$N$7&gt;1, D230/Frequency!$N$7&lt;=2),1,0)*E230</f>
        <v>0</v>
      </c>
      <c r="P230" s="35">
        <f t="shared" si="168"/>
        <v>0</v>
      </c>
      <c r="Q230" s="35">
        <f>IF(AND(D230/Frequency!$N$7&gt;2,D230/Frequency!$N$7&lt;=5),1,0)*E230</f>
        <v>0</v>
      </c>
      <c r="R230" s="35">
        <f t="shared" si="169"/>
        <v>0</v>
      </c>
      <c r="S230" s="35">
        <f>IF(AND(D230/Frequency!$N$7&gt;5, D230/Frequency!$N$7&lt;=10),1,0)*E230</f>
        <v>0</v>
      </c>
      <c r="T230" s="35">
        <f t="shared" si="170"/>
        <v>0</v>
      </c>
      <c r="U230" s="35">
        <f>IF(AND(D230/Frequency!$N$7&gt;10, D230/Frequency!$N$7&lt;=20),1,0)*E230</f>
        <v>0</v>
      </c>
      <c r="V230" s="35">
        <f t="shared" si="171"/>
        <v>0</v>
      </c>
      <c r="W230" s="35">
        <f>IF(AND(D230/Frequency!$N$7&gt;20, D230/Frequency!$N$7&lt;=30),1,0)*E230</f>
        <v>0</v>
      </c>
      <c r="X230" s="35">
        <f t="shared" si="172"/>
        <v>0</v>
      </c>
      <c r="Y230" s="35">
        <f>IF(AND(D230/Frequency!$N$7&gt;30, D230/Frequency!$N$7&lt;=50),1,0)*E230</f>
        <v>50</v>
      </c>
      <c r="Z230" s="35">
        <f t="shared" si="173"/>
        <v>2160</v>
      </c>
      <c r="AA230" s="35">
        <f>IF(AND(D230/Frequency!$N$7&gt;50, D230/Frequency!$N$7&lt;=100),1,0)*E230</f>
        <v>0</v>
      </c>
      <c r="AB230" s="35">
        <f t="shared" si="174"/>
        <v>0</v>
      </c>
      <c r="AC230" s="35">
        <f>IF(D230/Frequency!$N$7&gt;100,1,0)*E230</f>
        <v>0</v>
      </c>
      <c r="AD230" s="35">
        <f t="shared" si="175"/>
        <v>0</v>
      </c>
      <c r="AE230" s="22">
        <f t="shared" si="176"/>
        <v>0</v>
      </c>
      <c r="AF230" s="22">
        <f t="shared" si="177"/>
        <v>0</v>
      </c>
      <c r="AG230" s="22">
        <f t="shared" si="178"/>
        <v>0</v>
      </c>
      <c r="AH230" s="22">
        <f t="shared" si="179"/>
        <v>0</v>
      </c>
      <c r="AI230" s="35">
        <f t="shared" si="180"/>
        <v>1</v>
      </c>
      <c r="AJ230" s="35">
        <f t="shared" si="181"/>
        <v>50</v>
      </c>
      <c r="AK230" s="35">
        <f t="shared" si="182"/>
        <v>2160</v>
      </c>
      <c r="AL230">
        <f t="shared" si="183"/>
        <v>1</v>
      </c>
      <c r="AM230">
        <f t="shared" si="184"/>
        <v>50</v>
      </c>
      <c r="AN230">
        <f t="shared" si="185"/>
        <v>2160</v>
      </c>
      <c r="AO230">
        <f t="shared" si="186"/>
        <v>1</v>
      </c>
      <c r="AP230">
        <f t="shared" si="187"/>
        <v>50</v>
      </c>
      <c r="AQ230">
        <f t="shared" si="188"/>
        <v>2160</v>
      </c>
      <c r="AR230">
        <f t="shared" si="189"/>
        <v>0</v>
      </c>
      <c r="AS230">
        <f t="shared" si="190"/>
        <v>0</v>
      </c>
      <c r="AT230">
        <f t="shared" si="191"/>
        <v>0</v>
      </c>
      <c r="AU230">
        <f t="shared" si="192"/>
        <v>0</v>
      </c>
      <c r="AV230">
        <v>0</v>
      </c>
      <c r="AW230">
        <v>0</v>
      </c>
      <c r="AX230">
        <f t="shared" si="193"/>
        <v>0</v>
      </c>
      <c r="AY230">
        <f t="shared" si="194"/>
        <v>0</v>
      </c>
      <c r="AZ230">
        <f t="shared" si="195"/>
        <v>0</v>
      </c>
      <c r="BA230">
        <f t="shared" si="196"/>
        <v>0</v>
      </c>
      <c r="BB230">
        <f t="shared" si="197"/>
        <v>0</v>
      </c>
      <c r="BC230">
        <f t="shared" si="198"/>
        <v>0</v>
      </c>
      <c r="BD230">
        <f t="shared" si="199"/>
        <v>0</v>
      </c>
      <c r="BE230">
        <f t="shared" si="200"/>
        <v>0</v>
      </c>
      <c r="BF230">
        <f t="shared" si="201"/>
        <v>0</v>
      </c>
      <c r="BG230">
        <f t="shared" si="202"/>
        <v>0</v>
      </c>
      <c r="BH230">
        <f t="shared" si="203"/>
        <v>0</v>
      </c>
      <c r="BI230">
        <f t="shared" si="204"/>
        <v>0</v>
      </c>
      <c r="BJ230">
        <v>0</v>
      </c>
      <c r="BK230" t="str">
        <f t="shared" si="218"/>
        <v>Big Win</v>
      </c>
      <c r="BL230" s="40" t="str">
        <f t="shared" si="219"/>
        <v>Combo Win</v>
      </c>
      <c r="BM230">
        <f>(D230/Frequency!$N$7-Summary!$C$7)^2*E230</f>
        <v>89718.48</v>
      </c>
      <c r="BN230">
        <f t="shared" si="205"/>
        <v>0</v>
      </c>
      <c r="BO230">
        <f t="shared" si="206"/>
        <v>0</v>
      </c>
      <c r="BP230">
        <f t="shared" si="207"/>
        <v>0</v>
      </c>
      <c r="BQ230">
        <f t="shared" si="208"/>
        <v>0</v>
      </c>
      <c r="BR230">
        <f t="shared" si="209"/>
        <v>0</v>
      </c>
      <c r="BS230">
        <f t="shared" si="210"/>
        <v>0</v>
      </c>
      <c r="BT230">
        <f t="shared" si="211"/>
        <v>0</v>
      </c>
      <c r="BU230">
        <f t="shared" si="212"/>
        <v>0</v>
      </c>
      <c r="BV230">
        <f t="shared" si="213"/>
        <v>0</v>
      </c>
      <c r="BW230">
        <f t="shared" si="214"/>
        <v>0</v>
      </c>
      <c r="BX230">
        <f t="shared" si="215"/>
        <v>0</v>
      </c>
    </row>
    <row r="231" spans="2:76">
      <c r="B231" s="19">
        <f>Tiers!B232</f>
        <v>229</v>
      </c>
      <c r="C231" s="20" t="str">
        <f>Tiers!X232</f>
        <v>main-26|main-4|main-4|main-0|main-26|wild-21||||</v>
      </c>
      <c r="D231" s="21">
        <f>Tiers!C232</f>
        <v>44.1</v>
      </c>
      <c r="E231" s="22">
        <f>Frequency!E233</f>
        <v>20</v>
      </c>
      <c r="F231" s="22">
        <f t="shared" si="165"/>
        <v>882</v>
      </c>
      <c r="G231" s="20">
        <f>IF(AND(D231/Summary!$C$4&gt;0, D231/Summary!$C$4&lt;5),E231,0) * D231</f>
        <v>0</v>
      </c>
      <c r="H231" s="20">
        <f>IF(AND(D231/Summary!$C$4&gt;= 5, D231/Summary!$C$4&lt;10),E231,0) * D231</f>
        <v>0</v>
      </c>
      <c r="I231" s="20">
        <f>IF(AND(D231/Summary!$C$4&gt;=10, D231/Summary!$C$4&lt;25),E231,0)*D231</f>
        <v>0</v>
      </c>
      <c r="J231" s="20">
        <f>IF(D231/Summary!$C$4&gt;=25,E231,0)*D231</f>
        <v>882</v>
      </c>
      <c r="K231" s="35">
        <f>IF(AND(D231/Frequency!$N$7&gt;0, D231/Frequency!$N$7&lt;1),E231,0)</f>
        <v>0</v>
      </c>
      <c r="L231" s="35">
        <f t="shared" si="166"/>
        <v>0</v>
      </c>
      <c r="M231" s="35">
        <f>IF(D231/Frequency!$N$7=1,1,0)*E231</f>
        <v>0</v>
      </c>
      <c r="N231" s="35">
        <f t="shared" si="167"/>
        <v>0</v>
      </c>
      <c r="O231" s="35">
        <f>IF(AND(D231/Frequency!$N$7&gt;1, D231/Frequency!$N$7&lt;=2),1,0)*E231</f>
        <v>0</v>
      </c>
      <c r="P231" s="35">
        <f t="shared" si="168"/>
        <v>0</v>
      </c>
      <c r="Q231" s="35">
        <f>IF(AND(D231/Frequency!$N$7&gt;2,D231/Frequency!$N$7&lt;=5),1,0)*E231</f>
        <v>0</v>
      </c>
      <c r="R231" s="35">
        <f t="shared" si="169"/>
        <v>0</v>
      </c>
      <c r="S231" s="35">
        <f>IF(AND(D231/Frequency!$N$7&gt;5, D231/Frequency!$N$7&lt;=10),1,0)*E231</f>
        <v>0</v>
      </c>
      <c r="T231" s="35">
        <f t="shared" si="170"/>
        <v>0</v>
      </c>
      <c r="U231" s="35">
        <f>IF(AND(D231/Frequency!$N$7&gt;10, D231/Frequency!$N$7&lt;=20),1,0)*E231</f>
        <v>0</v>
      </c>
      <c r="V231" s="35">
        <f t="shared" si="171"/>
        <v>0</v>
      </c>
      <c r="W231" s="35">
        <f>IF(AND(D231/Frequency!$N$7&gt;20, D231/Frequency!$N$7&lt;=30),1,0)*E231</f>
        <v>0</v>
      </c>
      <c r="X231" s="35">
        <f t="shared" si="172"/>
        <v>0</v>
      </c>
      <c r="Y231" s="35">
        <f>IF(AND(D231/Frequency!$N$7&gt;30, D231/Frequency!$N$7&lt;=50),1,0)*E231</f>
        <v>20</v>
      </c>
      <c r="Z231" s="35">
        <f t="shared" si="173"/>
        <v>882</v>
      </c>
      <c r="AA231" s="35">
        <f>IF(AND(D231/Frequency!$N$7&gt;50, D231/Frequency!$N$7&lt;=100),1,0)*E231</f>
        <v>0</v>
      </c>
      <c r="AB231" s="35">
        <f t="shared" si="174"/>
        <v>0</v>
      </c>
      <c r="AC231" s="35">
        <f>IF(D231/Frequency!$N$7&gt;100,1,0)*E231</f>
        <v>0</v>
      </c>
      <c r="AD231" s="35">
        <f t="shared" si="175"/>
        <v>0</v>
      </c>
      <c r="AE231" s="22">
        <f t="shared" si="176"/>
        <v>0</v>
      </c>
      <c r="AF231" s="22">
        <f t="shared" si="177"/>
        <v>0</v>
      </c>
      <c r="AG231" s="22">
        <f t="shared" si="178"/>
        <v>0</v>
      </c>
      <c r="AH231" s="22">
        <f t="shared" si="179"/>
        <v>0</v>
      </c>
      <c r="AI231" s="35">
        <f t="shared" si="180"/>
        <v>1</v>
      </c>
      <c r="AJ231" s="35">
        <f t="shared" si="181"/>
        <v>20</v>
      </c>
      <c r="AK231" s="35">
        <f t="shared" si="182"/>
        <v>882</v>
      </c>
      <c r="AL231">
        <f t="shared" si="183"/>
        <v>1</v>
      </c>
      <c r="AM231">
        <f t="shared" si="184"/>
        <v>20</v>
      </c>
      <c r="AN231">
        <f t="shared" si="185"/>
        <v>882</v>
      </c>
      <c r="AO231">
        <f t="shared" si="186"/>
        <v>1</v>
      </c>
      <c r="AP231">
        <f t="shared" si="187"/>
        <v>20</v>
      </c>
      <c r="AQ231">
        <f t="shared" si="188"/>
        <v>882</v>
      </c>
      <c r="AR231">
        <f t="shared" si="189"/>
        <v>0</v>
      </c>
      <c r="AS231">
        <f t="shared" si="190"/>
        <v>0</v>
      </c>
      <c r="AT231">
        <f t="shared" si="191"/>
        <v>0</v>
      </c>
      <c r="AU231">
        <f t="shared" si="192"/>
        <v>0</v>
      </c>
      <c r="AV231">
        <v>0</v>
      </c>
      <c r="AW231">
        <v>0</v>
      </c>
      <c r="AX231">
        <f t="shared" si="193"/>
        <v>0</v>
      </c>
      <c r="AY231">
        <f t="shared" si="194"/>
        <v>0</v>
      </c>
      <c r="AZ231">
        <f t="shared" si="195"/>
        <v>0</v>
      </c>
      <c r="BA231">
        <f t="shared" si="196"/>
        <v>0</v>
      </c>
      <c r="BB231">
        <f t="shared" si="197"/>
        <v>0</v>
      </c>
      <c r="BC231">
        <f t="shared" si="198"/>
        <v>0</v>
      </c>
      <c r="BD231">
        <f t="shared" si="199"/>
        <v>0</v>
      </c>
      <c r="BE231">
        <f t="shared" si="200"/>
        <v>0</v>
      </c>
      <c r="BF231">
        <f t="shared" si="201"/>
        <v>0</v>
      </c>
      <c r="BG231">
        <f t="shared" si="202"/>
        <v>0</v>
      </c>
      <c r="BH231">
        <f t="shared" si="203"/>
        <v>0</v>
      </c>
      <c r="BI231">
        <f t="shared" si="204"/>
        <v>0</v>
      </c>
      <c r="BJ231">
        <v>0</v>
      </c>
      <c r="BK231" t="str">
        <f t="shared" si="218"/>
        <v>Big Win</v>
      </c>
      <c r="BL231" s="40" t="str">
        <f t="shared" si="219"/>
        <v>Combo Win</v>
      </c>
      <c r="BM231">
        <f>(D231/Frequency!$N$7-Summary!$C$7)^2*E231</f>
        <v>37428.551999999996</v>
      </c>
      <c r="BN231">
        <f t="shared" si="205"/>
        <v>0</v>
      </c>
      <c r="BO231">
        <f t="shared" si="206"/>
        <v>0</v>
      </c>
      <c r="BP231">
        <f t="shared" si="207"/>
        <v>0</v>
      </c>
      <c r="BQ231">
        <f t="shared" si="208"/>
        <v>0</v>
      </c>
      <c r="BR231">
        <f t="shared" si="209"/>
        <v>0</v>
      </c>
      <c r="BS231">
        <f t="shared" si="210"/>
        <v>0</v>
      </c>
      <c r="BT231">
        <f t="shared" si="211"/>
        <v>0</v>
      </c>
      <c r="BU231">
        <f t="shared" si="212"/>
        <v>0</v>
      </c>
      <c r="BV231">
        <f t="shared" si="213"/>
        <v>0</v>
      </c>
      <c r="BW231">
        <f t="shared" si="214"/>
        <v>0</v>
      </c>
      <c r="BX231">
        <f t="shared" si="215"/>
        <v>0</v>
      </c>
    </row>
    <row r="232" spans="2:76">
      <c r="B232" s="19">
        <f>Tiers!B233</f>
        <v>230</v>
      </c>
      <c r="C232" s="20" t="str">
        <f>Tiers!X233</f>
        <v>main-20|main-4|main-1|main-26|main-5|wild-0||||</v>
      </c>
      <c r="D232" s="21">
        <f>Tiers!C233</f>
        <v>27.3</v>
      </c>
      <c r="E232" s="22">
        <f>Frequency!E234</f>
        <v>5</v>
      </c>
      <c r="F232" s="22">
        <f t="shared" si="165"/>
        <v>136.5</v>
      </c>
      <c r="G232" s="20">
        <f>IF(AND(D232/Summary!$C$4&gt;0, D232/Summary!$C$4&lt;5),E232,0) * D232</f>
        <v>0</v>
      </c>
      <c r="H232" s="20">
        <f>IF(AND(D232/Summary!$C$4&gt;= 5, D232/Summary!$C$4&lt;10),E232,0) * D232</f>
        <v>0</v>
      </c>
      <c r="I232" s="20">
        <f>IF(AND(D232/Summary!$C$4&gt;=10, D232/Summary!$C$4&lt;25),E232,0)*D232</f>
        <v>0</v>
      </c>
      <c r="J232" s="20">
        <f>IF(D232/Summary!$C$4&gt;=25,E232,0)*D232</f>
        <v>136.5</v>
      </c>
      <c r="K232" s="35">
        <f>IF(AND(D232/Frequency!$N$7&gt;0, D232/Frequency!$N$7&lt;1),E232,0)</f>
        <v>0</v>
      </c>
      <c r="L232" s="35">
        <f t="shared" si="166"/>
        <v>0</v>
      </c>
      <c r="M232" s="35">
        <f>IF(D232/Frequency!$N$7=1,1,0)*E232</f>
        <v>0</v>
      </c>
      <c r="N232" s="35">
        <f t="shared" si="167"/>
        <v>0</v>
      </c>
      <c r="O232" s="35">
        <f>IF(AND(D232/Frequency!$N$7&gt;1, D232/Frequency!$N$7&lt;=2),1,0)*E232</f>
        <v>0</v>
      </c>
      <c r="P232" s="35">
        <f t="shared" si="168"/>
        <v>0</v>
      </c>
      <c r="Q232" s="35">
        <f>IF(AND(D232/Frequency!$N$7&gt;2,D232/Frequency!$N$7&lt;=5),1,0)*E232</f>
        <v>0</v>
      </c>
      <c r="R232" s="35">
        <f t="shared" si="169"/>
        <v>0</v>
      </c>
      <c r="S232" s="35">
        <f>IF(AND(D232/Frequency!$N$7&gt;5, D232/Frequency!$N$7&lt;=10),1,0)*E232</f>
        <v>0</v>
      </c>
      <c r="T232" s="35">
        <f t="shared" si="170"/>
        <v>0</v>
      </c>
      <c r="U232" s="35">
        <f>IF(AND(D232/Frequency!$N$7&gt;10, D232/Frequency!$N$7&lt;=20),1,0)*E232</f>
        <v>0</v>
      </c>
      <c r="V232" s="35">
        <f t="shared" si="171"/>
        <v>0</v>
      </c>
      <c r="W232" s="35">
        <f>IF(AND(D232/Frequency!$N$7&gt;20, D232/Frequency!$N$7&lt;=30),1,0)*E232</f>
        <v>5</v>
      </c>
      <c r="X232" s="35">
        <f t="shared" si="172"/>
        <v>136.5</v>
      </c>
      <c r="Y232" s="35">
        <f>IF(AND(D232/Frequency!$N$7&gt;30, D232/Frequency!$N$7&lt;=50),1,0)*E232</f>
        <v>0</v>
      </c>
      <c r="Z232" s="35">
        <f t="shared" si="173"/>
        <v>0</v>
      </c>
      <c r="AA232" s="35">
        <f>IF(AND(D232/Frequency!$N$7&gt;50, D232/Frequency!$N$7&lt;=100),1,0)*E232</f>
        <v>0</v>
      </c>
      <c r="AB232" s="35">
        <f t="shared" si="174"/>
        <v>0</v>
      </c>
      <c r="AC232" s="35">
        <f>IF(D232/Frequency!$N$7&gt;100,1,0)*E232</f>
        <v>0</v>
      </c>
      <c r="AD232" s="35">
        <f t="shared" si="175"/>
        <v>0</v>
      </c>
      <c r="AE232" s="22">
        <f t="shared" si="176"/>
        <v>0</v>
      </c>
      <c r="AF232" s="22">
        <f t="shared" si="177"/>
        <v>0</v>
      </c>
      <c r="AG232" s="22">
        <f t="shared" si="178"/>
        <v>0</v>
      </c>
      <c r="AH232" s="22">
        <f t="shared" si="179"/>
        <v>0</v>
      </c>
      <c r="AI232" s="35">
        <f t="shared" si="180"/>
        <v>1</v>
      </c>
      <c r="AJ232" s="35">
        <f t="shared" si="181"/>
        <v>5</v>
      </c>
      <c r="AK232" s="35">
        <f t="shared" si="182"/>
        <v>136.5</v>
      </c>
      <c r="AL232">
        <f t="shared" si="183"/>
        <v>1</v>
      </c>
      <c r="AM232">
        <f t="shared" si="184"/>
        <v>5</v>
      </c>
      <c r="AN232">
        <f t="shared" si="185"/>
        <v>136.5</v>
      </c>
      <c r="AO232">
        <f t="shared" si="186"/>
        <v>1</v>
      </c>
      <c r="AP232">
        <f t="shared" si="187"/>
        <v>5</v>
      </c>
      <c r="AQ232">
        <f t="shared" si="188"/>
        <v>136.5</v>
      </c>
      <c r="AR232">
        <f t="shared" si="189"/>
        <v>0</v>
      </c>
      <c r="AS232">
        <f t="shared" si="190"/>
        <v>0</v>
      </c>
      <c r="AT232">
        <f t="shared" si="191"/>
        <v>0</v>
      </c>
      <c r="AU232">
        <f t="shared" si="192"/>
        <v>0</v>
      </c>
      <c r="AV232">
        <v>0</v>
      </c>
      <c r="AW232">
        <v>0</v>
      </c>
      <c r="AX232">
        <f t="shared" si="193"/>
        <v>0</v>
      </c>
      <c r="AY232">
        <f t="shared" si="194"/>
        <v>0</v>
      </c>
      <c r="AZ232">
        <f t="shared" si="195"/>
        <v>0</v>
      </c>
      <c r="BA232">
        <f t="shared" si="196"/>
        <v>0</v>
      </c>
      <c r="BB232">
        <f t="shared" si="197"/>
        <v>0</v>
      </c>
      <c r="BC232">
        <f t="shared" si="198"/>
        <v>0</v>
      </c>
      <c r="BD232">
        <f t="shared" si="199"/>
        <v>0</v>
      </c>
      <c r="BE232">
        <f t="shared" si="200"/>
        <v>0</v>
      </c>
      <c r="BF232">
        <f t="shared" si="201"/>
        <v>0</v>
      </c>
      <c r="BG232">
        <f t="shared" si="202"/>
        <v>0</v>
      </c>
      <c r="BH232">
        <f t="shared" si="203"/>
        <v>0</v>
      </c>
      <c r="BI232">
        <f t="shared" si="204"/>
        <v>0</v>
      </c>
      <c r="BJ232">
        <v>0</v>
      </c>
      <c r="BK232" t="str">
        <f t="shared" si="218"/>
        <v>Big Win</v>
      </c>
      <c r="BL232" s="40" t="str">
        <f t="shared" si="219"/>
        <v>Combo Win</v>
      </c>
      <c r="BM232">
        <f>(D232/Frequency!$N$7-Summary!$C$7)^2*E232</f>
        <v>3500.6580000000004</v>
      </c>
      <c r="BN232">
        <f t="shared" si="205"/>
        <v>0</v>
      </c>
      <c r="BO232">
        <f t="shared" si="206"/>
        <v>0</v>
      </c>
      <c r="BP232">
        <f t="shared" si="207"/>
        <v>0</v>
      </c>
      <c r="BQ232">
        <f t="shared" si="208"/>
        <v>0</v>
      </c>
      <c r="BR232">
        <f t="shared" si="209"/>
        <v>0</v>
      </c>
      <c r="BS232">
        <f t="shared" si="210"/>
        <v>0</v>
      </c>
      <c r="BT232">
        <f t="shared" si="211"/>
        <v>0</v>
      </c>
      <c r="BU232">
        <f t="shared" si="212"/>
        <v>0</v>
      </c>
      <c r="BV232">
        <f t="shared" si="213"/>
        <v>0</v>
      </c>
      <c r="BW232">
        <f t="shared" si="214"/>
        <v>0</v>
      </c>
      <c r="BX232">
        <f t="shared" si="215"/>
        <v>0</v>
      </c>
    </row>
    <row r="233" spans="2:76">
      <c r="B233" s="19">
        <f>Tiers!B234</f>
        <v>231</v>
      </c>
      <c r="C233" s="20" t="str">
        <f>Tiers!X234</f>
        <v>main-21|main-5|main-2|main-19|main-19|wild-0||||</v>
      </c>
      <c r="D233" s="21">
        <f>Tiers!C234</f>
        <v>35.6</v>
      </c>
      <c r="E233" s="22">
        <f>Frequency!E235</f>
        <v>50</v>
      </c>
      <c r="F233" s="22">
        <f t="shared" si="165"/>
        <v>1780</v>
      </c>
      <c r="G233" s="20">
        <f>IF(AND(D233/Summary!$C$4&gt;0, D233/Summary!$C$4&lt;5),E233,0) * D233</f>
        <v>0</v>
      </c>
      <c r="H233" s="20">
        <f>IF(AND(D233/Summary!$C$4&gt;= 5, D233/Summary!$C$4&lt;10),E233,0) * D233</f>
        <v>0</v>
      </c>
      <c r="I233" s="20">
        <f>IF(AND(D233/Summary!$C$4&gt;=10, D233/Summary!$C$4&lt;25),E233,0)*D233</f>
        <v>0</v>
      </c>
      <c r="J233" s="20">
        <f>IF(D233/Summary!$C$4&gt;=25,E233,0)*D233</f>
        <v>1780</v>
      </c>
      <c r="K233" s="35">
        <f>IF(AND(D233/Frequency!$N$7&gt;0, D233/Frequency!$N$7&lt;1),E233,0)</f>
        <v>0</v>
      </c>
      <c r="L233" s="35">
        <f t="shared" si="166"/>
        <v>0</v>
      </c>
      <c r="M233" s="35">
        <f>IF(D233/Frequency!$N$7=1,1,0)*E233</f>
        <v>0</v>
      </c>
      <c r="N233" s="35">
        <f t="shared" si="167"/>
        <v>0</v>
      </c>
      <c r="O233" s="35">
        <f>IF(AND(D233/Frequency!$N$7&gt;1, D233/Frequency!$N$7&lt;=2),1,0)*E233</f>
        <v>0</v>
      </c>
      <c r="P233" s="35">
        <f t="shared" si="168"/>
        <v>0</v>
      </c>
      <c r="Q233" s="35">
        <f>IF(AND(D233/Frequency!$N$7&gt;2,D233/Frequency!$N$7&lt;=5),1,0)*E233</f>
        <v>0</v>
      </c>
      <c r="R233" s="35">
        <f t="shared" si="169"/>
        <v>0</v>
      </c>
      <c r="S233" s="35">
        <f>IF(AND(D233/Frequency!$N$7&gt;5, D233/Frequency!$N$7&lt;=10),1,0)*E233</f>
        <v>0</v>
      </c>
      <c r="T233" s="35">
        <f t="shared" si="170"/>
        <v>0</v>
      </c>
      <c r="U233" s="35">
        <f>IF(AND(D233/Frequency!$N$7&gt;10, D233/Frequency!$N$7&lt;=20),1,0)*E233</f>
        <v>0</v>
      </c>
      <c r="V233" s="35">
        <f t="shared" si="171"/>
        <v>0</v>
      </c>
      <c r="W233" s="35">
        <f>IF(AND(D233/Frequency!$N$7&gt;20, D233/Frequency!$N$7&lt;=30),1,0)*E233</f>
        <v>0</v>
      </c>
      <c r="X233" s="35">
        <f t="shared" si="172"/>
        <v>0</v>
      </c>
      <c r="Y233" s="35">
        <f>IF(AND(D233/Frequency!$N$7&gt;30, D233/Frequency!$N$7&lt;=50),1,0)*E233</f>
        <v>50</v>
      </c>
      <c r="Z233" s="35">
        <f t="shared" si="173"/>
        <v>1780</v>
      </c>
      <c r="AA233" s="35">
        <f>IF(AND(D233/Frequency!$N$7&gt;50, D233/Frequency!$N$7&lt;=100),1,0)*E233</f>
        <v>0</v>
      </c>
      <c r="AB233" s="35">
        <f t="shared" si="174"/>
        <v>0</v>
      </c>
      <c r="AC233" s="35">
        <f>IF(D233/Frequency!$N$7&gt;100,1,0)*E233</f>
        <v>0</v>
      </c>
      <c r="AD233" s="35">
        <f t="shared" si="175"/>
        <v>0</v>
      </c>
      <c r="AE233" s="22">
        <f t="shared" si="176"/>
        <v>0</v>
      </c>
      <c r="AF233" s="22">
        <f t="shared" si="177"/>
        <v>0</v>
      </c>
      <c r="AG233" s="22">
        <f t="shared" si="178"/>
        <v>0</v>
      </c>
      <c r="AH233" s="22">
        <f t="shared" si="179"/>
        <v>0</v>
      </c>
      <c r="AI233" s="35">
        <f t="shared" si="180"/>
        <v>1</v>
      </c>
      <c r="AJ233" s="35">
        <f t="shared" si="181"/>
        <v>50</v>
      </c>
      <c r="AK233" s="35">
        <f t="shared" si="182"/>
        <v>1780</v>
      </c>
      <c r="AL233">
        <f t="shared" si="183"/>
        <v>1</v>
      </c>
      <c r="AM233">
        <f t="shared" si="184"/>
        <v>50</v>
      </c>
      <c r="AN233">
        <f t="shared" si="185"/>
        <v>1780</v>
      </c>
      <c r="AO233">
        <f t="shared" si="186"/>
        <v>1</v>
      </c>
      <c r="AP233">
        <f t="shared" si="187"/>
        <v>50</v>
      </c>
      <c r="AQ233">
        <f t="shared" si="188"/>
        <v>1780</v>
      </c>
      <c r="AR233">
        <f t="shared" si="189"/>
        <v>0</v>
      </c>
      <c r="AS233">
        <f t="shared" si="190"/>
        <v>0</v>
      </c>
      <c r="AT233">
        <f t="shared" si="191"/>
        <v>0</v>
      </c>
      <c r="AU233">
        <f t="shared" si="192"/>
        <v>0</v>
      </c>
      <c r="AV233">
        <v>0</v>
      </c>
      <c r="AW233">
        <v>0</v>
      </c>
      <c r="AX233">
        <f t="shared" si="193"/>
        <v>0</v>
      </c>
      <c r="AY233">
        <f t="shared" si="194"/>
        <v>0</v>
      </c>
      <c r="AZ233">
        <f t="shared" si="195"/>
        <v>0</v>
      </c>
      <c r="BA233">
        <f t="shared" si="196"/>
        <v>0</v>
      </c>
      <c r="BB233">
        <f t="shared" si="197"/>
        <v>0</v>
      </c>
      <c r="BC233">
        <f t="shared" si="198"/>
        <v>0</v>
      </c>
      <c r="BD233">
        <f t="shared" si="199"/>
        <v>0</v>
      </c>
      <c r="BE233">
        <f t="shared" si="200"/>
        <v>0</v>
      </c>
      <c r="BF233">
        <f t="shared" si="201"/>
        <v>0</v>
      </c>
      <c r="BG233">
        <f t="shared" si="202"/>
        <v>0</v>
      </c>
      <c r="BH233">
        <f t="shared" si="203"/>
        <v>0</v>
      </c>
      <c r="BI233">
        <f t="shared" si="204"/>
        <v>0</v>
      </c>
      <c r="BJ233">
        <v>0</v>
      </c>
      <c r="BK233" t="str">
        <f t="shared" si="218"/>
        <v>Big Win</v>
      </c>
      <c r="BL233" s="40" t="str">
        <f t="shared" si="219"/>
        <v>Combo Win</v>
      </c>
      <c r="BM233">
        <f>(D233/Frequency!$N$7-Summary!$C$7)^2*E233</f>
        <v>60412.88</v>
      </c>
      <c r="BN233">
        <f t="shared" si="205"/>
        <v>0</v>
      </c>
      <c r="BO233">
        <f t="shared" si="206"/>
        <v>0</v>
      </c>
      <c r="BP233">
        <f t="shared" si="207"/>
        <v>0</v>
      </c>
      <c r="BQ233">
        <f t="shared" si="208"/>
        <v>0</v>
      </c>
      <c r="BR233">
        <f t="shared" si="209"/>
        <v>0</v>
      </c>
      <c r="BS233">
        <f t="shared" si="210"/>
        <v>0</v>
      </c>
      <c r="BT233">
        <f t="shared" si="211"/>
        <v>0</v>
      </c>
      <c r="BU233">
        <f t="shared" si="212"/>
        <v>0</v>
      </c>
      <c r="BV233">
        <f t="shared" si="213"/>
        <v>0</v>
      </c>
      <c r="BW233">
        <f t="shared" si="214"/>
        <v>0</v>
      </c>
      <c r="BX233">
        <f t="shared" si="215"/>
        <v>0</v>
      </c>
    </row>
    <row r="234" spans="2:76">
      <c r="B234" s="19">
        <f>Tiers!B235</f>
        <v>232</v>
      </c>
      <c r="C234" s="20" t="str">
        <f>Tiers!X235</f>
        <v>main-27|main-5|main-5|main-19|main-3|wild-18||||</v>
      </c>
      <c r="D234" s="21">
        <f>Tiers!C235</f>
        <v>39</v>
      </c>
      <c r="E234" s="22">
        <f>Frequency!E236</f>
        <v>15</v>
      </c>
      <c r="F234" s="22">
        <f t="shared" si="165"/>
        <v>585</v>
      </c>
      <c r="G234" s="20">
        <f>IF(AND(D234/Summary!$C$4&gt;0, D234/Summary!$C$4&lt;5),E234,0) * D234</f>
        <v>0</v>
      </c>
      <c r="H234" s="20">
        <f>IF(AND(D234/Summary!$C$4&gt;= 5, D234/Summary!$C$4&lt;10),E234,0) * D234</f>
        <v>0</v>
      </c>
      <c r="I234" s="20">
        <f>IF(AND(D234/Summary!$C$4&gt;=10, D234/Summary!$C$4&lt;25),E234,0)*D234</f>
        <v>0</v>
      </c>
      <c r="J234" s="20">
        <f>IF(D234/Summary!$C$4&gt;=25,E234,0)*D234</f>
        <v>585</v>
      </c>
      <c r="K234" s="35">
        <f>IF(AND(D234/Frequency!$N$7&gt;0, D234/Frequency!$N$7&lt;1),E234,0)</f>
        <v>0</v>
      </c>
      <c r="L234" s="35">
        <f t="shared" si="166"/>
        <v>0</v>
      </c>
      <c r="M234" s="35">
        <f>IF(D234/Frequency!$N$7=1,1,0)*E234</f>
        <v>0</v>
      </c>
      <c r="N234" s="35">
        <f t="shared" si="167"/>
        <v>0</v>
      </c>
      <c r="O234" s="35">
        <f>IF(AND(D234/Frequency!$N$7&gt;1, D234/Frequency!$N$7&lt;=2),1,0)*E234</f>
        <v>0</v>
      </c>
      <c r="P234" s="35">
        <f t="shared" si="168"/>
        <v>0</v>
      </c>
      <c r="Q234" s="35">
        <f>IF(AND(D234/Frequency!$N$7&gt;2,D234/Frequency!$N$7&lt;=5),1,0)*E234</f>
        <v>0</v>
      </c>
      <c r="R234" s="35">
        <f t="shared" si="169"/>
        <v>0</v>
      </c>
      <c r="S234" s="35">
        <f>IF(AND(D234/Frequency!$N$7&gt;5, D234/Frequency!$N$7&lt;=10),1,0)*E234</f>
        <v>0</v>
      </c>
      <c r="T234" s="35">
        <f t="shared" si="170"/>
        <v>0</v>
      </c>
      <c r="U234" s="35">
        <f>IF(AND(D234/Frequency!$N$7&gt;10, D234/Frequency!$N$7&lt;=20),1,0)*E234</f>
        <v>0</v>
      </c>
      <c r="V234" s="35">
        <f t="shared" si="171"/>
        <v>0</v>
      </c>
      <c r="W234" s="35">
        <f>IF(AND(D234/Frequency!$N$7&gt;20, D234/Frequency!$N$7&lt;=30),1,0)*E234</f>
        <v>0</v>
      </c>
      <c r="X234" s="35">
        <f t="shared" si="172"/>
        <v>0</v>
      </c>
      <c r="Y234" s="35">
        <f>IF(AND(D234/Frequency!$N$7&gt;30, D234/Frequency!$N$7&lt;=50),1,0)*E234</f>
        <v>15</v>
      </c>
      <c r="Z234" s="35">
        <f t="shared" si="173"/>
        <v>585</v>
      </c>
      <c r="AA234" s="35">
        <f>IF(AND(D234/Frequency!$N$7&gt;50, D234/Frequency!$N$7&lt;=100),1,0)*E234</f>
        <v>0</v>
      </c>
      <c r="AB234" s="35">
        <f t="shared" si="174"/>
        <v>0</v>
      </c>
      <c r="AC234" s="35">
        <f>IF(D234/Frequency!$N$7&gt;100,1,0)*E234</f>
        <v>0</v>
      </c>
      <c r="AD234" s="35">
        <f t="shared" si="175"/>
        <v>0</v>
      </c>
      <c r="AE234" s="22">
        <f t="shared" si="176"/>
        <v>0</v>
      </c>
      <c r="AF234" s="22">
        <f t="shared" si="177"/>
        <v>0</v>
      </c>
      <c r="AG234" s="22">
        <f t="shared" si="178"/>
        <v>0</v>
      </c>
      <c r="AH234" s="22">
        <f t="shared" si="179"/>
        <v>0</v>
      </c>
      <c r="AI234" s="35">
        <f t="shared" si="180"/>
        <v>1</v>
      </c>
      <c r="AJ234" s="35">
        <f t="shared" si="181"/>
        <v>15</v>
      </c>
      <c r="AK234" s="35">
        <f t="shared" si="182"/>
        <v>585</v>
      </c>
      <c r="AL234">
        <f t="shared" si="183"/>
        <v>1</v>
      </c>
      <c r="AM234">
        <f t="shared" si="184"/>
        <v>15</v>
      </c>
      <c r="AN234">
        <f t="shared" si="185"/>
        <v>585</v>
      </c>
      <c r="AO234">
        <f t="shared" si="186"/>
        <v>1</v>
      </c>
      <c r="AP234">
        <f t="shared" si="187"/>
        <v>15</v>
      </c>
      <c r="AQ234">
        <f t="shared" si="188"/>
        <v>585</v>
      </c>
      <c r="AR234">
        <f t="shared" si="189"/>
        <v>0</v>
      </c>
      <c r="AS234">
        <f t="shared" si="190"/>
        <v>0</v>
      </c>
      <c r="AT234">
        <f t="shared" si="191"/>
        <v>0</v>
      </c>
      <c r="AU234">
        <f t="shared" si="192"/>
        <v>0</v>
      </c>
      <c r="AV234">
        <v>0</v>
      </c>
      <c r="AW234">
        <v>0</v>
      </c>
      <c r="AX234">
        <f t="shared" si="193"/>
        <v>0</v>
      </c>
      <c r="AY234">
        <f t="shared" si="194"/>
        <v>0</v>
      </c>
      <c r="AZ234">
        <f t="shared" si="195"/>
        <v>0</v>
      </c>
      <c r="BA234">
        <f t="shared" si="196"/>
        <v>0</v>
      </c>
      <c r="BB234">
        <f t="shared" si="197"/>
        <v>0</v>
      </c>
      <c r="BC234">
        <f t="shared" si="198"/>
        <v>0</v>
      </c>
      <c r="BD234">
        <f t="shared" si="199"/>
        <v>0</v>
      </c>
      <c r="BE234">
        <f t="shared" si="200"/>
        <v>0</v>
      </c>
      <c r="BF234">
        <f t="shared" si="201"/>
        <v>0</v>
      </c>
      <c r="BG234">
        <f t="shared" si="202"/>
        <v>0</v>
      </c>
      <c r="BH234">
        <f t="shared" si="203"/>
        <v>0</v>
      </c>
      <c r="BI234">
        <f t="shared" si="204"/>
        <v>0</v>
      </c>
      <c r="BJ234">
        <v>0</v>
      </c>
      <c r="BK234" t="str">
        <f t="shared" si="218"/>
        <v>Big Win</v>
      </c>
      <c r="BL234" s="40" t="str">
        <f t="shared" si="219"/>
        <v>Combo Win</v>
      </c>
      <c r="BM234">
        <f>(D234/Frequency!$N$7-Summary!$C$7)^2*E234</f>
        <v>21842.783999999996</v>
      </c>
      <c r="BN234">
        <f t="shared" si="205"/>
        <v>0</v>
      </c>
      <c r="BO234">
        <f t="shared" si="206"/>
        <v>0</v>
      </c>
      <c r="BP234">
        <f t="shared" si="207"/>
        <v>0</v>
      </c>
      <c r="BQ234">
        <f t="shared" si="208"/>
        <v>0</v>
      </c>
      <c r="BR234">
        <f t="shared" si="209"/>
        <v>0</v>
      </c>
      <c r="BS234">
        <f t="shared" si="210"/>
        <v>0</v>
      </c>
      <c r="BT234">
        <f t="shared" si="211"/>
        <v>0</v>
      </c>
      <c r="BU234">
        <f t="shared" si="212"/>
        <v>0</v>
      </c>
      <c r="BV234">
        <f t="shared" si="213"/>
        <v>0</v>
      </c>
      <c r="BW234">
        <f t="shared" si="214"/>
        <v>0</v>
      </c>
      <c r="BX234">
        <f t="shared" si="215"/>
        <v>0</v>
      </c>
    </row>
    <row r="235" spans="2:76">
      <c r="B235" s="19">
        <f>Tiers!B236</f>
        <v>233</v>
      </c>
      <c r="C235" s="20" t="str">
        <f>Tiers!X236</f>
        <v>main-0|freeplayA-11||||||||</v>
      </c>
      <c r="D235" s="21">
        <f>Tiers!C236</f>
        <v>3.1</v>
      </c>
      <c r="E235" s="22">
        <f>Frequency!E237</f>
        <v>100</v>
      </c>
      <c r="F235" s="22">
        <f t="shared" si="165"/>
        <v>310</v>
      </c>
      <c r="G235" s="20">
        <f>IF(AND(D235/Summary!$C$4&gt;0, D235/Summary!$C$4&lt;5),E235,0) * D235</f>
        <v>310</v>
      </c>
      <c r="H235" s="20">
        <f>IF(AND(D235/Summary!$C$4&gt;= 5, D235/Summary!$C$4&lt;10),E235,0) * D235</f>
        <v>0</v>
      </c>
      <c r="I235" s="20">
        <f>IF(AND(D235/Summary!$C$4&gt;=10, D235/Summary!$C$4&lt;25),E235,0)*D235</f>
        <v>0</v>
      </c>
      <c r="J235" s="20">
        <f>IF(D235/Summary!$C$4&gt;=25,E235,0)*D235</f>
        <v>0</v>
      </c>
      <c r="K235" s="35">
        <f>IF(AND(D235/Frequency!$N$7&gt;0, D235/Frequency!$N$7&lt;1),E235,0)</f>
        <v>0</v>
      </c>
      <c r="L235" s="35">
        <f t="shared" si="166"/>
        <v>0</v>
      </c>
      <c r="M235" s="35">
        <f>IF(D235/Frequency!$N$7=1,1,0)*E235</f>
        <v>0</v>
      </c>
      <c r="N235" s="35">
        <f t="shared" si="167"/>
        <v>0</v>
      </c>
      <c r="O235" s="35">
        <f>IF(AND(D235/Frequency!$N$7&gt;1, D235/Frequency!$N$7&lt;=2),1,0)*E235</f>
        <v>0</v>
      </c>
      <c r="P235" s="35">
        <f t="shared" si="168"/>
        <v>0</v>
      </c>
      <c r="Q235" s="35">
        <f>IF(AND(D235/Frequency!$N$7&gt;2,D235/Frequency!$N$7&lt;=5),1,0)*E235</f>
        <v>100</v>
      </c>
      <c r="R235" s="35">
        <f t="shared" si="169"/>
        <v>310</v>
      </c>
      <c r="S235" s="35">
        <f>IF(AND(D235/Frequency!$N$7&gt;5, D235/Frequency!$N$7&lt;=10),1,0)*E235</f>
        <v>0</v>
      </c>
      <c r="T235" s="35">
        <f t="shared" si="170"/>
        <v>0</v>
      </c>
      <c r="U235" s="35">
        <f>IF(AND(D235/Frequency!$N$7&gt;10, D235/Frequency!$N$7&lt;=20),1,0)*E235</f>
        <v>0</v>
      </c>
      <c r="V235" s="35">
        <f t="shared" si="171"/>
        <v>0</v>
      </c>
      <c r="W235" s="35">
        <f>IF(AND(D235/Frequency!$N$7&gt;20, D235/Frequency!$N$7&lt;=30),1,0)*E235</f>
        <v>0</v>
      </c>
      <c r="X235" s="35">
        <f t="shared" si="172"/>
        <v>0</v>
      </c>
      <c r="Y235" s="35">
        <f>IF(AND(D235/Frequency!$N$7&gt;30, D235/Frequency!$N$7&lt;=50),1,0)*E235</f>
        <v>0</v>
      </c>
      <c r="Z235" s="35">
        <f t="shared" si="173"/>
        <v>0</v>
      </c>
      <c r="AA235" s="35">
        <f>IF(AND(D235/Frequency!$N$7&gt;50, D235/Frequency!$N$7&lt;=100),1,0)*E235</f>
        <v>0</v>
      </c>
      <c r="AB235" s="35">
        <f t="shared" si="174"/>
        <v>0</v>
      </c>
      <c r="AC235" s="35">
        <f>IF(D235/Frequency!$N$7&gt;100,1,0)*E235</f>
        <v>0</v>
      </c>
      <c r="AD235" s="35">
        <f t="shared" si="175"/>
        <v>0</v>
      </c>
      <c r="AE235" s="22">
        <f t="shared" si="176"/>
        <v>100</v>
      </c>
      <c r="AF235" s="22">
        <f t="shared" si="177"/>
        <v>0</v>
      </c>
      <c r="AG235" s="22">
        <f t="shared" si="178"/>
        <v>0</v>
      </c>
      <c r="AH235" s="22">
        <f t="shared" si="179"/>
        <v>0</v>
      </c>
      <c r="AI235" s="35">
        <f t="shared" si="180"/>
        <v>1</v>
      </c>
      <c r="AJ235" s="35">
        <f t="shared" si="181"/>
        <v>100</v>
      </c>
      <c r="AK235" s="35">
        <f t="shared" si="182"/>
        <v>310</v>
      </c>
      <c r="AL235">
        <f t="shared" si="183"/>
        <v>0</v>
      </c>
      <c r="AM235">
        <f t="shared" si="184"/>
        <v>0</v>
      </c>
      <c r="AN235">
        <f t="shared" si="185"/>
        <v>0</v>
      </c>
      <c r="AO235">
        <f t="shared" si="186"/>
        <v>0</v>
      </c>
      <c r="AP235">
        <f t="shared" si="187"/>
        <v>0</v>
      </c>
      <c r="AQ235">
        <f t="shared" si="188"/>
        <v>0</v>
      </c>
      <c r="AR235">
        <f t="shared" si="189"/>
        <v>0</v>
      </c>
      <c r="AS235">
        <f t="shared" si="190"/>
        <v>0</v>
      </c>
      <c r="AT235">
        <f t="shared" si="191"/>
        <v>0</v>
      </c>
      <c r="AU235">
        <f t="shared" si="192"/>
        <v>1</v>
      </c>
      <c r="AV235">
        <v>0</v>
      </c>
      <c r="AW235">
        <v>0</v>
      </c>
      <c r="AX235">
        <f t="shared" si="193"/>
        <v>0</v>
      </c>
      <c r="AY235">
        <f t="shared" si="194"/>
        <v>0</v>
      </c>
      <c r="AZ235">
        <f t="shared" si="195"/>
        <v>0</v>
      </c>
      <c r="BA235">
        <f t="shared" si="196"/>
        <v>0</v>
      </c>
      <c r="BB235">
        <f t="shared" si="197"/>
        <v>0</v>
      </c>
      <c r="BC235">
        <f t="shared" si="198"/>
        <v>0</v>
      </c>
      <c r="BD235">
        <f t="shared" si="199"/>
        <v>0</v>
      </c>
      <c r="BE235">
        <f t="shared" si="200"/>
        <v>0</v>
      </c>
      <c r="BF235">
        <f t="shared" si="201"/>
        <v>0</v>
      </c>
      <c r="BG235">
        <f t="shared" si="202"/>
        <v>0</v>
      </c>
      <c r="BH235">
        <f t="shared" si="203"/>
        <v>0</v>
      </c>
      <c r="BI235">
        <f t="shared" si="204"/>
        <v>0</v>
      </c>
      <c r="BJ235">
        <v>0</v>
      </c>
      <c r="BK235" t="str">
        <f t="shared" si="218"/>
        <v>Standard Win</v>
      </c>
      <c r="BL235" s="40" t="str">
        <f t="shared" si="219"/>
        <v>Free Plays A</v>
      </c>
      <c r="BM235">
        <f>(D235/Frequency!$N$7-Summary!$C$7)^2*E235</f>
        <v>510.76000000000016</v>
      </c>
      <c r="BN235">
        <f t="shared" si="205"/>
        <v>310</v>
      </c>
      <c r="BO235">
        <f t="shared" si="206"/>
        <v>0</v>
      </c>
      <c r="BP235">
        <f t="shared" si="207"/>
        <v>0</v>
      </c>
      <c r="BQ235">
        <f t="shared" si="208"/>
        <v>0</v>
      </c>
      <c r="BR235">
        <f t="shared" si="209"/>
        <v>0</v>
      </c>
      <c r="BS235">
        <f t="shared" si="210"/>
        <v>100</v>
      </c>
      <c r="BT235">
        <f t="shared" si="211"/>
        <v>310</v>
      </c>
      <c r="BU235">
        <f t="shared" si="212"/>
        <v>0</v>
      </c>
      <c r="BV235">
        <f t="shared" si="213"/>
        <v>0</v>
      </c>
      <c r="BW235">
        <f t="shared" si="214"/>
        <v>0</v>
      </c>
      <c r="BX235">
        <f t="shared" si="215"/>
        <v>0</v>
      </c>
    </row>
    <row r="236" spans="2:76">
      <c r="B236" s="19">
        <f>Tiers!B237</f>
        <v>234</v>
      </c>
      <c r="C236" s="20" t="str">
        <f>Tiers!X237</f>
        <v>main-4|freeplayA-12||||||||</v>
      </c>
      <c r="D236" s="21">
        <f>Tiers!C237</f>
        <v>2.2000000000000002</v>
      </c>
      <c r="E236" s="22">
        <f>Frequency!E238</f>
        <v>27</v>
      </c>
      <c r="F236" s="22">
        <f t="shared" si="165"/>
        <v>59.400000000000006</v>
      </c>
      <c r="G236" s="20">
        <f>IF(AND(D236/Summary!$C$4&gt;0, D236/Summary!$C$4&lt;5),E236,0) * D236</f>
        <v>59.400000000000006</v>
      </c>
      <c r="H236" s="20">
        <f>IF(AND(D236/Summary!$C$4&gt;= 5, D236/Summary!$C$4&lt;10),E236,0) * D236</f>
        <v>0</v>
      </c>
      <c r="I236" s="20">
        <f>IF(AND(D236/Summary!$C$4&gt;=10, D236/Summary!$C$4&lt;25),E236,0)*D236</f>
        <v>0</v>
      </c>
      <c r="J236" s="20">
        <f>IF(D236/Summary!$C$4&gt;=25,E236,0)*D236</f>
        <v>0</v>
      </c>
      <c r="K236" s="35">
        <f>IF(AND(D236/Frequency!$N$7&gt;0, D236/Frequency!$N$7&lt;1),E236,0)</f>
        <v>0</v>
      </c>
      <c r="L236" s="35">
        <f t="shared" si="166"/>
        <v>0</v>
      </c>
      <c r="M236" s="35">
        <f>IF(D236/Frequency!$N$7=1,1,0)*E236</f>
        <v>0</v>
      </c>
      <c r="N236" s="35">
        <f t="shared" si="167"/>
        <v>0</v>
      </c>
      <c r="O236" s="35">
        <f>IF(AND(D236/Frequency!$N$7&gt;1, D236/Frequency!$N$7&lt;=2),1,0)*E236</f>
        <v>0</v>
      </c>
      <c r="P236" s="35">
        <f t="shared" si="168"/>
        <v>0</v>
      </c>
      <c r="Q236" s="35">
        <f>IF(AND(D236/Frequency!$N$7&gt;2,D236/Frequency!$N$7&lt;=5),1,0)*E236</f>
        <v>27</v>
      </c>
      <c r="R236" s="35">
        <f t="shared" si="169"/>
        <v>59.400000000000006</v>
      </c>
      <c r="S236" s="35">
        <f>IF(AND(D236/Frequency!$N$7&gt;5, D236/Frequency!$N$7&lt;=10),1,0)*E236</f>
        <v>0</v>
      </c>
      <c r="T236" s="35">
        <f t="shared" si="170"/>
        <v>0</v>
      </c>
      <c r="U236" s="35">
        <f>IF(AND(D236/Frequency!$N$7&gt;10, D236/Frequency!$N$7&lt;=20),1,0)*E236</f>
        <v>0</v>
      </c>
      <c r="V236" s="35">
        <f t="shared" si="171"/>
        <v>0</v>
      </c>
      <c r="W236" s="35">
        <f>IF(AND(D236/Frequency!$N$7&gt;20, D236/Frequency!$N$7&lt;=30),1,0)*E236</f>
        <v>0</v>
      </c>
      <c r="X236" s="35">
        <f t="shared" si="172"/>
        <v>0</v>
      </c>
      <c r="Y236" s="35">
        <f>IF(AND(D236/Frequency!$N$7&gt;30, D236/Frequency!$N$7&lt;=50),1,0)*E236</f>
        <v>0</v>
      </c>
      <c r="Z236" s="35">
        <f t="shared" si="173"/>
        <v>0</v>
      </c>
      <c r="AA236" s="35">
        <f>IF(AND(D236/Frequency!$N$7&gt;50, D236/Frequency!$N$7&lt;=100),1,0)*E236</f>
        <v>0</v>
      </c>
      <c r="AB236" s="35">
        <f t="shared" si="174"/>
        <v>0</v>
      </c>
      <c r="AC236" s="35">
        <f>IF(D236/Frequency!$N$7&gt;100,1,0)*E236</f>
        <v>0</v>
      </c>
      <c r="AD236" s="35">
        <f t="shared" si="175"/>
        <v>0</v>
      </c>
      <c r="AE236" s="22">
        <f t="shared" si="176"/>
        <v>27</v>
      </c>
      <c r="AF236" s="22">
        <f t="shared" si="177"/>
        <v>0</v>
      </c>
      <c r="AG236" s="22">
        <f t="shared" si="178"/>
        <v>0</v>
      </c>
      <c r="AH236" s="22">
        <f t="shared" si="179"/>
        <v>0</v>
      </c>
      <c r="AI236" s="35">
        <f t="shared" si="180"/>
        <v>1</v>
      </c>
      <c r="AJ236" s="35">
        <f t="shared" si="181"/>
        <v>27</v>
      </c>
      <c r="AK236" s="35">
        <f t="shared" si="182"/>
        <v>59.400000000000006</v>
      </c>
      <c r="AL236">
        <f t="shared" si="183"/>
        <v>0</v>
      </c>
      <c r="AM236">
        <f t="shared" si="184"/>
        <v>0</v>
      </c>
      <c r="AN236">
        <f t="shared" si="185"/>
        <v>0</v>
      </c>
      <c r="AO236">
        <f t="shared" si="186"/>
        <v>0</v>
      </c>
      <c r="AP236">
        <f t="shared" si="187"/>
        <v>0</v>
      </c>
      <c r="AQ236">
        <f t="shared" si="188"/>
        <v>0</v>
      </c>
      <c r="AR236">
        <f t="shared" si="189"/>
        <v>0</v>
      </c>
      <c r="AS236">
        <f t="shared" si="190"/>
        <v>0</v>
      </c>
      <c r="AT236">
        <f t="shared" si="191"/>
        <v>0</v>
      </c>
      <c r="AU236">
        <f t="shared" si="192"/>
        <v>1</v>
      </c>
      <c r="AV236">
        <v>0</v>
      </c>
      <c r="AW236">
        <v>0</v>
      </c>
      <c r="AX236">
        <f t="shared" si="193"/>
        <v>0</v>
      </c>
      <c r="AY236">
        <f t="shared" si="194"/>
        <v>0</v>
      </c>
      <c r="AZ236">
        <f t="shared" si="195"/>
        <v>0</v>
      </c>
      <c r="BA236">
        <f t="shared" si="196"/>
        <v>0</v>
      </c>
      <c r="BB236">
        <f t="shared" si="197"/>
        <v>0</v>
      </c>
      <c r="BC236">
        <f t="shared" si="198"/>
        <v>0</v>
      </c>
      <c r="BD236">
        <f t="shared" si="199"/>
        <v>0</v>
      </c>
      <c r="BE236">
        <f t="shared" si="200"/>
        <v>0</v>
      </c>
      <c r="BF236">
        <f t="shared" si="201"/>
        <v>0</v>
      </c>
      <c r="BG236">
        <f t="shared" si="202"/>
        <v>0</v>
      </c>
      <c r="BH236">
        <f t="shared" si="203"/>
        <v>0</v>
      </c>
      <c r="BI236">
        <f t="shared" si="204"/>
        <v>0</v>
      </c>
      <c r="BJ236">
        <v>0</v>
      </c>
      <c r="BK236" t="str">
        <f t="shared" si="218"/>
        <v>Standard Win</v>
      </c>
      <c r="BL236" s="40" t="str">
        <f t="shared" si="219"/>
        <v>Free Plays A</v>
      </c>
      <c r="BM236">
        <f>(D236/Frequency!$N$7-Summary!$C$7)^2*E236</f>
        <v>49.939200000000021</v>
      </c>
      <c r="BN236">
        <f t="shared" si="205"/>
        <v>59.400000000000006</v>
      </c>
      <c r="BO236">
        <f t="shared" si="206"/>
        <v>0</v>
      </c>
      <c r="BP236">
        <f t="shared" si="207"/>
        <v>0</v>
      </c>
      <c r="BQ236">
        <f t="shared" si="208"/>
        <v>0</v>
      </c>
      <c r="BR236">
        <f t="shared" si="209"/>
        <v>0</v>
      </c>
      <c r="BS236">
        <f t="shared" si="210"/>
        <v>27</v>
      </c>
      <c r="BT236">
        <f t="shared" si="211"/>
        <v>59.400000000000006</v>
      </c>
      <c r="BU236">
        <f t="shared" si="212"/>
        <v>0</v>
      </c>
      <c r="BV236">
        <f t="shared" si="213"/>
        <v>0</v>
      </c>
      <c r="BW236">
        <f t="shared" si="214"/>
        <v>0</v>
      </c>
      <c r="BX236">
        <f t="shared" si="215"/>
        <v>0</v>
      </c>
    </row>
    <row r="237" spans="2:76">
      <c r="B237" s="19">
        <f>Tiers!B238</f>
        <v>235</v>
      </c>
      <c r="C237" s="20" t="str">
        <f>Tiers!X238</f>
        <v>main-5|freeplayA-13||||||||</v>
      </c>
      <c r="D237" s="21">
        <f>Tiers!C238</f>
        <v>8</v>
      </c>
      <c r="E237" s="22">
        <f>Frequency!E239</f>
        <v>15</v>
      </c>
      <c r="F237" s="22">
        <f t="shared" si="165"/>
        <v>120</v>
      </c>
      <c r="G237" s="20">
        <f>IF(AND(D237/Summary!$C$4&gt;0, D237/Summary!$C$4&lt;5),E237,0) * D237</f>
        <v>0</v>
      </c>
      <c r="H237" s="20">
        <f>IF(AND(D237/Summary!$C$4&gt;= 5, D237/Summary!$C$4&lt;10),E237,0) * D237</f>
        <v>120</v>
      </c>
      <c r="I237" s="20">
        <f>IF(AND(D237/Summary!$C$4&gt;=10, D237/Summary!$C$4&lt;25),E237,0)*D237</f>
        <v>0</v>
      </c>
      <c r="J237" s="20">
        <f>IF(D237/Summary!$C$4&gt;=25,E237,0)*D237</f>
        <v>0</v>
      </c>
      <c r="K237" s="35">
        <f>IF(AND(D237/Frequency!$N$7&gt;0, D237/Frequency!$N$7&lt;1),E237,0)</f>
        <v>0</v>
      </c>
      <c r="L237" s="35">
        <f t="shared" si="166"/>
        <v>0</v>
      </c>
      <c r="M237" s="35">
        <f>IF(D237/Frequency!$N$7=1,1,0)*E237</f>
        <v>0</v>
      </c>
      <c r="N237" s="35">
        <f t="shared" si="167"/>
        <v>0</v>
      </c>
      <c r="O237" s="35">
        <f>IF(AND(D237/Frequency!$N$7&gt;1, D237/Frequency!$N$7&lt;=2),1,0)*E237</f>
        <v>0</v>
      </c>
      <c r="P237" s="35">
        <f t="shared" si="168"/>
        <v>0</v>
      </c>
      <c r="Q237" s="35">
        <f>IF(AND(D237/Frequency!$N$7&gt;2,D237/Frequency!$N$7&lt;=5),1,0)*E237</f>
        <v>0</v>
      </c>
      <c r="R237" s="35">
        <f t="shared" si="169"/>
        <v>0</v>
      </c>
      <c r="S237" s="35">
        <f>IF(AND(D237/Frequency!$N$7&gt;5, D237/Frequency!$N$7&lt;=10),1,0)*E237</f>
        <v>15</v>
      </c>
      <c r="T237" s="35">
        <f t="shared" si="170"/>
        <v>120</v>
      </c>
      <c r="U237" s="35">
        <f>IF(AND(D237/Frequency!$N$7&gt;10, D237/Frequency!$N$7&lt;=20),1,0)*E237</f>
        <v>0</v>
      </c>
      <c r="V237" s="35">
        <f t="shared" si="171"/>
        <v>0</v>
      </c>
      <c r="W237" s="35">
        <f>IF(AND(D237/Frequency!$N$7&gt;20, D237/Frequency!$N$7&lt;=30),1,0)*E237</f>
        <v>0</v>
      </c>
      <c r="X237" s="35">
        <f t="shared" si="172"/>
        <v>0</v>
      </c>
      <c r="Y237" s="35">
        <f>IF(AND(D237/Frequency!$N$7&gt;30, D237/Frequency!$N$7&lt;=50),1,0)*E237</f>
        <v>0</v>
      </c>
      <c r="Z237" s="35">
        <f t="shared" si="173"/>
        <v>0</v>
      </c>
      <c r="AA237" s="35">
        <f>IF(AND(D237/Frequency!$N$7&gt;50, D237/Frequency!$N$7&lt;=100),1,0)*E237</f>
        <v>0</v>
      </c>
      <c r="AB237" s="35">
        <f t="shared" si="174"/>
        <v>0</v>
      </c>
      <c r="AC237" s="35">
        <f>IF(D237/Frequency!$N$7&gt;100,1,0)*E237</f>
        <v>0</v>
      </c>
      <c r="AD237" s="35">
        <f t="shared" si="175"/>
        <v>0</v>
      </c>
      <c r="AE237" s="22">
        <f t="shared" si="176"/>
        <v>15</v>
      </c>
      <c r="AF237" s="22">
        <f t="shared" si="177"/>
        <v>0</v>
      </c>
      <c r="AG237" s="22">
        <f t="shared" si="178"/>
        <v>0</v>
      </c>
      <c r="AH237" s="22">
        <f t="shared" si="179"/>
        <v>0</v>
      </c>
      <c r="AI237" s="35">
        <f t="shared" si="180"/>
        <v>1</v>
      </c>
      <c r="AJ237" s="35">
        <f t="shared" si="181"/>
        <v>15</v>
      </c>
      <c r="AK237" s="35">
        <f t="shared" si="182"/>
        <v>120</v>
      </c>
      <c r="AL237">
        <f t="shared" si="183"/>
        <v>0</v>
      </c>
      <c r="AM237">
        <f t="shared" si="184"/>
        <v>0</v>
      </c>
      <c r="AN237">
        <f t="shared" si="185"/>
        <v>0</v>
      </c>
      <c r="AO237">
        <f t="shared" si="186"/>
        <v>0</v>
      </c>
      <c r="AP237">
        <f t="shared" si="187"/>
        <v>0</v>
      </c>
      <c r="AQ237">
        <f t="shared" si="188"/>
        <v>0</v>
      </c>
      <c r="AR237">
        <f t="shared" si="189"/>
        <v>0</v>
      </c>
      <c r="AS237">
        <f t="shared" si="190"/>
        <v>0</v>
      </c>
      <c r="AT237">
        <f t="shared" si="191"/>
        <v>0</v>
      </c>
      <c r="AU237">
        <f t="shared" si="192"/>
        <v>1</v>
      </c>
      <c r="AV237">
        <v>0</v>
      </c>
      <c r="AW237">
        <v>0</v>
      </c>
      <c r="AX237">
        <f t="shared" si="193"/>
        <v>0</v>
      </c>
      <c r="AY237">
        <f t="shared" si="194"/>
        <v>0</v>
      </c>
      <c r="AZ237">
        <f t="shared" si="195"/>
        <v>0</v>
      </c>
      <c r="BA237">
        <f t="shared" si="196"/>
        <v>0</v>
      </c>
      <c r="BB237">
        <f t="shared" si="197"/>
        <v>0</v>
      </c>
      <c r="BC237">
        <f t="shared" si="198"/>
        <v>0</v>
      </c>
      <c r="BD237">
        <f t="shared" si="199"/>
        <v>0</v>
      </c>
      <c r="BE237">
        <f t="shared" si="200"/>
        <v>0</v>
      </c>
      <c r="BF237">
        <f t="shared" si="201"/>
        <v>0</v>
      </c>
      <c r="BG237">
        <f t="shared" si="202"/>
        <v>0</v>
      </c>
      <c r="BH237">
        <f t="shared" si="203"/>
        <v>0</v>
      </c>
      <c r="BI237">
        <f t="shared" si="204"/>
        <v>0</v>
      </c>
      <c r="BJ237">
        <v>0</v>
      </c>
      <c r="BK237" t="str">
        <f t="shared" si="218"/>
        <v>Standard Win</v>
      </c>
      <c r="BL237" s="40" t="str">
        <f t="shared" si="219"/>
        <v>Free Plays A</v>
      </c>
      <c r="BM237">
        <f>(D237/Frequency!$N$7-Summary!$C$7)^2*E237</f>
        <v>768.98400000000004</v>
      </c>
      <c r="BN237">
        <f t="shared" si="205"/>
        <v>120</v>
      </c>
      <c r="BO237">
        <f t="shared" si="206"/>
        <v>0</v>
      </c>
      <c r="BP237">
        <f t="shared" si="207"/>
        <v>0</v>
      </c>
      <c r="BQ237">
        <f t="shared" si="208"/>
        <v>0</v>
      </c>
      <c r="BR237">
        <f t="shared" si="209"/>
        <v>0</v>
      </c>
      <c r="BS237">
        <f t="shared" si="210"/>
        <v>15</v>
      </c>
      <c r="BT237">
        <f t="shared" si="211"/>
        <v>120</v>
      </c>
      <c r="BU237">
        <f t="shared" si="212"/>
        <v>0</v>
      </c>
      <c r="BV237">
        <f t="shared" si="213"/>
        <v>0</v>
      </c>
      <c r="BW237">
        <f t="shared" si="214"/>
        <v>0</v>
      </c>
      <c r="BX237">
        <f t="shared" si="215"/>
        <v>0</v>
      </c>
    </row>
    <row r="238" spans="2:76">
      <c r="B238" s="19">
        <f>Tiers!B239</f>
        <v>236</v>
      </c>
      <c r="C238" s="20" t="str">
        <f>Tiers!X239</f>
        <v>main-14|freeplayA-14||||||||</v>
      </c>
      <c r="D238" s="21">
        <f>Tiers!C239</f>
        <v>13</v>
      </c>
      <c r="E238" s="22">
        <f>Frequency!E240</f>
        <v>5</v>
      </c>
      <c r="F238" s="22">
        <f t="shared" si="165"/>
        <v>65</v>
      </c>
      <c r="G238" s="20">
        <f>IF(AND(D238/Summary!$C$4&gt;0, D238/Summary!$C$4&lt;5),E238,0) * D238</f>
        <v>0</v>
      </c>
      <c r="H238" s="20">
        <f>IF(AND(D238/Summary!$C$4&gt;= 5, D238/Summary!$C$4&lt;10),E238,0) * D238</f>
        <v>0</v>
      </c>
      <c r="I238" s="20">
        <f>IF(AND(D238/Summary!$C$4&gt;=10, D238/Summary!$C$4&lt;25),E238,0)*D238</f>
        <v>65</v>
      </c>
      <c r="J238" s="20">
        <f>IF(D238/Summary!$C$4&gt;=25,E238,0)*D238</f>
        <v>0</v>
      </c>
      <c r="K238" s="35">
        <f>IF(AND(D238/Frequency!$N$7&gt;0, D238/Frequency!$N$7&lt;1),E238,0)</f>
        <v>0</v>
      </c>
      <c r="L238" s="35">
        <f t="shared" si="166"/>
        <v>0</v>
      </c>
      <c r="M238" s="35">
        <f>IF(D238/Frequency!$N$7=1,1,0)*E238</f>
        <v>0</v>
      </c>
      <c r="N238" s="35">
        <f t="shared" si="167"/>
        <v>0</v>
      </c>
      <c r="O238" s="35">
        <f>IF(AND(D238/Frequency!$N$7&gt;1, D238/Frequency!$N$7&lt;=2),1,0)*E238</f>
        <v>0</v>
      </c>
      <c r="P238" s="35">
        <f t="shared" si="168"/>
        <v>0</v>
      </c>
      <c r="Q238" s="35">
        <f>IF(AND(D238/Frequency!$N$7&gt;2,D238/Frequency!$N$7&lt;=5),1,0)*E238</f>
        <v>0</v>
      </c>
      <c r="R238" s="35">
        <f t="shared" si="169"/>
        <v>0</v>
      </c>
      <c r="S238" s="35">
        <f>IF(AND(D238/Frequency!$N$7&gt;5, D238/Frequency!$N$7&lt;=10),1,0)*E238</f>
        <v>0</v>
      </c>
      <c r="T238" s="35">
        <f t="shared" si="170"/>
        <v>0</v>
      </c>
      <c r="U238" s="35">
        <f>IF(AND(D238/Frequency!$N$7&gt;10, D238/Frequency!$N$7&lt;=20),1,0)*E238</f>
        <v>5</v>
      </c>
      <c r="V238" s="35">
        <f t="shared" si="171"/>
        <v>65</v>
      </c>
      <c r="W238" s="35">
        <f>IF(AND(D238/Frequency!$N$7&gt;20, D238/Frequency!$N$7&lt;=30),1,0)*E238</f>
        <v>0</v>
      </c>
      <c r="X238" s="35">
        <f t="shared" si="172"/>
        <v>0</v>
      </c>
      <c r="Y238" s="35">
        <f>IF(AND(D238/Frequency!$N$7&gt;30, D238/Frequency!$N$7&lt;=50),1,0)*E238</f>
        <v>0</v>
      </c>
      <c r="Z238" s="35">
        <f t="shared" si="173"/>
        <v>0</v>
      </c>
      <c r="AA238" s="35">
        <f>IF(AND(D238/Frequency!$N$7&gt;50, D238/Frequency!$N$7&lt;=100),1,0)*E238</f>
        <v>0</v>
      </c>
      <c r="AB238" s="35">
        <f t="shared" si="174"/>
        <v>0</v>
      </c>
      <c r="AC238" s="35">
        <f>IF(D238/Frequency!$N$7&gt;100,1,0)*E238</f>
        <v>0</v>
      </c>
      <c r="AD238" s="35">
        <f t="shared" si="175"/>
        <v>0</v>
      </c>
      <c r="AE238" s="22">
        <f t="shared" si="176"/>
        <v>5</v>
      </c>
      <c r="AF238" s="22">
        <f t="shared" si="177"/>
        <v>0</v>
      </c>
      <c r="AG238" s="22">
        <f t="shared" si="178"/>
        <v>0</v>
      </c>
      <c r="AH238" s="22">
        <f t="shared" si="179"/>
        <v>0</v>
      </c>
      <c r="AI238" s="35">
        <f t="shared" si="180"/>
        <v>1</v>
      </c>
      <c r="AJ238" s="35">
        <f t="shared" si="181"/>
        <v>5</v>
      </c>
      <c r="AK238" s="35">
        <f t="shared" si="182"/>
        <v>65</v>
      </c>
      <c r="AL238">
        <f t="shared" si="183"/>
        <v>0</v>
      </c>
      <c r="AM238">
        <f t="shared" si="184"/>
        <v>0</v>
      </c>
      <c r="AN238">
        <f t="shared" si="185"/>
        <v>0</v>
      </c>
      <c r="AO238">
        <f t="shared" si="186"/>
        <v>0</v>
      </c>
      <c r="AP238">
        <f t="shared" si="187"/>
        <v>0</v>
      </c>
      <c r="AQ238">
        <f t="shared" si="188"/>
        <v>0</v>
      </c>
      <c r="AR238">
        <f t="shared" si="189"/>
        <v>0</v>
      </c>
      <c r="AS238">
        <f t="shared" si="190"/>
        <v>0</v>
      </c>
      <c r="AT238">
        <f t="shared" si="191"/>
        <v>0</v>
      </c>
      <c r="AU238">
        <f t="shared" si="192"/>
        <v>1</v>
      </c>
      <c r="AV238">
        <v>0</v>
      </c>
      <c r="AW238">
        <v>0</v>
      </c>
      <c r="AX238">
        <f t="shared" si="193"/>
        <v>0</v>
      </c>
      <c r="AY238">
        <f t="shared" si="194"/>
        <v>0</v>
      </c>
      <c r="AZ238">
        <f t="shared" si="195"/>
        <v>0</v>
      </c>
      <c r="BA238">
        <f t="shared" si="196"/>
        <v>0</v>
      </c>
      <c r="BB238">
        <f t="shared" si="197"/>
        <v>0</v>
      </c>
      <c r="BC238">
        <f t="shared" si="198"/>
        <v>0</v>
      </c>
      <c r="BD238">
        <f t="shared" si="199"/>
        <v>0</v>
      </c>
      <c r="BE238">
        <f t="shared" si="200"/>
        <v>0</v>
      </c>
      <c r="BF238">
        <f t="shared" si="201"/>
        <v>0</v>
      </c>
      <c r="BG238">
        <f t="shared" si="202"/>
        <v>0</v>
      </c>
      <c r="BH238">
        <f t="shared" si="203"/>
        <v>0</v>
      </c>
      <c r="BI238">
        <f t="shared" si="204"/>
        <v>0</v>
      </c>
      <c r="BJ238">
        <v>0</v>
      </c>
      <c r="BK238" t="str">
        <f t="shared" si="218"/>
        <v>Big Win</v>
      </c>
      <c r="BL238" s="40" t="str">
        <f t="shared" si="219"/>
        <v>Free Plays A</v>
      </c>
      <c r="BM238">
        <f>(D238/Frequency!$N$7-Summary!$C$7)^2*E238</f>
        <v>739.32799999999997</v>
      </c>
      <c r="BN238">
        <f t="shared" si="205"/>
        <v>65</v>
      </c>
      <c r="BO238">
        <f t="shared" si="206"/>
        <v>0</v>
      </c>
      <c r="BP238">
        <f t="shared" si="207"/>
        <v>0</v>
      </c>
      <c r="BQ238">
        <f t="shared" si="208"/>
        <v>0</v>
      </c>
      <c r="BR238">
        <f t="shared" si="209"/>
        <v>0</v>
      </c>
      <c r="BS238">
        <f t="shared" si="210"/>
        <v>5</v>
      </c>
      <c r="BT238">
        <f t="shared" si="211"/>
        <v>65</v>
      </c>
      <c r="BU238">
        <f t="shared" si="212"/>
        <v>0</v>
      </c>
      <c r="BV238">
        <f t="shared" si="213"/>
        <v>0</v>
      </c>
      <c r="BW238">
        <f t="shared" si="214"/>
        <v>0</v>
      </c>
      <c r="BX238">
        <f t="shared" si="215"/>
        <v>0</v>
      </c>
    </row>
    <row r="239" spans="2:76">
      <c r="B239" s="19">
        <f>Tiers!B240</f>
        <v>237</v>
      </c>
      <c r="C239" s="20" t="str">
        <f>Tiers!X240</f>
        <v>main-18|freeplayA-15||||||||</v>
      </c>
      <c r="D239" s="21">
        <f>Tiers!C240</f>
        <v>4</v>
      </c>
      <c r="E239" s="22">
        <f>Frequency!E241</f>
        <v>10</v>
      </c>
      <c r="F239" s="22">
        <f t="shared" si="165"/>
        <v>40</v>
      </c>
      <c r="G239" s="20">
        <f>IF(AND(D239/Summary!$C$4&gt;0, D239/Summary!$C$4&lt;5),E239,0) * D239</f>
        <v>40</v>
      </c>
      <c r="H239" s="20">
        <f>IF(AND(D239/Summary!$C$4&gt;= 5, D239/Summary!$C$4&lt;10),E239,0) * D239</f>
        <v>0</v>
      </c>
      <c r="I239" s="20">
        <f>IF(AND(D239/Summary!$C$4&gt;=10, D239/Summary!$C$4&lt;25),E239,0)*D239</f>
        <v>0</v>
      </c>
      <c r="J239" s="20">
        <f>IF(D239/Summary!$C$4&gt;=25,E239,0)*D239</f>
        <v>0</v>
      </c>
      <c r="K239" s="35">
        <f>IF(AND(D239/Frequency!$N$7&gt;0, D239/Frequency!$N$7&lt;1),E239,0)</f>
        <v>0</v>
      </c>
      <c r="L239" s="35">
        <f t="shared" si="166"/>
        <v>0</v>
      </c>
      <c r="M239" s="35">
        <f>IF(D239/Frequency!$N$7=1,1,0)*E239</f>
        <v>0</v>
      </c>
      <c r="N239" s="35">
        <f t="shared" si="167"/>
        <v>0</v>
      </c>
      <c r="O239" s="35">
        <f>IF(AND(D239/Frequency!$N$7&gt;1, D239/Frequency!$N$7&lt;=2),1,0)*E239</f>
        <v>0</v>
      </c>
      <c r="P239" s="35">
        <f t="shared" si="168"/>
        <v>0</v>
      </c>
      <c r="Q239" s="35">
        <f>IF(AND(D239/Frequency!$N$7&gt;2,D239/Frequency!$N$7&lt;=5),1,0)*E239</f>
        <v>10</v>
      </c>
      <c r="R239" s="35">
        <f t="shared" si="169"/>
        <v>40</v>
      </c>
      <c r="S239" s="35">
        <f>IF(AND(D239/Frequency!$N$7&gt;5, D239/Frequency!$N$7&lt;=10),1,0)*E239</f>
        <v>0</v>
      </c>
      <c r="T239" s="35">
        <f t="shared" si="170"/>
        <v>0</v>
      </c>
      <c r="U239" s="35">
        <f>IF(AND(D239/Frequency!$N$7&gt;10, D239/Frequency!$N$7&lt;=20),1,0)*E239</f>
        <v>0</v>
      </c>
      <c r="V239" s="35">
        <f t="shared" si="171"/>
        <v>0</v>
      </c>
      <c r="W239" s="35">
        <f>IF(AND(D239/Frequency!$N$7&gt;20, D239/Frequency!$N$7&lt;=30),1,0)*E239</f>
        <v>0</v>
      </c>
      <c r="X239" s="35">
        <f t="shared" si="172"/>
        <v>0</v>
      </c>
      <c r="Y239" s="35">
        <f>IF(AND(D239/Frequency!$N$7&gt;30, D239/Frequency!$N$7&lt;=50),1,0)*E239</f>
        <v>0</v>
      </c>
      <c r="Z239" s="35">
        <f t="shared" si="173"/>
        <v>0</v>
      </c>
      <c r="AA239" s="35">
        <f>IF(AND(D239/Frequency!$N$7&gt;50, D239/Frequency!$N$7&lt;=100),1,0)*E239</f>
        <v>0</v>
      </c>
      <c r="AB239" s="35">
        <f t="shared" si="174"/>
        <v>0</v>
      </c>
      <c r="AC239" s="35">
        <f>IF(D239/Frequency!$N$7&gt;100,1,0)*E239</f>
        <v>0</v>
      </c>
      <c r="AD239" s="35">
        <f t="shared" si="175"/>
        <v>0</v>
      </c>
      <c r="AE239" s="22">
        <f t="shared" si="176"/>
        <v>10</v>
      </c>
      <c r="AF239" s="22">
        <f t="shared" si="177"/>
        <v>0</v>
      </c>
      <c r="AG239" s="22">
        <f t="shared" si="178"/>
        <v>0</v>
      </c>
      <c r="AH239" s="22">
        <f t="shared" si="179"/>
        <v>0</v>
      </c>
      <c r="AI239" s="35">
        <f t="shared" si="180"/>
        <v>1</v>
      </c>
      <c r="AJ239" s="35">
        <f t="shared" si="181"/>
        <v>10</v>
      </c>
      <c r="AK239" s="35">
        <f t="shared" si="182"/>
        <v>40</v>
      </c>
      <c r="AL239">
        <f t="shared" si="183"/>
        <v>0</v>
      </c>
      <c r="AM239">
        <f t="shared" si="184"/>
        <v>0</v>
      </c>
      <c r="AN239">
        <f t="shared" si="185"/>
        <v>0</v>
      </c>
      <c r="AO239">
        <f t="shared" si="186"/>
        <v>0</v>
      </c>
      <c r="AP239">
        <f t="shared" si="187"/>
        <v>0</v>
      </c>
      <c r="AQ239">
        <f t="shared" si="188"/>
        <v>0</v>
      </c>
      <c r="AR239">
        <f t="shared" si="189"/>
        <v>0</v>
      </c>
      <c r="AS239">
        <f t="shared" si="190"/>
        <v>0</v>
      </c>
      <c r="AT239">
        <f t="shared" si="191"/>
        <v>0</v>
      </c>
      <c r="AU239">
        <f t="shared" si="192"/>
        <v>1</v>
      </c>
      <c r="AV239">
        <v>0</v>
      </c>
      <c r="AW239">
        <v>0</v>
      </c>
      <c r="AX239">
        <f t="shared" si="193"/>
        <v>0</v>
      </c>
      <c r="AY239">
        <f t="shared" si="194"/>
        <v>0</v>
      </c>
      <c r="AZ239">
        <f t="shared" si="195"/>
        <v>0</v>
      </c>
      <c r="BA239">
        <f t="shared" si="196"/>
        <v>0</v>
      </c>
      <c r="BB239">
        <f t="shared" si="197"/>
        <v>0</v>
      </c>
      <c r="BC239">
        <f t="shared" si="198"/>
        <v>0</v>
      </c>
      <c r="BD239">
        <f t="shared" si="199"/>
        <v>0</v>
      </c>
      <c r="BE239">
        <f t="shared" si="200"/>
        <v>0</v>
      </c>
      <c r="BF239">
        <f t="shared" si="201"/>
        <v>0</v>
      </c>
      <c r="BG239">
        <f t="shared" si="202"/>
        <v>0</v>
      </c>
      <c r="BH239">
        <f t="shared" si="203"/>
        <v>0</v>
      </c>
      <c r="BI239">
        <f t="shared" si="204"/>
        <v>0</v>
      </c>
      <c r="BJ239">
        <v>0</v>
      </c>
      <c r="BK239" t="str">
        <f t="shared" si="218"/>
        <v>Standard Win</v>
      </c>
      <c r="BL239" s="40" t="str">
        <f t="shared" si="219"/>
        <v>Free Plays A</v>
      </c>
      <c r="BM239">
        <f>(D239/Frequency!$N$7-Summary!$C$7)^2*E239</f>
        <v>99.856000000000023</v>
      </c>
      <c r="BN239">
        <f t="shared" si="205"/>
        <v>40</v>
      </c>
      <c r="BO239">
        <f t="shared" si="206"/>
        <v>0</v>
      </c>
      <c r="BP239">
        <f t="shared" si="207"/>
        <v>0</v>
      </c>
      <c r="BQ239">
        <f t="shared" si="208"/>
        <v>0</v>
      </c>
      <c r="BR239">
        <f t="shared" si="209"/>
        <v>0</v>
      </c>
      <c r="BS239">
        <f t="shared" si="210"/>
        <v>10</v>
      </c>
      <c r="BT239">
        <f t="shared" si="211"/>
        <v>40</v>
      </c>
      <c r="BU239">
        <f t="shared" si="212"/>
        <v>0</v>
      </c>
      <c r="BV239">
        <f t="shared" si="213"/>
        <v>0</v>
      </c>
      <c r="BW239">
        <f t="shared" si="214"/>
        <v>0</v>
      </c>
      <c r="BX239">
        <f t="shared" si="215"/>
        <v>0</v>
      </c>
    </row>
    <row r="240" spans="2:76">
      <c r="B240" s="19">
        <f>Tiers!B241</f>
        <v>238</v>
      </c>
      <c r="C240" s="20" t="str">
        <f>Tiers!X241</f>
        <v>main-0|wild-11|freeplayA-14|||||||</v>
      </c>
      <c r="D240" s="21">
        <f>Tiers!C241</f>
        <v>5.0999999999999996</v>
      </c>
      <c r="E240" s="22">
        <f>Frequency!E242</f>
        <v>10</v>
      </c>
      <c r="F240" s="22">
        <f t="shared" si="165"/>
        <v>51</v>
      </c>
      <c r="G240" s="20">
        <f>IF(AND(D240/Summary!$C$4&gt;0, D240/Summary!$C$4&lt;5),E240,0) * D240</f>
        <v>0</v>
      </c>
      <c r="H240" s="20">
        <f>IF(AND(D240/Summary!$C$4&gt;= 5, D240/Summary!$C$4&lt;10),E240,0) * D240</f>
        <v>51</v>
      </c>
      <c r="I240" s="20">
        <f>IF(AND(D240/Summary!$C$4&gt;=10, D240/Summary!$C$4&lt;25),E240,0)*D240</f>
        <v>0</v>
      </c>
      <c r="J240" s="20">
        <f>IF(D240/Summary!$C$4&gt;=25,E240,0)*D240</f>
        <v>0</v>
      </c>
      <c r="K240" s="35">
        <f>IF(AND(D240/Frequency!$N$7&gt;0, D240/Frequency!$N$7&lt;1),E240,0)</f>
        <v>0</v>
      </c>
      <c r="L240" s="35">
        <f t="shared" si="166"/>
        <v>0</v>
      </c>
      <c r="M240" s="35">
        <f>IF(D240/Frequency!$N$7=1,1,0)*E240</f>
        <v>0</v>
      </c>
      <c r="N240" s="35">
        <f t="shared" si="167"/>
        <v>0</v>
      </c>
      <c r="O240" s="35">
        <f>IF(AND(D240/Frequency!$N$7&gt;1, D240/Frequency!$N$7&lt;=2),1,0)*E240</f>
        <v>0</v>
      </c>
      <c r="P240" s="35">
        <f t="shared" si="168"/>
        <v>0</v>
      </c>
      <c r="Q240" s="35">
        <f>IF(AND(D240/Frequency!$N$7&gt;2,D240/Frequency!$N$7&lt;=5),1,0)*E240</f>
        <v>0</v>
      </c>
      <c r="R240" s="35">
        <f t="shared" si="169"/>
        <v>0</v>
      </c>
      <c r="S240" s="35">
        <f>IF(AND(D240/Frequency!$N$7&gt;5, D240/Frequency!$N$7&lt;=10),1,0)*E240</f>
        <v>10</v>
      </c>
      <c r="T240" s="35">
        <f t="shared" si="170"/>
        <v>51</v>
      </c>
      <c r="U240" s="35">
        <f>IF(AND(D240/Frequency!$N$7&gt;10, D240/Frequency!$N$7&lt;=20),1,0)*E240</f>
        <v>0</v>
      </c>
      <c r="V240" s="35">
        <f t="shared" si="171"/>
        <v>0</v>
      </c>
      <c r="W240" s="35">
        <f>IF(AND(D240/Frequency!$N$7&gt;20, D240/Frequency!$N$7&lt;=30),1,0)*E240</f>
        <v>0</v>
      </c>
      <c r="X240" s="35">
        <f t="shared" si="172"/>
        <v>0</v>
      </c>
      <c r="Y240" s="35">
        <f>IF(AND(D240/Frequency!$N$7&gt;30, D240/Frequency!$N$7&lt;=50),1,0)*E240</f>
        <v>0</v>
      </c>
      <c r="Z240" s="35">
        <f t="shared" si="173"/>
        <v>0</v>
      </c>
      <c r="AA240" s="35">
        <f>IF(AND(D240/Frequency!$N$7&gt;50, D240/Frequency!$N$7&lt;=100),1,0)*E240</f>
        <v>0</v>
      </c>
      <c r="AB240" s="35">
        <f t="shared" si="174"/>
        <v>0</v>
      </c>
      <c r="AC240" s="35">
        <f>IF(D240/Frequency!$N$7&gt;100,1,0)*E240</f>
        <v>0</v>
      </c>
      <c r="AD240" s="35">
        <f t="shared" si="175"/>
        <v>0</v>
      </c>
      <c r="AE240" s="22">
        <f t="shared" si="176"/>
        <v>10</v>
      </c>
      <c r="AF240" s="22">
        <f t="shared" si="177"/>
        <v>0</v>
      </c>
      <c r="AG240" s="22">
        <f t="shared" si="178"/>
        <v>0</v>
      </c>
      <c r="AH240" s="22">
        <f t="shared" si="179"/>
        <v>0</v>
      </c>
      <c r="AI240" s="35">
        <f t="shared" si="180"/>
        <v>1</v>
      </c>
      <c r="AJ240" s="35">
        <f t="shared" si="181"/>
        <v>10</v>
      </c>
      <c r="AK240" s="35">
        <f t="shared" si="182"/>
        <v>51</v>
      </c>
      <c r="AL240">
        <f t="shared" si="183"/>
        <v>1</v>
      </c>
      <c r="AM240">
        <f t="shared" si="184"/>
        <v>10</v>
      </c>
      <c r="AN240">
        <f t="shared" si="185"/>
        <v>51</v>
      </c>
      <c r="AO240">
        <f t="shared" si="186"/>
        <v>1</v>
      </c>
      <c r="AP240">
        <f t="shared" si="187"/>
        <v>10</v>
      </c>
      <c r="AQ240">
        <f t="shared" si="188"/>
        <v>51</v>
      </c>
      <c r="AR240">
        <f t="shared" si="189"/>
        <v>0</v>
      </c>
      <c r="AS240">
        <f t="shared" si="190"/>
        <v>0</v>
      </c>
      <c r="AT240">
        <f t="shared" si="191"/>
        <v>0</v>
      </c>
      <c r="AU240">
        <f t="shared" si="192"/>
        <v>1</v>
      </c>
      <c r="AV240">
        <v>0</v>
      </c>
      <c r="AW240">
        <v>0</v>
      </c>
      <c r="AX240">
        <f t="shared" si="193"/>
        <v>0</v>
      </c>
      <c r="AY240">
        <f t="shared" si="194"/>
        <v>0</v>
      </c>
      <c r="AZ240">
        <f t="shared" si="195"/>
        <v>0</v>
      </c>
      <c r="BA240">
        <f t="shared" si="196"/>
        <v>0</v>
      </c>
      <c r="BB240">
        <f t="shared" si="197"/>
        <v>0</v>
      </c>
      <c r="BC240">
        <f t="shared" si="198"/>
        <v>0</v>
      </c>
      <c r="BD240">
        <f t="shared" si="199"/>
        <v>0</v>
      </c>
      <c r="BE240">
        <f t="shared" si="200"/>
        <v>0</v>
      </c>
      <c r="BF240">
        <f t="shared" si="201"/>
        <v>0</v>
      </c>
      <c r="BG240">
        <f t="shared" si="202"/>
        <v>0</v>
      </c>
      <c r="BH240">
        <f t="shared" si="203"/>
        <v>0</v>
      </c>
      <c r="BI240">
        <f t="shared" si="204"/>
        <v>0</v>
      </c>
      <c r="BJ240">
        <v>0</v>
      </c>
      <c r="BK240" t="str">
        <f t="shared" si="218"/>
        <v>Standard Win</v>
      </c>
      <c r="BL240" s="40" t="str">
        <f t="shared" si="219"/>
        <v>Free Plays A</v>
      </c>
      <c r="BM240">
        <f>(D240/Frequency!$N$7-Summary!$C$7)^2*E240</f>
        <v>181.47599999999997</v>
      </c>
      <c r="BN240">
        <f t="shared" si="205"/>
        <v>51</v>
      </c>
      <c r="BO240">
        <f t="shared" si="206"/>
        <v>0</v>
      </c>
      <c r="BP240">
        <f t="shared" si="207"/>
        <v>0</v>
      </c>
      <c r="BQ240">
        <f t="shared" si="208"/>
        <v>0</v>
      </c>
      <c r="BR240">
        <f t="shared" si="209"/>
        <v>0</v>
      </c>
      <c r="BS240">
        <f t="shared" si="210"/>
        <v>10</v>
      </c>
      <c r="BT240">
        <f t="shared" si="211"/>
        <v>51</v>
      </c>
      <c r="BU240">
        <f t="shared" si="212"/>
        <v>0</v>
      </c>
      <c r="BV240">
        <f t="shared" si="213"/>
        <v>0</v>
      </c>
      <c r="BW240">
        <f t="shared" si="214"/>
        <v>0</v>
      </c>
      <c r="BX240">
        <f t="shared" si="215"/>
        <v>0</v>
      </c>
    </row>
    <row r="241" spans="2:76">
      <c r="B241" s="19">
        <f>Tiers!B242</f>
        <v>239</v>
      </c>
      <c r="C241" s="20" t="str">
        <f>Tiers!X242</f>
        <v>main-1|wild-12|freeplayA-17|||||||</v>
      </c>
      <c r="D241" s="21">
        <f>Tiers!C242</f>
        <v>6.2</v>
      </c>
      <c r="E241" s="22">
        <f>Frequency!E243</f>
        <v>5</v>
      </c>
      <c r="F241" s="22">
        <f t="shared" si="165"/>
        <v>31</v>
      </c>
      <c r="G241" s="20">
        <f>IF(AND(D241/Summary!$C$4&gt;0, D241/Summary!$C$4&lt;5),E241,0) * D241</f>
        <v>0</v>
      </c>
      <c r="H241" s="20">
        <f>IF(AND(D241/Summary!$C$4&gt;= 5, D241/Summary!$C$4&lt;10),E241,0) * D241</f>
        <v>31</v>
      </c>
      <c r="I241" s="20">
        <f>IF(AND(D241/Summary!$C$4&gt;=10, D241/Summary!$C$4&lt;25),E241,0)*D241</f>
        <v>0</v>
      </c>
      <c r="J241" s="20">
        <f>IF(D241/Summary!$C$4&gt;=25,E241,0)*D241</f>
        <v>0</v>
      </c>
      <c r="K241" s="35">
        <f>IF(AND(D241/Frequency!$N$7&gt;0, D241/Frequency!$N$7&lt;1),E241,0)</f>
        <v>0</v>
      </c>
      <c r="L241" s="35">
        <f t="shared" si="166"/>
        <v>0</v>
      </c>
      <c r="M241" s="35">
        <f>IF(D241/Frequency!$N$7=1,1,0)*E241</f>
        <v>0</v>
      </c>
      <c r="N241" s="35">
        <f t="shared" si="167"/>
        <v>0</v>
      </c>
      <c r="O241" s="35">
        <f>IF(AND(D241/Frequency!$N$7&gt;1, D241/Frequency!$N$7&lt;=2),1,0)*E241</f>
        <v>0</v>
      </c>
      <c r="P241" s="35">
        <f t="shared" si="168"/>
        <v>0</v>
      </c>
      <c r="Q241" s="35">
        <f>IF(AND(D241/Frequency!$N$7&gt;2,D241/Frequency!$N$7&lt;=5),1,0)*E241</f>
        <v>0</v>
      </c>
      <c r="R241" s="35">
        <f t="shared" si="169"/>
        <v>0</v>
      </c>
      <c r="S241" s="35">
        <f>IF(AND(D241/Frequency!$N$7&gt;5, D241/Frequency!$N$7&lt;=10),1,0)*E241</f>
        <v>5</v>
      </c>
      <c r="T241" s="35">
        <f t="shared" si="170"/>
        <v>31</v>
      </c>
      <c r="U241" s="35">
        <f>IF(AND(D241/Frequency!$N$7&gt;10, D241/Frequency!$N$7&lt;=20),1,0)*E241</f>
        <v>0</v>
      </c>
      <c r="V241" s="35">
        <f t="shared" si="171"/>
        <v>0</v>
      </c>
      <c r="W241" s="35">
        <f>IF(AND(D241/Frequency!$N$7&gt;20, D241/Frequency!$N$7&lt;=30),1,0)*E241</f>
        <v>0</v>
      </c>
      <c r="X241" s="35">
        <f t="shared" si="172"/>
        <v>0</v>
      </c>
      <c r="Y241" s="35">
        <f>IF(AND(D241/Frequency!$N$7&gt;30, D241/Frequency!$N$7&lt;=50),1,0)*E241</f>
        <v>0</v>
      </c>
      <c r="Z241" s="35">
        <f t="shared" si="173"/>
        <v>0</v>
      </c>
      <c r="AA241" s="35">
        <f>IF(AND(D241/Frequency!$N$7&gt;50, D241/Frequency!$N$7&lt;=100),1,0)*E241</f>
        <v>0</v>
      </c>
      <c r="AB241" s="35">
        <f t="shared" si="174"/>
        <v>0</v>
      </c>
      <c r="AC241" s="35">
        <f>IF(D241/Frequency!$N$7&gt;100,1,0)*E241</f>
        <v>0</v>
      </c>
      <c r="AD241" s="35">
        <f t="shared" si="175"/>
        <v>0</v>
      </c>
      <c r="AE241" s="22">
        <f t="shared" si="176"/>
        <v>5</v>
      </c>
      <c r="AF241" s="22">
        <f t="shared" si="177"/>
        <v>0</v>
      </c>
      <c r="AG241" s="22">
        <f t="shared" si="178"/>
        <v>0</v>
      </c>
      <c r="AH241" s="22">
        <f t="shared" si="179"/>
        <v>0</v>
      </c>
      <c r="AI241" s="35">
        <f t="shared" si="180"/>
        <v>1</v>
      </c>
      <c r="AJ241" s="35">
        <f t="shared" si="181"/>
        <v>5</v>
      </c>
      <c r="AK241" s="35">
        <f t="shared" si="182"/>
        <v>31</v>
      </c>
      <c r="AL241">
        <f t="shared" si="183"/>
        <v>1</v>
      </c>
      <c r="AM241">
        <f t="shared" si="184"/>
        <v>5</v>
      </c>
      <c r="AN241">
        <f t="shared" si="185"/>
        <v>31</v>
      </c>
      <c r="AO241">
        <f t="shared" si="186"/>
        <v>1</v>
      </c>
      <c r="AP241">
        <f t="shared" si="187"/>
        <v>5</v>
      </c>
      <c r="AQ241">
        <f t="shared" si="188"/>
        <v>31</v>
      </c>
      <c r="AR241">
        <f t="shared" si="189"/>
        <v>0</v>
      </c>
      <c r="AS241">
        <f t="shared" si="190"/>
        <v>0</v>
      </c>
      <c r="AT241">
        <f t="shared" si="191"/>
        <v>0</v>
      </c>
      <c r="AU241">
        <f t="shared" si="192"/>
        <v>1</v>
      </c>
      <c r="AV241">
        <v>0</v>
      </c>
      <c r="AW241">
        <v>0</v>
      </c>
      <c r="AX241">
        <f t="shared" si="193"/>
        <v>0</v>
      </c>
      <c r="AY241">
        <f t="shared" si="194"/>
        <v>0</v>
      </c>
      <c r="AZ241">
        <f t="shared" si="195"/>
        <v>0</v>
      </c>
      <c r="BA241">
        <f t="shared" si="196"/>
        <v>0</v>
      </c>
      <c r="BB241">
        <f t="shared" si="197"/>
        <v>0</v>
      </c>
      <c r="BC241">
        <f t="shared" si="198"/>
        <v>0</v>
      </c>
      <c r="BD241">
        <f t="shared" si="199"/>
        <v>0</v>
      </c>
      <c r="BE241">
        <f t="shared" si="200"/>
        <v>0</v>
      </c>
      <c r="BF241">
        <f t="shared" si="201"/>
        <v>0</v>
      </c>
      <c r="BG241">
        <f t="shared" si="202"/>
        <v>0</v>
      </c>
      <c r="BH241">
        <f t="shared" si="203"/>
        <v>0</v>
      </c>
      <c r="BI241">
        <f t="shared" si="204"/>
        <v>0</v>
      </c>
      <c r="BJ241">
        <v>0</v>
      </c>
      <c r="BK241" t="str">
        <f t="shared" si="218"/>
        <v>Standard Win</v>
      </c>
      <c r="BL241" s="40" t="str">
        <f t="shared" si="219"/>
        <v>Free Plays A</v>
      </c>
      <c r="BM241">
        <f>(D241/Frequency!$N$7-Summary!$C$7)^2*E241</f>
        <v>143.64800000000002</v>
      </c>
      <c r="BN241">
        <f t="shared" si="205"/>
        <v>31</v>
      </c>
      <c r="BO241">
        <f t="shared" si="206"/>
        <v>0</v>
      </c>
      <c r="BP241">
        <f t="shared" si="207"/>
        <v>0</v>
      </c>
      <c r="BQ241">
        <f t="shared" si="208"/>
        <v>0</v>
      </c>
      <c r="BR241">
        <f t="shared" si="209"/>
        <v>0</v>
      </c>
      <c r="BS241">
        <f t="shared" si="210"/>
        <v>5</v>
      </c>
      <c r="BT241">
        <f t="shared" si="211"/>
        <v>31</v>
      </c>
      <c r="BU241">
        <f t="shared" si="212"/>
        <v>0</v>
      </c>
      <c r="BV241">
        <f t="shared" si="213"/>
        <v>0</v>
      </c>
      <c r="BW241">
        <f t="shared" si="214"/>
        <v>0</v>
      </c>
      <c r="BX241">
        <f t="shared" si="215"/>
        <v>0</v>
      </c>
    </row>
    <row r="242" spans="2:76">
      <c r="B242" s="19">
        <f>Tiers!B243</f>
        <v>240</v>
      </c>
      <c r="C242" s="20" t="str">
        <f>Tiers!X243</f>
        <v>main-0|main-0|freeplayA-24|||||||</v>
      </c>
      <c r="D242" s="21">
        <f>Tiers!C243</f>
        <v>11.399999999999999</v>
      </c>
      <c r="E242" s="22">
        <f>Frequency!E244</f>
        <v>20</v>
      </c>
      <c r="F242" s="22">
        <f t="shared" si="165"/>
        <v>227.99999999999997</v>
      </c>
      <c r="G242" s="20">
        <f>IF(AND(D242/Summary!$C$4&gt;0, D242/Summary!$C$4&lt;5),E242,0) * D242</f>
        <v>0</v>
      </c>
      <c r="H242" s="20">
        <f>IF(AND(D242/Summary!$C$4&gt;= 5, D242/Summary!$C$4&lt;10),E242,0) * D242</f>
        <v>0</v>
      </c>
      <c r="I242" s="20">
        <f>IF(AND(D242/Summary!$C$4&gt;=10, D242/Summary!$C$4&lt;25),E242,0)*D242</f>
        <v>227.99999999999997</v>
      </c>
      <c r="J242" s="20">
        <f>IF(D242/Summary!$C$4&gt;=25,E242,0)*D242</f>
        <v>0</v>
      </c>
      <c r="K242" s="35">
        <f>IF(AND(D242/Frequency!$N$7&gt;0, D242/Frequency!$N$7&lt;1),E242,0)</f>
        <v>0</v>
      </c>
      <c r="L242" s="35">
        <f t="shared" si="166"/>
        <v>0</v>
      </c>
      <c r="M242" s="35">
        <f>IF(D242/Frequency!$N$7=1,1,0)*E242</f>
        <v>0</v>
      </c>
      <c r="N242" s="35">
        <f t="shared" si="167"/>
        <v>0</v>
      </c>
      <c r="O242" s="35">
        <f>IF(AND(D242/Frequency!$N$7&gt;1, D242/Frequency!$N$7&lt;=2),1,0)*E242</f>
        <v>0</v>
      </c>
      <c r="P242" s="35">
        <f t="shared" si="168"/>
        <v>0</v>
      </c>
      <c r="Q242" s="35">
        <f>IF(AND(D242/Frequency!$N$7&gt;2,D242/Frequency!$N$7&lt;=5),1,0)*E242</f>
        <v>0</v>
      </c>
      <c r="R242" s="35">
        <f t="shared" si="169"/>
        <v>0</v>
      </c>
      <c r="S242" s="35">
        <f>IF(AND(D242/Frequency!$N$7&gt;5, D242/Frequency!$N$7&lt;=10),1,0)*E242</f>
        <v>0</v>
      </c>
      <c r="T242" s="35">
        <f t="shared" si="170"/>
        <v>0</v>
      </c>
      <c r="U242" s="35">
        <f>IF(AND(D242/Frequency!$N$7&gt;10, D242/Frequency!$N$7&lt;=20),1,0)*E242</f>
        <v>20</v>
      </c>
      <c r="V242" s="35">
        <f t="shared" si="171"/>
        <v>227.99999999999997</v>
      </c>
      <c r="W242" s="35">
        <f>IF(AND(D242/Frequency!$N$7&gt;20, D242/Frequency!$N$7&lt;=30),1,0)*E242</f>
        <v>0</v>
      </c>
      <c r="X242" s="35">
        <f t="shared" si="172"/>
        <v>0</v>
      </c>
      <c r="Y242" s="35">
        <f>IF(AND(D242/Frequency!$N$7&gt;30, D242/Frequency!$N$7&lt;=50),1,0)*E242</f>
        <v>0</v>
      </c>
      <c r="Z242" s="35">
        <f t="shared" si="173"/>
        <v>0</v>
      </c>
      <c r="AA242" s="35">
        <f>IF(AND(D242/Frequency!$N$7&gt;50, D242/Frequency!$N$7&lt;=100),1,0)*E242</f>
        <v>0</v>
      </c>
      <c r="AB242" s="35">
        <f t="shared" si="174"/>
        <v>0</v>
      </c>
      <c r="AC242" s="35">
        <f>IF(D242/Frequency!$N$7&gt;100,1,0)*E242</f>
        <v>0</v>
      </c>
      <c r="AD242" s="35">
        <f t="shared" si="175"/>
        <v>0</v>
      </c>
      <c r="AE242" s="22">
        <f t="shared" si="176"/>
        <v>20</v>
      </c>
      <c r="AF242" s="22">
        <f t="shared" si="177"/>
        <v>0</v>
      </c>
      <c r="AG242" s="22">
        <f t="shared" si="178"/>
        <v>0</v>
      </c>
      <c r="AH242" s="22">
        <f t="shared" si="179"/>
        <v>0</v>
      </c>
      <c r="AI242" s="35">
        <f t="shared" si="180"/>
        <v>1</v>
      </c>
      <c r="AJ242" s="35">
        <f t="shared" si="181"/>
        <v>20</v>
      </c>
      <c r="AK242" s="35">
        <f t="shared" si="182"/>
        <v>227.99999999999997</v>
      </c>
      <c r="AL242">
        <f t="shared" si="183"/>
        <v>0</v>
      </c>
      <c r="AM242">
        <f t="shared" si="184"/>
        <v>0</v>
      </c>
      <c r="AN242">
        <f t="shared" si="185"/>
        <v>0</v>
      </c>
      <c r="AO242">
        <f t="shared" si="186"/>
        <v>0</v>
      </c>
      <c r="AP242">
        <f t="shared" si="187"/>
        <v>0</v>
      </c>
      <c r="AQ242">
        <f t="shared" si="188"/>
        <v>0</v>
      </c>
      <c r="AR242">
        <f t="shared" si="189"/>
        <v>0</v>
      </c>
      <c r="AS242">
        <f t="shared" si="190"/>
        <v>0</v>
      </c>
      <c r="AT242">
        <f t="shared" si="191"/>
        <v>0</v>
      </c>
      <c r="AU242">
        <f t="shared" si="192"/>
        <v>1</v>
      </c>
      <c r="AV242">
        <v>0</v>
      </c>
      <c r="AW242">
        <v>0</v>
      </c>
      <c r="AX242">
        <f t="shared" si="193"/>
        <v>0</v>
      </c>
      <c r="AY242">
        <f t="shared" si="194"/>
        <v>0</v>
      </c>
      <c r="AZ242">
        <f t="shared" si="195"/>
        <v>0</v>
      </c>
      <c r="BA242">
        <f t="shared" si="196"/>
        <v>0</v>
      </c>
      <c r="BB242">
        <f t="shared" si="197"/>
        <v>0</v>
      </c>
      <c r="BC242">
        <f t="shared" si="198"/>
        <v>0</v>
      </c>
      <c r="BD242">
        <f t="shared" si="199"/>
        <v>0</v>
      </c>
      <c r="BE242">
        <f t="shared" si="200"/>
        <v>0</v>
      </c>
      <c r="BF242">
        <f t="shared" si="201"/>
        <v>0</v>
      </c>
      <c r="BG242">
        <f t="shared" si="202"/>
        <v>0</v>
      </c>
      <c r="BH242">
        <f t="shared" si="203"/>
        <v>0</v>
      </c>
      <c r="BI242">
        <f t="shared" si="204"/>
        <v>0</v>
      </c>
      <c r="BJ242">
        <v>0</v>
      </c>
      <c r="BK242" t="str">
        <f t="shared" si="218"/>
        <v>Big Win</v>
      </c>
      <c r="BL242" s="40" t="str">
        <f t="shared" si="219"/>
        <v>Free Plays A</v>
      </c>
      <c r="BM242">
        <f>(D242/Frequency!$N$7-Summary!$C$7)^2*E242</f>
        <v>2230.2719999999995</v>
      </c>
      <c r="BN242">
        <f t="shared" si="205"/>
        <v>227.99999999999997</v>
      </c>
      <c r="BO242">
        <f t="shared" si="206"/>
        <v>0</v>
      </c>
      <c r="BP242">
        <f t="shared" si="207"/>
        <v>0</v>
      </c>
      <c r="BQ242">
        <f t="shared" si="208"/>
        <v>0</v>
      </c>
      <c r="BR242">
        <f t="shared" si="209"/>
        <v>0</v>
      </c>
      <c r="BS242">
        <f t="shared" si="210"/>
        <v>20</v>
      </c>
      <c r="BT242">
        <f t="shared" si="211"/>
        <v>227.99999999999997</v>
      </c>
      <c r="BU242">
        <f t="shared" si="212"/>
        <v>0</v>
      </c>
      <c r="BV242">
        <f t="shared" si="213"/>
        <v>0</v>
      </c>
      <c r="BW242">
        <f t="shared" si="214"/>
        <v>0</v>
      </c>
      <c r="BX242">
        <f t="shared" si="215"/>
        <v>0</v>
      </c>
    </row>
    <row r="243" spans="2:76">
      <c r="B243" s="19">
        <f>Tiers!B244</f>
        <v>241</v>
      </c>
      <c r="C243" s="20" t="str">
        <f>Tiers!X244</f>
        <v>main-0|main-1|freeplayA-25|||||||</v>
      </c>
      <c r="D243" s="21">
        <f>Tiers!C244</f>
        <v>5.3</v>
      </c>
      <c r="E243" s="22">
        <f>Frequency!E245</f>
        <v>20</v>
      </c>
      <c r="F243" s="22">
        <f t="shared" si="165"/>
        <v>106</v>
      </c>
      <c r="G243" s="20">
        <f>IF(AND(D243/Summary!$C$4&gt;0, D243/Summary!$C$4&lt;5),E243,0) * D243</f>
        <v>0</v>
      </c>
      <c r="H243" s="20">
        <f>IF(AND(D243/Summary!$C$4&gt;= 5, D243/Summary!$C$4&lt;10),E243,0) * D243</f>
        <v>106</v>
      </c>
      <c r="I243" s="20">
        <f>IF(AND(D243/Summary!$C$4&gt;=10, D243/Summary!$C$4&lt;25),E243,0)*D243</f>
        <v>0</v>
      </c>
      <c r="J243" s="20">
        <f>IF(D243/Summary!$C$4&gt;=25,E243,0)*D243</f>
        <v>0</v>
      </c>
      <c r="K243" s="35">
        <f>IF(AND(D243/Frequency!$N$7&gt;0, D243/Frequency!$N$7&lt;1),E243,0)</f>
        <v>0</v>
      </c>
      <c r="L243" s="35">
        <f t="shared" si="166"/>
        <v>0</v>
      </c>
      <c r="M243" s="35">
        <f>IF(D243/Frequency!$N$7=1,1,0)*E243</f>
        <v>0</v>
      </c>
      <c r="N243" s="35">
        <f t="shared" si="167"/>
        <v>0</v>
      </c>
      <c r="O243" s="35">
        <f>IF(AND(D243/Frequency!$N$7&gt;1, D243/Frequency!$N$7&lt;=2),1,0)*E243</f>
        <v>0</v>
      </c>
      <c r="P243" s="35">
        <f t="shared" si="168"/>
        <v>0</v>
      </c>
      <c r="Q243" s="35">
        <f>IF(AND(D243/Frequency!$N$7&gt;2,D243/Frequency!$N$7&lt;=5),1,0)*E243</f>
        <v>0</v>
      </c>
      <c r="R243" s="35">
        <f t="shared" si="169"/>
        <v>0</v>
      </c>
      <c r="S243" s="35">
        <f>IF(AND(D243/Frequency!$N$7&gt;5, D243/Frequency!$N$7&lt;=10),1,0)*E243</f>
        <v>20</v>
      </c>
      <c r="T243" s="35">
        <f t="shared" si="170"/>
        <v>106</v>
      </c>
      <c r="U243" s="35">
        <f>IF(AND(D243/Frequency!$N$7&gt;10, D243/Frequency!$N$7&lt;=20),1,0)*E243</f>
        <v>0</v>
      </c>
      <c r="V243" s="35">
        <f t="shared" si="171"/>
        <v>0</v>
      </c>
      <c r="W243" s="35">
        <f>IF(AND(D243/Frequency!$N$7&gt;20, D243/Frequency!$N$7&lt;=30),1,0)*E243</f>
        <v>0</v>
      </c>
      <c r="X243" s="35">
        <f t="shared" si="172"/>
        <v>0</v>
      </c>
      <c r="Y243" s="35">
        <f>IF(AND(D243/Frequency!$N$7&gt;30, D243/Frequency!$N$7&lt;=50),1,0)*E243</f>
        <v>0</v>
      </c>
      <c r="Z243" s="35">
        <f t="shared" si="173"/>
        <v>0</v>
      </c>
      <c r="AA243" s="35">
        <f>IF(AND(D243/Frequency!$N$7&gt;50, D243/Frequency!$N$7&lt;=100),1,0)*E243</f>
        <v>0</v>
      </c>
      <c r="AB243" s="35">
        <f t="shared" si="174"/>
        <v>0</v>
      </c>
      <c r="AC243" s="35">
        <f>IF(D243/Frequency!$N$7&gt;100,1,0)*E243</f>
        <v>0</v>
      </c>
      <c r="AD243" s="35">
        <f t="shared" si="175"/>
        <v>0</v>
      </c>
      <c r="AE243" s="22">
        <f t="shared" si="176"/>
        <v>20</v>
      </c>
      <c r="AF243" s="22">
        <f t="shared" si="177"/>
        <v>0</v>
      </c>
      <c r="AG243" s="22">
        <f t="shared" si="178"/>
        <v>0</v>
      </c>
      <c r="AH243" s="22">
        <f t="shared" si="179"/>
        <v>0</v>
      </c>
      <c r="AI243" s="35">
        <f t="shared" si="180"/>
        <v>1</v>
      </c>
      <c r="AJ243" s="35">
        <f t="shared" si="181"/>
        <v>20</v>
      </c>
      <c r="AK243" s="35">
        <f t="shared" si="182"/>
        <v>106</v>
      </c>
      <c r="AL243">
        <f t="shared" si="183"/>
        <v>0</v>
      </c>
      <c r="AM243">
        <f t="shared" si="184"/>
        <v>0</v>
      </c>
      <c r="AN243">
        <f t="shared" si="185"/>
        <v>0</v>
      </c>
      <c r="AO243">
        <f t="shared" si="186"/>
        <v>0</v>
      </c>
      <c r="AP243">
        <f t="shared" si="187"/>
        <v>0</v>
      </c>
      <c r="AQ243">
        <f t="shared" si="188"/>
        <v>0</v>
      </c>
      <c r="AR243">
        <f t="shared" si="189"/>
        <v>0</v>
      </c>
      <c r="AS243">
        <f t="shared" si="190"/>
        <v>0</v>
      </c>
      <c r="AT243">
        <f t="shared" si="191"/>
        <v>0</v>
      </c>
      <c r="AU243">
        <f t="shared" si="192"/>
        <v>1</v>
      </c>
      <c r="AV243">
        <v>0</v>
      </c>
      <c r="AW243">
        <v>0</v>
      </c>
      <c r="AX243">
        <f t="shared" si="193"/>
        <v>0</v>
      </c>
      <c r="AY243">
        <f t="shared" si="194"/>
        <v>0</v>
      </c>
      <c r="AZ243">
        <f t="shared" si="195"/>
        <v>0</v>
      </c>
      <c r="BA243">
        <f t="shared" si="196"/>
        <v>0</v>
      </c>
      <c r="BB243">
        <f t="shared" si="197"/>
        <v>0</v>
      </c>
      <c r="BC243">
        <f t="shared" si="198"/>
        <v>0</v>
      </c>
      <c r="BD243">
        <f t="shared" si="199"/>
        <v>0</v>
      </c>
      <c r="BE243">
        <f t="shared" si="200"/>
        <v>0</v>
      </c>
      <c r="BF243">
        <f t="shared" si="201"/>
        <v>0</v>
      </c>
      <c r="BG243">
        <f t="shared" si="202"/>
        <v>0</v>
      </c>
      <c r="BH243">
        <f t="shared" si="203"/>
        <v>0</v>
      </c>
      <c r="BI243">
        <f t="shared" si="204"/>
        <v>0</v>
      </c>
      <c r="BJ243">
        <v>0</v>
      </c>
      <c r="BK243" t="str">
        <f t="shared" si="218"/>
        <v>Standard Win</v>
      </c>
      <c r="BL243" s="40" t="str">
        <f t="shared" si="219"/>
        <v>Free Plays A</v>
      </c>
      <c r="BM243">
        <f>(D243/Frequency!$N$7-Summary!$C$7)^2*E243</f>
        <v>397.83199999999999</v>
      </c>
      <c r="BN243">
        <f t="shared" si="205"/>
        <v>106</v>
      </c>
      <c r="BO243">
        <f t="shared" si="206"/>
        <v>0</v>
      </c>
      <c r="BP243">
        <f t="shared" si="207"/>
        <v>0</v>
      </c>
      <c r="BQ243">
        <f t="shared" si="208"/>
        <v>0</v>
      </c>
      <c r="BR243">
        <f t="shared" si="209"/>
        <v>0</v>
      </c>
      <c r="BS243">
        <f t="shared" si="210"/>
        <v>20</v>
      </c>
      <c r="BT243">
        <f t="shared" si="211"/>
        <v>106</v>
      </c>
      <c r="BU243">
        <f t="shared" si="212"/>
        <v>0</v>
      </c>
      <c r="BV243">
        <f t="shared" si="213"/>
        <v>0</v>
      </c>
      <c r="BW243">
        <f t="shared" si="214"/>
        <v>0</v>
      </c>
      <c r="BX243">
        <f t="shared" si="215"/>
        <v>0</v>
      </c>
    </row>
    <row r="244" spans="2:76">
      <c r="B244" s="19">
        <f>Tiers!B245</f>
        <v>242</v>
      </c>
      <c r="C244" s="20" t="str">
        <f>Tiers!X245</f>
        <v>main-4|wild-15|freeplayA-26|||||||</v>
      </c>
      <c r="D244" s="21">
        <f>Tiers!C245</f>
        <v>10</v>
      </c>
      <c r="E244" s="22">
        <f>Frequency!E246</f>
        <v>10</v>
      </c>
      <c r="F244" s="22">
        <f t="shared" si="165"/>
        <v>100</v>
      </c>
      <c r="G244" s="20">
        <f>IF(AND(D244/Summary!$C$4&gt;0, D244/Summary!$C$4&lt;5),E244,0) * D244</f>
        <v>0</v>
      </c>
      <c r="H244" s="20">
        <f>IF(AND(D244/Summary!$C$4&gt;= 5, D244/Summary!$C$4&lt;10),E244,0) * D244</f>
        <v>0</v>
      </c>
      <c r="I244" s="20">
        <f>IF(AND(D244/Summary!$C$4&gt;=10, D244/Summary!$C$4&lt;25),E244,0)*D244</f>
        <v>100</v>
      </c>
      <c r="J244" s="20">
        <f>IF(D244/Summary!$C$4&gt;=25,E244,0)*D244</f>
        <v>0</v>
      </c>
      <c r="K244" s="35">
        <f>IF(AND(D244/Frequency!$N$7&gt;0, D244/Frequency!$N$7&lt;1),E244,0)</f>
        <v>0</v>
      </c>
      <c r="L244" s="35">
        <f t="shared" si="166"/>
        <v>0</v>
      </c>
      <c r="M244" s="35">
        <f>IF(D244/Frequency!$N$7=1,1,0)*E244</f>
        <v>0</v>
      </c>
      <c r="N244" s="35">
        <f t="shared" si="167"/>
        <v>0</v>
      </c>
      <c r="O244" s="35">
        <f>IF(AND(D244/Frequency!$N$7&gt;1, D244/Frequency!$N$7&lt;=2),1,0)*E244</f>
        <v>0</v>
      </c>
      <c r="P244" s="35">
        <f t="shared" si="168"/>
        <v>0</v>
      </c>
      <c r="Q244" s="35">
        <f>IF(AND(D244/Frequency!$N$7&gt;2,D244/Frequency!$N$7&lt;=5),1,0)*E244</f>
        <v>0</v>
      </c>
      <c r="R244" s="35">
        <f t="shared" si="169"/>
        <v>0</v>
      </c>
      <c r="S244" s="35">
        <f>IF(AND(D244/Frequency!$N$7&gt;5, D244/Frequency!$N$7&lt;=10),1,0)*E244</f>
        <v>10</v>
      </c>
      <c r="T244" s="35">
        <f t="shared" si="170"/>
        <v>100</v>
      </c>
      <c r="U244" s="35">
        <f>IF(AND(D244/Frequency!$N$7&gt;10, D244/Frequency!$N$7&lt;=20),1,0)*E244</f>
        <v>0</v>
      </c>
      <c r="V244" s="35">
        <f t="shared" si="171"/>
        <v>0</v>
      </c>
      <c r="W244" s="35">
        <f>IF(AND(D244/Frequency!$N$7&gt;20, D244/Frequency!$N$7&lt;=30),1,0)*E244</f>
        <v>0</v>
      </c>
      <c r="X244" s="35">
        <f t="shared" si="172"/>
        <v>0</v>
      </c>
      <c r="Y244" s="35">
        <f>IF(AND(D244/Frequency!$N$7&gt;30, D244/Frequency!$N$7&lt;=50),1,0)*E244</f>
        <v>0</v>
      </c>
      <c r="Z244" s="35">
        <f t="shared" si="173"/>
        <v>0</v>
      </c>
      <c r="AA244" s="35">
        <f>IF(AND(D244/Frequency!$N$7&gt;50, D244/Frequency!$N$7&lt;=100),1,0)*E244</f>
        <v>0</v>
      </c>
      <c r="AB244" s="35">
        <f t="shared" si="174"/>
        <v>0</v>
      </c>
      <c r="AC244" s="35">
        <f>IF(D244/Frequency!$N$7&gt;100,1,0)*E244</f>
        <v>0</v>
      </c>
      <c r="AD244" s="35">
        <f t="shared" si="175"/>
        <v>0</v>
      </c>
      <c r="AE244" s="22">
        <f t="shared" si="176"/>
        <v>10</v>
      </c>
      <c r="AF244" s="22">
        <f t="shared" si="177"/>
        <v>0</v>
      </c>
      <c r="AG244" s="22">
        <f t="shared" si="178"/>
        <v>0</v>
      </c>
      <c r="AH244" s="22">
        <f t="shared" si="179"/>
        <v>0</v>
      </c>
      <c r="AI244" s="35">
        <f t="shared" si="180"/>
        <v>1</v>
      </c>
      <c r="AJ244" s="35">
        <f t="shared" si="181"/>
        <v>10</v>
      </c>
      <c r="AK244" s="35">
        <f t="shared" si="182"/>
        <v>100</v>
      </c>
      <c r="AL244">
        <f t="shared" si="183"/>
        <v>1</v>
      </c>
      <c r="AM244">
        <f t="shared" si="184"/>
        <v>10</v>
      </c>
      <c r="AN244">
        <f t="shared" si="185"/>
        <v>100</v>
      </c>
      <c r="AO244">
        <f t="shared" si="186"/>
        <v>1</v>
      </c>
      <c r="AP244">
        <f t="shared" si="187"/>
        <v>10</v>
      </c>
      <c r="AQ244">
        <f t="shared" si="188"/>
        <v>100</v>
      </c>
      <c r="AR244">
        <f t="shared" si="189"/>
        <v>0</v>
      </c>
      <c r="AS244">
        <f t="shared" si="190"/>
        <v>0</v>
      </c>
      <c r="AT244">
        <f t="shared" si="191"/>
        <v>0</v>
      </c>
      <c r="AU244">
        <f t="shared" si="192"/>
        <v>1</v>
      </c>
      <c r="AV244">
        <v>0</v>
      </c>
      <c r="AW244">
        <v>0</v>
      </c>
      <c r="AX244">
        <f t="shared" si="193"/>
        <v>0</v>
      </c>
      <c r="AY244">
        <f t="shared" si="194"/>
        <v>0</v>
      </c>
      <c r="AZ244">
        <f t="shared" si="195"/>
        <v>0</v>
      </c>
      <c r="BA244">
        <f t="shared" si="196"/>
        <v>0</v>
      </c>
      <c r="BB244">
        <f t="shared" si="197"/>
        <v>0</v>
      </c>
      <c r="BC244">
        <f t="shared" si="198"/>
        <v>0</v>
      </c>
      <c r="BD244">
        <f t="shared" si="199"/>
        <v>0</v>
      </c>
      <c r="BE244">
        <f t="shared" si="200"/>
        <v>0</v>
      </c>
      <c r="BF244">
        <f t="shared" si="201"/>
        <v>0</v>
      </c>
      <c r="BG244">
        <f t="shared" si="202"/>
        <v>0</v>
      </c>
      <c r="BH244">
        <f t="shared" si="203"/>
        <v>0</v>
      </c>
      <c r="BI244">
        <f t="shared" si="204"/>
        <v>0</v>
      </c>
      <c r="BJ244">
        <v>0</v>
      </c>
      <c r="BK244" t="str">
        <f t="shared" si="218"/>
        <v>Big Win</v>
      </c>
      <c r="BL244" s="40" t="str">
        <f t="shared" si="219"/>
        <v>Free Plays A</v>
      </c>
      <c r="BM244">
        <f>(D244/Frequency!$N$7-Summary!$C$7)^2*E244</f>
        <v>839.05600000000004</v>
      </c>
      <c r="BN244">
        <f t="shared" si="205"/>
        <v>100</v>
      </c>
      <c r="BO244">
        <f t="shared" si="206"/>
        <v>0</v>
      </c>
      <c r="BP244">
        <f t="shared" si="207"/>
        <v>0</v>
      </c>
      <c r="BQ244">
        <f t="shared" si="208"/>
        <v>0</v>
      </c>
      <c r="BR244">
        <f t="shared" si="209"/>
        <v>0</v>
      </c>
      <c r="BS244">
        <f t="shared" si="210"/>
        <v>10</v>
      </c>
      <c r="BT244">
        <f t="shared" si="211"/>
        <v>100</v>
      </c>
      <c r="BU244">
        <f t="shared" si="212"/>
        <v>0</v>
      </c>
      <c r="BV244">
        <f t="shared" si="213"/>
        <v>0</v>
      </c>
      <c r="BW244">
        <f t="shared" si="214"/>
        <v>0</v>
      </c>
      <c r="BX244">
        <f t="shared" si="215"/>
        <v>0</v>
      </c>
    </row>
    <row r="245" spans="2:76">
      <c r="B245" s="19">
        <f>Tiers!B246</f>
        <v>243</v>
      </c>
      <c r="C245" s="20" t="str">
        <f>Tiers!X246</f>
        <v>main-5|wild-16|freeplayA-6|||||||</v>
      </c>
      <c r="D245" s="21">
        <f>Tiers!C246</f>
        <v>15</v>
      </c>
      <c r="E245" s="22">
        <f>Frequency!E247</f>
        <v>10</v>
      </c>
      <c r="F245" s="22">
        <f t="shared" si="165"/>
        <v>150</v>
      </c>
      <c r="G245" s="20">
        <f>IF(AND(D245/Summary!$C$4&gt;0, D245/Summary!$C$4&lt;5),E245,0) * D245</f>
        <v>0</v>
      </c>
      <c r="H245" s="20">
        <f>IF(AND(D245/Summary!$C$4&gt;= 5, D245/Summary!$C$4&lt;10),E245,0) * D245</f>
        <v>0</v>
      </c>
      <c r="I245" s="20">
        <f>IF(AND(D245/Summary!$C$4&gt;=10, D245/Summary!$C$4&lt;25),E245,0)*D245</f>
        <v>150</v>
      </c>
      <c r="J245" s="20">
        <f>IF(D245/Summary!$C$4&gt;=25,E245,0)*D245</f>
        <v>0</v>
      </c>
      <c r="K245" s="35">
        <f>IF(AND(D245/Frequency!$N$7&gt;0, D245/Frequency!$N$7&lt;1),E245,0)</f>
        <v>0</v>
      </c>
      <c r="L245" s="35">
        <f t="shared" si="166"/>
        <v>0</v>
      </c>
      <c r="M245" s="35">
        <f>IF(D245/Frequency!$N$7=1,1,0)*E245</f>
        <v>0</v>
      </c>
      <c r="N245" s="35">
        <f t="shared" si="167"/>
        <v>0</v>
      </c>
      <c r="O245" s="35">
        <f>IF(AND(D245/Frequency!$N$7&gt;1, D245/Frequency!$N$7&lt;=2),1,0)*E245</f>
        <v>0</v>
      </c>
      <c r="P245" s="35">
        <f t="shared" si="168"/>
        <v>0</v>
      </c>
      <c r="Q245" s="35">
        <f>IF(AND(D245/Frequency!$N$7&gt;2,D245/Frequency!$N$7&lt;=5),1,0)*E245</f>
        <v>0</v>
      </c>
      <c r="R245" s="35">
        <f t="shared" si="169"/>
        <v>0</v>
      </c>
      <c r="S245" s="35">
        <f>IF(AND(D245/Frequency!$N$7&gt;5, D245/Frequency!$N$7&lt;=10),1,0)*E245</f>
        <v>0</v>
      </c>
      <c r="T245" s="35">
        <f t="shared" si="170"/>
        <v>0</v>
      </c>
      <c r="U245" s="35">
        <f>IF(AND(D245/Frequency!$N$7&gt;10, D245/Frequency!$N$7&lt;=20),1,0)*E245</f>
        <v>10</v>
      </c>
      <c r="V245" s="35">
        <f t="shared" si="171"/>
        <v>150</v>
      </c>
      <c r="W245" s="35">
        <f>IF(AND(D245/Frequency!$N$7&gt;20, D245/Frequency!$N$7&lt;=30),1,0)*E245</f>
        <v>0</v>
      </c>
      <c r="X245" s="35">
        <f t="shared" si="172"/>
        <v>0</v>
      </c>
      <c r="Y245" s="35">
        <f>IF(AND(D245/Frequency!$N$7&gt;30, D245/Frequency!$N$7&lt;=50),1,0)*E245</f>
        <v>0</v>
      </c>
      <c r="Z245" s="35">
        <f t="shared" si="173"/>
        <v>0</v>
      </c>
      <c r="AA245" s="35">
        <f>IF(AND(D245/Frequency!$N$7&gt;50, D245/Frequency!$N$7&lt;=100),1,0)*E245</f>
        <v>0</v>
      </c>
      <c r="AB245" s="35">
        <f t="shared" si="174"/>
        <v>0</v>
      </c>
      <c r="AC245" s="35">
        <f>IF(D245/Frequency!$N$7&gt;100,1,0)*E245</f>
        <v>0</v>
      </c>
      <c r="AD245" s="35">
        <f t="shared" si="175"/>
        <v>0</v>
      </c>
      <c r="AE245" s="22">
        <f t="shared" si="176"/>
        <v>10</v>
      </c>
      <c r="AF245" s="22">
        <f t="shared" si="177"/>
        <v>0</v>
      </c>
      <c r="AG245" s="22">
        <f t="shared" si="178"/>
        <v>0</v>
      </c>
      <c r="AH245" s="22">
        <f t="shared" si="179"/>
        <v>0</v>
      </c>
      <c r="AI245" s="35">
        <f t="shared" si="180"/>
        <v>1</v>
      </c>
      <c r="AJ245" s="35">
        <f t="shared" si="181"/>
        <v>10</v>
      </c>
      <c r="AK245" s="35">
        <f t="shared" si="182"/>
        <v>150</v>
      </c>
      <c r="AL245">
        <f t="shared" si="183"/>
        <v>1</v>
      </c>
      <c r="AM245">
        <f t="shared" si="184"/>
        <v>10</v>
      </c>
      <c r="AN245">
        <f t="shared" si="185"/>
        <v>150</v>
      </c>
      <c r="AO245">
        <f t="shared" si="186"/>
        <v>1</v>
      </c>
      <c r="AP245">
        <f t="shared" si="187"/>
        <v>10</v>
      </c>
      <c r="AQ245">
        <f t="shared" si="188"/>
        <v>150</v>
      </c>
      <c r="AR245">
        <f t="shared" si="189"/>
        <v>0</v>
      </c>
      <c r="AS245">
        <f t="shared" si="190"/>
        <v>0</v>
      </c>
      <c r="AT245">
        <f t="shared" si="191"/>
        <v>0</v>
      </c>
      <c r="AU245">
        <f t="shared" si="192"/>
        <v>1</v>
      </c>
      <c r="AV245">
        <v>0</v>
      </c>
      <c r="AW245">
        <v>0</v>
      </c>
      <c r="AX245">
        <f t="shared" si="193"/>
        <v>0</v>
      </c>
      <c r="AY245">
        <f t="shared" si="194"/>
        <v>0</v>
      </c>
      <c r="AZ245">
        <f t="shared" si="195"/>
        <v>0</v>
      </c>
      <c r="BA245">
        <f t="shared" si="196"/>
        <v>0</v>
      </c>
      <c r="BB245">
        <f t="shared" si="197"/>
        <v>0</v>
      </c>
      <c r="BC245">
        <f t="shared" si="198"/>
        <v>0</v>
      </c>
      <c r="BD245">
        <f t="shared" si="199"/>
        <v>0</v>
      </c>
      <c r="BE245">
        <f t="shared" si="200"/>
        <v>0</v>
      </c>
      <c r="BF245">
        <f t="shared" si="201"/>
        <v>0</v>
      </c>
      <c r="BG245">
        <f t="shared" si="202"/>
        <v>0</v>
      </c>
      <c r="BH245">
        <f t="shared" si="203"/>
        <v>0</v>
      </c>
      <c r="BI245">
        <f t="shared" si="204"/>
        <v>0</v>
      </c>
      <c r="BJ245">
        <v>0</v>
      </c>
      <c r="BK245" t="str">
        <f t="shared" si="218"/>
        <v>Big Win</v>
      </c>
      <c r="BL245" s="40" t="str">
        <f t="shared" si="219"/>
        <v>Free Plays A</v>
      </c>
      <c r="BM245">
        <f>(D245/Frequency!$N$7-Summary!$C$7)^2*E245</f>
        <v>2005.056</v>
      </c>
      <c r="BN245">
        <f t="shared" si="205"/>
        <v>150</v>
      </c>
      <c r="BO245">
        <f t="shared" si="206"/>
        <v>0</v>
      </c>
      <c r="BP245">
        <f t="shared" si="207"/>
        <v>0</v>
      </c>
      <c r="BQ245">
        <f t="shared" si="208"/>
        <v>0</v>
      </c>
      <c r="BR245">
        <f t="shared" si="209"/>
        <v>0</v>
      </c>
      <c r="BS245">
        <f t="shared" si="210"/>
        <v>10</v>
      </c>
      <c r="BT245">
        <f t="shared" si="211"/>
        <v>150</v>
      </c>
      <c r="BU245">
        <f t="shared" si="212"/>
        <v>0</v>
      </c>
      <c r="BV245">
        <f t="shared" si="213"/>
        <v>0</v>
      </c>
      <c r="BW245">
        <f t="shared" si="214"/>
        <v>0</v>
      </c>
      <c r="BX245">
        <f t="shared" si="215"/>
        <v>0</v>
      </c>
    </row>
    <row r="246" spans="2:76">
      <c r="B246" s="19">
        <f>Tiers!B247</f>
        <v>244</v>
      </c>
      <c r="C246" s="20" t="str">
        <f>Tiers!X247</f>
        <v>main-0|main-2|wild-11|freeplayA-0||||||</v>
      </c>
      <c r="D246" s="21">
        <f>Tiers!C247</f>
        <v>3.3</v>
      </c>
      <c r="E246" s="22">
        <f>Frequency!E248</f>
        <v>50</v>
      </c>
      <c r="F246" s="22">
        <f t="shared" si="165"/>
        <v>165</v>
      </c>
      <c r="G246" s="20">
        <f>IF(AND(D246/Summary!$C$4&gt;0, D246/Summary!$C$4&lt;5),E246,0) * D246</f>
        <v>165</v>
      </c>
      <c r="H246" s="20">
        <f>IF(AND(D246/Summary!$C$4&gt;= 5, D246/Summary!$C$4&lt;10),E246,0) * D246</f>
        <v>0</v>
      </c>
      <c r="I246" s="20">
        <f>IF(AND(D246/Summary!$C$4&gt;=10, D246/Summary!$C$4&lt;25),E246,0)*D246</f>
        <v>0</v>
      </c>
      <c r="J246" s="20">
        <f>IF(D246/Summary!$C$4&gt;=25,E246,0)*D246</f>
        <v>0</v>
      </c>
      <c r="K246" s="35">
        <f>IF(AND(D246/Frequency!$N$7&gt;0, D246/Frequency!$N$7&lt;1),E246,0)</f>
        <v>0</v>
      </c>
      <c r="L246" s="35">
        <f t="shared" si="166"/>
        <v>0</v>
      </c>
      <c r="M246" s="35">
        <f>IF(D246/Frequency!$N$7=1,1,0)*E246</f>
        <v>0</v>
      </c>
      <c r="N246" s="35">
        <f t="shared" si="167"/>
        <v>0</v>
      </c>
      <c r="O246" s="35">
        <f>IF(AND(D246/Frequency!$N$7&gt;1, D246/Frequency!$N$7&lt;=2),1,0)*E246</f>
        <v>0</v>
      </c>
      <c r="P246" s="35">
        <f t="shared" si="168"/>
        <v>0</v>
      </c>
      <c r="Q246" s="35">
        <f>IF(AND(D246/Frequency!$N$7&gt;2,D246/Frequency!$N$7&lt;=5),1,0)*E246</f>
        <v>50</v>
      </c>
      <c r="R246" s="35">
        <f t="shared" si="169"/>
        <v>165</v>
      </c>
      <c r="S246" s="35">
        <f>IF(AND(D246/Frequency!$N$7&gt;5, D246/Frequency!$N$7&lt;=10),1,0)*E246</f>
        <v>0</v>
      </c>
      <c r="T246" s="35">
        <f t="shared" si="170"/>
        <v>0</v>
      </c>
      <c r="U246" s="35">
        <f>IF(AND(D246/Frequency!$N$7&gt;10, D246/Frequency!$N$7&lt;=20),1,0)*E246</f>
        <v>0</v>
      </c>
      <c r="V246" s="35">
        <f t="shared" si="171"/>
        <v>0</v>
      </c>
      <c r="W246" s="35">
        <f>IF(AND(D246/Frequency!$N$7&gt;20, D246/Frequency!$N$7&lt;=30),1,0)*E246</f>
        <v>0</v>
      </c>
      <c r="X246" s="35">
        <f t="shared" si="172"/>
        <v>0</v>
      </c>
      <c r="Y246" s="35">
        <f>IF(AND(D246/Frequency!$N$7&gt;30, D246/Frequency!$N$7&lt;=50),1,0)*E246</f>
        <v>0</v>
      </c>
      <c r="Z246" s="35">
        <f t="shared" si="173"/>
        <v>0</v>
      </c>
      <c r="AA246" s="35">
        <f>IF(AND(D246/Frequency!$N$7&gt;50, D246/Frequency!$N$7&lt;=100),1,0)*E246</f>
        <v>0</v>
      </c>
      <c r="AB246" s="35">
        <f t="shared" si="174"/>
        <v>0</v>
      </c>
      <c r="AC246" s="35">
        <f>IF(D246/Frequency!$N$7&gt;100,1,0)*E246</f>
        <v>0</v>
      </c>
      <c r="AD246" s="35">
        <f t="shared" si="175"/>
        <v>0</v>
      </c>
      <c r="AE246" s="22">
        <f t="shared" si="176"/>
        <v>50</v>
      </c>
      <c r="AF246" s="22">
        <f t="shared" si="177"/>
        <v>0</v>
      </c>
      <c r="AG246" s="22">
        <f t="shared" si="178"/>
        <v>0</v>
      </c>
      <c r="AH246" s="22">
        <f t="shared" si="179"/>
        <v>0</v>
      </c>
      <c r="AI246" s="35">
        <f t="shared" si="180"/>
        <v>1</v>
      </c>
      <c r="AJ246" s="35">
        <f t="shared" si="181"/>
        <v>50</v>
      </c>
      <c r="AK246" s="35">
        <f t="shared" si="182"/>
        <v>165</v>
      </c>
      <c r="AL246">
        <f t="shared" si="183"/>
        <v>1</v>
      </c>
      <c r="AM246">
        <f t="shared" si="184"/>
        <v>50</v>
      </c>
      <c r="AN246">
        <f t="shared" si="185"/>
        <v>165</v>
      </c>
      <c r="AO246">
        <f t="shared" si="186"/>
        <v>1</v>
      </c>
      <c r="AP246">
        <f t="shared" si="187"/>
        <v>50</v>
      </c>
      <c r="AQ246">
        <f t="shared" si="188"/>
        <v>165</v>
      </c>
      <c r="AR246">
        <f t="shared" si="189"/>
        <v>0</v>
      </c>
      <c r="AS246">
        <f t="shared" si="190"/>
        <v>0</v>
      </c>
      <c r="AT246">
        <f t="shared" si="191"/>
        <v>0</v>
      </c>
      <c r="AU246">
        <f t="shared" si="192"/>
        <v>1</v>
      </c>
      <c r="AV246">
        <v>0</v>
      </c>
      <c r="AW246">
        <v>0</v>
      </c>
      <c r="AX246">
        <f t="shared" si="193"/>
        <v>0</v>
      </c>
      <c r="AY246">
        <f t="shared" si="194"/>
        <v>0</v>
      </c>
      <c r="AZ246">
        <f t="shared" si="195"/>
        <v>0</v>
      </c>
      <c r="BA246">
        <f t="shared" si="196"/>
        <v>0</v>
      </c>
      <c r="BB246">
        <f t="shared" si="197"/>
        <v>0</v>
      </c>
      <c r="BC246">
        <f t="shared" si="198"/>
        <v>0</v>
      </c>
      <c r="BD246">
        <f t="shared" si="199"/>
        <v>0</v>
      </c>
      <c r="BE246">
        <f t="shared" si="200"/>
        <v>0</v>
      </c>
      <c r="BF246">
        <f t="shared" si="201"/>
        <v>0</v>
      </c>
      <c r="BG246">
        <f t="shared" si="202"/>
        <v>0</v>
      </c>
      <c r="BH246">
        <f t="shared" si="203"/>
        <v>0</v>
      </c>
      <c r="BI246">
        <f t="shared" si="204"/>
        <v>0</v>
      </c>
      <c r="BJ246">
        <v>0</v>
      </c>
      <c r="BK246" t="str">
        <f t="shared" si="218"/>
        <v>Standard Win</v>
      </c>
      <c r="BL246" s="40" t="str">
        <f t="shared" si="219"/>
        <v>Free Plays A</v>
      </c>
      <c r="BM246">
        <f>(D246/Frequency!$N$7-Summary!$C$7)^2*E246</f>
        <v>302.58</v>
      </c>
      <c r="BN246">
        <f t="shared" si="205"/>
        <v>165</v>
      </c>
      <c r="BO246">
        <f t="shared" si="206"/>
        <v>0</v>
      </c>
      <c r="BP246">
        <f t="shared" si="207"/>
        <v>0</v>
      </c>
      <c r="BQ246">
        <f t="shared" si="208"/>
        <v>0</v>
      </c>
      <c r="BR246">
        <f t="shared" si="209"/>
        <v>0</v>
      </c>
      <c r="BS246">
        <f t="shared" si="210"/>
        <v>50</v>
      </c>
      <c r="BT246">
        <f t="shared" si="211"/>
        <v>165</v>
      </c>
      <c r="BU246">
        <f t="shared" si="212"/>
        <v>0</v>
      </c>
      <c r="BV246">
        <f t="shared" si="213"/>
        <v>0</v>
      </c>
      <c r="BW246">
        <f t="shared" si="214"/>
        <v>0</v>
      </c>
      <c r="BX246">
        <f t="shared" si="215"/>
        <v>0</v>
      </c>
    </row>
    <row r="247" spans="2:76">
      <c r="B247" s="19">
        <f>Tiers!B248</f>
        <v>245</v>
      </c>
      <c r="C247" s="20" t="str">
        <f>Tiers!X248</f>
        <v>main-1|main-2|wild-12|freeplayA-1||||||</v>
      </c>
      <c r="D247" s="21">
        <f>Tiers!C248</f>
        <v>6.7</v>
      </c>
      <c r="E247" s="22">
        <f>Frequency!E249</f>
        <v>50</v>
      </c>
      <c r="F247" s="22">
        <f t="shared" si="165"/>
        <v>335</v>
      </c>
      <c r="G247" s="20">
        <f>IF(AND(D247/Summary!$C$4&gt;0, D247/Summary!$C$4&lt;5),E247,0) * D247</f>
        <v>0</v>
      </c>
      <c r="H247" s="20">
        <f>IF(AND(D247/Summary!$C$4&gt;= 5, D247/Summary!$C$4&lt;10),E247,0) * D247</f>
        <v>335</v>
      </c>
      <c r="I247" s="20">
        <f>IF(AND(D247/Summary!$C$4&gt;=10, D247/Summary!$C$4&lt;25),E247,0)*D247</f>
        <v>0</v>
      </c>
      <c r="J247" s="20">
        <f>IF(D247/Summary!$C$4&gt;=25,E247,0)*D247</f>
        <v>0</v>
      </c>
      <c r="K247" s="35">
        <f>IF(AND(D247/Frequency!$N$7&gt;0, D247/Frequency!$N$7&lt;1),E247,0)</f>
        <v>0</v>
      </c>
      <c r="L247" s="35">
        <f t="shared" si="166"/>
        <v>0</v>
      </c>
      <c r="M247" s="35">
        <f>IF(D247/Frequency!$N$7=1,1,0)*E247</f>
        <v>0</v>
      </c>
      <c r="N247" s="35">
        <f t="shared" si="167"/>
        <v>0</v>
      </c>
      <c r="O247" s="35">
        <f>IF(AND(D247/Frequency!$N$7&gt;1, D247/Frequency!$N$7&lt;=2),1,0)*E247</f>
        <v>0</v>
      </c>
      <c r="P247" s="35">
        <f t="shared" si="168"/>
        <v>0</v>
      </c>
      <c r="Q247" s="35">
        <f>IF(AND(D247/Frequency!$N$7&gt;2,D247/Frequency!$N$7&lt;=5),1,0)*E247</f>
        <v>0</v>
      </c>
      <c r="R247" s="35">
        <f t="shared" si="169"/>
        <v>0</v>
      </c>
      <c r="S247" s="35">
        <f>IF(AND(D247/Frequency!$N$7&gt;5, D247/Frequency!$N$7&lt;=10),1,0)*E247</f>
        <v>50</v>
      </c>
      <c r="T247" s="35">
        <f t="shared" si="170"/>
        <v>335</v>
      </c>
      <c r="U247" s="35">
        <f>IF(AND(D247/Frequency!$N$7&gt;10, D247/Frequency!$N$7&lt;=20),1,0)*E247</f>
        <v>0</v>
      </c>
      <c r="V247" s="35">
        <f t="shared" si="171"/>
        <v>0</v>
      </c>
      <c r="W247" s="35">
        <f>IF(AND(D247/Frequency!$N$7&gt;20, D247/Frequency!$N$7&lt;=30),1,0)*E247</f>
        <v>0</v>
      </c>
      <c r="X247" s="35">
        <f t="shared" si="172"/>
        <v>0</v>
      </c>
      <c r="Y247" s="35">
        <f>IF(AND(D247/Frequency!$N$7&gt;30, D247/Frequency!$N$7&lt;=50),1,0)*E247</f>
        <v>0</v>
      </c>
      <c r="Z247" s="35">
        <f t="shared" si="173"/>
        <v>0</v>
      </c>
      <c r="AA247" s="35">
        <f>IF(AND(D247/Frequency!$N$7&gt;50, D247/Frequency!$N$7&lt;=100),1,0)*E247</f>
        <v>0</v>
      </c>
      <c r="AB247" s="35">
        <f t="shared" si="174"/>
        <v>0</v>
      </c>
      <c r="AC247" s="35">
        <f>IF(D247/Frequency!$N$7&gt;100,1,0)*E247</f>
        <v>0</v>
      </c>
      <c r="AD247" s="35">
        <f t="shared" si="175"/>
        <v>0</v>
      </c>
      <c r="AE247" s="22">
        <f t="shared" si="176"/>
        <v>50</v>
      </c>
      <c r="AF247" s="22">
        <f t="shared" si="177"/>
        <v>0</v>
      </c>
      <c r="AG247" s="22">
        <f t="shared" si="178"/>
        <v>0</v>
      </c>
      <c r="AH247" s="22">
        <f t="shared" si="179"/>
        <v>0</v>
      </c>
      <c r="AI247" s="35">
        <f t="shared" si="180"/>
        <v>1</v>
      </c>
      <c r="AJ247" s="35">
        <f t="shared" si="181"/>
        <v>50</v>
      </c>
      <c r="AK247" s="35">
        <f t="shared" si="182"/>
        <v>335</v>
      </c>
      <c r="AL247">
        <f t="shared" si="183"/>
        <v>1</v>
      </c>
      <c r="AM247">
        <f t="shared" si="184"/>
        <v>50</v>
      </c>
      <c r="AN247">
        <f t="shared" si="185"/>
        <v>335</v>
      </c>
      <c r="AO247">
        <f t="shared" si="186"/>
        <v>1</v>
      </c>
      <c r="AP247">
        <f t="shared" si="187"/>
        <v>50</v>
      </c>
      <c r="AQ247">
        <f t="shared" si="188"/>
        <v>335</v>
      </c>
      <c r="AR247">
        <f t="shared" si="189"/>
        <v>0</v>
      </c>
      <c r="AS247">
        <f t="shared" si="190"/>
        <v>0</v>
      </c>
      <c r="AT247">
        <f t="shared" si="191"/>
        <v>0</v>
      </c>
      <c r="AU247">
        <f t="shared" si="192"/>
        <v>1</v>
      </c>
      <c r="AV247">
        <v>0</v>
      </c>
      <c r="AW247">
        <v>0</v>
      </c>
      <c r="AX247">
        <f t="shared" si="193"/>
        <v>0</v>
      </c>
      <c r="AY247">
        <f t="shared" si="194"/>
        <v>0</v>
      </c>
      <c r="AZ247">
        <f t="shared" si="195"/>
        <v>0</v>
      </c>
      <c r="BA247">
        <f t="shared" si="196"/>
        <v>0</v>
      </c>
      <c r="BB247">
        <f t="shared" si="197"/>
        <v>0</v>
      </c>
      <c r="BC247">
        <f t="shared" si="198"/>
        <v>0</v>
      </c>
      <c r="BD247">
        <f t="shared" si="199"/>
        <v>0</v>
      </c>
      <c r="BE247">
        <f t="shared" si="200"/>
        <v>0</v>
      </c>
      <c r="BF247">
        <f t="shared" si="201"/>
        <v>0</v>
      </c>
      <c r="BG247">
        <f t="shared" si="202"/>
        <v>0</v>
      </c>
      <c r="BH247">
        <f t="shared" si="203"/>
        <v>0</v>
      </c>
      <c r="BI247">
        <f t="shared" si="204"/>
        <v>0</v>
      </c>
      <c r="BJ247">
        <v>0</v>
      </c>
      <c r="BK247" t="str">
        <f t="shared" si="218"/>
        <v>Standard Win</v>
      </c>
      <c r="BL247" s="40" t="str">
        <f t="shared" si="219"/>
        <v>Free Plays A</v>
      </c>
      <c r="BM247">
        <f>(D247/Frequency!$N$7-Summary!$C$7)^2*E247</f>
        <v>1716.9800000000002</v>
      </c>
      <c r="BN247">
        <f t="shared" si="205"/>
        <v>335</v>
      </c>
      <c r="BO247">
        <f t="shared" si="206"/>
        <v>0</v>
      </c>
      <c r="BP247">
        <f t="shared" si="207"/>
        <v>0</v>
      </c>
      <c r="BQ247">
        <f t="shared" si="208"/>
        <v>0</v>
      </c>
      <c r="BR247">
        <f t="shared" si="209"/>
        <v>0</v>
      </c>
      <c r="BS247">
        <f t="shared" si="210"/>
        <v>50</v>
      </c>
      <c r="BT247">
        <f t="shared" si="211"/>
        <v>335</v>
      </c>
      <c r="BU247">
        <f t="shared" si="212"/>
        <v>0</v>
      </c>
      <c r="BV247">
        <f t="shared" si="213"/>
        <v>0</v>
      </c>
      <c r="BW247">
        <f t="shared" si="214"/>
        <v>0</v>
      </c>
      <c r="BX247">
        <f t="shared" si="215"/>
        <v>0</v>
      </c>
    </row>
    <row r="248" spans="2:76">
      <c r="B248" s="19">
        <f>Tiers!B249</f>
        <v>246</v>
      </c>
      <c r="C248" s="20" t="str">
        <f>Tiers!X249</f>
        <v>main-3|main-0|wild-13|freeplayA-2||||||</v>
      </c>
      <c r="D248" s="21">
        <f>Tiers!C249</f>
        <v>6.6</v>
      </c>
      <c r="E248" s="22">
        <f>Frequency!E250</f>
        <v>100</v>
      </c>
      <c r="F248" s="22">
        <f t="shared" si="165"/>
        <v>660</v>
      </c>
      <c r="G248" s="20">
        <f>IF(AND(D248/Summary!$C$4&gt;0, D248/Summary!$C$4&lt;5),E248,0) * D248</f>
        <v>0</v>
      </c>
      <c r="H248" s="20">
        <f>IF(AND(D248/Summary!$C$4&gt;= 5, D248/Summary!$C$4&lt;10),E248,0) * D248</f>
        <v>660</v>
      </c>
      <c r="I248" s="20">
        <f>IF(AND(D248/Summary!$C$4&gt;=10, D248/Summary!$C$4&lt;25),E248,0)*D248</f>
        <v>0</v>
      </c>
      <c r="J248" s="20">
        <f>IF(D248/Summary!$C$4&gt;=25,E248,0)*D248</f>
        <v>0</v>
      </c>
      <c r="K248" s="35">
        <f>IF(AND(D248/Frequency!$N$7&gt;0, D248/Frequency!$N$7&lt;1),E248,0)</f>
        <v>0</v>
      </c>
      <c r="L248" s="35">
        <f t="shared" si="166"/>
        <v>0</v>
      </c>
      <c r="M248" s="35">
        <f>IF(D248/Frequency!$N$7=1,1,0)*E248</f>
        <v>0</v>
      </c>
      <c r="N248" s="35">
        <f t="shared" si="167"/>
        <v>0</v>
      </c>
      <c r="O248" s="35">
        <f>IF(AND(D248/Frequency!$N$7&gt;1, D248/Frequency!$N$7&lt;=2),1,0)*E248</f>
        <v>0</v>
      </c>
      <c r="P248" s="35">
        <f t="shared" si="168"/>
        <v>0</v>
      </c>
      <c r="Q248" s="35">
        <f>IF(AND(D248/Frequency!$N$7&gt;2,D248/Frequency!$N$7&lt;=5),1,0)*E248</f>
        <v>0</v>
      </c>
      <c r="R248" s="35">
        <f t="shared" si="169"/>
        <v>0</v>
      </c>
      <c r="S248" s="35">
        <f>IF(AND(D248/Frequency!$N$7&gt;5, D248/Frequency!$N$7&lt;=10),1,0)*E248</f>
        <v>100</v>
      </c>
      <c r="T248" s="35">
        <f t="shared" si="170"/>
        <v>660</v>
      </c>
      <c r="U248" s="35">
        <f>IF(AND(D248/Frequency!$N$7&gt;10, D248/Frequency!$N$7&lt;=20),1,0)*E248</f>
        <v>0</v>
      </c>
      <c r="V248" s="35">
        <f t="shared" si="171"/>
        <v>0</v>
      </c>
      <c r="W248" s="35">
        <f>IF(AND(D248/Frequency!$N$7&gt;20, D248/Frequency!$N$7&lt;=30),1,0)*E248</f>
        <v>0</v>
      </c>
      <c r="X248" s="35">
        <f t="shared" si="172"/>
        <v>0</v>
      </c>
      <c r="Y248" s="35">
        <f>IF(AND(D248/Frequency!$N$7&gt;30, D248/Frequency!$N$7&lt;=50),1,0)*E248</f>
        <v>0</v>
      </c>
      <c r="Z248" s="35">
        <f t="shared" si="173"/>
        <v>0</v>
      </c>
      <c r="AA248" s="35">
        <f>IF(AND(D248/Frequency!$N$7&gt;50, D248/Frequency!$N$7&lt;=100),1,0)*E248</f>
        <v>0</v>
      </c>
      <c r="AB248" s="35">
        <f t="shared" si="174"/>
        <v>0</v>
      </c>
      <c r="AC248" s="35">
        <f>IF(D248/Frequency!$N$7&gt;100,1,0)*E248</f>
        <v>0</v>
      </c>
      <c r="AD248" s="35">
        <f t="shared" si="175"/>
        <v>0</v>
      </c>
      <c r="AE248" s="22">
        <f t="shared" si="176"/>
        <v>100</v>
      </c>
      <c r="AF248" s="22">
        <f t="shared" si="177"/>
        <v>0</v>
      </c>
      <c r="AG248" s="22">
        <f t="shared" si="178"/>
        <v>0</v>
      </c>
      <c r="AH248" s="22">
        <f t="shared" si="179"/>
        <v>0</v>
      </c>
      <c r="AI248" s="35">
        <f t="shared" si="180"/>
        <v>1</v>
      </c>
      <c r="AJ248" s="35">
        <f t="shared" si="181"/>
        <v>100</v>
      </c>
      <c r="AK248" s="35">
        <f t="shared" si="182"/>
        <v>660</v>
      </c>
      <c r="AL248">
        <f t="shared" si="183"/>
        <v>1</v>
      </c>
      <c r="AM248">
        <f t="shared" si="184"/>
        <v>100</v>
      </c>
      <c r="AN248">
        <f t="shared" si="185"/>
        <v>660</v>
      </c>
      <c r="AO248">
        <f t="shared" si="186"/>
        <v>1</v>
      </c>
      <c r="AP248">
        <f t="shared" si="187"/>
        <v>100</v>
      </c>
      <c r="AQ248">
        <f t="shared" si="188"/>
        <v>660</v>
      </c>
      <c r="AR248">
        <f t="shared" si="189"/>
        <v>0</v>
      </c>
      <c r="AS248">
        <f t="shared" si="190"/>
        <v>0</v>
      </c>
      <c r="AT248">
        <f t="shared" si="191"/>
        <v>0</v>
      </c>
      <c r="AU248">
        <f t="shared" si="192"/>
        <v>1</v>
      </c>
      <c r="AV248">
        <v>0</v>
      </c>
      <c r="AW248">
        <v>0</v>
      </c>
      <c r="AX248">
        <f t="shared" si="193"/>
        <v>0</v>
      </c>
      <c r="AY248">
        <f t="shared" si="194"/>
        <v>0</v>
      </c>
      <c r="AZ248">
        <f t="shared" si="195"/>
        <v>0</v>
      </c>
      <c r="BA248">
        <f t="shared" si="196"/>
        <v>0</v>
      </c>
      <c r="BB248">
        <f t="shared" si="197"/>
        <v>0</v>
      </c>
      <c r="BC248">
        <f t="shared" si="198"/>
        <v>0</v>
      </c>
      <c r="BD248">
        <f t="shared" si="199"/>
        <v>0</v>
      </c>
      <c r="BE248">
        <f t="shared" si="200"/>
        <v>0</v>
      </c>
      <c r="BF248">
        <f t="shared" si="201"/>
        <v>0</v>
      </c>
      <c r="BG248">
        <f t="shared" si="202"/>
        <v>0</v>
      </c>
      <c r="BH248">
        <f t="shared" si="203"/>
        <v>0</v>
      </c>
      <c r="BI248">
        <f t="shared" si="204"/>
        <v>0</v>
      </c>
      <c r="BJ248">
        <v>0</v>
      </c>
      <c r="BK248" t="str">
        <f t="shared" si="218"/>
        <v>Standard Win</v>
      </c>
      <c r="BL248" s="40" t="str">
        <f t="shared" si="219"/>
        <v>Free Plays A</v>
      </c>
      <c r="BM248">
        <f>(D248/Frequency!$N$7-Summary!$C$7)^2*E248</f>
        <v>3317.7599999999998</v>
      </c>
      <c r="BN248">
        <f t="shared" si="205"/>
        <v>660</v>
      </c>
      <c r="BO248">
        <f t="shared" si="206"/>
        <v>0</v>
      </c>
      <c r="BP248">
        <f t="shared" si="207"/>
        <v>0</v>
      </c>
      <c r="BQ248">
        <f t="shared" si="208"/>
        <v>0</v>
      </c>
      <c r="BR248">
        <f t="shared" si="209"/>
        <v>0</v>
      </c>
      <c r="BS248">
        <f t="shared" si="210"/>
        <v>100</v>
      </c>
      <c r="BT248">
        <f t="shared" si="211"/>
        <v>660</v>
      </c>
      <c r="BU248">
        <f t="shared" si="212"/>
        <v>0</v>
      </c>
      <c r="BV248">
        <f t="shared" si="213"/>
        <v>0</v>
      </c>
      <c r="BW248">
        <f t="shared" si="214"/>
        <v>0</v>
      </c>
      <c r="BX248">
        <f t="shared" si="215"/>
        <v>0</v>
      </c>
    </row>
    <row r="249" spans="2:76">
      <c r="B249" s="19">
        <f>Tiers!B250</f>
        <v>247</v>
      </c>
      <c r="C249" s="20" t="str">
        <f>Tiers!X250</f>
        <v>main-18|main-19|main-5|freeplayA-3||||||</v>
      </c>
      <c r="D249" s="21">
        <f>Tiers!C250</f>
        <v>13.1</v>
      </c>
      <c r="E249" s="22">
        <f>Frequency!E251</f>
        <v>100</v>
      </c>
      <c r="F249" s="22">
        <f t="shared" si="165"/>
        <v>1310</v>
      </c>
      <c r="G249" s="20">
        <f>IF(AND(D249/Summary!$C$4&gt;0, D249/Summary!$C$4&lt;5),E249,0) * D249</f>
        <v>0</v>
      </c>
      <c r="H249" s="20">
        <f>IF(AND(D249/Summary!$C$4&gt;= 5, D249/Summary!$C$4&lt;10),E249,0) * D249</f>
        <v>0</v>
      </c>
      <c r="I249" s="20">
        <f>IF(AND(D249/Summary!$C$4&gt;=10, D249/Summary!$C$4&lt;25),E249,0)*D249</f>
        <v>1310</v>
      </c>
      <c r="J249" s="20">
        <f>IF(D249/Summary!$C$4&gt;=25,E249,0)*D249</f>
        <v>0</v>
      </c>
      <c r="K249" s="35">
        <f>IF(AND(D249/Frequency!$N$7&gt;0, D249/Frequency!$N$7&lt;1),E249,0)</f>
        <v>0</v>
      </c>
      <c r="L249" s="35">
        <f t="shared" si="166"/>
        <v>0</v>
      </c>
      <c r="M249" s="35">
        <f>IF(D249/Frequency!$N$7=1,1,0)*E249</f>
        <v>0</v>
      </c>
      <c r="N249" s="35">
        <f t="shared" si="167"/>
        <v>0</v>
      </c>
      <c r="O249" s="35">
        <f>IF(AND(D249/Frequency!$N$7&gt;1, D249/Frequency!$N$7&lt;=2),1,0)*E249</f>
        <v>0</v>
      </c>
      <c r="P249" s="35">
        <f t="shared" si="168"/>
        <v>0</v>
      </c>
      <c r="Q249" s="35">
        <f>IF(AND(D249/Frequency!$N$7&gt;2,D249/Frequency!$N$7&lt;=5),1,0)*E249</f>
        <v>0</v>
      </c>
      <c r="R249" s="35">
        <f t="shared" si="169"/>
        <v>0</v>
      </c>
      <c r="S249" s="35">
        <f>IF(AND(D249/Frequency!$N$7&gt;5, D249/Frequency!$N$7&lt;=10),1,0)*E249</f>
        <v>0</v>
      </c>
      <c r="T249" s="35">
        <f t="shared" si="170"/>
        <v>0</v>
      </c>
      <c r="U249" s="35">
        <f>IF(AND(D249/Frequency!$N$7&gt;10, D249/Frequency!$N$7&lt;=20),1,0)*E249</f>
        <v>100</v>
      </c>
      <c r="V249" s="35">
        <f t="shared" si="171"/>
        <v>1310</v>
      </c>
      <c r="W249" s="35">
        <f>IF(AND(D249/Frequency!$N$7&gt;20, D249/Frequency!$N$7&lt;=30),1,0)*E249</f>
        <v>0</v>
      </c>
      <c r="X249" s="35">
        <f t="shared" si="172"/>
        <v>0</v>
      </c>
      <c r="Y249" s="35">
        <f>IF(AND(D249/Frequency!$N$7&gt;30, D249/Frequency!$N$7&lt;=50),1,0)*E249</f>
        <v>0</v>
      </c>
      <c r="Z249" s="35">
        <f t="shared" si="173"/>
        <v>0</v>
      </c>
      <c r="AA249" s="35">
        <f>IF(AND(D249/Frequency!$N$7&gt;50, D249/Frequency!$N$7&lt;=100),1,0)*E249</f>
        <v>0</v>
      </c>
      <c r="AB249" s="35">
        <f t="shared" si="174"/>
        <v>0</v>
      </c>
      <c r="AC249" s="35">
        <f>IF(D249/Frequency!$N$7&gt;100,1,0)*E249</f>
        <v>0</v>
      </c>
      <c r="AD249" s="35">
        <f t="shared" si="175"/>
        <v>0</v>
      </c>
      <c r="AE249" s="22">
        <f t="shared" si="176"/>
        <v>100</v>
      </c>
      <c r="AF249" s="22">
        <f t="shared" si="177"/>
        <v>0</v>
      </c>
      <c r="AG249" s="22">
        <f t="shared" si="178"/>
        <v>0</v>
      </c>
      <c r="AH249" s="22">
        <f t="shared" si="179"/>
        <v>0</v>
      </c>
      <c r="AI249" s="35">
        <f t="shared" si="180"/>
        <v>1</v>
      </c>
      <c r="AJ249" s="35">
        <f t="shared" si="181"/>
        <v>100</v>
      </c>
      <c r="AK249" s="35">
        <f t="shared" si="182"/>
        <v>1310</v>
      </c>
      <c r="AL249">
        <f t="shared" si="183"/>
        <v>0</v>
      </c>
      <c r="AM249">
        <f t="shared" si="184"/>
        <v>0</v>
      </c>
      <c r="AN249">
        <f t="shared" si="185"/>
        <v>0</v>
      </c>
      <c r="AO249">
        <f t="shared" si="186"/>
        <v>0</v>
      </c>
      <c r="AP249">
        <f t="shared" si="187"/>
        <v>0</v>
      </c>
      <c r="AQ249">
        <f t="shared" si="188"/>
        <v>0</v>
      </c>
      <c r="AR249">
        <f t="shared" si="189"/>
        <v>0</v>
      </c>
      <c r="AS249">
        <f t="shared" si="190"/>
        <v>0</v>
      </c>
      <c r="AT249">
        <f t="shared" si="191"/>
        <v>0</v>
      </c>
      <c r="AU249">
        <f t="shared" si="192"/>
        <v>1</v>
      </c>
      <c r="AV249">
        <v>0</v>
      </c>
      <c r="AW249">
        <v>0</v>
      </c>
      <c r="AX249">
        <f t="shared" si="193"/>
        <v>0</v>
      </c>
      <c r="AY249">
        <f t="shared" si="194"/>
        <v>0</v>
      </c>
      <c r="AZ249">
        <f t="shared" si="195"/>
        <v>0</v>
      </c>
      <c r="BA249">
        <f t="shared" si="196"/>
        <v>0</v>
      </c>
      <c r="BB249">
        <f t="shared" si="197"/>
        <v>0</v>
      </c>
      <c r="BC249">
        <f t="shared" si="198"/>
        <v>0</v>
      </c>
      <c r="BD249">
        <f t="shared" si="199"/>
        <v>0</v>
      </c>
      <c r="BE249">
        <f t="shared" si="200"/>
        <v>0</v>
      </c>
      <c r="BF249">
        <f t="shared" si="201"/>
        <v>0</v>
      </c>
      <c r="BG249">
        <f t="shared" si="202"/>
        <v>0</v>
      </c>
      <c r="BH249">
        <f t="shared" si="203"/>
        <v>0</v>
      </c>
      <c r="BI249">
        <f t="shared" si="204"/>
        <v>0</v>
      </c>
      <c r="BJ249">
        <v>0</v>
      </c>
      <c r="BK249" t="str">
        <f t="shared" si="218"/>
        <v>Big Win</v>
      </c>
      <c r="BL249" s="40" t="str">
        <f t="shared" si="219"/>
        <v>Free Plays A</v>
      </c>
      <c r="BM249">
        <f>(D249/Frequency!$N$7-Summary!$C$7)^2*E249</f>
        <v>15030.76</v>
      </c>
      <c r="BN249">
        <f t="shared" si="205"/>
        <v>1310</v>
      </c>
      <c r="BO249">
        <f t="shared" si="206"/>
        <v>0</v>
      </c>
      <c r="BP249">
        <f t="shared" si="207"/>
        <v>0</v>
      </c>
      <c r="BQ249">
        <f t="shared" si="208"/>
        <v>0</v>
      </c>
      <c r="BR249">
        <f t="shared" si="209"/>
        <v>0</v>
      </c>
      <c r="BS249">
        <f t="shared" si="210"/>
        <v>100</v>
      </c>
      <c r="BT249">
        <f t="shared" si="211"/>
        <v>1310</v>
      </c>
      <c r="BU249">
        <f t="shared" si="212"/>
        <v>0</v>
      </c>
      <c r="BV249">
        <f t="shared" si="213"/>
        <v>0</v>
      </c>
      <c r="BW249">
        <f t="shared" si="214"/>
        <v>0</v>
      </c>
      <c r="BX249">
        <f t="shared" si="215"/>
        <v>0</v>
      </c>
    </row>
    <row r="250" spans="2:76">
      <c r="B250" s="19">
        <f>Tiers!B251</f>
        <v>248</v>
      </c>
      <c r="C250" s="20" t="str">
        <f>Tiers!X251</f>
        <v>main-3|main-20|main-4|freeplayA-4||||||</v>
      </c>
      <c r="D250" s="21">
        <f>Tiers!C251</f>
        <v>13.7</v>
      </c>
      <c r="E250" s="22">
        <f>Frequency!E252</f>
        <v>100</v>
      </c>
      <c r="F250" s="22">
        <f t="shared" si="165"/>
        <v>1370</v>
      </c>
      <c r="G250" s="20">
        <f>IF(AND(D250/Summary!$C$4&gt;0, D250/Summary!$C$4&lt;5),E250,0) * D250</f>
        <v>0</v>
      </c>
      <c r="H250" s="20">
        <f>IF(AND(D250/Summary!$C$4&gt;= 5, D250/Summary!$C$4&lt;10),E250,0) * D250</f>
        <v>0</v>
      </c>
      <c r="I250" s="20">
        <f>IF(AND(D250/Summary!$C$4&gt;=10, D250/Summary!$C$4&lt;25),E250,0)*D250</f>
        <v>1370</v>
      </c>
      <c r="J250" s="20">
        <f>IF(D250/Summary!$C$4&gt;=25,E250,0)*D250</f>
        <v>0</v>
      </c>
      <c r="K250" s="35">
        <f>IF(AND(D250/Frequency!$N$7&gt;0, D250/Frequency!$N$7&lt;1),E250,0)</f>
        <v>0</v>
      </c>
      <c r="L250" s="35">
        <f t="shared" si="166"/>
        <v>0</v>
      </c>
      <c r="M250" s="35">
        <f>IF(D250/Frequency!$N$7=1,1,0)*E250</f>
        <v>0</v>
      </c>
      <c r="N250" s="35">
        <f t="shared" si="167"/>
        <v>0</v>
      </c>
      <c r="O250" s="35">
        <f>IF(AND(D250/Frequency!$N$7&gt;1, D250/Frequency!$N$7&lt;=2),1,0)*E250</f>
        <v>0</v>
      </c>
      <c r="P250" s="35">
        <f t="shared" si="168"/>
        <v>0</v>
      </c>
      <c r="Q250" s="35">
        <f>IF(AND(D250/Frequency!$N$7&gt;2,D250/Frequency!$N$7&lt;=5),1,0)*E250</f>
        <v>0</v>
      </c>
      <c r="R250" s="35">
        <f t="shared" si="169"/>
        <v>0</v>
      </c>
      <c r="S250" s="35">
        <f>IF(AND(D250/Frequency!$N$7&gt;5, D250/Frequency!$N$7&lt;=10),1,0)*E250</f>
        <v>0</v>
      </c>
      <c r="T250" s="35">
        <f t="shared" si="170"/>
        <v>0</v>
      </c>
      <c r="U250" s="35">
        <f>IF(AND(D250/Frequency!$N$7&gt;10, D250/Frequency!$N$7&lt;=20),1,0)*E250</f>
        <v>100</v>
      </c>
      <c r="V250" s="35">
        <f t="shared" si="171"/>
        <v>1370</v>
      </c>
      <c r="W250" s="35">
        <f>IF(AND(D250/Frequency!$N$7&gt;20, D250/Frequency!$N$7&lt;=30),1,0)*E250</f>
        <v>0</v>
      </c>
      <c r="X250" s="35">
        <f t="shared" si="172"/>
        <v>0</v>
      </c>
      <c r="Y250" s="35">
        <f>IF(AND(D250/Frequency!$N$7&gt;30, D250/Frequency!$N$7&lt;=50),1,0)*E250</f>
        <v>0</v>
      </c>
      <c r="Z250" s="35">
        <f t="shared" si="173"/>
        <v>0</v>
      </c>
      <c r="AA250" s="35">
        <f>IF(AND(D250/Frequency!$N$7&gt;50, D250/Frequency!$N$7&lt;=100),1,0)*E250</f>
        <v>0</v>
      </c>
      <c r="AB250" s="35">
        <f t="shared" si="174"/>
        <v>0</v>
      </c>
      <c r="AC250" s="35">
        <f>IF(D250/Frequency!$N$7&gt;100,1,0)*E250</f>
        <v>0</v>
      </c>
      <c r="AD250" s="35">
        <f t="shared" si="175"/>
        <v>0</v>
      </c>
      <c r="AE250" s="22">
        <f t="shared" si="176"/>
        <v>100</v>
      </c>
      <c r="AF250" s="22">
        <f t="shared" si="177"/>
        <v>0</v>
      </c>
      <c r="AG250" s="22">
        <f t="shared" si="178"/>
        <v>0</v>
      </c>
      <c r="AH250" s="22">
        <f t="shared" si="179"/>
        <v>0</v>
      </c>
      <c r="AI250" s="35">
        <f t="shared" si="180"/>
        <v>1</v>
      </c>
      <c r="AJ250" s="35">
        <f t="shared" si="181"/>
        <v>100</v>
      </c>
      <c r="AK250" s="35">
        <f t="shared" si="182"/>
        <v>1370</v>
      </c>
      <c r="AL250">
        <f t="shared" si="183"/>
        <v>0</v>
      </c>
      <c r="AM250">
        <f t="shared" si="184"/>
        <v>0</v>
      </c>
      <c r="AN250">
        <f t="shared" si="185"/>
        <v>0</v>
      </c>
      <c r="AO250">
        <f t="shared" si="186"/>
        <v>0</v>
      </c>
      <c r="AP250">
        <f t="shared" si="187"/>
        <v>0</v>
      </c>
      <c r="AQ250">
        <f t="shared" si="188"/>
        <v>0</v>
      </c>
      <c r="AR250">
        <f t="shared" si="189"/>
        <v>0</v>
      </c>
      <c r="AS250">
        <f t="shared" si="190"/>
        <v>0</v>
      </c>
      <c r="AT250">
        <f t="shared" si="191"/>
        <v>0</v>
      </c>
      <c r="AU250">
        <f t="shared" si="192"/>
        <v>1</v>
      </c>
      <c r="AV250">
        <v>0</v>
      </c>
      <c r="AW250">
        <v>0</v>
      </c>
      <c r="AX250">
        <f t="shared" si="193"/>
        <v>0</v>
      </c>
      <c r="AY250">
        <f t="shared" si="194"/>
        <v>0</v>
      </c>
      <c r="AZ250">
        <f t="shared" si="195"/>
        <v>0</v>
      </c>
      <c r="BA250">
        <f t="shared" si="196"/>
        <v>0</v>
      </c>
      <c r="BB250">
        <f t="shared" si="197"/>
        <v>0</v>
      </c>
      <c r="BC250">
        <f t="shared" si="198"/>
        <v>0</v>
      </c>
      <c r="BD250">
        <f t="shared" si="199"/>
        <v>0</v>
      </c>
      <c r="BE250">
        <f t="shared" si="200"/>
        <v>0</v>
      </c>
      <c r="BF250">
        <f t="shared" si="201"/>
        <v>0</v>
      </c>
      <c r="BG250">
        <f t="shared" si="202"/>
        <v>0</v>
      </c>
      <c r="BH250">
        <f t="shared" si="203"/>
        <v>0</v>
      </c>
      <c r="BI250">
        <f t="shared" si="204"/>
        <v>0</v>
      </c>
      <c r="BJ250">
        <v>0</v>
      </c>
      <c r="BK250" t="str">
        <f t="shared" si="218"/>
        <v>Big Win</v>
      </c>
      <c r="BL250" s="40" t="str">
        <f t="shared" si="219"/>
        <v>Free Plays A</v>
      </c>
      <c r="BM250">
        <f>(D250/Frequency!$N$7-Summary!$C$7)^2*E250</f>
        <v>16537.96</v>
      </c>
      <c r="BN250">
        <f t="shared" si="205"/>
        <v>1370</v>
      </c>
      <c r="BO250">
        <f t="shared" si="206"/>
        <v>0</v>
      </c>
      <c r="BP250">
        <f t="shared" si="207"/>
        <v>0</v>
      </c>
      <c r="BQ250">
        <f t="shared" si="208"/>
        <v>0</v>
      </c>
      <c r="BR250">
        <f t="shared" si="209"/>
        <v>0</v>
      </c>
      <c r="BS250">
        <f t="shared" si="210"/>
        <v>100</v>
      </c>
      <c r="BT250">
        <f t="shared" si="211"/>
        <v>1370</v>
      </c>
      <c r="BU250">
        <f t="shared" si="212"/>
        <v>0</v>
      </c>
      <c r="BV250">
        <f t="shared" si="213"/>
        <v>0</v>
      </c>
      <c r="BW250">
        <f t="shared" si="214"/>
        <v>0</v>
      </c>
      <c r="BX250">
        <f t="shared" si="215"/>
        <v>0</v>
      </c>
    </row>
    <row r="251" spans="2:76">
      <c r="B251" s="19">
        <f>Tiers!B252</f>
        <v>249</v>
      </c>
      <c r="C251" s="20" t="str">
        <f>Tiers!X252</f>
        <v>main-5|main-25|wild-13|freeplayA-5||||||</v>
      </c>
      <c r="D251" s="21">
        <f>Tiers!C252</f>
        <v>20</v>
      </c>
      <c r="E251" s="22">
        <f>Frequency!E253</f>
        <v>20</v>
      </c>
      <c r="F251" s="22">
        <f t="shared" si="165"/>
        <v>400</v>
      </c>
      <c r="G251" s="20">
        <f>IF(AND(D251/Summary!$C$4&gt;0, D251/Summary!$C$4&lt;5),E251,0) * D251</f>
        <v>0</v>
      </c>
      <c r="H251" s="20">
        <f>IF(AND(D251/Summary!$C$4&gt;= 5, D251/Summary!$C$4&lt;10),E251,0) * D251</f>
        <v>0</v>
      </c>
      <c r="I251" s="20">
        <f>IF(AND(D251/Summary!$C$4&gt;=10, D251/Summary!$C$4&lt;25),E251,0)*D251</f>
        <v>400</v>
      </c>
      <c r="J251" s="20">
        <f>IF(D251/Summary!$C$4&gt;=25,E251,0)*D251</f>
        <v>0</v>
      </c>
      <c r="K251" s="35">
        <f>IF(AND(D251/Frequency!$N$7&gt;0, D251/Frequency!$N$7&lt;1),E251,0)</f>
        <v>0</v>
      </c>
      <c r="L251" s="35">
        <f t="shared" si="166"/>
        <v>0</v>
      </c>
      <c r="M251" s="35">
        <f>IF(D251/Frequency!$N$7=1,1,0)*E251</f>
        <v>0</v>
      </c>
      <c r="N251" s="35">
        <f t="shared" si="167"/>
        <v>0</v>
      </c>
      <c r="O251" s="35">
        <f>IF(AND(D251/Frequency!$N$7&gt;1, D251/Frequency!$N$7&lt;=2),1,0)*E251</f>
        <v>0</v>
      </c>
      <c r="P251" s="35">
        <f t="shared" si="168"/>
        <v>0</v>
      </c>
      <c r="Q251" s="35">
        <f>IF(AND(D251/Frequency!$N$7&gt;2,D251/Frequency!$N$7&lt;=5),1,0)*E251</f>
        <v>0</v>
      </c>
      <c r="R251" s="35">
        <f t="shared" si="169"/>
        <v>0</v>
      </c>
      <c r="S251" s="35">
        <f>IF(AND(D251/Frequency!$N$7&gt;5, D251/Frequency!$N$7&lt;=10),1,0)*E251</f>
        <v>0</v>
      </c>
      <c r="T251" s="35">
        <f t="shared" si="170"/>
        <v>0</v>
      </c>
      <c r="U251" s="35">
        <f>IF(AND(D251/Frequency!$N$7&gt;10, D251/Frequency!$N$7&lt;=20),1,0)*E251</f>
        <v>20</v>
      </c>
      <c r="V251" s="35">
        <f t="shared" si="171"/>
        <v>400</v>
      </c>
      <c r="W251" s="35">
        <f>IF(AND(D251/Frequency!$N$7&gt;20, D251/Frequency!$N$7&lt;=30),1,0)*E251</f>
        <v>0</v>
      </c>
      <c r="X251" s="35">
        <f t="shared" si="172"/>
        <v>0</v>
      </c>
      <c r="Y251" s="35">
        <f>IF(AND(D251/Frequency!$N$7&gt;30, D251/Frequency!$N$7&lt;=50),1,0)*E251</f>
        <v>0</v>
      </c>
      <c r="Z251" s="35">
        <f t="shared" si="173"/>
        <v>0</v>
      </c>
      <c r="AA251" s="35">
        <f>IF(AND(D251/Frequency!$N$7&gt;50, D251/Frequency!$N$7&lt;=100),1,0)*E251</f>
        <v>0</v>
      </c>
      <c r="AB251" s="35">
        <f t="shared" si="174"/>
        <v>0</v>
      </c>
      <c r="AC251" s="35">
        <f>IF(D251/Frequency!$N$7&gt;100,1,0)*E251</f>
        <v>0</v>
      </c>
      <c r="AD251" s="35">
        <f t="shared" si="175"/>
        <v>0</v>
      </c>
      <c r="AE251" s="22">
        <f t="shared" si="176"/>
        <v>20</v>
      </c>
      <c r="AF251" s="22">
        <f t="shared" si="177"/>
        <v>0</v>
      </c>
      <c r="AG251" s="22">
        <f t="shared" si="178"/>
        <v>0</v>
      </c>
      <c r="AH251" s="22">
        <f t="shared" si="179"/>
        <v>0</v>
      </c>
      <c r="AI251" s="35">
        <f t="shared" si="180"/>
        <v>1</v>
      </c>
      <c r="AJ251" s="35">
        <f t="shared" si="181"/>
        <v>20</v>
      </c>
      <c r="AK251" s="35">
        <f t="shared" si="182"/>
        <v>400</v>
      </c>
      <c r="AL251">
        <f t="shared" si="183"/>
        <v>1</v>
      </c>
      <c r="AM251">
        <f t="shared" si="184"/>
        <v>20</v>
      </c>
      <c r="AN251">
        <f t="shared" si="185"/>
        <v>400</v>
      </c>
      <c r="AO251">
        <f t="shared" si="186"/>
        <v>1</v>
      </c>
      <c r="AP251">
        <f t="shared" si="187"/>
        <v>20</v>
      </c>
      <c r="AQ251">
        <f t="shared" si="188"/>
        <v>400</v>
      </c>
      <c r="AR251">
        <f t="shared" si="189"/>
        <v>0</v>
      </c>
      <c r="AS251">
        <f t="shared" si="190"/>
        <v>0</v>
      </c>
      <c r="AT251">
        <f t="shared" si="191"/>
        <v>0</v>
      </c>
      <c r="AU251">
        <f t="shared" si="192"/>
        <v>1</v>
      </c>
      <c r="AV251">
        <v>0</v>
      </c>
      <c r="AW251">
        <v>0</v>
      </c>
      <c r="AX251">
        <f t="shared" si="193"/>
        <v>0</v>
      </c>
      <c r="AY251">
        <f t="shared" si="194"/>
        <v>0</v>
      </c>
      <c r="AZ251">
        <f t="shared" si="195"/>
        <v>0</v>
      </c>
      <c r="BA251">
        <f t="shared" si="196"/>
        <v>0</v>
      </c>
      <c r="BB251">
        <f t="shared" si="197"/>
        <v>0</v>
      </c>
      <c r="BC251">
        <f t="shared" si="198"/>
        <v>0</v>
      </c>
      <c r="BD251">
        <f t="shared" si="199"/>
        <v>0</v>
      </c>
      <c r="BE251">
        <f t="shared" si="200"/>
        <v>0</v>
      </c>
      <c r="BF251">
        <f t="shared" si="201"/>
        <v>0</v>
      </c>
      <c r="BG251">
        <f t="shared" si="202"/>
        <v>0</v>
      </c>
      <c r="BH251">
        <f t="shared" si="203"/>
        <v>0</v>
      </c>
      <c r="BI251">
        <f t="shared" si="204"/>
        <v>0</v>
      </c>
      <c r="BJ251">
        <v>0</v>
      </c>
      <c r="BK251" t="str">
        <f t="shared" si="218"/>
        <v>Big Win</v>
      </c>
      <c r="BL251" s="40" t="str">
        <f t="shared" si="219"/>
        <v>Free Plays A</v>
      </c>
      <c r="BM251">
        <f>(D251/Frequency!$N$7-Summary!$C$7)^2*E251</f>
        <v>7342.1119999999992</v>
      </c>
      <c r="BN251">
        <f t="shared" si="205"/>
        <v>400</v>
      </c>
      <c r="BO251">
        <f t="shared" si="206"/>
        <v>0</v>
      </c>
      <c r="BP251">
        <f t="shared" si="207"/>
        <v>0</v>
      </c>
      <c r="BQ251">
        <f t="shared" si="208"/>
        <v>0</v>
      </c>
      <c r="BR251">
        <f t="shared" si="209"/>
        <v>0</v>
      </c>
      <c r="BS251">
        <f t="shared" si="210"/>
        <v>20</v>
      </c>
      <c r="BT251">
        <f t="shared" si="211"/>
        <v>400</v>
      </c>
      <c r="BU251">
        <f t="shared" si="212"/>
        <v>0</v>
      </c>
      <c r="BV251">
        <f t="shared" si="213"/>
        <v>0</v>
      </c>
      <c r="BW251">
        <f t="shared" si="214"/>
        <v>0</v>
      </c>
      <c r="BX251">
        <f t="shared" si="215"/>
        <v>0</v>
      </c>
    </row>
    <row r="252" spans="2:76">
      <c r="B252" s="19">
        <f>Tiers!B253</f>
        <v>250</v>
      </c>
      <c r="C252" s="20" t="str">
        <f>Tiers!X253</f>
        <v>main-5|main-26|wild-14|freeplayA-24||||||</v>
      </c>
      <c r="D252" s="21">
        <f>Tiers!C253</f>
        <v>28.2</v>
      </c>
      <c r="E252" s="22">
        <f>Frequency!E254</f>
        <v>10</v>
      </c>
      <c r="F252" s="22">
        <f t="shared" si="165"/>
        <v>282</v>
      </c>
      <c r="G252" s="20">
        <f>IF(AND(D252/Summary!$C$4&gt;0, D252/Summary!$C$4&lt;5),E252,0) * D252</f>
        <v>0</v>
      </c>
      <c r="H252" s="20">
        <f>IF(AND(D252/Summary!$C$4&gt;= 5, D252/Summary!$C$4&lt;10),E252,0) * D252</f>
        <v>0</v>
      </c>
      <c r="I252" s="20">
        <f>IF(AND(D252/Summary!$C$4&gt;=10, D252/Summary!$C$4&lt;25),E252,0)*D252</f>
        <v>0</v>
      </c>
      <c r="J252" s="20">
        <f>IF(D252/Summary!$C$4&gt;=25,E252,0)*D252</f>
        <v>282</v>
      </c>
      <c r="K252" s="35">
        <f>IF(AND(D252/Frequency!$N$7&gt;0, D252/Frequency!$N$7&lt;1),E252,0)</f>
        <v>0</v>
      </c>
      <c r="L252" s="35">
        <f t="shared" si="166"/>
        <v>0</v>
      </c>
      <c r="M252" s="35">
        <f>IF(D252/Frequency!$N$7=1,1,0)*E252</f>
        <v>0</v>
      </c>
      <c r="N252" s="35">
        <f t="shared" si="167"/>
        <v>0</v>
      </c>
      <c r="O252" s="35">
        <f>IF(AND(D252/Frequency!$N$7&gt;1, D252/Frequency!$N$7&lt;=2),1,0)*E252</f>
        <v>0</v>
      </c>
      <c r="P252" s="35">
        <f t="shared" si="168"/>
        <v>0</v>
      </c>
      <c r="Q252" s="35">
        <f>IF(AND(D252/Frequency!$N$7&gt;2,D252/Frequency!$N$7&lt;=5),1,0)*E252</f>
        <v>0</v>
      </c>
      <c r="R252" s="35">
        <f t="shared" si="169"/>
        <v>0</v>
      </c>
      <c r="S252" s="35">
        <f>IF(AND(D252/Frequency!$N$7&gt;5, D252/Frequency!$N$7&lt;=10),1,0)*E252</f>
        <v>0</v>
      </c>
      <c r="T252" s="35">
        <f t="shared" si="170"/>
        <v>0</v>
      </c>
      <c r="U252" s="35">
        <f>IF(AND(D252/Frequency!$N$7&gt;10, D252/Frequency!$N$7&lt;=20),1,0)*E252</f>
        <v>0</v>
      </c>
      <c r="V252" s="35">
        <f t="shared" si="171"/>
        <v>0</v>
      </c>
      <c r="W252" s="35">
        <f>IF(AND(D252/Frequency!$N$7&gt;20, D252/Frequency!$N$7&lt;=30),1,0)*E252</f>
        <v>10</v>
      </c>
      <c r="X252" s="35">
        <f t="shared" si="172"/>
        <v>282</v>
      </c>
      <c r="Y252" s="35">
        <f>IF(AND(D252/Frequency!$N$7&gt;30, D252/Frequency!$N$7&lt;=50),1,0)*E252</f>
        <v>0</v>
      </c>
      <c r="Z252" s="35">
        <f t="shared" si="173"/>
        <v>0</v>
      </c>
      <c r="AA252" s="35">
        <f>IF(AND(D252/Frequency!$N$7&gt;50, D252/Frequency!$N$7&lt;=100),1,0)*E252</f>
        <v>0</v>
      </c>
      <c r="AB252" s="35">
        <f t="shared" si="174"/>
        <v>0</v>
      </c>
      <c r="AC252" s="35">
        <f>IF(D252/Frequency!$N$7&gt;100,1,0)*E252</f>
        <v>0</v>
      </c>
      <c r="AD252" s="35">
        <f t="shared" si="175"/>
        <v>0</v>
      </c>
      <c r="AE252" s="22">
        <f t="shared" si="176"/>
        <v>10</v>
      </c>
      <c r="AF252" s="22">
        <f t="shared" si="177"/>
        <v>0</v>
      </c>
      <c r="AG252" s="22">
        <f t="shared" si="178"/>
        <v>0</v>
      </c>
      <c r="AH252" s="22">
        <f t="shared" si="179"/>
        <v>0</v>
      </c>
      <c r="AI252" s="35">
        <f t="shared" si="180"/>
        <v>1</v>
      </c>
      <c r="AJ252" s="35">
        <f t="shared" si="181"/>
        <v>10</v>
      </c>
      <c r="AK252" s="35">
        <f t="shared" si="182"/>
        <v>282</v>
      </c>
      <c r="AL252">
        <f t="shared" si="183"/>
        <v>1</v>
      </c>
      <c r="AM252">
        <f t="shared" si="184"/>
        <v>10</v>
      </c>
      <c r="AN252">
        <f t="shared" si="185"/>
        <v>282</v>
      </c>
      <c r="AO252">
        <f t="shared" si="186"/>
        <v>1</v>
      </c>
      <c r="AP252">
        <f t="shared" si="187"/>
        <v>10</v>
      </c>
      <c r="AQ252">
        <f t="shared" si="188"/>
        <v>282</v>
      </c>
      <c r="AR252">
        <f t="shared" si="189"/>
        <v>0</v>
      </c>
      <c r="AS252">
        <f t="shared" si="190"/>
        <v>0</v>
      </c>
      <c r="AT252">
        <f t="shared" si="191"/>
        <v>0</v>
      </c>
      <c r="AU252">
        <f t="shared" si="192"/>
        <v>1</v>
      </c>
      <c r="AV252">
        <v>0</v>
      </c>
      <c r="AW252">
        <v>0</v>
      </c>
      <c r="AX252">
        <f t="shared" si="193"/>
        <v>0</v>
      </c>
      <c r="AY252">
        <f t="shared" si="194"/>
        <v>0</v>
      </c>
      <c r="AZ252">
        <f t="shared" si="195"/>
        <v>0</v>
      </c>
      <c r="BA252">
        <f t="shared" si="196"/>
        <v>0</v>
      </c>
      <c r="BB252">
        <f t="shared" si="197"/>
        <v>0</v>
      </c>
      <c r="BC252">
        <f t="shared" si="198"/>
        <v>0</v>
      </c>
      <c r="BD252">
        <f t="shared" si="199"/>
        <v>0</v>
      </c>
      <c r="BE252">
        <f t="shared" si="200"/>
        <v>0</v>
      </c>
      <c r="BF252">
        <f t="shared" si="201"/>
        <v>0</v>
      </c>
      <c r="BG252">
        <f t="shared" si="202"/>
        <v>0</v>
      </c>
      <c r="BH252">
        <f t="shared" si="203"/>
        <v>0</v>
      </c>
      <c r="BI252">
        <f t="shared" si="204"/>
        <v>0</v>
      </c>
      <c r="BJ252">
        <v>0</v>
      </c>
      <c r="BK252" t="str">
        <f t="shared" si="218"/>
        <v>Big Win</v>
      </c>
      <c r="BL252" s="40" t="str">
        <f t="shared" si="219"/>
        <v>Free Plays A</v>
      </c>
      <c r="BM252">
        <f>(D252/Frequency!$N$7-Summary!$C$7)^2*E252</f>
        <v>7485.695999999999</v>
      </c>
      <c r="BN252">
        <f t="shared" si="205"/>
        <v>282</v>
      </c>
      <c r="BO252">
        <f t="shared" si="206"/>
        <v>0</v>
      </c>
      <c r="BP252">
        <f t="shared" si="207"/>
        <v>0</v>
      </c>
      <c r="BQ252">
        <f t="shared" si="208"/>
        <v>0</v>
      </c>
      <c r="BR252">
        <f t="shared" si="209"/>
        <v>0</v>
      </c>
      <c r="BS252">
        <f t="shared" si="210"/>
        <v>10</v>
      </c>
      <c r="BT252">
        <f t="shared" si="211"/>
        <v>282</v>
      </c>
      <c r="BU252">
        <f t="shared" si="212"/>
        <v>0</v>
      </c>
      <c r="BV252">
        <f t="shared" si="213"/>
        <v>0</v>
      </c>
      <c r="BW252">
        <f t="shared" si="214"/>
        <v>0</v>
      </c>
      <c r="BX252">
        <f t="shared" si="215"/>
        <v>0</v>
      </c>
    </row>
    <row r="253" spans="2:76">
      <c r="B253" s="19">
        <f>Tiers!B254</f>
        <v>251</v>
      </c>
      <c r="C253" s="20" t="str">
        <f>Tiers!X254</f>
        <v>main-3|main-5|main-19|freeplayA-8||||||</v>
      </c>
      <c r="D253" s="21">
        <f>Tiers!C254</f>
        <v>11.2</v>
      </c>
      <c r="E253" s="22">
        <f>Frequency!E255</f>
        <v>20</v>
      </c>
      <c r="F253" s="22">
        <f t="shared" si="165"/>
        <v>224</v>
      </c>
      <c r="G253" s="20">
        <f>IF(AND(D253/Summary!$C$4&gt;0, D253/Summary!$C$4&lt;5),E253,0) * D253</f>
        <v>0</v>
      </c>
      <c r="H253" s="20">
        <f>IF(AND(D253/Summary!$C$4&gt;= 5, D253/Summary!$C$4&lt;10),E253,0) * D253</f>
        <v>0</v>
      </c>
      <c r="I253" s="20">
        <f>IF(AND(D253/Summary!$C$4&gt;=10, D253/Summary!$C$4&lt;25),E253,0)*D253</f>
        <v>224</v>
      </c>
      <c r="J253" s="20">
        <f>IF(D253/Summary!$C$4&gt;=25,E253,0)*D253</f>
        <v>0</v>
      </c>
      <c r="K253" s="35">
        <f>IF(AND(D253/Frequency!$N$7&gt;0, D253/Frequency!$N$7&lt;1),E253,0)</f>
        <v>0</v>
      </c>
      <c r="L253" s="35">
        <f t="shared" si="166"/>
        <v>0</v>
      </c>
      <c r="M253" s="35">
        <f>IF(D253/Frequency!$N$7=1,1,0)*E253</f>
        <v>0</v>
      </c>
      <c r="N253" s="35">
        <f t="shared" si="167"/>
        <v>0</v>
      </c>
      <c r="O253" s="35">
        <f>IF(AND(D253/Frequency!$N$7&gt;1, D253/Frequency!$N$7&lt;=2),1,0)*E253</f>
        <v>0</v>
      </c>
      <c r="P253" s="35">
        <f t="shared" si="168"/>
        <v>0</v>
      </c>
      <c r="Q253" s="35">
        <f>IF(AND(D253/Frequency!$N$7&gt;2,D253/Frequency!$N$7&lt;=5),1,0)*E253</f>
        <v>0</v>
      </c>
      <c r="R253" s="35">
        <f t="shared" si="169"/>
        <v>0</v>
      </c>
      <c r="S253" s="35">
        <f>IF(AND(D253/Frequency!$N$7&gt;5, D253/Frequency!$N$7&lt;=10),1,0)*E253</f>
        <v>0</v>
      </c>
      <c r="T253" s="35">
        <f t="shared" si="170"/>
        <v>0</v>
      </c>
      <c r="U253" s="35">
        <f>IF(AND(D253/Frequency!$N$7&gt;10, D253/Frequency!$N$7&lt;=20),1,0)*E253</f>
        <v>20</v>
      </c>
      <c r="V253" s="35">
        <f t="shared" si="171"/>
        <v>224</v>
      </c>
      <c r="W253" s="35">
        <f>IF(AND(D253/Frequency!$N$7&gt;20, D253/Frequency!$N$7&lt;=30),1,0)*E253</f>
        <v>0</v>
      </c>
      <c r="X253" s="35">
        <f t="shared" si="172"/>
        <v>0</v>
      </c>
      <c r="Y253" s="35">
        <f>IF(AND(D253/Frequency!$N$7&gt;30, D253/Frequency!$N$7&lt;=50),1,0)*E253</f>
        <v>0</v>
      </c>
      <c r="Z253" s="35">
        <f t="shared" si="173"/>
        <v>0</v>
      </c>
      <c r="AA253" s="35">
        <f>IF(AND(D253/Frequency!$N$7&gt;50, D253/Frequency!$N$7&lt;=100),1,0)*E253</f>
        <v>0</v>
      </c>
      <c r="AB253" s="35">
        <f t="shared" si="174"/>
        <v>0</v>
      </c>
      <c r="AC253" s="35">
        <f>IF(D253/Frequency!$N$7&gt;100,1,0)*E253</f>
        <v>0</v>
      </c>
      <c r="AD253" s="35">
        <f t="shared" si="175"/>
        <v>0</v>
      </c>
      <c r="AE253" s="22">
        <f t="shared" si="176"/>
        <v>20</v>
      </c>
      <c r="AF253" s="22">
        <f t="shared" si="177"/>
        <v>0</v>
      </c>
      <c r="AG253" s="22">
        <f t="shared" si="178"/>
        <v>0</v>
      </c>
      <c r="AH253" s="22">
        <f t="shared" si="179"/>
        <v>0</v>
      </c>
      <c r="AI253" s="35">
        <f t="shared" si="180"/>
        <v>1</v>
      </c>
      <c r="AJ253" s="35">
        <f t="shared" si="181"/>
        <v>20</v>
      </c>
      <c r="AK253" s="35">
        <f t="shared" si="182"/>
        <v>224</v>
      </c>
      <c r="AL253">
        <f t="shared" si="183"/>
        <v>0</v>
      </c>
      <c r="AM253">
        <f t="shared" si="184"/>
        <v>0</v>
      </c>
      <c r="AN253">
        <f t="shared" si="185"/>
        <v>0</v>
      </c>
      <c r="AO253">
        <f t="shared" si="186"/>
        <v>0</v>
      </c>
      <c r="AP253">
        <f t="shared" si="187"/>
        <v>0</v>
      </c>
      <c r="AQ253">
        <f t="shared" si="188"/>
        <v>0</v>
      </c>
      <c r="AR253">
        <f t="shared" si="189"/>
        <v>0</v>
      </c>
      <c r="AS253">
        <f t="shared" si="190"/>
        <v>0</v>
      </c>
      <c r="AT253">
        <f t="shared" si="191"/>
        <v>0</v>
      </c>
      <c r="AU253">
        <f t="shared" si="192"/>
        <v>1</v>
      </c>
      <c r="AV253">
        <v>0</v>
      </c>
      <c r="AW253">
        <v>0</v>
      </c>
      <c r="AX253">
        <f t="shared" si="193"/>
        <v>0</v>
      </c>
      <c r="AY253">
        <f t="shared" si="194"/>
        <v>0</v>
      </c>
      <c r="AZ253">
        <f t="shared" si="195"/>
        <v>0</v>
      </c>
      <c r="BA253">
        <f t="shared" si="196"/>
        <v>0</v>
      </c>
      <c r="BB253">
        <f t="shared" si="197"/>
        <v>0</v>
      </c>
      <c r="BC253">
        <f t="shared" si="198"/>
        <v>0</v>
      </c>
      <c r="BD253">
        <f t="shared" si="199"/>
        <v>0</v>
      </c>
      <c r="BE253">
        <f t="shared" si="200"/>
        <v>0</v>
      </c>
      <c r="BF253">
        <f t="shared" si="201"/>
        <v>0</v>
      </c>
      <c r="BG253">
        <f t="shared" si="202"/>
        <v>0</v>
      </c>
      <c r="BH253">
        <f t="shared" si="203"/>
        <v>0</v>
      </c>
      <c r="BI253">
        <f t="shared" si="204"/>
        <v>0</v>
      </c>
      <c r="BJ253">
        <v>0</v>
      </c>
      <c r="BK253" t="str">
        <f t="shared" si="218"/>
        <v>Big Win</v>
      </c>
      <c r="BL253" s="40" t="str">
        <f t="shared" si="219"/>
        <v>Free Plays A</v>
      </c>
      <c r="BM253">
        <f>(D253/Frequency!$N$7-Summary!$C$7)^2*E253</f>
        <v>2146.5919999999996</v>
      </c>
      <c r="BN253">
        <f t="shared" si="205"/>
        <v>224</v>
      </c>
      <c r="BO253">
        <f t="shared" si="206"/>
        <v>0</v>
      </c>
      <c r="BP253">
        <f t="shared" si="207"/>
        <v>0</v>
      </c>
      <c r="BQ253">
        <f t="shared" si="208"/>
        <v>0</v>
      </c>
      <c r="BR253">
        <f t="shared" si="209"/>
        <v>0</v>
      </c>
      <c r="BS253">
        <f t="shared" si="210"/>
        <v>20</v>
      </c>
      <c r="BT253">
        <f t="shared" si="211"/>
        <v>224</v>
      </c>
      <c r="BU253">
        <f t="shared" si="212"/>
        <v>0</v>
      </c>
      <c r="BV253">
        <f t="shared" si="213"/>
        <v>0</v>
      </c>
      <c r="BW253">
        <f t="shared" si="214"/>
        <v>0</v>
      </c>
      <c r="BX253">
        <f t="shared" si="215"/>
        <v>0</v>
      </c>
    </row>
    <row r="254" spans="2:76">
      <c r="B254" s="19">
        <f>Tiers!B255</f>
        <v>252</v>
      </c>
      <c r="C254" s="20" t="str">
        <f>Tiers!X255</f>
        <v>main-5|main-26|main-1|freeplayA-9||||||</v>
      </c>
      <c r="D254" s="21">
        <f>Tiers!C255</f>
        <v>18.2</v>
      </c>
      <c r="E254" s="22">
        <f>Frequency!E256</f>
        <v>20</v>
      </c>
      <c r="F254" s="22">
        <f t="shared" si="165"/>
        <v>364</v>
      </c>
      <c r="G254" s="20">
        <f>IF(AND(D254/Summary!$C$4&gt;0, D254/Summary!$C$4&lt;5),E254,0) * D254</f>
        <v>0</v>
      </c>
      <c r="H254" s="20">
        <f>IF(AND(D254/Summary!$C$4&gt;= 5, D254/Summary!$C$4&lt;10),E254,0) * D254</f>
        <v>0</v>
      </c>
      <c r="I254" s="20">
        <f>IF(AND(D254/Summary!$C$4&gt;=10, D254/Summary!$C$4&lt;25),E254,0)*D254</f>
        <v>364</v>
      </c>
      <c r="J254" s="20">
        <f>IF(D254/Summary!$C$4&gt;=25,E254,0)*D254</f>
        <v>0</v>
      </c>
      <c r="K254" s="35">
        <f>IF(AND(D254/Frequency!$N$7&gt;0, D254/Frequency!$N$7&lt;1),E254,0)</f>
        <v>0</v>
      </c>
      <c r="L254" s="35">
        <f t="shared" si="166"/>
        <v>0</v>
      </c>
      <c r="M254" s="35">
        <f>IF(D254/Frequency!$N$7=1,1,0)*E254</f>
        <v>0</v>
      </c>
      <c r="N254" s="35">
        <f t="shared" si="167"/>
        <v>0</v>
      </c>
      <c r="O254" s="35">
        <f>IF(AND(D254/Frequency!$N$7&gt;1, D254/Frequency!$N$7&lt;=2),1,0)*E254</f>
        <v>0</v>
      </c>
      <c r="P254" s="35">
        <f t="shared" si="168"/>
        <v>0</v>
      </c>
      <c r="Q254" s="35">
        <f>IF(AND(D254/Frequency!$N$7&gt;2,D254/Frequency!$N$7&lt;=5),1,0)*E254</f>
        <v>0</v>
      </c>
      <c r="R254" s="35">
        <f t="shared" si="169"/>
        <v>0</v>
      </c>
      <c r="S254" s="35">
        <f>IF(AND(D254/Frequency!$N$7&gt;5, D254/Frequency!$N$7&lt;=10),1,0)*E254</f>
        <v>0</v>
      </c>
      <c r="T254" s="35">
        <f t="shared" si="170"/>
        <v>0</v>
      </c>
      <c r="U254" s="35">
        <f>IF(AND(D254/Frequency!$N$7&gt;10, D254/Frequency!$N$7&lt;=20),1,0)*E254</f>
        <v>20</v>
      </c>
      <c r="V254" s="35">
        <f t="shared" si="171"/>
        <v>364</v>
      </c>
      <c r="W254" s="35">
        <f>IF(AND(D254/Frequency!$N$7&gt;20, D254/Frequency!$N$7&lt;=30),1,0)*E254</f>
        <v>0</v>
      </c>
      <c r="X254" s="35">
        <f t="shared" si="172"/>
        <v>0</v>
      </c>
      <c r="Y254" s="35">
        <f>IF(AND(D254/Frequency!$N$7&gt;30, D254/Frequency!$N$7&lt;=50),1,0)*E254</f>
        <v>0</v>
      </c>
      <c r="Z254" s="35">
        <f t="shared" si="173"/>
        <v>0</v>
      </c>
      <c r="AA254" s="35">
        <f>IF(AND(D254/Frequency!$N$7&gt;50, D254/Frequency!$N$7&lt;=100),1,0)*E254</f>
        <v>0</v>
      </c>
      <c r="AB254" s="35">
        <f t="shared" si="174"/>
        <v>0</v>
      </c>
      <c r="AC254" s="35">
        <f>IF(D254/Frequency!$N$7&gt;100,1,0)*E254</f>
        <v>0</v>
      </c>
      <c r="AD254" s="35">
        <f t="shared" si="175"/>
        <v>0</v>
      </c>
      <c r="AE254" s="22">
        <f t="shared" si="176"/>
        <v>20</v>
      </c>
      <c r="AF254" s="22">
        <f t="shared" si="177"/>
        <v>0</v>
      </c>
      <c r="AG254" s="22">
        <f t="shared" si="178"/>
        <v>0</v>
      </c>
      <c r="AH254" s="22">
        <f t="shared" si="179"/>
        <v>0</v>
      </c>
      <c r="AI254" s="35">
        <f t="shared" si="180"/>
        <v>1</v>
      </c>
      <c r="AJ254" s="35">
        <f t="shared" si="181"/>
        <v>20</v>
      </c>
      <c r="AK254" s="35">
        <f t="shared" si="182"/>
        <v>364</v>
      </c>
      <c r="AL254">
        <f t="shared" si="183"/>
        <v>0</v>
      </c>
      <c r="AM254">
        <f t="shared" si="184"/>
        <v>0</v>
      </c>
      <c r="AN254">
        <f t="shared" si="185"/>
        <v>0</v>
      </c>
      <c r="AO254">
        <f t="shared" si="186"/>
        <v>0</v>
      </c>
      <c r="AP254">
        <f t="shared" si="187"/>
        <v>0</v>
      </c>
      <c r="AQ254">
        <f t="shared" si="188"/>
        <v>0</v>
      </c>
      <c r="AR254">
        <f t="shared" si="189"/>
        <v>0</v>
      </c>
      <c r="AS254">
        <f t="shared" si="190"/>
        <v>0</v>
      </c>
      <c r="AT254">
        <f t="shared" si="191"/>
        <v>0</v>
      </c>
      <c r="AU254">
        <f t="shared" si="192"/>
        <v>1</v>
      </c>
      <c r="AV254">
        <v>0</v>
      </c>
      <c r="AW254">
        <v>0</v>
      </c>
      <c r="AX254">
        <f t="shared" si="193"/>
        <v>0</v>
      </c>
      <c r="AY254">
        <f t="shared" si="194"/>
        <v>0</v>
      </c>
      <c r="AZ254">
        <f t="shared" si="195"/>
        <v>0</v>
      </c>
      <c r="BA254">
        <f t="shared" si="196"/>
        <v>0</v>
      </c>
      <c r="BB254">
        <f t="shared" si="197"/>
        <v>0</v>
      </c>
      <c r="BC254">
        <f t="shared" si="198"/>
        <v>0</v>
      </c>
      <c r="BD254">
        <f t="shared" si="199"/>
        <v>0</v>
      </c>
      <c r="BE254">
        <f t="shared" si="200"/>
        <v>0</v>
      </c>
      <c r="BF254">
        <f t="shared" si="201"/>
        <v>0</v>
      </c>
      <c r="BG254">
        <f t="shared" si="202"/>
        <v>0</v>
      </c>
      <c r="BH254">
        <f t="shared" si="203"/>
        <v>0</v>
      </c>
      <c r="BI254">
        <f t="shared" si="204"/>
        <v>0</v>
      </c>
      <c r="BJ254">
        <v>0</v>
      </c>
      <c r="BK254" t="str">
        <f t="shared" si="218"/>
        <v>Big Win</v>
      </c>
      <c r="BL254" s="40" t="str">
        <f t="shared" si="219"/>
        <v>Free Plays A</v>
      </c>
      <c r="BM254">
        <f>(D254/Frequency!$N$7-Summary!$C$7)^2*E254</f>
        <v>6027.3919999999998</v>
      </c>
      <c r="BN254">
        <f t="shared" si="205"/>
        <v>364</v>
      </c>
      <c r="BO254">
        <f t="shared" si="206"/>
        <v>0</v>
      </c>
      <c r="BP254">
        <f t="shared" si="207"/>
        <v>0</v>
      </c>
      <c r="BQ254">
        <f t="shared" si="208"/>
        <v>0</v>
      </c>
      <c r="BR254">
        <f t="shared" si="209"/>
        <v>0</v>
      </c>
      <c r="BS254">
        <f t="shared" si="210"/>
        <v>20</v>
      </c>
      <c r="BT254">
        <f t="shared" si="211"/>
        <v>364</v>
      </c>
      <c r="BU254">
        <f t="shared" si="212"/>
        <v>0</v>
      </c>
      <c r="BV254">
        <f t="shared" si="213"/>
        <v>0</v>
      </c>
      <c r="BW254">
        <f t="shared" si="214"/>
        <v>0</v>
      </c>
      <c r="BX254">
        <f t="shared" si="215"/>
        <v>0</v>
      </c>
    </row>
    <row r="255" spans="2:76">
      <c r="B255" s="19">
        <f>Tiers!B256</f>
        <v>253</v>
      </c>
      <c r="C255" s="20" t="str">
        <f>Tiers!X256</f>
        <v>main-5|main-25|main-19|freeplayA-10||||||</v>
      </c>
      <c r="D255" s="21">
        <f>Tiers!C256</f>
        <v>20</v>
      </c>
      <c r="E255" s="22">
        <f>Frequency!E257</f>
        <v>20</v>
      </c>
      <c r="F255" s="22">
        <f t="shared" si="165"/>
        <v>400</v>
      </c>
      <c r="G255" s="20">
        <f>IF(AND(D255/Summary!$C$4&gt;0, D255/Summary!$C$4&lt;5),E255,0) * D255</f>
        <v>0</v>
      </c>
      <c r="H255" s="20">
        <f>IF(AND(D255/Summary!$C$4&gt;= 5, D255/Summary!$C$4&lt;10),E255,0) * D255</f>
        <v>0</v>
      </c>
      <c r="I255" s="20">
        <f>IF(AND(D255/Summary!$C$4&gt;=10, D255/Summary!$C$4&lt;25),E255,0)*D255</f>
        <v>400</v>
      </c>
      <c r="J255" s="20">
        <f>IF(D255/Summary!$C$4&gt;=25,E255,0)*D255</f>
        <v>0</v>
      </c>
      <c r="K255" s="35">
        <f>IF(AND(D255/Frequency!$N$7&gt;0, D255/Frequency!$N$7&lt;1),E255,0)</f>
        <v>0</v>
      </c>
      <c r="L255" s="35">
        <f t="shared" si="166"/>
        <v>0</v>
      </c>
      <c r="M255" s="35">
        <f>IF(D255/Frequency!$N$7=1,1,0)*E255</f>
        <v>0</v>
      </c>
      <c r="N255" s="35">
        <f t="shared" si="167"/>
        <v>0</v>
      </c>
      <c r="O255" s="35">
        <f>IF(AND(D255/Frequency!$N$7&gt;1, D255/Frequency!$N$7&lt;=2),1,0)*E255</f>
        <v>0</v>
      </c>
      <c r="P255" s="35">
        <f t="shared" si="168"/>
        <v>0</v>
      </c>
      <c r="Q255" s="35">
        <f>IF(AND(D255/Frequency!$N$7&gt;2,D255/Frequency!$N$7&lt;=5),1,0)*E255</f>
        <v>0</v>
      </c>
      <c r="R255" s="35">
        <f t="shared" si="169"/>
        <v>0</v>
      </c>
      <c r="S255" s="35">
        <f>IF(AND(D255/Frequency!$N$7&gt;5, D255/Frequency!$N$7&lt;=10),1,0)*E255</f>
        <v>0</v>
      </c>
      <c r="T255" s="35">
        <f t="shared" si="170"/>
        <v>0</v>
      </c>
      <c r="U255" s="35">
        <f>IF(AND(D255/Frequency!$N$7&gt;10, D255/Frequency!$N$7&lt;=20),1,0)*E255</f>
        <v>20</v>
      </c>
      <c r="V255" s="35">
        <f t="shared" si="171"/>
        <v>400</v>
      </c>
      <c r="W255" s="35">
        <f>IF(AND(D255/Frequency!$N$7&gt;20, D255/Frequency!$N$7&lt;=30),1,0)*E255</f>
        <v>0</v>
      </c>
      <c r="X255" s="35">
        <f t="shared" si="172"/>
        <v>0</v>
      </c>
      <c r="Y255" s="35">
        <f>IF(AND(D255/Frequency!$N$7&gt;30, D255/Frequency!$N$7&lt;=50),1,0)*E255</f>
        <v>0</v>
      </c>
      <c r="Z255" s="35">
        <f t="shared" si="173"/>
        <v>0</v>
      </c>
      <c r="AA255" s="35">
        <f>IF(AND(D255/Frequency!$N$7&gt;50, D255/Frequency!$N$7&lt;=100),1,0)*E255</f>
        <v>0</v>
      </c>
      <c r="AB255" s="35">
        <f t="shared" si="174"/>
        <v>0</v>
      </c>
      <c r="AC255" s="35">
        <f>IF(D255/Frequency!$N$7&gt;100,1,0)*E255</f>
        <v>0</v>
      </c>
      <c r="AD255" s="35">
        <f t="shared" si="175"/>
        <v>0</v>
      </c>
      <c r="AE255" s="22">
        <f t="shared" si="176"/>
        <v>20</v>
      </c>
      <c r="AF255" s="22">
        <f t="shared" si="177"/>
        <v>0</v>
      </c>
      <c r="AG255" s="22">
        <f t="shared" si="178"/>
        <v>0</v>
      </c>
      <c r="AH255" s="22">
        <f t="shared" si="179"/>
        <v>0</v>
      </c>
      <c r="AI255" s="35">
        <f t="shared" si="180"/>
        <v>1</v>
      </c>
      <c r="AJ255" s="35">
        <f t="shared" si="181"/>
        <v>20</v>
      </c>
      <c r="AK255" s="35">
        <f t="shared" si="182"/>
        <v>400</v>
      </c>
      <c r="AL255">
        <f t="shared" si="183"/>
        <v>0</v>
      </c>
      <c r="AM255">
        <f t="shared" si="184"/>
        <v>0</v>
      </c>
      <c r="AN255">
        <f t="shared" si="185"/>
        <v>0</v>
      </c>
      <c r="AO255">
        <f t="shared" si="186"/>
        <v>0</v>
      </c>
      <c r="AP255">
        <f t="shared" si="187"/>
        <v>0</v>
      </c>
      <c r="AQ255">
        <f t="shared" si="188"/>
        <v>0</v>
      </c>
      <c r="AR255">
        <f t="shared" si="189"/>
        <v>0</v>
      </c>
      <c r="AS255">
        <f t="shared" si="190"/>
        <v>0</v>
      </c>
      <c r="AT255">
        <f t="shared" si="191"/>
        <v>0</v>
      </c>
      <c r="AU255">
        <f t="shared" si="192"/>
        <v>1</v>
      </c>
      <c r="AV255">
        <v>0</v>
      </c>
      <c r="AW255">
        <v>0</v>
      </c>
      <c r="AX255">
        <f t="shared" si="193"/>
        <v>0</v>
      </c>
      <c r="AY255">
        <f t="shared" si="194"/>
        <v>0</v>
      </c>
      <c r="AZ255">
        <f t="shared" si="195"/>
        <v>0</v>
      </c>
      <c r="BA255">
        <f t="shared" si="196"/>
        <v>0</v>
      </c>
      <c r="BB255">
        <f t="shared" si="197"/>
        <v>0</v>
      </c>
      <c r="BC255">
        <f t="shared" si="198"/>
        <v>0</v>
      </c>
      <c r="BD255">
        <f t="shared" si="199"/>
        <v>0</v>
      </c>
      <c r="BE255">
        <f t="shared" si="200"/>
        <v>0</v>
      </c>
      <c r="BF255">
        <f t="shared" si="201"/>
        <v>0</v>
      </c>
      <c r="BG255">
        <f t="shared" si="202"/>
        <v>0</v>
      </c>
      <c r="BH255">
        <f t="shared" si="203"/>
        <v>0</v>
      </c>
      <c r="BI255">
        <f t="shared" si="204"/>
        <v>0</v>
      </c>
      <c r="BJ255">
        <v>0</v>
      </c>
      <c r="BK255" t="str">
        <f t="shared" si="218"/>
        <v>Big Win</v>
      </c>
      <c r="BL255" s="40" t="str">
        <f t="shared" si="219"/>
        <v>Free Plays A</v>
      </c>
      <c r="BM255">
        <f>(D255/Frequency!$N$7-Summary!$C$7)^2*E255</f>
        <v>7342.1119999999992</v>
      </c>
      <c r="BN255">
        <f t="shared" si="205"/>
        <v>400</v>
      </c>
      <c r="BO255">
        <f t="shared" si="206"/>
        <v>0</v>
      </c>
      <c r="BP255">
        <f t="shared" si="207"/>
        <v>0</v>
      </c>
      <c r="BQ255">
        <f t="shared" si="208"/>
        <v>0</v>
      </c>
      <c r="BR255">
        <f t="shared" si="209"/>
        <v>0</v>
      </c>
      <c r="BS255">
        <f t="shared" si="210"/>
        <v>20</v>
      </c>
      <c r="BT255">
        <f t="shared" si="211"/>
        <v>400</v>
      </c>
      <c r="BU255">
        <f t="shared" si="212"/>
        <v>0</v>
      </c>
      <c r="BV255">
        <f t="shared" si="213"/>
        <v>0</v>
      </c>
      <c r="BW255">
        <f t="shared" si="214"/>
        <v>0</v>
      </c>
      <c r="BX255">
        <f t="shared" si="215"/>
        <v>0</v>
      </c>
    </row>
    <row r="256" spans="2:76">
      <c r="B256" s="19">
        <f>Tiers!B257</f>
        <v>254</v>
      </c>
      <c r="C256" s="20" t="str">
        <f>Tiers!X257</f>
        <v>main-4|main-19|main-5|freeplayA-11||||||</v>
      </c>
      <c r="D256" s="21">
        <f>Tiers!C257</f>
        <v>15</v>
      </c>
      <c r="E256" s="22">
        <f>Frequency!E258</f>
        <v>20</v>
      </c>
      <c r="F256" s="22">
        <f t="shared" si="165"/>
        <v>300</v>
      </c>
      <c r="G256" s="20">
        <f>IF(AND(D256/Summary!$C$4&gt;0, D256/Summary!$C$4&lt;5),E256,0) * D256</f>
        <v>0</v>
      </c>
      <c r="H256" s="20">
        <f>IF(AND(D256/Summary!$C$4&gt;= 5, D256/Summary!$C$4&lt;10),E256,0) * D256</f>
        <v>0</v>
      </c>
      <c r="I256" s="20">
        <f>IF(AND(D256/Summary!$C$4&gt;=10, D256/Summary!$C$4&lt;25),E256,0)*D256</f>
        <v>300</v>
      </c>
      <c r="J256" s="20">
        <f>IF(D256/Summary!$C$4&gt;=25,E256,0)*D256</f>
        <v>0</v>
      </c>
      <c r="K256" s="35">
        <f>IF(AND(D256/Frequency!$N$7&gt;0, D256/Frequency!$N$7&lt;1),E256,0)</f>
        <v>0</v>
      </c>
      <c r="L256" s="35">
        <f t="shared" si="166"/>
        <v>0</v>
      </c>
      <c r="M256" s="35">
        <f>IF(D256/Frequency!$N$7=1,1,0)*E256</f>
        <v>0</v>
      </c>
      <c r="N256" s="35">
        <f t="shared" si="167"/>
        <v>0</v>
      </c>
      <c r="O256" s="35">
        <f>IF(AND(D256/Frequency!$N$7&gt;1, D256/Frequency!$N$7&lt;=2),1,0)*E256</f>
        <v>0</v>
      </c>
      <c r="P256" s="35">
        <f t="shared" si="168"/>
        <v>0</v>
      </c>
      <c r="Q256" s="35">
        <f>IF(AND(D256/Frequency!$N$7&gt;2,D256/Frequency!$N$7&lt;=5),1,0)*E256</f>
        <v>0</v>
      </c>
      <c r="R256" s="35">
        <f t="shared" si="169"/>
        <v>0</v>
      </c>
      <c r="S256" s="35">
        <f>IF(AND(D256/Frequency!$N$7&gt;5, D256/Frequency!$N$7&lt;=10),1,0)*E256</f>
        <v>0</v>
      </c>
      <c r="T256" s="35">
        <f t="shared" si="170"/>
        <v>0</v>
      </c>
      <c r="U256" s="35">
        <f>IF(AND(D256/Frequency!$N$7&gt;10, D256/Frequency!$N$7&lt;=20),1,0)*E256</f>
        <v>20</v>
      </c>
      <c r="V256" s="35">
        <f t="shared" si="171"/>
        <v>300</v>
      </c>
      <c r="W256" s="35">
        <f>IF(AND(D256/Frequency!$N$7&gt;20, D256/Frequency!$N$7&lt;=30),1,0)*E256</f>
        <v>0</v>
      </c>
      <c r="X256" s="35">
        <f t="shared" si="172"/>
        <v>0</v>
      </c>
      <c r="Y256" s="35">
        <f>IF(AND(D256/Frequency!$N$7&gt;30, D256/Frequency!$N$7&lt;=50),1,0)*E256</f>
        <v>0</v>
      </c>
      <c r="Z256" s="35">
        <f t="shared" si="173"/>
        <v>0</v>
      </c>
      <c r="AA256" s="35">
        <f>IF(AND(D256/Frequency!$N$7&gt;50, D256/Frequency!$N$7&lt;=100),1,0)*E256</f>
        <v>0</v>
      </c>
      <c r="AB256" s="35">
        <f t="shared" si="174"/>
        <v>0</v>
      </c>
      <c r="AC256" s="35">
        <f>IF(D256/Frequency!$N$7&gt;100,1,0)*E256</f>
        <v>0</v>
      </c>
      <c r="AD256" s="35">
        <f t="shared" si="175"/>
        <v>0</v>
      </c>
      <c r="AE256" s="22">
        <f t="shared" si="176"/>
        <v>20</v>
      </c>
      <c r="AF256" s="22">
        <f t="shared" si="177"/>
        <v>0</v>
      </c>
      <c r="AG256" s="22">
        <f t="shared" si="178"/>
        <v>0</v>
      </c>
      <c r="AH256" s="22">
        <f t="shared" si="179"/>
        <v>0</v>
      </c>
      <c r="AI256" s="35">
        <f t="shared" si="180"/>
        <v>1</v>
      </c>
      <c r="AJ256" s="35">
        <f t="shared" si="181"/>
        <v>20</v>
      </c>
      <c r="AK256" s="35">
        <f t="shared" si="182"/>
        <v>300</v>
      </c>
      <c r="AL256">
        <f t="shared" si="183"/>
        <v>0</v>
      </c>
      <c r="AM256">
        <f t="shared" si="184"/>
        <v>0</v>
      </c>
      <c r="AN256">
        <f t="shared" si="185"/>
        <v>0</v>
      </c>
      <c r="AO256">
        <f t="shared" si="186"/>
        <v>0</v>
      </c>
      <c r="AP256">
        <f t="shared" si="187"/>
        <v>0</v>
      </c>
      <c r="AQ256">
        <f t="shared" si="188"/>
        <v>0</v>
      </c>
      <c r="AR256">
        <f t="shared" si="189"/>
        <v>0</v>
      </c>
      <c r="AS256">
        <f t="shared" si="190"/>
        <v>0</v>
      </c>
      <c r="AT256">
        <f t="shared" si="191"/>
        <v>0</v>
      </c>
      <c r="AU256">
        <f t="shared" si="192"/>
        <v>1</v>
      </c>
      <c r="AV256">
        <v>0</v>
      </c>
      <c r="AW256">
        <v>0</v>
      </c>
      <c r="AX256">
        <f t="shared" si="193"/>
        <v>0</v>
      </c>
      <c r="AY256">
        <f t="shared" si="194"/>
        <v>0</v>
      </c>
      <c r="AZ256">
        <f t="shared" si="195"/>
        <v>0</v>
      </c>
      <c r="BA256">
        <f t="shared" si="196"/>
        <v>0</v>
      </c>
      <c r="BB256">
        <f t="shared" si="197"/>
        <v>0</v>
      </c>
      <c r="BC256">
        <f t="shared" si="198"/>
        <v>0</v>
      </c>
      <c r="BD256">
        <f t="shared" si="199"/>
        <v>0</v>
      </c>
      <c r="BE256">
        <f t="shared" si="200"/>
        <v>0</v>
      </c>
      <c r="BF256">
        <f t="shared" si="201"/>
        <v>0</v>
      </c>
      <c r="BG256">
        <f t="shared" si="202"/>
        <v>0</v>
      </c>
      <c r="BH256">
        <f t="shared" si="203"/>
        <v>0</v>
      </c>
      <c r="BI256">
        <f t="shared" si="204"/>
        <v>0</v>
      </c>
      <c r="BJ256">
        <v>0</v>
      </c>
      <c r="BK256" t="str">
        <f t="shared" si="218"/>
        <v>Big Win</v>
      </c>
      <c r="BL256" s="40" t="str">
        <f t="shared" si="219"/>
        <v>Free Plays A</v>
      </c>
      <c r="BM256">
        <f>(D256/Frequency!$N$7-Summary!$C$7)^2*E256</f>
        <v>4010.1120000000001</v>
      </c>
      <c r="BN256">
        <f t="shared" si="205"/>
        <v>300</v>
      </c>
      <c r="BO256">
        <f t="shared" si="206"/>
        <v>0</v>
      </c>
      <c r="BP256">
        <f t="shared" si="207"/>
        <v>0</v>
      </c>
      <c r="BQ256">
        <f t="shared" si="208"/>
        <v>0</v>
      </c>
      <c r="BR256">
        <f t="shared" si="209"/>
        <v>0</v>
      </c>
      <c r="BS256">
        <f t="shared" si="210"/>
        <v>20</v>
      </c>
      <c r="BT256">
        <f t="shared" si="211"/>
        <v>300</v>
      </c>
      <c r="BU256">
        <f t="shared" si="212"/>
        <v>0</v>
      </c>
      <c r="BV256">
        <f t="shared" si="213"/>
        <v>0</v>
      </c>
      <c r="BW256">
        <f t="shared" si="214"/>
        <v>0</v>
      </c>
      <c r="BX256">
        <f t="shared" si="215"/>
        <v>0</v>
      </c>
    </row>
    <row r="257" spans="2:76">
      <c r="B257" s="19">
        <f>Tiers!B258</f>
        <v>255</v>
      </c>
      <c r="C257" s="20" t="str">
        <f>Tiers!X258</f>
        <v>main-0|main-27|main-2|freeplayA-12||||||</v>
      </c>
      <c r="D257" s="21">
        <f>Tiers!C258</f>
        <v>20.8</v>
      </c>
      <c r="E257" s="22">
        <f>Frequency!E259</f>
        <v>20</v>
      </c>
      <c r="F257" s="22">
        <f t="shared" si="165"/>
        <v>416</v>
      </c>
      <c r="G257" s="20">
        <f>IF(AND(D257/Summary!$C$4&gt;0, D257/Summary!$C$4&lt;5),E257,0) * D257</f>
        <v>0</v>
      </c>
      <c r="H257" s="20">
        <f>IF(AND(D257/Summary!$C$4&gt;= 5, D257/Summary!$C$4&lt;10),E257,0) * D257</f>
        <v>0</v>
      </c>
      <c r="I257" s="20">
        <f>IF(AND(D257/Summary!$C$4&gt;=10, D257/Summary!$C$4&lt;25),E257,0)*D257</f>
        <v>416</v>
      </c>
      <c r="J257" s="20">
        <f>IF(D257/Summary!$C$4&gt;=25,E257,0)*D257</f>
        <v>0</v>
      </c>
      <c r="K257" s="35">
        <f>IF(AND(D257/Frequency!$N$7&gt;0, D257/Frequency!$N$7&lt;1),E257,0)</f>
        <v>0</v>
      </c>
      <c r="L257" s="35">
        <f t="shared" si="166"/>
        <v>0</v>
      </c>
      <c r="M257" s="35">
        <f>IF(D257/Frequency!$N$7=1,1,0)*E257</f>
        <v>0</v>
      </c>
      <c r="N257" s="35">
        <f t="shared" si="167"/>
        <v>0</v>
      </c>
      <c r="O257" s="35">
        <f>IF(AND(D257/Frequency!$N$7&gt;1, D257/Frequency!$N$7&lt;=2),1,0)*E257</f>
        <v>0</v>
      </c>
      <c r="P257" s="35">
        <f t="shared" si="168"/>
        <v>0</v>
      </c>
      <c r="Q257" s="35">
        <f>IF(AND(D257/Frequency!$N$7&gt;2,D257/Frequency!$N$7&lt;=5),1,0)*E257</f>
        <v>0</v>
      </c>
      <c r="R257" s="35">
        <f t="shared" si="169"/>
        <v>0</v>
      </c>
      <c r="S257" s="35">
        <f>IF(AND(D257/Frequency!$N$7&gt;5, D257/Frequency!$N$7&lt;=10),1,0)*E257</f>
        <v>0</v>
      </c>
      <c r="T257" s="35">
        <f t="shared" si="170"/>
        <v>0</v>
      </c>
      <c r="U257" s="35">
        <f>IF(AND(D257/Frequency!$N$7&gt;10, D257/Frequency!$N$7&lt;=20),1,0)*E257</f>
        <v>0</v>
      </c>
      <c r="V257" s="35">
        <f t="shared" si="171"/>
        <v>0</v>
      </c>
      <c r="W257" s="35">
        <f>IF(AND(D257/Frequency!$N$7&gt;20, D257/Frequency!$N$7&lt;=30),1,0)*E257</f>
        <v>20</v>
      </c>
      <c r="X257" s="35">
        <f t="shared" si="172"/>
        <v>416</v>
      </c>
      <c r="Y257" s="35">
        <f>IF(AND(D257/Frequency!$N$7&gt;30, D257/Frequency!$N$7&lt;=50),1,0)*E257</f>
        <v>0</v>
      </c>
      <c r="Z257" s="35">
        <f t="shared" si="173"/>
        <v>0</v>
      </c>
      <c r="AA257" s="35">
        <f>IF(AND(D257/Frequency!$N$7&gt;50, D257/Frequency!$N$7&lt;=100),1,0)*E257</f>
        <v>0</v>
      </c>
      <c r="AB257" s="35">
        <f t="shared" si="174"/>
        <v>0</v>
      </c>
      <c r="AC257" s="35">
        <f>IF(D257/Frequency!$N$7&gt;100,1,0)*E257</f>
        <v>0</v>
      </c>
      <c r="AD257" s="35">
        <f t="shared" si="175"/>
        <v>0</v>
      </c>
      <c r="AE257" s="22">
        <f t="shared" si="176"/>
        <v>20</v>
      </c>
      <c r="AF257" s="22">
        <f t="shared" si="177"/>
        <v>0</v>
      </c>
      <c r="AG257" s="22">
        <f t="shared" si="178"/>
        <v>0</v>
      </c>
      <c r="AH257" s="22">
        <f t="shared" si="179"/>
        <v>0</v>
      </c>
      <c r="AI257" s="35">
        <f t="shared" si="180"/>
        <v>1</v>
      </c>
      <c r="AJ257" s="35">
        <f t="shared" si="181"/>
        <v>20</v>
      </c>
      <c r="AK257" s="35">
        <f t="shared" si="182"/>
        <v>416</v>
      </c>
      <c r="AL257">
        <f t="shared" si="183"/>
        <v>0</v>
      </c>
      <c r="AM257">
        <f t="shared" si="184"/>
        <v>0</v>
      </c>
      <c r="AN257">
        <f t="shared" si="185"/>
        <v>0</v>
      </c>
      <c r="AO257">
        <f t="shared" si="186"/>
        <v>0</v>
      </c>
      <c r="AP257">
        <f t="shared" si="187"/>
        <v>0</v>
      </c>
      <c r="AQ257">
        <f t="shared" si="188"/>
        <v>0</v>
      </c>
      <c r="AR257">
        <f t="shared" si="189"/>
        <v>0</v>
      </c>
      <c r="AS257">
        <f t="shared" si="190"/>
        <v>0</v>
      </c>
      <c r="AT257">
        <f t="shared" si="191"/>
        <v>0</v>
      </c>
      <c r="AU257">
        <f t="shared" si="192"/>
        <v>1</v>
      </c>
      <c r="AV257">
        <v>0</v>
      </c>
      <c r="AW257">
        <v>0</v>
      </c>
      <c r="AX257">
        <f t="shared" si="193"/>
        <v>0</v>
      </c>
      <c r="AY257">
        <f t="shared" si="194"/>
        <v>0</v>
      </c>
      <c r="AZ257">
        <f t="shared" si="195"/>
        <v>0</v>
      </c>
      <c r="BA257">
        <f t="shared" si="196"/>
        <v>0</v>
      </c>
      <c r="BB257">
        <f t="shared" si="197"/>
        <v>0</v>
      </c>
      <c r="BC257">
        <f t="shared" si="198"/>
        <v>0</v>
      </c>
      <c r="BD257">
        <f t="shared" si="199"/>
        <v>0</v>
      </c>
      <c r="BE257">
        <f t="shared" si="200"/>
        <v>0</v>
      </c>
      <c r="BF257">
        <f t="shared" si="201"/>
        <v>0</v>
      </c>
      <c r="BG257">
        <f t="shared" si="202"/>
        <v>0</v>
      </c>
      <c r="BH257">
        <f t="shared" si="203"/>
        <v>0</v>
      </c>
      <c r="BI257">
        <f t="shared" si="204"/>
        <v>0</v>
      </c>
      <c r="BJ257">
        <v>0</v>
      </c>
      <c r="BK257" t="str">
        <f t="shared" si="218"/>
        <v>Big Win</v>
      </c>
      <c r="BL257" s="40" t="str">
        <f t="shared" si="219"/>
        <v>Free Plays A</v>
      </c>
      <c r="BM257">
        <f>(D257/Frequency!$N$7-Summary!$C$7)^2*E257</f>
        <v>7968.0320000000011</v>
      </c>
      <c r="BN257">
        <f t="shared" si="205"/>
        <v>416</v>
      </c>
      <c r="BO257">
        <f t="shared" si="206"/>
        <v>0</v>
      </c>
      <c r="BP257">
        <f t="shared" si="207"/>
        <v>0</v>
      </c>
      <c r="BQ257">
        <f t="shared" si="208"/>
        <v>0</v>
      </c>
      <c r="BR257">
        <f t="shared" si="209"/>
        <v>0</v>
      </c>
      <c r="BS257">
        <f t="shared" si="210"/>
        <v>20</v>
      </c>
      <c r="BT257">
        <f t="shared" si="211"/>
        <v>416</v>
      </c>
      <c r="BU257">
        <f t="shared" si="212"/>
        <v>0</v>
      </c>
      <c r="BV257">
        <f t="shared" si="213"/>
        <v>0</v>
      </c>
      <c r="BW257">
        <f t="shared" si="214"/>
        <v>0</v>
      </c>
      <c r="BX257">
        <f t="shared" si="215"/>
        <v>0</v>
      </c>
    </row>
    <row r="258" spans="2:76">
      <c r="B258" s="19">
        <f>Tiers!B259</f>
        <v>256</v>
      </c>
      <c r="C258" s="20" t="str">
        <f>Tiers!X259</f>
        <v>main-4|main-14|main-15|freeplayA-13||||||</v>
      </c>
      <c r="D258" s="21">
        <f>Tiers!C259</f>
        <v>35</v>
      </c>
      <c r="E258" s="22">
        <f>Frequency!E260</f>
        <v>2</v>
      </c>
      <c r="F258" s="22">
        <f t="shared" ref="F258:F321" si="220">E258*D258</f>
        <v>70</v>
      </c>
      <c r="G258" s="20">
        <f>IF(AND(D258/Summary!$C$4&gt;0, D258/Summary!$C$4&lt;5),E258,0) * D258</f>
        <v>0</v>
      </c>
      <c r="H258" s="20">
        <f>IF(AND(D258/Summary!$C$4&gt;= 5, D258/Summary!$C$4&lt;10),E258,0) * D258</f>
        <v>0</v>
      </c>
      <c r="I258" s="20">
        <f>IF(AND(D258/Summary!$C$4&gt;=10, D258/Summary!$C$4&lt;25),E258,0)*D258</f>
        <v>0</v>
      </c>
      <c r="J258" s="20">
        <f>IF(D258/Summary!$C$4&gt;=25,E258,0)*D258</f>
        <v>70</v>
      </c>
      <c r="K258" s="35">
        <f>IF(AND(D258/Frequency!$N$7&gt;0, D258/Frequency!$N$7&lt;1),E258,0)</f>
        <v>0</v>
      </c>
      <c r="L258" s="35">
        <f t="shared" ref="L258:L321" si="221">IF(K258&gt;0,D258*E258,0)</f>
        <v>0</v>
      </c>
      <c r="M258" s="35">
        <f>IF(D258/Frequency!$N$7=1,1,0)*E258</f>
        <v>0</v>
      </c>
      <c r="N258" s="35">
        <f t="shared" ref="N258:N321" si="222">IF(M258&gt;0,D258*E258,0)</f>
        <v>0</v>
      </c>
      <c r="O258" s="35">
        <f>IF(AND(D258/Frequency!$N$7&gt;1, D258/Frequency!$N$7&lt;=2),1,0)*E258</f>
        <v>0</v>
      </c>
      <c r="P258" s="35">
        <f t="shared" ref="P258:P321" si="223">IF(O258&gt;0,D258*E258,0)</f>
        <v>0</v>
      </c>
      <c r="Q258" s="35">
        <f>IF(AND(D258/Frequency!$N$7&gt;2,D258/Frequency!$N$7&lt;=5),1,0)*E258</f>
        <v>0</v>
      </c>
      <c r="R258" s="35">
        <f t="shared" ref="R258:R321" si="224">IF(Q258&gt;0,D258*E258,0)</f>
        <v>0</v>
      </c>
      <c r="S258" s="35">
        <f>IF(AND(D258/Frequency!$N$7&gt;5, D258/Frequency!$N$7&lt;=10),1,0)*E258</f>
        <v>0</v>
      </c>
      <c r="T258" s="35">
        <f t="shared" ref="T258:T321" si="225">IF(S258&gt;0,D258*E258,0)</f>
        <v>0</v>
      </c>
      <c r="U258" s="35">
        <f>IF(AND(D258/Frequency!$N$7&gt;10, D258/Frequency!$N$7&lt;=20),1,0)*E258</f>
        <v>0</v>
      </c>
      <c r="V258" s="35">
        <f t="shared" ref="V258:V321" si="226">IF(U258&gt;0,D258*E258,0)</f>
        <v>0</v>
      </c>
      <c r="W258" s="35">
        <f>IF(AND(D258/Frequency!$N$7&gt;20, D258/Frequency!$N$7&lt;=30),1,0)*E258</f>
        <v>0</v>
      </c>
      <c r="X258" s="35">
        <f t="shared" ref="X258:X321" si="227">IF(W258&gt;0,D258*E258,0)</f>
        <v>0</v>
      </c>
      <c r="Y258" s="35">
        <f>IF(AND(D258/Frequency!$N$7&gt;30, D258/Frequency!$N$7&lt;=50),1,0)*E258</f>
        <v>2</v>
      </c>
      <c r="Z258" s="35">
        <f t="shared" ref="Z258:Z321" si="228">IF(Y258&gt;0,D258*E258,0)</f>
        <v>70</v>
      </c>
      <c r="AA258" s="35">
        <f>IF(AND(D258/Frequency!$N$7&gt;50, D258/Frequency!$N$7&lt;=100),1,0)*E258</f>
        <v>0</v>
      </c>
      <c r="AB258" s="35">
        <f t="shared" ref="AB258:AB321" si="229">IF(AA258&gt;0,D258*E258,0)</f>
        <v>0</v>
      </c>
      <c r="AC258" s="35">
        <f>IF(D258/Frequency!$N$7&gt;100,1,0)*E258</f>
        <v>0</v>
      </c>
      <c r="AD258" s="35">
        <f t="shared" ref="AD258:AD321" si="230">IF(AC258&gt;0,D258*E258,0)</f>
        <v>0</v>
      </c>
      <c r="AE258" s="22">
        <f t="shared" ref="AE258:AE321" si="231">IF(AU258&gt;0,E258,0)</f>
        <v>2</v>
      </c>
      <c r="AF258" s="22">
        <f t="shared" ref="AF258:AF321" si="232">IF(AX258+BA258&gt;0,E258,0)</f>
        <v>0</v>
      </c>
      <c r="AG258" s="22">
        <f t="shared" ref="AG258:AG321" si="233">AF258*D258</f>
        <v>0</v>
      </c>
      <c r="AH258" s="22">
        <f t="shared" ref="AH258:AH321" si="234">IF(BG258&gt;0,E258,0)</f>
        <v>0</v>
      </c>
      <c r="AI258" s="35">
        <f t="shared" ref="AI258:AI321" si="235">IF(ISNUMBER(SEARCH("|||||||||",C258)),0,1)</f>
        <v>1</v>
      </c>
      <c r="AJ258" s="35">
        <f t="shared" ref="AJ258:AJ321" si="236">IF(AI258=1, E258,0)</f>
        <v>2</v>
      </c>
      <c r="AK258" s="35">
        <f t="shared" ref="AK258:AK321" si="237">IF(AJ258&gt;0,D258*E258,0)</f>
        <v>70</v>
      </c>
      <c r="AL258">
        <f t="shared" ref="AL258:AL321" si="238">IF(ISNUMBER(SEARCH("wild",C258)),1,0)</f>
        <v>0</v>
      </c>
      <c r="AM258">
        <f t="shared" ref="AM258:AM321" si="239">IF(AL258=1, E258,0)</f>
        <v>0</v>
      </c>
      <c r="AN258">
        <f t="shared" ref="AN258:AN321" si="240">IF(AM258&gt;0,D258*E258,0)</f>
        <v>0</v>
      </c>
      <c r="AO258">
        <f t="shared" ref="AO258:AO321" si="241">IF(ISNUMBER(SEARCH("wild-",C258)),1,0)</f>
        <v>0</v>
      </c>
      <c r="AP258">
        <f t="shared" ref="AP258:AP321" si="242">IF(AO258=1, E258,0)</f>
        <v>0</v>
      </c>
      <c r="AQ258">
        <f t="shared" ref="AQ258:AQ321" si="243">IF(AP258&gt;0,D258*E258,0)</f>
        <v>0</v>
      </c>
      <c r="AR258">
        <f t="shared" ref="AR258:AR321" si="244">IF(ISNUMBER(SEARCH("wildX",C258)),1,0)</f>
        <v>0</v>
      </c>
      <c r="AS258">
        <f t="shared" ref="AS258:AS321" si="245">IF(AR258=1, E258,0)</f>
        <v>0</v>
      </c>
      <c r="AT258">
        <f t="shared" ref="AT258:AT321" si="246">IF(AS258&gt;0,D258*E258,0)</f>
        <v>0</v>
      </c>
      <c r="AU258">
        <f t="shared" ref="AU258:AU321" si="247">IF(ISNUMBER(SEARCH("FreePlay",C258)),1,0)</f>
        <v>1</v>
      </c>
      <c r="AV258">
        <v>0</v>
      </c>
      <c r="AW258">
        <v>0</v>
      </c>
      <c r="AX258">
        <f t="shared" ref="AX258:AX321" si="248">IF(ISNUMBER(SEARCH("bonusA",C258)),1,0)</f>
        <v>0</v>
      </c>
      <c r="AY258">
        <f t="shared" ref="AY258:AY321" si="249">AX258*E258</f>
        <v>0</v>
      </c>
      <c r="AZ258">
        <f t="shared" ref="AZ258:AZ321" si="250">AY258*D258</f>
        <v>0</v>
      </c>
      <c r="BA258">
        <f t="shared" ref="BA258:BA321" si="251">IF(ISNUMBER(SEARCH("bonusB",C258)),1,0)</f>
        <v>0</v>
      </c>
      <c r="BB258">
        <f t="shared" ref="BB258:BB321" si="252">BA258*E258</f>
        <v>0</v>
      </c>
      <c r="BC258">
        <f t="shared" ref="BC258:BC321" si="253">BB258*D258</f>
        <v>0</v>
      </c>
      <c r="BD258">
        <f t="shared" ref="BD258:BD321" si="254">IF(ISNUMBER(SEARCH("bonusC",C258)),1,0)</f>
        <v>0</v>
      </c>
      <c r="BE258">
        <f t="shared" ref="BE258:BE321" si="255">BD258*E258</f>
        <v>0</v>
      </c>
      <c r="BF258">
        <f t="shared" ref="BF258:BF321" si="256">BE258*D258</f>
        <v>0</v>
      </c>
      <c r="BG258">
        <f t="shared" ref="BG258:BG321" si="257">IF(ISNUMBER(SEARCH("Instant",C258)),1,0)</f>
        <v>0</v>
      </c>
      <c r="BH258">
        <f t="shared" ref="BH258:BH321" si="258">BG258*E258</f>
        <v>0</v>
      </c>
      <c r="BI258">
        <f t="shared" ref="BI258:BI321" si="259">BH258*D258</f>
        <v>0</v>
      </c>
      <c r="BJ258">
        <v>0</v>
      </c>
      <c r="BK258" t="str">
        <f>IF(D258 &lt; $D$417, $C$417,
      IF(D258 = $D$418, $C$418,
          IF(D258 &lt; $D$419, $C$419,
              IF(D258 &lt; $D$420, $C$420,
                 IF(D258 &lt; $D$421, $C$421, $C$422)))))</f>
        <v>Big Win</v>
      </c>
      <c r="BL258" s="40" t="str">
        <f>IF(AU258 = 1,$C$426,
      IF(AV258 = 1,$C$427,
          IF(AW258 = 1,$C$428,
              IF(AX258 = 1,$C$429,
                  IF(BA258 = 1,$C$430,
                     IF(BD258 = 1,$C$431,
                        IF(BG258 = 1,$C$432,
                           IF(ISNUMBER(SEARCH("|||||||||",C258)), $C$433,$C$434))))))))</f>
        <v>Free Plays A</v>
      </c>
      <c r="BM258">
        <f>(D258/Frequency!$N$7-Summary!$C$7)^2*E258</f>
        <v>2333.8111999999996</v>
      </c>
      <c r="BN258">
        <f t="shared" ref="BN258:BN321" si="260">IF(AU258=1, E258*D258,0)</f>
        <v>70</v>
      </c>
      <c r="BO258">
        <f t="shared" ref="BO258:BO321" si="261">IF(BG258=1, D258*E258,0)</f>
        <v>0</v>
      </c>
      <c r="BP258">
        <f t="shared" ref="BP258:BP321" si="262">IF(BJ258&gt;0,BJ258*E258,0)</f>
        <v>0</v>
      </c>
      <c r="BQ258">
        <f t="shared" ref="BQ258:BQ321" si="263">IF(AND(AU258=1, AI258=0),E258,0)</f>
        <v>0</v>
      </c>
      <c r="BR258">
        <f t="shared" ref="BR258:BR321" si="264">IF(BQ258&gt;0,E258*D258,0)</f>
        <v>0</v>
      </c>
      <c r="BS258">
        <f t="shared" ref="BS258:BS321" si="265">IF(AND(AU258=1, AI258=1),E258,0)</f>
        <v>2</v>
      </c>
      <c r="BT258">
        <f t="shared" ref="BT258:BT321" si="266">IF(BS258&gt;0,E258*D258,0)</f>
        <v>70</v>
      </c>
      <c r="BU258">
        <f t="shared" ref="BU258:BU321" si="267">IF(AND(AX258+BA258=1, AI258=0),E258,0)</f>
        <v>0</v>
      </c>
      <c r="BV258">
        <f t="shared" ref="BV258:BV321" si="268">IF(BU258&gt;0,E258*D258,0)</f>
        <v>0</v>
      </c>
      <c r="BW258">
        <f t="shared" ref="BW258:BW321" si="269">IF(AND(AX258+BA258=1, AI258=1),E258,0)</f>
        <v>0</v>
      </c>
      <c r="BX258">
        <f t="shared" ref="BX258:BX321" si="270">IF(BW258&gt;0,E258*D258,0)</f>
        <v>0</v>
      </c>
    </row>
    <row r="259" spans="2:76">
      <c r="B259" s="19">
        <f>Tiers!B260</f>
        <v>257</v>
      </c>
      <c r="C259" s="20" t="str">
        <f>Tiers!X260</f>
        <v>main-4|main-28|main-3|freeplayA-14||||||</v>
      </c>
      <c r="D259" s="21">
        <f>Tiers!C260</f>
        <v>106</v>
      </c>
      <c r="E259" s="22">
        <f>Frequency!E261</f>
        <v>2</v>
      </c>
      <c r="F259" s="22">
        <f t="shared" si="220"/>
        <v>212</v>
      </c>
      <c r="G259" s="20">
        <f>IF(AND(D259/Summary!$C$4&gt;0, D259/Summary!$C$4&lt;5),E259,0) * D259</f>
        <v>0</v>
      </c>
      <c r="H259" s="20">
        <f>IF(AND(D259/Summary!$C$4&gt;= 5, D259/Summary!$C$4&lt;10),E259,0) * D259</f>
        <v>0</v>
      </c>
      <c r="I259" s="20">
        <f>IF(AND(D259/Summary!$C$4&gt;=10, D259/Summary!$C$4&lt;25),E259,0)*D259</f>
        <v>0</v>
      </c>
      <c r="J259" s="20">
        <f>IF(D259/Summary!$C$4&gt;=25,E259,0)*D259</f>
        <v>212</v>
      </c>
      <c r="K259" s="35">
        <f>IF(AND(D259/Frequency!$N$7&gt;0, D259/Frequency!$N$7&lt;1),E259,0)</f>
        <v>0</v>
      </c>
      <c r="L259" s="35">
        <f t="shared" si="221"/>
        <v>0</v>
      </c>
      <c r="M259" s="35">
        <f>IF(D259/Frequency!$N$7=1,1,0)*E259</f>
        <v>0</v>
      </c>
      <c r="N259" s="35">
        <f t="shared" si="222"/>
        <v>0</v>
      </c>
      <c r="O259" s="35">
        <f>IF(AND(D259/Frequency!$N$7&gt;1, D259/Frequency!$N$7&lt;=2),1,0)*E259</f>
        <v>0</v>
      </c>
      <c r="P259" s="35">
        <f t="shared" si="223"/>
        <v>0</v>
      </c>
      <c r="Q259" s="35">
        <f>IF(AND(D259/Frequency!$N$7&gt;2,D259/Frequency!$N$7&lt;=5),1,0)*E259</f>
        <v>0</v>
      </c>
      <c r="R259" s="35">
        <f t="shared" si="224"/>
        <v>0</v>
      </c>
      <c r="S259" s="35">
        <f>IF(AND(D259/Frequency!$N$7&gt;5, D259/Frequency!$N$7&lt;=10),1,0)*E259</f>
        <v>0</v>
      </c>
      <c r="T259" s="35">
        <f t="shared" si="225"/>
        <v>0</v>
      </c>
      <c r="U259" s="35">
        <f>IF(AND(D259/Frequency!$N$7&gt;10, D259/Frequency!$N$7&lt;=20),1,0)*E259</f>
        <v>0</v>
      </c>
      <c r="V259" s="35">
        <f t="shared" si="226"/>
        <v>0</v>
      </c>
      <c r="W259" s="35">
        <f>IF(AND(D259/Frequency!$N$7&gt;20, D259/Frequency!$N$7&lt;=30),1,0)*E259</f>
        <v>0</v>
      </c>
      <c r="X259" s="35">
        <f t="shared" si="227"/>
        <v>0</v>
      </c>
      <c r="Y259" s="35">
        <f>IF(AND(D259/Frequency!$N$7&gt;30, D259/Frequency!$N$7&lt;=50),1,0)*E259</f>
        <v>0</v>
      </c>
      <c r="Z259" s="35">
        <f t="shared" si="228"/>
        <v>0</v>
      </c>
      <c r="AA259" s="35">
        <f>IF(AND(D259/Frequency!$N$7&gt;50, D259/Frequency!$N$7&lt;=100),1,0)*E259</f>
        <v>0</v>
      </c>
      <c r="AB259" s="35">
        <f t="shared" si="229"/>
        <v>0</v>
      </c>
      <c r="AC259" s="35">
        <f>IF(D259/Frequency!$N$7&gt;100,1,0)*E259</f>
        <v>2</v>
      </c>
      <c r="AD259" s="35">
        <f t="shared" si="230"/>
        <v>212</v>
      </c>
      <c r="AE259" s="22">
        <f t="shared" si="231"/>
        <v>2</v>
      </c>
      <c r="AF259" s="22">
        <f t="shared" si="232"/>
        <v>0</v>
      </c>
      <c r="AG259" s="22">
        <f t="shared" si="233"/>
        <v>0</v>
      </c>
      <c r="AH259" s="22">
        <f t="shared" si="234"/>
        <v>0</v>
      </c>
      <c r="AI259" s="35">
        <f t="shared" si="235"/>
        <v>1</v>
      </c>
      <c r="AJ259" s="35">
        <f t="shared" si="236"/>
        <v>2</v>
      </c>
      <c r="AK259" s="35">
        <f t="shared" si="237"/>
        <v>212</v>
      </c>
      <c r="AL259">
        <f t="shared" si="238"/>
        <v>0</v>
      </c>
      <c r="AM259">
        <f t="shared" si="239"/>
        <v>0</v>
      </c>
      <c r="AN259">
        <f t="shared" si="240"/>
        <v>0</v>
      </c>
      <c r="AO259">
        <f t="shared" si="241"/>
        <v>0</v>
      </c>
      <c r="AP259">
        <f t="shared" si="242"/>
        <v>0</v>
      </c>
      <c r="AQ259">
        <f t="shared" si="243"/>
        <v>0</v>
      </c>
      <c r="AR259">
        <f t="shared" si="244"/>
        <v>0</v>
      </c>
      <c r="AS259">
        <f t="shared" si="245"/>
        <v>0</v>
      </c>
      <c r="AT259">
        <f t="shared" si="246"/>
        <v>0</v>
      </c>
      <c r="AU259">
        <f t="shared" si="247"/>
        <v>1</v>
      </c>
      <c r="AV259">
        <v>0</v>
      </c>
      <c r="AW259">
        <v>0</v>
      </c>
      <c r="AX259">
        <f t="shared" si="248"/>
        <v>0</v>
      </c>
      <c r="AY259">
        <f t="shared" si="249"/>
        <v>0</v>
      </c>
      <c r="AZ259">
        <f t="shared" si="250"/>
        <v>0</v>
      </c>
      <c r="BA259">
        <f t="shared" si="251"/>
        <v>0</v>
      </c>
      <c r="BB259">
        <f t="shared" si="252"/>
        <v>0</v>
      </c>
      <c r="BC259">
        <f t="shared" si="253"/>
        <v>0</v>
      </c>
      <c r="BD259">
        <f t="shared" si="254"/>
        <v>0</v>
      </c>
      <c r="BE259">
        <f t="shared" si="255"/>
        <v>0</v>
      </c>
      <c r="BF259">
        <f t="shared" si="256"/>
        <v>0</v>
      </c>
      <c r="BG259">
        <f t="shared" si="257"/>
        <v>0</v>
      </c>
      <c r="BH259">
        <f t="shared" si="258"/>
        <v>0</v>
      </c>
      <c r="BI259">
        <f t="shared" si="259"/>
        <v>0</v>
      </c>
      <c r="BJ259">
        <v>0</v>
      </c>
      <c r="BK259" t="str">
        <f t="shared" ref="BK259:BK290" si="271">IF(D259 &lt; $D$417, $C$417,
IF(D259 = $D$418, $C$418,
IF(D259 &lt; $D$419, $C$419,
IF(D259 &lt; $D$420, $C$420,
IF(D259 &lt; $D$421, $C$421, $C$422)))))</f>
        <v>Huge Win</v>
      </c>
      <c r="BL259" s="40" t="str">
        <f t="shared" ref="BL259:BL290" si="272">IF(AU259 = 1,$C$426,
IF(AV259 = 1,$C$427,
IF(AW259 = 1,$C$428,
IF(AX259 = 1,$C$429,
IF(BA259 = 1,$C$430,
IF(BD259 = 1,$C$431,
IF(BG259 = 1,$C$432,
IF(ISNUMBER(SEARCH("|||||||||",C259)), $C$433,$C$434))))))))</f>
        <v>Free Plays A</v>
      </c>
      <c r="BM259">
        <f>(D259/Frequency!$N$7-Summary!$C$7)^2*E259</f>
        <v>22117.251199999999</v>
      </c>
      <c r="BN259">
        <f t="shared" si="260"/>
        <v>212</v>
      </c>
      <c r="BO259">
        <f t="shared" si="261"/>
        <v>0</v>
      </c>
      <c r="BP259">
        <f t="shared" si="262"/>
        <v>0</v>
      </c>
      <c r="BQ259">
        <f t="shared" si="263"/>
        <v>0</v>
      </c>
      <c r="BR259">
        <f t="shared" si="264"/>
        <v>0</v>
      </c>
      <c r="BS259">
        <f t="shared" si="265"/>
        <v>2</v>
      </c>
      <c r="BT259">
        <f t="shared" si="266"/>
        <v>212</v>
      </c>
      <c r="BU259">
        <f t="shared" si="267"/>
        <v>0</v>
      </c>
      <c r="BV259">
        <f t="shared" si="268"/>
        <v>0</v>
      </c>
      <c r="BW259">
        <f t="shared" si="269"/>
        <v>0</v>
      </c>
      <c r="BX259">
        <f t="shared" si="270"/>
        <v>0</v>
      </c>
    </row>
    <row r="260" spans="2:76">
      <c r="B260" s="19">
        <f>Tiers!B261</f>
        <v>258</v>
      </c>
      <c r="C260" s="20" t="str">
        <f>Tiers!X261</f>
        <v>main-1|main-25|main-18|wild-2|freeplayA-5|||||</v>
      </c>
      <c r="D260" s="21">
        <f>Tiers!C261</f>
        <v>13.7</v>
      </c>
      <c r="E260" s="22">
        <f>Frequency!E262</f>
        <v>100</v>
      </c>
      <c r="F260" s="22">
        <f t="shared" si="220"/>
        <v>1370</v>
      </c>
      <c r="G260" s="20">
        <f>IF(AND(D260/Summary!$C$4&gt;0, D260/Summary!$C$4&lt;5),E260,0) * D260</f>
        <v>0</v>
      </c>
      <c r="H260" s="20">
        <f>IF(AND(D260/Summary!$C$4&gt;= 5, D260/Summary!$C$4&lt;10),E260,0) * D260</f>
        <v>0</v>
      </c>
      <c r="I260" s="20">
        <f>IF(AND(D260/Summary!$C$4&gt;=10, D260/Summary!$C$4&lt;25),E260,0)*D260</f>
        <v>1370</v>
      </c>
      <c r="J260" s="20">
        <f>IF(D260/Summary!$C$4&gt;=25,E260,0)*D260</f>
        <v>0</v>
      </c>
      <c r="K260" s="35">
        <f>IF(AND(D260/Frequency!$N$7&gt;0, D260/Frequency!$N$7&lt;1),E260,0)</f>
        <v>0</v>
      </c>
      <c r="L260" s="35">
        <f t="shared" si="221"/>
        <v>0</v>
      </c>
      <c r="M260" s="35">
        <f>IF(D260/Frequency!$N$7=1,1,0)*E260</f>
        <v>0</v>
      </c>
      <c r="N260" s="35">
        <f t="shared" si="222"/>
        <v>0</v>
      </c>
      <c r="O260" s="35">
        <f>IF(AND(D260/Frequency!$N$7&gt;1, D260/Frequency!$N$7&lt;=2),1,0)*E260</f>
        <v>0</v>
      </c>
      <c r="P260" s="35">
        <f t="shared" si="223"/>
        <v>0</v>
      </c>
      <c r="Q260" s="35">
        <f>IF(AND(D260/Frequency!$N$7&gt;2,D260/Frequency!$N$7&lt;=5),1,0)*E260</f>
        <v>0</v>
      </c>
      <c r="R260" s="35">
        <f t="shared" si="224"/>
        <v>0</v>
      </c>
      <c r="S260" s="35">
        <f>IF(AND(D260/Frequency!$N$7&gt;5, D260/Frequency!$N$7&lt;=10),1,0)*E260</f>
        <v>0</v>
      </c>
      <c r="T260" s="35">
        <f t="shared" si="225"/>
        <v>0</v>
      </c>
      <c r="U260" s="35">
        <f>IF(AND(D260/Frequency!$N$7&gt;10, D260/Frequency!$N$7&lt;=20),1,0)*E260</f>
        <v>100</v>
      </c>
      <c r="V260" s="35">
        <f t="shared" si="226"/>
        <v>1370</v>
      </c>
      <c r="W260" s="35">
        <f>IF(AND(D260/Frequency!$N$7&gt;20, D260/Frequency!$N$7&lt;=30),1,0)*E260</f>
        <v>0</v>
      </c>
      <c r="X260" s="35">
        <f t="shared" si="227"/>
        <v>0</v>
      </c>
      <c r="Y260" s="35">
        <f>IF(AND(D260/Frequency!$N$7&gt;30, D260/Frequency!$N$7&lt;=50),1,0)*E260</f>
        <v>0</v>
      </c>
      <c r="Z260" s="35">
        <f t="shared" si="228"/>
        <v>0</v>
      </c>
      <c r="AA260" s="35">
        <f>IF(AND(D260/Frequency!$N$7&gt;50, D260/Frequency!$N$7&lt;=100),1,0)*E260</f>
        <v>0</v>
      </c>
      <c r="AB260" s="35">
        <f t="shared" si="229"/>
        <v>0</v>
      </c>
      <c r="AC260" s="35">
        <f>IF(D260/Frequency!$N$7&gt;100,1,0)*E260</f>
        <v>0</v>
      </c>
      <c r="AD260" s="35">
        <f t="shared" si="230"/>
        <v>0</v>
      </c>
      <c r="AE260" s="22">
        <f t="shared" si="231"/>
        <v>100</v>
      </c>
      <c r="AF260" s="22">
        <f t="shared" si="232"/>
        <v>0</v>
      </c>
      <c r="AG260" s="22">
        <f t="shared" si="233"/>
        <v>0</v>
      </c>
      <c r="AH260" s="22">
        <f t="shared" si="234"/>
        <v>0</v>
      </c>
      <c r="AI260" s="35">
        <f t="shared" si="235"/>
        <v>1</v>
      </c>
      <c r="AJ260" s="35">
        <f t="shared" si="236"/>
        <v>100</v>
      </c>
      <c r="AK260" s="35">
        <f t="shared" si="237"/>
        <v>1370</v>
      </c>
      <c r="AL260">
        <f t="shared" si="238"/>
        <v>1</v>
      </c>
      <c r="AM260">
        <f t="shared" si="239"/>
        <v>100</v>
      </c>
      <c r="AN260">
        <f t="shared" si="240"/>
        <v>1370</v>
      </c>
      <c r="AO260">
        <f t="shared" si="241"/>
        <v>1</v>
      </c>
      <c r="AP260">
        <f t="shared" si="242"/>
        <v>100</v>
      </c>
      <c r="AQ260">
        <f t="shared" si="243"/>
        <v>1370</v>
      </c>
      <c r="AR260">
        <f t="shared" si="244"/>
        <v>0</v>
      </c>
      <c r="AS260">
        <f t="shared" si="245"/>
        <v>0</v>
      </c>
      <c r="AT260">
        <f t="shared" si="246"/>
        <v>0</v>
      </c>
      <c r="AU260">
        <f t="shared" si="247"/>
        <v>1</v>
      </c>
      <c r="AV260">
        <v>0</v>
      </c>
      <c r="AW260">
        <v>0</v>
      </c>
      <c r="AX260">
        <f t="shared" si="248"/>
        <v>0</v>
      </c>
      <c r="AY260">
        <f t="shared" si="249"/>
        <v>0</v>
      </c>
      <c r="AZ260">
        <f t="shared" si="250"/>
        <v>0</v>
      </c>
      <c r="BA260">
        <f t="shared" si="251"/>
        <v>0</v>
      </c>
      <c r="BB260">
        <f t="shared" si="252"/>
        <v>0</v>
      </c>
      <c r="BC260">
        <f t="shared" si="253"/>
        <v>0</v>
      </c>
      <c r="BD260">
        <f t="shared" si="254"/>
        <v>0</v>
      </c>
      <c r="BE260">
        <f t="shared" si="255"/>
        <v>0</v>
      </c>
      <c r="BF260">
        <f t="shared" si="256"/>
        <v>0</v>
      </c>
      <c r="BG260">
        <f t="shared" si="257"/>
        <v>0</v>
      </c>
      <c r="BH260">
        <f t="shared" si="258"/>
        <v>0</v>
      </c>
      <c r="BI260">
        <f t="shared" si="259"/>
        <v>0</v>
      </c>
      <c r="BJ260">
        <v>0</v>
      </c>
      <c r="BK260" t="str">
        <f t="shared" si="271"/>
        <v>Big Win</v>
      </c>
      <c r="BL260" s="40" t="str">
        <f t="shared" si="272"/>
        <v>Free Plays A</v>
      </c>
      <c r="BM260">
        <f>(D260/Frequency!$N$7-Summary!$C$7)^2*E260</f>
        <v>16537.96</v>
      </c>
      <c r="BN260">
        <f t="shared" si="260"/>
        <v>1370</v>
      </c>
      <c r="BO260">
        <f t="shared" si="261"/>
        <v>0</v>
      </c>
      <c r="BP260">
        <f t="shared" si="262"/>
        <v>0</v>
      </c>
      <c r="BQ260">
        <f t="shared" si="263"/>
        <v>0</v>
      </c>
      <c r="BR260">
        <f t="shared" si="264"/>
        <v>0</v>
      </c>
      <c r="BS260">
        <f t="shared" si="265"/>
        <v>100</v>
      </c>
      <c r="BT260">
        <f t="shared" si="266"/>
        <v>1370</v>
      </c>
      <c r="BU260">
        <f t="shared" si="267"/>
        <v>0</v>
      </c>
      <c r="BV260">
        <f t="shared" si="268"/>
        <v>0</v>
      </c>
      <c r="BW260">
        <f t="shared" si="269"/>
        <v>0</v>
      </c>
      <c r="BX260">
        <f t="shared" si="270"/>
        <v>0</v>
      </c>
    </row>
    <row r="261" spans="2:76">
      <c r="B261" s="19">
        <f>Tiers!B262</f>
        <v>259</v>
      </c>
      <c r="C261" s="20" t="str">
        <f>Tiers!X262</f>
        <v>main-2|main-19|main-3|wild-3|freeplayA-24|||||</v>
      </c>
      <c r="D261" s="21">
        <f>Tiers!C262</f>
        <v>18.7</v>
      </c>
      <c r="E261" s="22">
        <f>Frequency!E263</f>
        <v>10</v>
      </c>
      <c r="F261" s="22">
        <f t="shared" si="220"/>
        <v>187</v>
      </c>
      <c r="G261" s="20">
        <f>IF(AND(D261/Summary!$C$4&gt;0, D261/Summary!$C$4&lt;5),E261,0) * D261</f>
        <v>0</v>
      </c>
      <c r="H261" s="20">
        <f>IF(AND(D261/Summary!$C$4&gt;= 5, D261/Summary!$C$4&lt;10),E261,0) * D261</f>
        <v>0</v>
      </c>
      <c r="I261" s="20">
        <f>IF(AND(D261/Summary!$C$4&gt;=10, D261/Summary!$C$4&lt;25),E261,0)*D261</f>
        <v>187</v>
      </c>
      <c r="J261" s="20">
        <f>IF(D261/Summary!$C$4&gt;=25,E261,0)*D261</f>
        <v>0</v>
      </c>
      <c r="K261" s="35">
        <f>IF(AND(D261/Frequency!$N$7&gt;0, D261/Frequency!$N$7&lt;1),E261,0)</f>
        <v>0</v>
      </c>
      <c r="L261" s="35">
        <f t="shared" si="221"/>
        <v>0</v>
      </c>
      <c r="M261" s="35">
        <f>IF(D261/Frequency!$N$7=1,1,0)*E261</f>
        <v>0</v>
      </c>
      <c r="N261" s="35">
        <f t="shared" si="222"/>
        <v>0</v>
      </c>
      <c r="O261" s="35">
        <f>IF(AND(D261/Frequency!$N$7&gt;1, D261/Frequency!$N$7&lt;=2),1,0)*E261</f>
        <v>0</v>
      </c>
      <c r="P261" s="35">
        <f t="shared" si="223"/>
        <v>0</v>
      </c>
      <c r="Q261" s="35">
        <f>IF(AND(D261/Frequency!$N$7&gt;2,D261/Frequency!$N$7&lt;=5),1,0)*E261</f>
        <v>0</v>
      </c>
      <c r="R261" s="35">
        <f t="shared" si="224"/>
        <v>0</v>
      </c>
      <c r="S261" s="35">
        <f>IF(AND(D261/Frequency!$N$7&gt;5, D261/Frequency!$N$7&lt;=10),1,0)*E261</f>
        <v>0</v>
      </c>
      <c r="T261" s="35">
        <f t="shared" si="225"/>
        <v>0</v>
      </c>
      <c r="U261" s="35">
        <f>IF(AND(D261/Frequency!$N$7&gt;10, D261/Frequency!$N$7&lt;=20),1,0)*E261</f>
        <v>10</v>
      </c>
      <c r="V261" s="35">
        <f t="shared" si="226"/>
        <v>187</v>
      </c>
      <c r="W261" s="35">
        <f>IF(AND(D261/Frequency!$N$7&gt;20, D261/Frequency!$N$7&lt;=30),1,0)*E261</f>
        <v>0</v>
      </c>
      <c r="X261" s="35">
        <f t="shared" si="227"/>
        <v>0</v>
      </c>
      <c r="Y261" s="35">
        <f>IF(AND(D261/Frequency!$N$7&gt;30, D261/Frequency!$N$7&lt;=50),1,0)*E261</f>
        <v>0</v>
      </c>
      <c r="Z261" s="35">
        <f t="shared" si="228"/>
        <v>0</v>
      </c>
      <c r="AA261" s="35">
        <f>IF(AND(D261/Frequency!$N$7&gt;50, D261/Frequency!$N$7&lt;=100),1,0)*E261</f>
        <v>0</v>
      </c>
      <c r="AB261" s="35">
        <f t="shared" si="229"/>
        <v>0</v>
      </c>
      <c r="AC261" s="35">
        <f>IF(D261/Frequency!$N$7&gt;100,1,0)*E261</f>
        <v>0</v>
      </c>
      <c r="AD261" s="35">
        <f t="shared" si="230"/>
        <v>0</v>
      </c>
      <c r="AE261" s="22">
        <f t="shared" si="231"/>
        <v>10</v>
      </c>
      <c r="AF261" s="22">
        <f t="shared" si="232"/>
        <v>0</v>
      </c>
      <c r="AG261" s="22">
        <f t="shared" si="233"/>
        <v>0</v>
      </c>
      <c r="AH261" s="22">
        <f t="shared" si="234"/>
        <v>0</v>
      </c>
      <c r="AI261" s="35">
        <f t="shared" si="235"/>
        <v>1</v>
      </c>
      <c r="AJ261" s="35">
        <f t="shared" si="236"/>
        <v>10</v>
      </c>
      <c r="AK261" s="35">
        <f t="shared" si="237"/>
        <v>187</v>
      </c>
      <c r="AL261">
        <f t="shared" si="238"/>
        <v>1</v>
      </c>
      <c r="AM261">
        <f t="shared" si="239"/>
        <v>10</v>
      </c>
      <c r="AN261">
        <f t="shared" si="240"/>
        <v>187</v>
      </c>
      <c r="AO261">
        <f t="shared" si="241"/>
        <v>1</v>
      </c>
      <c r="AP261">
        <f t="shared" si="242"/>
        <v>10</v>
      </c>
      <c r="AQ261">
        <f t="shared" si="243"/>
        <v>187</v>
      </c>
      <c r="AR261">
        <f t="shared" si="244"/>
        <v>0</v>
      </c>
      <c r="AS261">
        <f t="shared" si="245"/>
        <v>0</v>
      </c>
      <c r="AT261">
        <f t="shared" si="246"/>
        <v>0</v>
      </c>
      <c r="AU261">
        <f t="shared" si="247"/>
        <v>1</v>
      </c>
      <c r="AV261">
        <v>0</v>
      </c>
      <c r="AW261">
        <v>0</v>
      </c>
      <c r="AX261">
        <f t="shared" si="248"/>
        <v>0</v>
      </c>
      <c r="AY261">
        <f t="shared" si="249"/>
        <v>0</v>
      </c>
      <c r="AZ261">
        <f t="shared" si="250"/>
        <v>0</v>
      </c>
      <c r="BA261">
        <f t="shared" si="251"/>
        <v>0</v>
      </c>
      <c r="BB261">
        <f t="shared" si="252"/>
        <v>0</v>
      </c>
      <c r="BC261">
        <f t="shared" si="253"/>
        <v>0</v>
      </c>
      <c r="BD261">
        <f t="shared" si="254"/>
        <v>0</v>
      </c>
      <c r="BE261">
        <f t="shared" si="255"/>
        <v>0</v>
      </c>
      <c r="BF261">
        <f t="shared" si="256"/>
        <v>0</v>
      </c>
      <c r="BG261">
        <f t="shared" si="257"/>
        <v>0</v>
      </c>
      <c r="BH261">
        <f t="shared" si="258"/>
        <v>0</v>
      </c>
      <c r="BI261">
        <f t="shared" si="259"/>
        <v>0</v>
      </c>
      <c r="BJ261">
        <v>0</v>
      </c>
      <c r="BK261" t="str">
        <f t="shared" si="271"/>
        <v>Big Win</v>
      </c>
      <c r="BL261" s="40" t="str">
        <f t="shared" si="272"/>
        <v>Free Plays A</v>
      </c>
      <c r="BM261">
        <f>(D261/Frequency!$N$7-Summary!$C$7)^2*E261</f>
        <v>3189.7960000000003</v>
      </c>
      <c r="BN261">
        <f t="shared" si="260"/>
        <v>187</v>
      </c>
      <c r="BO261">
        <f t="shared" si="261"/>
        <v>0</v>
      </c>
      <c r="BP261">
        <f t="shared" si="262"/>
        <v>0</v>
      </c>
      <c r="BQ261">
        <f t="shared" si="263"/>
        <v>0</v>
      </c>
      <c r="BR261">
        <f t="shared" si="264"/>
        <v>0</v>
      </c>
      <c r="BS261">
        <f t="shared" si="265"/>
        <v>10</v>
      </c>
      <c r="BT261">
        <f t="shared" si="266"/>
        <v>187</v>
      </c>
      <c r="BU261">
        <f t="shared" si="267"/>
        <v>0</v>
      </c>
      <c r="BV261">
        <f t="shared" si="268"/>
        <v>0</v>
      </c>
      <c r="BW261">
        <f t="shared" si="269"/>
        <v>0</v>
      </c>
      <c r="BX261">
        <f t="shared" si="270"/>
        <v>0</v>
      </c>
    </row>
    <row r="262" spans="2:76">
      <c r="B262" s="19">
        <f>Tiers!B263</f>
        <v>260</v>
      </c>
      <c r="C262" s="20" t="str">
        <f>Tiers!X263</f>
        <v>main-4|main-0|main-1|main-18|freeplayA-8|||||</v>
      </c>
      <c r="D262" s="21">
        <f>Tiers!C263</f>
        <v>5.5000000000000009</v>
      </c>
      <c r="E262" s="22">
        <f>Frequency!E264</f>
        <v>100</v>
      </c>
      <c r="F262" s="22">
        <f t="shared" si="220"/>
        <v>550.00000000000011</v>
      </c>
      <c r="G262" s="20">
        <f>IF(AND(D262/Summary!$C$4&gt;0, D262/Summary!$C$4&lt;5),E262,0) * D262</f>
        <v>0</v>
      </c>
      <c r="H262" s="20">
        <f>IF(AND(D262/Summary!$C$4&gt;= 5, D262/Summary!$C$4&lt;10),E262,0) * D262</f>
        <v>550.00000000000011</v>
      </c>
      <c r="I262" s="20">
        <f>IF(AND(D262/Summary!$C$4&gt;=10, D262/Summary!$C$4&lt;25),E262,0)*D262</f>
        <v>0</v>
      </c>
      <c r="J262" s="20">
        <f>IF(D262/Summary!$C$4&gt;=25,E262,0)*D262</f>
        <v>0</v>
      </c>
      <c r="K262" s="35">
        <f>IF(AND(D262/Frequency!$N$7&gt;0, D262/Frequency!$N$7&lt;1),E262,0)</f>
        <v>0</v>
      </c>
      <c r="L262" s="35">
        <f t="shared" si="221"/>
        <v>0</v>
      </c>
      <c r="M262" s="35">
        <f>IF(D262/Frequency!$N$7=1,1,0)*E262</f>
        <v>0</v>
      </c>
      <c r="N262" s="35">
        <f t="shared" si="222"/>
        <v>0</v>
      </c>
      <c r="O262" s="35">
        <f>IF(AND(D262/Frequency!$N$7&gt;1, D262/Frequency!$N$7&lt;=2),1,0)*E262</f>
        <v>0</v>
      </c>
      <c r="P262" s="35">
        <f t="shared" si="223"/>
        <v>0</v>
      </c>
      <c r="Q262" s="35">
        <f>IF(AND(D262/Frequency!$N$7&gt;2,D262/Frequency!$N$7&lt;=5),1,0)*E262</f>
        <v>0</v>
      </c>
      <c r="R262" s="35">
        <f t="shared" si="224"/>
        <v>0</v>
      </c>
      <c r="S262" s="35">
        <f>IF(AND(D262/Frequency!$N$7&gt;5, D262/Frequency!$N$7&lt;=10),1,0)*E262</f>
        <v>100</v>
      </c>
      <c r="T262" s="35">
        <f t="shared" si="225"/>
        <v>550.00000000000011</v>
      </c>
      <c r="U262" s="35">
        <f>IF(AND(D262/Frequency!$N$7&gt;10, D262/Frequency!$N$7&lt;=20),1,0)*E262</f>
        <v>0</v>
      </c>
      <c r="V262" s="35">
        <f t="shared" si="226"/>
        <v>0</v>
      </c>
      <c r="W262" s="35">
        <f>IF(AND(D262/Frequency!$N$7&gt;20, D262/Frequency!$N$7&lt;=30),1,0)*E262</f>
        <v>0</v>
      </c>
      <c r="X262" s="35">
        <f t="shared" si="227"/>
        <v>0</v>
      </c>
      <c r="Y262" s="35">
        <f>IF(AND(D262/Frequency!$N$7&gt;30, D262/Frequency!$N$7&lt;=50),1,0)*E262</f>
        <v>0</v>
      </c>
      <c r="Z262" s="35">
        <f t="shared" si="228"/>
        <v>0</v>
      </c>
      <c r="AA262" s="35">
        <f>IF(AND(D262/Frequency!$N$7&gt;50, D262/Frequency!$N$7&lt;=100),1,0)*E262</f>
        <v>0</v>
      </c>
      <c r="AB262" s="35">
        <f t="shared" si="229"/>
        <v>0</v>
      </c>
      <c r="AC262" s="35">
        <f>IF(D262/Frequency!$N$7&gt;100,1,0)*E262</f>
        <v>0</v>
      </c>
      <c r="AD262" s="35">
        <f t="shared" si="230"/>
        <v>0</v>
      </c>
      <c r="AE262" s="22">
        <f t="shared" si="231"/>
        <v>100</v>
      </c>
      <c r="AF262" s="22">
        <f t="shared" si="232"/>
        <v>0</v>
      </c>
      <c r="AG262" s="22">
        <f t="shared" si="233"/>
        <v>0</v>
      </c>
      <c r="AH262" s="22">
        <f t="shared" si="234"/>
        <v>0</v>
      </c>
      <c r="AI262" s="35">
        <f t="shared" si="235"/>
        <v>1</v>
      </c>
      <c r="AJ262" s="35">
        <f t="shared" si="236"/>
        <v>100</v>
      </c>
      <c r="AK262" s="35">
        <f t="shared" si="237"/>
        <v>550.00000000000011</v>
      </c>
      <c r="AL262">
        <f t="shared" si="238"/>
        <v>0</v>
      </c>
      <c r="AM262">
        <f t="shared" si="239"/>
        <v>0</v>
      </c>
      <c r="AN262">
        <f t="shared" si="240"/>
        <v>0</v>
      </c>
      <c r="AO262">
        <f t="shared" si="241"/>
        <v>0</v>
      </c>
      <c r="AP262">
        <f t="shared" si="242"/>
        <v>0</v>
      </c>
      <c r="AQ262">
        <f t="shared" si="243"/>
        <v>0</v>
      </c>
      <c r="AR262">
        <f t="shared" si="244"/>
        <v>0</v>
      </c>
      <c r="AS262">
        <f t="shared" si="245"/>
        <v>0</v>
      </c>
      <c r="AT262">
        <f t="shared" si="246"/>
        <v>0</v>
      </c>
      <c r="AU262">
        <f t="shared" si="247"/>
        <v>1</v>
      </c>
      <c r="AV262">
        <v>0</v>
      </c>
      <c r="AW262">
        <v>0</v>
      </c>
      <c r="AX262">
        <f t="shared" si="248"/>
        <v>0</v>
      </c>
      <c r="AY262">
        <f t="shared" si="249"/>
        <v>0</v>
      </c>
      <c r="AZ262">
        <f t="shared" si="250"/>
        <v>0</v>
      </c>
      <c r="BA262">
        <f t="shared" si="251"/>
        <v>0</v>
      </c>
      <c r="BB262">
        <f t="shared" si="252"/>
        <v>0</v>
      </c>
      <c r="BC262">
        <f t="shared" si="253"/>
        <v>0</v>
      </c>
      <c r="BD262">
        <f t="shared" si="254"/>
        <v>0</v>
      </c>
      <c r="BE262">
        <f t="shared" si="255"/>
        <v>0</v>
      </c>
      <c r="BF262">
        <f t="shared" si="256"/>
        <v>0</v>
      </c>
      <c r="BG262">
        <f t="shared" si="257"/>
        <v>0</v>
      </c>
      <c r="BH262">
        <f t="shared" si="258"/>
        <v>0</v>
      </c>
      <c r="BI262">
        <f t="shared" si="259"/>
        <v>0</v>
      </c>
      <c r="BJ262">
        <v>0</v>
      </c>
      <c r="BK262" t="str">
        <f t="shared" si="271"/>
        <v>Standard Win</v>
      </c>
      <c r="BL262" s="40" t="str">
        <f t="shared" si="272"/>
        <v>Free Plays A</v>
      </c>
      <c r="BM262">
        <f>(D262/Frequency!$N$7-Summary!$C$7)^2*E262</f>
        <v>2171.5600000000009</v>
      </c>
      <c r="BN262">
        <f t="shared" si="260"/>
        <v>550.00000000000011</v>
      </c>
      <c r="BO262">
        <f t="shared" si="261"/>
        <v>0</v>
      </c>
      <c r="BP262">
        <f t="shared" si="262"/>
        <v>0</v>
      </c>
      <c r="BQ262">
        <f t="shared" si="263"/>
        <v>0</v>
      </c>
      <c r="BR262">
        <f t="shared" si="264"/>
        <v>0</v>
      </c>
      <c r="BS262">
        <f t="shared" si="265"/>
        <v>100</v>
      </c>
      <c r="BT262">
        <f t="shared" si="266"/>
        <v>550.00000000000011</v>
      </c>
      <c r="BU262">
        <f t="shared" si="267"/>
        <v>0</v>
      </c>
      <c r="BV262">
        <f t="shared" si="268"/>
        <v>0</v>
      </c>
      <c r="BW262">
        <f t="shared" si="269"/>
        <v>0</v>
      </c>
      <c r="BX262">
        <f t="shared" si="270"/>
        <v>0</v>
      </c>
    </row>
    <row r="263" spans="2:76">
      <c r="B263" s="19">
        <f>Tiers!B264</f>
        <v>261</v>
      </c>
      <c r="C263" s="20" t="str">
        <f>Tiers!X264</f>
        <v>main-0|main-4|main-0|main-19|freeplayA-9|||||</v>
      </c>
      <c r="D263" s="21">
        <f>Tiers!C264</f>
        <v>10.199999999999999</v>
      </c>
      <c r="E263" s="22">
        <f>Frequency!E265</f>
        <v>10</v>
      </c>
      <c r="F263" s="22">
        <f t="shared" si="220"/>
        <v>102</v>
      </c>
      <c r="G263" s="20">
        <f>IF(AND(D263/Summary!$C$4&gt;0, D263/Summary!$C$4&lt;5),E263,0) * D263</f>
        <v>0</v>
      </c>
      <c r="H263" s="20">
        <f>IF(AND(D263/Summary!$C$4&gt;= 5, D263/Summary!$C$4&lt;10),E263,0) * D263</f>
        <v>0</v>
      </c>
      <c r="I263" s="20">
        <f>IF(AND(D263/Summary!$C$4&gt;=10, D263/Summary!$C$4&lt;25),E263,0)*D263</f>
        <v>102</v>
      </c>
      <c r="J263" s="20">
        <f>IF(D263/Summary!$C$4&gt;=25,E263,0)*D263</f>
        <v>0</v>
      </c>
      <c r="K263" s="35">
        <f>IF(AND(D263/Frequency!$N$7&gt;0, D263/Frequency!$N$7&lt;1),E263,0)</f>
        <v>0</v>
      </c>
      <c r="L263" s="35">
        <f t="shared" si="221"/>
        <v>0</v>
      </c>
      <c r="M263" s="35">
        <f>IF(D263/Frequency!$N$7=1,1,0)*E263</f>
        <v>0</v>
      </c>
      <c r="N263" s="35">
        <f t="shared" si="222"/>
        <v>0</v>
      </c>
      <c r="O263" s="35">
        <f>IF(AND(D263/Frequency!$N$7&gt;1, D263/Frequency!$N$7&lt;=2),1,0)*E263</f>
        <v>0</v>
      </c>
      <c r="P263" s="35">
        <f t="shared" si="223"/>
        <v>0</v>
      </c>
      <c r="Q263" s="35">
        <f>IF(AND(D263/Frequency!$N$7&gt;2,D263/Frequency!$N$7&lt;=5),1,0)*E263</f>
        <v>0</v>
      </c>
      <c r="R263" s="35">
        <f t="shared" si="224"/>
        <v>0</v>
      </c>
      <c r="S263" s="35">
        <f>IF(AND(D263/Frequency!$N$7&gt;5, D263/Frequency!$N$7&lt;=10),1,0)*E263</f>
        <v>0</v>
      </c>
      <c r="T263" s="35">
        <f t="shared" si="225"/>
        <v>0</v>
      </c>
      <c r="U263" s="35">
        <f>IF(AND(D263/Frequency!$N$7&gt;10, D263/Frequency!$N$7&lt;=20),1,0)*E263</f>
        <v>10</v>
      </c>
      <c r="V263" s="35">
        <f t="shared" si="226"/>
        <v>102</v>
      </c>
      <c r="W263" s="35">
        <f>IF(AND(D263/Frequency!$N$7&gt;20, D263/Frequency!$N$7&lt;=30),1,0)*E263</f>
        <v>0</v>
      </c>
      <c r="X263" s="35">
        <f t="shared" si="227"/>
        <v>0</v>
      </c>
      <c r="Y263" s="35">
        <f>IF(AND(D263/Frequency!$N$7&gt;30, D263/Frequency!$N$7&lt;=50),1,0)*E263</f>
        <v>0</v>
      </c>
      <c r="Z263" s="35">
        <f t="shared" si="228"/>
        <v>0</v>
      </c>
      <c r="AA263" s="35">
        <f>IF(AND(D263/Frequency!$N$7&gt;50, D263/Frequency!$N$7&lt;=100),1,0)*E263</f>
        <v>0</v>
      </c>
      <c r="AB263" s="35">
        <f t="shared" si="229"/>
        <v>0</v>
      </c>
      <c r="AC263" s="35">
        <f>IF(D263/Frequency!$N$7&gt;100,1,0)*E263</f>
        <v>0</v>
      </c>
      <c r="AD263" s="35">
        <f t="shared" si="230"/>
        <v>0</v>
      </c>
      <c r="AE263" s="22">
        <f t="shared" si="231"/>
        <v>10</v>
      </c>
      <c r="AF263" s="22">
        <f t="shared" si="232"/>
        <v>0</v>
      </c>
      <c r="AG263" s="22">
        <f t="shared" si="233"/>
        <v>0</v>
      </c>
      <c r="AH263" s="22">
        <f t="shared" si="234"/>
        <v>0</v>
      </c>
      <c r="AI263" s="35">
        <f t="shared" si="235"/>
        <v>1</v>
      </c>
      <c r="AJ263" s="35">
        <f t="shared" si="236"/>
        <v>10</v>
      </c>
      <c r="AK263" s="35">
        <f t="shared" si="237"/>
        <v>102</v>
      </c>
      <c r="AL263">
        <f t="shared" si="238"/>
        <v>0</v>
      </c>
      <c r="AM263">
        <f t="shared" si="239"/>
        <v>0</v>
      </c>
      <c r="AN263">
        <f t="shared" si="240"/>
        <v>0</v>
      </c>
      <c r="AO263">
        <f t="shared" si="241"/>
        <v>0</v>
      </c>
      <c r="AP263">
        <f t="shared" si="242"/>
        <v>0</v>
      </c>
      <c r="AQ263">
        <f t="shared" si="243"/>
        <v>0</v>
      </c>
      <c r="AR263">
        <f t="shared" si="244"/>
        <v>0</v>
      </c>
      <c r="AS263">
        <f t="shared" si="245"/>
        <v>0</v>
      </c>
      <c r="AT263">
        <f t="shared" si="246"/>
        <v>0</v>
      </c>
      <c r="AU263">
        <f t="shared" si="247"/>
        <v>1</v>
      </c>
      <c r="AV263">
        <v>0</v>
      </c>
      <c r="AW263">
        <v>0</v>
      </c>
      <c r="AX263">
        <f t="shared" si="248"/>
        <v>0</v>
      </c>
      <c r="AY263">
        <f t="shared" si="249"/>
        <v>0</v>
      </c>
      <c r="AZ263">
        <f t="shared" si="250"/>
        <v>0</v>
      </c>
      <c r="BA263">
        <f t="shared" si="251"/>
        <v>0</v>
      </c>
      <c r="BB263">
        <f t="shared" si="252"/>
        <v>0</v>
      </c>
      <c r="BC263">
        <f t="shared" si="253"/>
        <v>0</v>
      </c>
      <c r="BD263">
        <f t="shared" si="254"/>
        <v>0</v>
      </c>
      <c r="BE263">
        <f t="shared" si="255"/>
        <v>0</v>
      </c>
      <c r="BF263">
        <f t="shared" si="256"/>
        <v>0</v>
      </c>
      <c r="BG263">
        <f t="shared" si="257"/>
        <v>0</v>
      </c>
      <c r="BH263">
        <f t="shared" si="258"/>
        <v>0</v>
      </c>
      <c r="BI263">
        <f t="shared" si="259"/>
        <v>0</v>
      </c>
      <c r="BJ263">
        <v>0</v>
      </c>
      <c r="BK263" t="str">
        <f t="shared" si="271"/>
        <v>Big Win</v>
      </c>
      <c r="BL263" s="40" t="str">
        <f t="shared" si="272"/>
        <v>Free Plays A</v>
      </c>
      <c r="BM263">
        <f>(D263/Frequency!$N$7-Summary!$C$7)^2*E263</f>
        <v>876.09599999999989</v>
      </c>
      <c r="BN263">
        <f t="shared" si="260"/>
        <v>102</v>
      </c>
      <c r="BO263">
        <f t="shared" si="261"/>
        <v>0</v>
      </c>
      <c r="BP263">
        <f t="shared" si="262"/>
        <v>0</v>
      </c>
      <c r="BQ263">
        <f t="shared" si="263"/>
        <v>0</v>
      </c>
      <c r="BR263">
        <f t="shared" si="264"/>
        <v>0</v>
      </c>
      <c r="BS263">
        <f t="shared" si="265"/>
        <v>10</v>
      </c>
      <c r="BT263">
        <f t="shared" si="266"/>
        <v>102</v>
      </c>
      <c r="BU263">
        <f t="shared" si="267"/>
        <v>0</v>
      </c>
      <c r="BV263">
        <f t="shared" si="268"/>
        <v>0</v>
      </c>
      <c r="BW263">
        <f t="shared" si="269"/>
        <v>0</v>
      </c>
      <c r="BX263">
        <f t="shared" si="270"/>
        <v>0</v>
      </c>
    </row>
    <row r="264" spans="2:76">
      <c r="B264" s="19">
        <f>Tiers!B265</f>
        <v>262</v>
      </c>
      <c r="C264" s="20" t="str">
        <f>Tiers!X265</f>
        <v>main-0|main-13|main-26|main-18|freeplayA-10|||||</v>
      </c>
      <c r="D264" s="21">
        <f>Tiers!C265</f>
        <v>23.1</v>
      </c>
      <c r="E264" s="22">
        <f>Frequency!E266</f>
        <v>10</v>
      </c>
      <c r="F264" s="22">
        <f t="shared" si="220"/>
        <v>231</v>
      </c>
      <c r="G264" s="20">
        <f>IF(AND(D264/Summary!$C$4&gt;0, D264/Summary!$C$4&lt;5),E264,0) * D264</f>
        <v>0</v>
      </c>
      <c r="H264" s="20">
        <f>IF(AND(D264/Summary!$C$4&gt;= 5, D264/Summary!$C$4&lt;10),E264,0) * D264</f>
        <v>0</v>
      </c>
      <c r="I264" s="20">
        <f>IF(AND(D264/Summary!$C$4&gt;=10, D264/Summary!$C$4&lt;25),E264,0)*D264</f>
        <v>231</v>
      </c>
      <c r="J264" s="20">
        <f>IF(D264/Summary!$C$4&gt;=25,E264,0)*D264</f>
        <v>0</v>
      </c>
      <c r="K264" s="35">
        <f>IF(AND(D264/Frequency!$N$7&gt;0, D264/Frequency!$N$7&lt;1),E264,0)</f>
        <v>0</v>
      </c>
      <c r="L264" s="35">
        <f t="shared" si="221"/>
        <v>0</v>
      </c>
      <c r="M264" s="35">
        <f>IF(D264/Frequency!$N$7=1,1,0)*E264</f>
        <v>0</v>
      </c>
      <c r="N264" s="35">
        <f t="shared" si="222"/>
        <v>0</v>
      </c>
      <c r="O264" s="35">
        <f>IF(AND(D264/Frequency!$N$7&gt;1, D264/Frequency!$N$7&lt;=2),1,0)*E264</f>
        <v>0</v>
      </c>
      <c r="P264" s="35">
        <f t="shared" si="223"/>
        <v>0</v>
      </c>
      <c r="Q264" s="35">
        <f>IF(AND(D264/Frequency!$N$7&gt;2,D264/Frequency!$N$7&lt;=5),1,0)*E264</f>
        <v>0</v>
      </c>
      <c r="R264" s="35">
        <f t="shared" si="224"/>
        <v>0</v>
      </c>
      <c r="S264" s="35">
        <f>IF(AND(D264/Frequency!$N$7&gt;5, D264/Frequency!$N$7&lt;=10),1,0)*E264</f>
        <v>0</v>
      </c>
      <c r="T264" s="35">
        <f t="shared" si="225"/>
        <v>0</v>
      </c>
      <c r="U264" s="35">
        <f>IF(AND(D264/Frequency!$N$7&gt;10, D264/Frequency!$N$7&lt;=20),1,0)*E264</f>
        <v>0</v>
      </c>
      <c r="V264" s="35">
        <f t="shared" si="226"/>
        <v>0</v>
      </c>
      <c r="W264" s="35">
        <f>IF(AND(D264/Frequency!$N$7&gt;20, D264/Frequency!$N$7&lt;=30),1,0)*E264</f>
        <v>10</v>
      </c>
      <c r="X264" s="35">
        <f t="shared" si="227"/>
        <v>231</v>
      </c>
      <c r="Y264" s="35">
        <f>IF(AND(D264/Frequency!$N$7&gt;30, D264/Frequency!$N$7&lt;=50),1,0)*E264</f>
        <v>0</v>
      </c>
      <c r="Z264" s="35">
        <f t="shared" si="228"/>
        <v>0</v>
      </c>
      <c r="AA264" s="35">
        <f>IF(AND(D264/Frequency!$N$7&gt;50, D264/Frequency!$N$7&lt;=100),1,0)*E264</f>
        <v>0</v>
      </c>
      <c r="AB264" s="35">
        <f t="shared" si="229"/>
        <v>0</v>
      </c>
      <c r="AC264" s="35">
        <f>IF(D264/Frequency!$N$7&gt;100,1,0)*E264</f>
        <v>0</v>
      </c>
      <c r="AD264" s="35">
        <f t="shared" si="230"/>
        <v>0</v>
      </c>
      <c r="AE264" s="22">
        <f t="shared" si="231"/>
        <v>10</v>
      </c>
      <c r="AF264" s="22">
        <f t="shared" si="232"/>
        <v>0</v>
      </c>
      <c r="AG264" s="22">
        <f t="shared" si="233"/>
        <v>0</v>
      </c>
      <c r="AH264" s="22">
        <f t="shared" si="234"/>
        <v>0</v>
      </c>
      <c r="AI264" s="35">
        <f t="shared" si="235"/>
        <v>1</v>
      </c>
      <c r="AJ264" s="35">
        <f t="shared" si="236"/>
        <v>10</v>
      </c>
      <c r="AK264" s="35">
        <f t="shared" si="237"/>
        <v>231</v>
      </c>
      <c r="AL264">
        <f t="shared" si="238"/>
        <v>0</v>
      </c>
      <c r="AM264">
        <f t="shared" si="239"/>
        <v>0</v>
      </c>
      <c r="AN264">
        <f t="shared" si="240"/>
        <v>0</v>
      </c>
      <c r="AO264">
        <f t="shared" si="241"/>
        <v>0</v>
      </c>
      <c r="AP264">
        <f t="shared" si="242"/>
        <v>0</v>
      </c>
      <c r="AQ264">
        <f t="shared" si="243"/>
        <v>0</v>
      </c>
      <c r="AR264">
        <f t="shared" si="244"/>
        <v>0</v>
      </c>
      <c r="AS264">
        <f t="shared" si="245"/>
        <v>0</v>
      </c>
      <c r="AT264">
        <f t="shared" si="246"/>
        <v>0</v>
      </c>
      <c r="AU264">
        <f t="shared" si="247"/>
        <v>1</v>
      </c>
      <c r="AV264">
        <v>0</v>
      </c>
      <c r="AW264">
        <v>0</v>
      </c>
      <c r="AX264">
        <f t="shared" si="248"/>
        <v>0</v>
      </c>
      <c r="AY264">
        <f t="shared" si="249"/>
        <v>0</v>
      </c>
      <c r="AZ264">
        <f t="shared" si="250"/>
        <v>0</v>
      </c>
      <c r="BA264">
        <f t="shared" si="251"/>
        <v>0</v>
      </c>
      <c r="BB264">
        <f t="shared" si="252"/>
        <v>0</v>
      </c>
      <c r="BC264">
        <f t="shared" si="253"/>
        <v>0</v>
      </c>
      <c r="BD264">
        <f t="shared" si="254"/>
        <v>0</v>
      </c>
      <c r="BE264">
        <f t="shared" si="255"/>
        <v>0</v>
      </c>
      <c r="BF264">
        <f t="shared" si="256"/>
        <v>0</v>
      </c>
      <c r="BG264">
        <f t="shared" si="257"/>
        <v>0</v>
      </c>
      <c r="BH264">
        <f t="shared" si="258"/>
        <v>0</v>
      </c>
      <c r="BI264">
        <f t="shared" si="259"/>
        <v>0</v>
      </c>
      <c r="BJ264">
        <v>0</v>
      </c>
      <c r="BK264" t="str">
        <f t="shared" si="271"/>
        <v>Big Win</v>
      </c>
      <c r="BL264" s="40" t="str">
        <f t="shared" si="272"/>
        <v>Free Plays A</v>
      </c>
      <c r="BM264">
        <f>(D264/Frequency!$N$7-Summary!$C$7)^2*E264</f>
        <v>4955.0760000000009</v>
      </c>
      <c r="BN264">
        <f t="shared" si="260"/>
        <v>231</v>
      </c>
      <c r="BO264">
        <f t="shared" si="261"/>
        <v>0</v>
      </c>
      <c r="BP264">
        <f t="shared" si="262"/>
        <v>0</v>
      </c>
      <c r="BQ264">
        <f t="shared" si="263"/>
        <v>0</v>
      </c>
      <c r="BR264">
        <f t="shared" si="264"/>
        <v>0</v>
      </c>
      <c r="BS264">
        <f t="shared" si="265"/>
        <v>10</v>
      </c>
      <c r="BT264">
        <f t="shared" si="266"/>
        <v>231</v>
      </c>
      <c r="BU264">
        <f t="shared" si="267"/>
        <v>0</v>
      </c>
      <c r="BV264">
        <f t="shared" si="268"/>
        <v>0</v>
      </c>
      <c r="BW264">
        <f t="shared" si="269"/>
        <v>0</v>
      </c>
      <c r="BX264">
        <f t="shared" si="270"/>
        <v>0</v>
      </c>
    </row>
    <row r="265" spans="2:76">
      <c r="B265" s="19">
        <f>Tiers!B266</f>
        <v>263</v>
      </c>
      <c r="C265" s="20" t="str">
        <f>Tiers!X266</f>
        <v>main-5|main-13|main-25|main-0|freeplayA-11|||||</v>
      </c>
      <c r="D265" s="21">
        <f>Tiers!C266</f>
        <v>18.100000000000001</v>
      </c>
      <c r="E265" s="22">
        <f>Frequency!E267</f>
        <v>10</v>
      </c>
      <c r="F265" s="22">
        <f t="shared" si="220"/>
        <v>181</v>
      </c>
      <c r="G265" s="20">
        <f>IF(AND(D265/Summary!$C$4&gt;0, D265/Summary!$C$4&lt;5),E265,0) * D265</f>
        <v>0</v>
      </c>
      <c r="H265" s="20">
        <f>IF(AND(D265/Summary!$C$4&gt;= 5, D265/Summary!$C$4&lt;10),E265,0) * D265</f>
        <v>0</v>
      </c>
      <c r="I265" s="20">
        <f>IF(AND(D265/Summary!$C$4&gt;=10, D265/Summary!$C$4&lt;25),E265,0)*D265</f>
        <v>181</v>
      </c>
      <c r="J265" s="20">
        <f>IF(D265/Summary!$C$4&gt;=25,E265,0)*D265</f>
        <v>0</v>
      </c>
      <c r="K265" s="35">
        <f>IF(AND(D265/Frequency!$N$7&gt;0, D265/Frequency!$N$7&lt;1),E265,0)</f>
        <v>0</v>
      </c>
      <c r="L265" s="35">
        <f t="shared" si="221"/>
        <v>0</v>
      </c>
      <c r="M265" s="35">
        <f>IF(D265/Frequency!$N$7=1,1,0)*E265</f>
        <v>0</v>
      </c>
      <c r="N265" s="35">
        <f t="shared" si="222"/>
        <v>0</v>
      </c>
      <c r="O265" s="35">
        <f>IF(AND(D265/Frequency!$N$7&gt;1, D265/Frequency!$N$7&lt;=2),1,0)*E265</f>
        <v>0</v>
      </c>
      <c r="P265" s="35">
        <f t="shared" si="223"/>
        <v>0</v>
      </c>
      <c r="Q265" s="35">
        <f>IF(AND(D265/Frequency!$N$7&gt;2,D265/Frequency!$N$7&lt;=5),1,0)*E265</f>
        <v>0</v>
      </c>
      <c r="R265" s="35">
        <f t="shared" si="224"/>
        <v>0</v>
      </c>
      <c r="S265" s="35">
        <f>IF(AND(D265/Frequency!$N$7&gt;5, D265/Frequency!$N$7&lt;=10),1,0)*E265</f>
        <v>0</v>
      </c>
      <c r="T265" s="35">
        <f t="shared" si="225"/>
        <v>0</v>
      </c>
      <c r="U265" s="35">
        <f>IF(AND(D265/Frequency!$N$7&gt;10, D265/Frequency!$N$7&lt;=20),1,0)*E265</f>
        <v>10</v>
      </c>
      <c r="V265" s="35">
        <f t="shared" si="226"/>
        <v>181</v>
      </c>
      <c r="W265" s="35">
        <f>IF(AND(D265/Frequency!$N$7&gt;20, D265/Frequency!$N$7&lt;=30),1,0)*E265</f>
        <v>0</v>
      </c>
      <c r="X265" s="35">
        <f t="shared" si="227"/>
        <v>0</v>
      </c>
      <c r="Y265" s="35">
        <f>IF(AND(D265/Frequency!$N$7&gt;30, D265/Frequency!$N$7&lt;=50),1,0)*E265</f>
        <v>0</v>
      </c>
      <c r="Z265" s="35">
        <f t="shared" si="228"/>
        <v>0</v>
      </c>
      <c r="AA265" s="35">
        <f>IF(AND(D265/Frequency!$N$7&gt;50, D265/Frequency!$N$7&lt;=100),1,0)*E265</f>
        <v>0</v>
      </c>
      <c r="AB265" s="35">
        <f t="shared" si="229"/>
        <v>0</v>
      </c>
      <c r="AC265" s="35">
        <f>IF(D265/Frequency!$N$7&gt;100,1,0)*E265</f>
        <v>0</v>
      </c>
      <c r="AD265" s="35">
        <f t="shared" si="230"/>
        <v>0</v>
      </c>
      <c r="AE265" s="22">
        <f t="shared" si="231"/>
        <v>10</v>
      </c>
      <c r="AF265" s="22">
        <f t="shared" si="232"/>
        <v>0</v>
      </c>
      <c r="AG265" s="22">
        <f t="shared" si="233"/>
        <v>0</v>
      </c>
      <c r="AH265" s="22">
        <f t="shared" si="234"/>
        <v>0</v>
      </c>
      <c r="AI265" s="35">
        <f t="shared" si="235"/>
        <v>1</v>
      </c>
      <c r="AJ265" s="35">
        <f t="shared" si="236"/>
        <v>10</v>
      </c>
      <c r="AK265" s="35">
        <f t="shared" si="237"/>
        <v>181</v>
      </c>
      <c r="AL265">
        <f t="shared" si="238"/>
        <v>0</v>
      </c>
      <c r="AM265">
        <f t="shared" si="239"/>
        <v>0</v>
      </c>
      <c r="AN265">
        <f t="shared" si="240"/>
        <v>0</v>
      </c>
      <c r="AO265">
        <f t="shared" si="241"/>
        <v>0</v>
      </c>
      <c r="AP265">
        <f t="shared" si="242"/>
        <v>0</v>
      </c>
      <c r="AQ265">
        <f t="shared" si="243"/>
        <v>0</v>
      </c>
      <c r="AR265">
        <f t="shared" si="244"/>
        <v>0</v>
      </c>
      <c r="AS265">
        <f t="shared" si="245"/>
        <v>0</v>
      </c>
      <c r="AT265">
        <f t="shared" si="246"/>
        <v>0</v>
      </c>
      <c r="AU265">
        <f t="shared" si="247"/>
        <v>1</v>
      </c>
      <c r="AV265">
        <v>0</v>
      </c>
      <c r="AW265">
        <v>0</v>
      </c>
      <c r="AX265">
        <f t="shared" si="248"/>
        <v>0</v>
      </c>
      <c r="AY265">
        <f t="shared" si="249"/>
        <v>0</v>
      </c>
      <c r="AZ265">
        <f t="shared" si="250"/>
        <v>0</v>
      </c>
      <c r="BA265">
        <f t="shared" si="251"/>
        <v>0</v>
      </c>
      <c r="BB265">
        <f t="shared" si="252"/>
        <v>0</v>
      </c>
      <c r="BC265">
        <f t="shared" si="253"/>
        <v>0</v>
      </c>
      <c r="BD265">
        <f t="shared" si="254"/>
        <v>0</v>
      </c>
      <c r="BE265">
        <f t="shared" si="255"/>
        <v>0</v>
      </c>
      <c r="BF265">
        <f t="shared" si="256"/>
        <v>0</v>
      </c>
      <c r="BG265">
        <f t="shared" si="257"/>
        <v>0</v>
      </c>
      <c r="BH265">
        <f t="shared" si="258"/>
        <v>0</v>
      </c>
      <c r="BI265">
        <f t="shared" si="259"/>
        <v>0</v>
      </c>
      <c r="BJ265">
        <v>0</v>
      </c>
      <c r="BK265" t="str">
        <f t="shared" si="271"/>
        <v>Big Win</v>
      </c>
      <c r="BL265" s="40" t="str">
        <f t="shared" si="272"/>
        <v>Free Plays A</v>
      </c>
      <c r="BM265">
        <f>(D265/Frequency!$N$7-Summary!$C$7)^2*E265</f>
        <v>2979.0760000000005</v>
      </c>
      <c r="BN265">
        <f t="shared" si="260"/>
        <v>181</v>
      </c>
      <c r="BO265">
        <f t="shared" si="261"/>
        <v>0</v>
      </c>
      <c r="BP265">
        <f t="shared" si="262"/>
        <v>0</v>
      </c>
      <c r="BQ265">
        <f t="shared" si="263"/>
        <v>0</v>
      </c>
      <c r="BR265">
        <f t="shared" si="264"/>
        <v>0</v>
      </c>
      <c r="BS265">
        <f t="shared" si="265"/>
        <v>10</v>
      </c>
      <c r="BT265">
        <f t="shared" si="266"/>
        <v>181</v>
      </c>
      <c r="BU265">
        <f t="shared" si="267"/>
        <v>0</v>
      </c>
      <c r="BV265">
        <f t="shared" si="268"/>
        <v>0</v>
      </c>
      <c r="BW265">
        <f t="shared" si="269"/>
        <v>0</v>
      </c>
      <c r="BX265">
        <f t="shared" si="270"/>
        <v>0</v>
      </c>
    </row>
    <row r="266" spans="2:76">
      <c r="B266" s="19">
        <f>Tiers!B267</f>
        <v>264</v>
      </c>
      <c r="C266" s="20" t="str">
        <f>Tiers!X267</f>
        <v>main-0|main-27|main-2|wild-3|freeplayA-25|||||</v>
      </c>
      <c r="D266" s="21">
        <f>Tiers!C267</f>
        <v>26.6</v>
      </c>
      <c r="E266" s="22">
        <f>Frequency!E268</f>
        <v>5</v>
      </c>
      <c r="F266" s="22">
        <f t="shared" si="220"/>
        <v>133</v>
      </c>
      <c r="G266" s="20">
        <f>IF(AND(D266/Summary!$C$4&gt;0, D266/Summary!$C$4&lt;5),E266,0) * D266</f>
        <v>0</v>
      </c>
      <c r="H266" s="20">
        <f>IF(AND(D266/Summary!$C$4&gt;= 5, D266/Summary!$C$4&lt;10),E266,0) * D266</f>
        <v>0</v>
      </c>
      <c r="I266" s="20">
        <f>IF(AND(D266/Summary!$C$4&gt;=10, D266/Summary!$C$4&lt;25),E266,0)*D266</f>
        <v>0</v>
      </c>
      <c r="J266" s="20">
        <f>IF(D266/Summary!$C$4&gt;=25,E266,0)*D266</f>
        <v>133</v>
      </c>
      <c r="K266" s="35">
        <f>IF(AND(D266/Frequency!$N$7&gt;0, D266/Frequency!$N$7&lt;1),E266,0)</f>
        <v>0</v>
      </c>
      <c r="L266" s="35">
        <f t="shared" si="221"/>
        <v>0</v>
      </c>
      <c r="M266" s="35">
        <f>IF(D266/Frequency!$N$7=1,1,0)*E266</f>
        <v>0</v>
      </c>
      <c r="N266" s="35">
        <f t="shared" si="222"/>
        <v>0</v>
      </c>
      <c r="O266" s="35">
        <f>IF(AND(D266/Frequency!$N$7&gt;1, D266/Frequency!$N$7&lt;=2),1,0)*E266</f>
        <v>0</v>
      </c>
      <c r="P266" s="35">
        <f t="shared" si="223"/>
        <v>0</v>
      </c>
      <c r="Q266" s="35">
        <f>IF(AND(D266/Frequency!$N$7&gt;2,D266/Frequency!$N$7&lt;=5),1,0)*E266</f>
        <v>0</v>
      </c>
      <c r="R266" s="35">
        <f t="shared" si="224"/>
        <v>0</v>
      </c>
      <c r="S266" s="35">
        <f>IF(AND(D266/Frequency!$N$7&gt;5, D266/Frequency!$N$7&lt;=10),1,0)*E266</f>
        <v>0</v>
      </c>
      <c r="T266" s="35">
        <f t="shared" si="225"/>
        <v>0</v>
      </c>
      <c r="U266" s="35">
        <f>IF(AND(D266/Frequency!$N$7&gt;10, D266/Frequency!$N$7&lt;=20),1,0)*E266</f>
        <v>0</v>
      </c>
      <c r="V266" s="35">
        <f t="shared" si="226"/>
        <v>0</v>
      </c>
      <c r="W266" s="35">
        <f>IF(AND(D266/Frequency!$N$7&gt;20, D266/Frequency!$N$7&lt;=30),1,0)*E266</f>
        <v>5</v>
      </c>
      <c r="X266" s="35">
        <f t="shared" si="227"/>
        <v>133</v>
      </c>
      <c r="Y266" s="35">
        <f>IF(AND(D266/Frequency!$N$7&gt;30, D266/Frequency!$N$7&lt;=50),1,0)*E266</f>
        <v>0</v>
      </c>
      <c r="Z266" s="35">
        <f t="shared" si="228"/>
        <v>0</v>
      </c>
      <c r="AA266" s="35">
        <f>IF(AND(D266/Frequency!$N$7&gt;50, D266/Frequency!$N$7&lt;=100),1,0)*E266</f>
        <v>0</v>
      </c>
      <c r="AB266" s="35">
        <f t="shared" si="229"/>
        <v>0</v>
      </c>
      <c r="AC266" s="35">
        <f>IF(D266/Frequency!$N$7&gt;100,1,0)*E266</f>
        <v>0</v>
      </c>
      <c r="AD266" s="35">
        <f t="shared" si="230"/>
        <v>0</v>
      </c>
      <c r="AE266" s="22">
        <f t="shared" si="231"/>
        <v>5</v>
      </c>
      <c r="AF266" s="22">
        <f t="shared" si="232"/>
        <v>0</v>
      </c>
      <c r="AG266" s="22">
        <f t="shared" si="233"/>
        <v>0</v>
      </c>
      <c r="AH266" s="22">
        <f t="shared" si="234"/>
        <v>0</v>
      </c>
      <c r="AI266" s="35">
        <f t="shared" si="235"/>
        <v>1</v>
      </c>
      <c r="AJ266" s="35">
        <f t="shared" si="236"/>
        <v>5</v>
      </c>
      <c r="AK266" s="35">
        <f t="shared" si="237"/>
        <v>133</v>
      </c>
      <c r="AL266">
        <f t="shared" si="238"/>
        <v>1</v>
      </c>
      <c r="AM266">
        <f t="shared" si="239"/>
        <v>5</v>
      </c>
      <c r="AN266">
        <f t="shared" si="240"/>
        <v>133</v>
      </c>
      <c r="AO266">
        <f t="shared" si="241"/>
        <v>1</v>
      </c>
      <c r="AP266">
        <f t="shared" si="242"/>
        <v>5</v>
      </c>
      <c r="AQ266">
        <f t="shared" si="243"/>
        <v>133</v>
      </c>
      <c r="AR266">
        <f t="shared" si="244"/>
        <v>0</v>
      </c>
      <c r="AS266">
        <f t="shared" si="245"/>
        <v>0</v>
      </c>
      <c r="AT266">
        <f t="shared" si="246"/>
        <v>0</v>
      </c>
      <c r="AU266">
        <f t="shared" si="247"/>
        <v>1</v>
      </c>
      <c r="AV266">
        <v>0</v>
      </c>
      <c r="AW266">
        <v>0</v>
      </c>
      <c r="AX266">
        <f t="shared" si="248"/>
        <v>0</v>
      </c>
      <c r="AY266">
        <f t="shared" si="249"/>
        <v>0</v>
      </c>
      <c r="AZ266">
        <f t="shared" si="250"/>
        <v>0</v>
      </c>
      <c r="BA266">
        <f t="shared" si="251"/>
        <v>0</v>
      </c>
      <c r="BB266">
        <f t="shared" si="252"/>
        <v>0</v>
      </c>
      <c r="BC266">
        <f t="shared" si="253"/>
        <v>0</v>
      </c>
      <c r="BD266">
        <f t="shared" si="254"/>
        <v>0</v>
      </c>
      <c r="BE266">
        <f t="shared" si="255"/>
        <v>0</v>
      </c>
      <c r="BF266">
        <f t="shared" si="256"/>
        <v>0</v>
      </c>
      <c r="BG266">
        <f t="shared" si="257"/>
        <v>0</v>
      </c>
      <c r="BH266">
        <f t="shared" si="258"/>
        <v>0</v>
      </c>
      <c r="BI266">
        <f t="shared" si="259"/>
        <v>0</v>
      </c>
      <c r="BJ266">
        <v>0</v>
      </c>
      <c r="BK266" t="str">
        <f t="shared" si="271"/>
        <v>Big Win</v>
      </c>
      <c r="BL266" s="40" t="str">
        <f t="shared" si="272"/>
        <v>Free Plays A</v>
      </c>
      <c r="BM266">
        <f>(D266/Frequency!$N$7-Summary!$C$7)^2*E266</f>
        <v>3317.8880000000004</v>
      </c>
      <c r="BN266">
        <f t="shared" si="260"/>
        <v>133</v>
      </c>
      <c r="BO266">
        <f t="shared" si="261"/>
        <v>0</v>
      </c>
      <c r="BP266">
        <f t="shared" si="262"/>
        <v>0</v>
      </c>
      <c r="BQ266">
        <f t="shared" si="263"/>
        <v>0</v>
      </c>
      <c r="BR266">
        <f t="shared" si="264"/>
        <v>0</v>
      </c>
      <c r="BS266">
        <f t="shared" si="265"/>
        <v>5</v>
      </c>
      <c r="BT266">
        <f t="shared" si="266"/>
        <v>133</v>
      </c>
      <c r="BU266">
        <f t="shared" si="267"/>
        <v>0</v>
      </c>
      <c r="BV266">
        <f t="shared" si="268"/>
        <v>0</v>
      </c>
      <c r="BW266">
        <f t="shared" si="269"/>
        <v>0</v>
      </c>
      <c r="BX266">
        <f t="shared" si="270"/>
        <v>0</v>
      </c>
    </row>
    <row r="267" spans="2:76">
      <c r="B267" s="19">
        <f>Tiers!B268</f>
        <v>265</v>
      </c>
      <c r="C267" s="20" t="str">
        <f>Tiers!X268</f>
        <v>main-4|main-14|main-15|wild-4|freeplayA-26|||||</v>
      </c>
      <c r="D267" s="21">
        <f>Tiers!C268</f>
        <v>39</v>
      </c>
      <c r="E267" s="22">
        <f>Frequency!E269</f>
        <v>2</v>
      </c>
      <c r="F267" s="22">
        <f t="shared" si="220"/>
        <v>78</v>
      </c>
      <c r="G267" s="20">
        <f>IF(AND(D267/Summary!$C$4&gt;0, D267/Summary!$C$4&lt;5),E267,0) * D267</f>
        <v>0</v>
      </c>
      <c r="H267" s="20">
        <f>IF(AND(D267/Summary!$C$4&gt;= 5, D267/Summary!$C$4&lt;10),E267,0) * D267</f>
        <v>0</v>
      </c>
      <c r="I267" s="20">
        <f>IF(AND(D267/Summary!$C$4&gt;=10, D267/Summary!$C$4&lt;25),E267,0)*D267</f>
        <v>0</v>
      </c>
      <c r="J267" s="20">
        <f>IF(D267/Summary!$C$4&gt;=25,E267,0)*D267</f>
        <v>78</v>
      </c>
      <c r="K267" s="35">
        <f>IF(AND(D267/Frequency!$N$7&gt;0, D267/Frequency!$N$7&lt;1),E267,0)</f>
        <v>0</v>
      </c>
      <c r="L267" s="35">
        <f t="shared" si="221"/>
        <v>0</v>
      </c>
      <c r="M267" s="35">
        <f>IF(D267/Frequency!$N$7=1,1,0)*E267</f>
        <v>0</v>
      </c>
      <c r="N267" s="35">
        <f t="shared" si="222"/>
        <v>0</v>
      </c>
      <c r="O267" s="35">
        <f>IF(AND(D267/Frequency!$N$7&gt;1, D267/Frequency!$N$7&lt;=2),1,0)*E267</f>
        <v>0</v>
      </c>
      <c r="P267" s="35">
        <f t="shared" si="223"/>
        <v>0</v>
      </c>
      <c r="Q267" s="35">
        <f>IF(AND(D267/Frequency!$N$7&gt;2,D267/Frequency!$N$7&lt;=5),1,0)*E267</f>
        <v>0</v>
      </c>
      <c r="R267" s="35">
        <f t="shared" si="224"/>
        <v>0</v>
      </c>
      <c r="S267" s="35">
        <f>IF(AND(D267/Frequency!$N$7&gt;5, D267/Frequency!$N$7&lt;=10),1,0)*E267</f>
        <v>0</v>
      </c>
      <c r="T267" s="35">
        <f t="shared" si="225"/>
        <v>0</v>
      </c>
      <c r="U267" s="35">
        <f>IF(AND(D267/Frequency!$N$7&gt;10, D267/Frequency!$N$7&lt;=20),1,0)*E267</f>
        <v>0</v>
      </c>
      <c r="V267" s="35">
        <f t="shared" si="226"/>
        <v>0</v>
      </c>
      <c r="W267" s="35">
        <f>IF(AND(D267/Frequency!$N$7&gt;20, D267/Frequency!$N$7&lt;=30),1,0)*E267</f>
        <v>0</v>
      </c>
      <c r="X267" s="35">
        <f t="shared" si="227"/>
        <v>0</v>
      </c>
      <c r="Y267" s="35">
        <f>IF(AND(D267/Frequency!$N$7&gt;30, D267/Frequency!$N$7&lt;=50),1,0)*E267</f>
        <v>2</v>
      </c>
      <c r="Z267" s="35">
        <f t="shared" si="228"/>
        <v>78</v>
      </c>
      <c r="AA267" s="35">
        <f>IF(AND(D267/Frequency!$N$7&gt;50, D267/Frequency!$N$7&lt;=100),1,0)*E267</f>
        <v>0</v>
      </c>
      <c r="AB267" s="35">
        <f t="shared" si="229"/>
        <v>0</v>
      </c>
      <c r="AC267" s="35">
        <f>IF(D267/Frequency!$N$7&gt;100,1,0)*E267</f>
        <v>0</v>
      </c>
      <c r="AD267" s="35">
        <f t="shared" si="230"/>
        <v>0</v>
      </c>
      <c r="AE267" s="22">
        <f t="shared" si="231"/>
        <v>2</v>
      </c>
      <c r="AF267" s="22">
        <f t="shared" si="232"/>
        <v>0</v>
      </c>
      <c r="AG267" s="22">
        <f t="shared" si="233"/>
        <v>0</v>
      </c>
      <c r="AH267" s="22">
        <f t="shared" si="234"/>
        <v>0</v>
      </c>
      <c r="AI267" s="35">
        <f t="shared" si="235"/>
        <v>1</v>
      </c>
      <c r="AJ267" s="35">
        <f t="shared" si="236"/>
        <v>2</v>
      </c>
      <c r="AK267" s="35">
        <f t="shared" si="237"/>
        <v>78</v>
      </c>
      <c r="AL267">
        <f t="shared" si="238"/>
        <v>1</v>
      </c>
      <c r="AM267">
        <f t="shared" si="239"/>
        <v>2</v>
      </c>
      <c r="AN267">
        <f t="shared" si="240"/>
        <v>78</v>
      </c>
      <c r="AO267">
        <f t="shared" si="241"/>
        <v>1</v>
      </c>
      <c r="AP267">
        <f t="shared" si="242"/>
        <v>2</v>
      </c>
      <c r="AQ267">
        <f t="shared" si="243"/>
        <v>78</v>
      </c>
      <c r="AR267">
        <f t="shared" si="244"/>
        <v>0</v>
      </c>
      <c r="AS267">
        <f t="shared" si="245"/>
        <v>0</v>
      </c>
      <c r="AT267">
        <f t="shared" si="246"/>
        <v>0</v>
      </c>
      <c r="AU267">
        <f t="shared" si="247"/>
        <v>1</v>
      </c>
      <c r="AV267">
        <v>0</v>
      </c>
      <c r="AW267">
        <v>0</v>
      </c>
      <c r="AX267">
        <f t="shared" si="248"/>
        <v>0</v>
      </c>
      <c r="AY267">
        <f t="shared" si="249"/>
        <v>0</v>
      </c>
      <c r="AZ267">
        <f t="shared" si="250"/>
        <v>0</v>
      </c>
      <c r="BA267">
        <f t="shared" si="251"/>
        <v>0</v>
      </c>
      <c r="BB267">
        <f t="shared" si="252"/>
        <v>0</v>
      </c>
      <c r="BC267">
        <f t="shared" si="253"/>
        <v>0</v>
      </c>
      <c r="BD267">
        <f t="shared" si="254"/>
        <v>0</v>
      </c>
      <c r="BE267">
        <f t="shared" si="255"/>
        <v>0</v>
      </c>
      <c r="BF267">
        <f t="shared" si="256"/>
        <v>0</v>
      </c>
      <c r="BG267">
        <f t="shared" si="257"/>
        <v>0</v>
      </c>
      <c r="BH267">
        <f t="shared" si="258"/>
        <v>0</v>
      </c>
      <c r="BI267">
        <f t="shared" si="259"/>
        <v>0</v>
      </c>
      <c r="BJ267">
        <v>0</v>
      </c>
      <c r="BK267" t="str">
        <f t="shared" si="271"/>
        <v>Big Win</v>
      </c>
      <c r="BL267" s="40" t="str">
        <f t="shared" si="272"/>
        <v>Free Plays A</v>
      </c>
      <c r="BM267">
        <f>(D267/Frequency!$N$7-Summary!$C$7)^2*E267</f>
        <v>2912.3711999999996</v>
      </c>
      <c r="BN267">
        <f t="shared" si="260"/>
        <v>78</v>
      </c>
      <c r="BO267">
        <f t="shared" si="261"/>
        <v>0</v>
      </c>
      <c r="BP267">
        <f t="shared" si="262"/>
        <v>0</v>
      </c>
      <c r="BQ267">
        <f t="shared" si="263"/>
        <v>0</v>
      </c>
      <c r="BR267">
        <f t="shared" si="264"/>
        <v>0</v>
      </c>
      <c r="BS267">
        <f t="shared" si="265"/>
        <v>2</v>
      </c>
      <c r="BT267">
        <f t="shared" si="266"/>
        <v>78</v>
      </c>
      <c r="BU267">
        <f t="shared" si="267"/>
        <v>0</v>
      </c>
      <c r="BV267">
        <f t="shared" si="268"/>
        <v>0</v>
      </c>
      <c r="BW267">
        <f t="shared" si="269"/>
        <v>0</v>
      </c>
      <c r="BX267">
        <f t="shared" si="270"/>
        <v>0</v>
      </c>
    </row>
    <row r="268" spans="2:76">
      <c r="B268" s="19">
        <f>Tiers!B269</f>
        <v>266</v>
      </c>
      <c r="C268" s="20" t="str">
        <f>Tiers!X269</f>
        <v>main-26|bonusA-3||||||||</v>
      </c>
      <c r="D268" s="21">
        <f>Tiers!C269</f>
        <v>20</v>
      </c>
      <c r="E268" s="22">
        <f>Frequency!E270</f>
        <v>5</v>
      </c>
      <c r="F268" s="22">
        <f t="shared" si="220"/>
        <v>100</v>
      </c>
      <c r="G268" s="20">
        <f>IF(AND(D268/Summary!$C$4&gt;0, D268/Summary!$C$4&lt;5),E268,0) * D268</f>
        <v>0</v>
      </c>
      <c r="H268" s="20">
        <f>IF(AND(D268/Summary!$C$4&gt;= 5, D268/Summary!$C$4&lt;10),E268,0) * D268</f>
        <v>0</v>
      </c>
      <c r="I268" s="20">
        <f>IF(AND(D268/Summary!$C$4&gt;=10, D268/Summary!$C$4&lt;25),E268,0)*D268</f>
        <v>100</v>
      </c>
      <c r="J268" s="20">
        <f>IF(D268/Summary!$C$4&gt;=25,E268,0)*D268</f>
        <v>0</v>
      </c>
      <c r="K268" s="35">
        <f>IF(AND(D268/Frequency!$N$7&gt;0, D268/Frequency!$N$7&lt;1),E268,0)</f>
        <v>0</v>
      </c>
      <c r="L268" s="35">
        <f t="shared" si="221"/>
        <v>0</v>
      </c>
      <c r="M268" s="35">
        <f>IF(D268/Frequency!$N$7=1,1,0)*E268</f>
        <v>0</v>
      </c>
      <c r="N268" s="35">
        <f t="shared" si="222"/>
        <v>0</v>
      </c>
      <c r="O268" s="35">
        <f>IF(AND(D268/Frequency!$N$7&gt;1, D268/Frequency!$N$7&lt;=2),1,0)*E268</f>
        <v>0</v>
      </c>
      <c r="P268" s="35">
        <f t="shared" si="223"/>
        <v>0</v>
      </c>
      <c r="Q268" s="35">
        <f>IF(AND(D268/Frequency!$N$7&gt;2,D268/Frequency!$N$7&lt;=5),1,0)*E268</f>
        <v>0</v>
      </c>
      <c r="R268" s="35">
        <f t="shared" si="224"/>
        <v>0</v>
      </c>
      <c r="S268" s="35">
        <f>IF(AND(D268/Frequency!$N$7&gt;5, D268/Frequency!$N$7&lt;=10),1,0)*E268</f>
        <v>0</v>
      </c>
      <c r="T268" s="35">
        <f t="shared" si="225"/>
        <v>0</v>
      </c>
      <c r="U268" s="35">
        <f>IF(AND(D268/Frequency!$N$7&gt;10, D268/Frequency!$N$7&lt;=20),1,0)*E268</f>
        <v>5</v>
      </c>
      <c r="V268" s="35">
        <f t="shared" si="226"/>
        <v>100</v>
      </c>
      <c r="W268" s="35">
        <f>IF(AND(D268/Frequency!$N$7&gt;20, D268/Frequency!$N$7&lt;=30),1,0)*E268</f>
        <v>0</v>
      </c>
      <c r="X268" s="35">
        <f t="shared" si="227"/>
        <v>0</v>
      </c>
      <c r="Y268" s="35">
        <f>IF(AND(D268/Frequency!$N$7&gt;30, D268/Frequency!$N$7&lt;=50),1,0)*E268</f>
        <v>0</v>
      </c>
      <c r="Z268" s="35">
        <f t="shared" si="228"/>
        <v>0</v>
      </c>
      <c r="AA268" s="35">
        <f>IF(AND(D268/Frequency!$N$7&gt;50, D268/Frequency!$N$7&lt;=100),1,0)*E268</f>
        <v>0</v>
      </c>
      <c r="AB268" s="35">
        <f t="shared" si="229"/>
        <v>0</v>
      </c>
      <c r="AC268" s="35">
        <f>IF(D268/Frequency!$N$7&gt;100,1,0)*E268</f>
        <v>0</v>
      </c>
      <c r="AD268" s="35">
        <f t="shared" si="230"/>
        <v>0</v>
      </c>
      <c r="AE268" s="22">
        <f t="shared" si="231"/>
        <v>0</v>
      </c>
      <c r="AF268" s="22">
        <f t="shared" si="232"/>
        <v>5</v>
      </c>
      <c r="AG268" s="22">
        <f t="shared" si="233"/>
        <v>100</v>
      </c>
      <c r="AH268" s="22">
        <f t="shared" si="234"/>
        <v>0</v>
      </c>
      <c r="AI268" s="35">
        <f t="shared" si="235"/>
        <v>1</v>
      </c>
      <c r="AJ268" s="35">
        <f t="shared" si="236"/>
        <v>5</v>
      </c>
      <c r="AK268" s="35">
        <f t="shared" si="237"/>
        <v>100</v>
      </c>
      <c r="AL268">
        <f t="shared" si="238"/>
        <v>0</v>
      </c>
      <c r="AM268">
        <f t="shared" si="239"/>
        <v>0</v>
      </c>
      <c r="AN268">
        <f t="shared" si="240"/>
        <v>0</v>
      </c>
      <c r="AO268">
        <f t="shared" si="241"/>
        <v>0</v>
      </c>
      <c r="AP268">
        <f t="shared" si="242"/>
        <v>0</v>
      </c>
      <c r="AQ268">
        <f t="shared" si="243"/>
        <v>0</v>
      </c>
      <c r="AR268">
        <f t="shared" si="244"/>
        <v>0</v>
      </c>
      <c r="AS268">
        <f t="shared" si="245"/>
        <v>0</v>
      </c>
      <c r="AT268">
        <f t="shared" si="246"/>
        <v>0</v>
      </c>
      <c r="AU268">
        <f t="shared" si="247"/>
        <v>0</v>
      </c>
      <c r="AV268">
        <v>0</v>
      </c>
      <c r="AW268">
        <v>0</v>
      </c>
      <c r="AX268">
        <f t="shared" si="248"/>
        <v>1</v>
      </c>
      <c r="AY268">
        <f t="shared" si="249"/>
        <v>5</v>
      </c>
      <c r="AZ268">
        <f t="shared" si="250"/>
        <v>100</v>
      </c>
      <c r="BA268">
        <f t="shared" si="251"/>
        <v>0</v>
      </c>
      <c r="BB268">
        <f t="shared" si="252"/>
        <v>0</v>
      </c>
      <c r="BC268">
        <f t="shared" si="253"/>
        <v>0</v>
      </c>
      <c r="BD268">
        <f t="shared" si="254"/>
        <v>0</v>
      </c>
      <c r="BE268">
        <f t="shared" si="255"/>
        <v>0</v>
      </c>
      <c r="BF268">
        <f t="shared" si="256"/>
        <v>0</v>
      </c>
      <c r="BG268">
        <f t="shared" si="257"/>
        <v>0</v>
      </c>
      <c r="BH268">
        <f t="shared" si="258"/>
        <v>0</v>
      </c>
      <c r="BI268">
        <f t="shared" si="259"/>
        <v>0</v>
      </c>
      <c r="BJ268">
        <v>0</v>
      </c>
      <c r="BK268" t="str">
        <f t="shared" si="271"/>
        <v>Big Win</v>
      </c>
      <c r="BL268" s="40" t="str">
        <f t="shared" si="272"/>
        <v>Bonus Game A</v>
      </c>
      <c r="BM268">
        <f>(D268/Frequency!$N$7-Summary!$C$7)^2*E268</f>
        <v>1835.5279999999998</v>
      </c>
      <c r="BN268">
        <f t="shared" si="260"/>
        <v>0</v>
      </c>
      <c r="BO268">
        <f t="shared" si="261"/>
        <v>0</v>
      </c>
      <c r="BP268">
        <f t="shared" si="262"/>
        <v>0</v>
      </c>
      <c r="BQ268">
        <f t="shared" si="263"/>
        <v>0</v>
      </c>
      <c r="BR268">
        <f t="shared" si="264"/>
        <v>0</v>
      </c>
      <c r="BS268">
        <f t="shared" si="265"/>
        <v>0</v>
      </c>
      <c r="BT268">
        <f t="shared" si="266"/>
        <v>0</v>
      </c>
      <c r="BU268">
        <f t="shared" si="267"/>
        <v>0</v>
      </c>
      <c r="BV268">
        <f t="shared" si="268"/>
        <v>0</v>
      </c>
      <c r="BW268">
        <f t="shared" si="269"/>
        <v>5</v>
      </c>
      <c r="BX268">
        <f t="shared" si="270"/>
        <v>100</v>
      </c>
    </row>
    <row r="269" spans="2:76">
      <c r="B269" s="19">
        <f>Tiers!B270</f>
        <v>267</v>
      </c>
      <c r="C269" s="20" t="str">
        <f>Tiers!X270</f>
        <v>main-25|bonusA-4||||||||</v>
      </c>
      <c r="D269" s="21">
        <f>Tiers!C270</f>
        <v>17</v>
      </c>
      <c r="E269" s="22">
        <f>Frequency!E271</f>
        <v>5</v>
      </c>
      <c r="F269" s="22">
        <f t="shared" si="220"/>
        <v>85</v>
      </c>
      <c r="G269" s="20">
        <f>IF(AND(D269/Summary!$C$4&gt;0, D269/Summary!$C$4&lt;5),E269,0) * D269</f>
        <v>0</v>
      </c>
      <c r="H269" s="20">
        <f>IF(AND(D269/Summary!$C$4&gt;= 5, D269/Summary!$C$4&lt;10),E269,0) * D269</f>
        <v>0</v>
      </c>
      <c r="I269" s="20">
        <f>IF(AND(D269/Summary!$C$4&gt;=10, D269/Summary!$C$4&lt;25),E269,0)*D269</f>
        <v>85</v>
      </c>
      <c r="J269" s="20">
        <f>IF(D269/Summary!$C$4&gt;=25,E269,0)*D269</f>
        <v>0</v>
      </c>
      <c r="K269" s="35">
        <f>IF(AND(D269/Frequency!$N$7&gt;0, D269/Frequency!$N$7&lt;1),E269,0)</f>
        <v>0</v>
      </c>
      <c r="L269" s="35">
        <f t="shared" si="221"/>
        <v>0</v>
      </c>
      <c r="M269" s="35">
        <f>IF(D269/Frequency!$N$7=1,1,0)*E269</f>
        <v>0</v>
      </c>
      <c r="N269" s="35">
        <f t="shared" si="222"/>
        <v>0</v>
      </c>
      <c r="O269" s="35">
        <f>IF(AND(D269/Frequency!$N$7&gt;1, D269/Frequency!$N$7&lt;=2),1,0)*E269</f>
        <v>0</v>
      </c>
      <c r="P269" s="35">
        <f t="shared" si="223"/>
        <v>0</v>
      </c>
      <c r="Q269" s="35">
        <f>IF(AND(D269/Frequency!$N$7&gt;2,D269/Frequency!$N$7&lt;=5),1,0)*E269</f>
        <v>0</v>
      </c>
      <c r="R269" s="35">
        <f t="shared" si="224"/>
        <v>0</v>
      </c>
      <c r="S269" s="35">
        <f>IF(AND(D269/Frequency!$N$7&gt;5, D269/Frequency!$N$7&lt;=10),1,0)*E269</f>
        <v>0</v>
      </c>
      <c r="T269" s="35">
        <f t="shared" si="225"/>
        <v>0</v>
      </c>
      <c r="U269" s="35">
        <f>IF(AND(D269/Frequency!$N$7&gt;10, D269/Frequency!$N$7&lt;=20),1,0)*E269</f>
        <v>5</v>
      </c>
      <c r="V269" s="35">
        <f t="shared" si="226"/>
        <v>85</v>
      </c>
      <c r="W269" s="35">
        <f>IF(AND(D269/Frequency!$N$7&gt;20, D269/Frequency!$N$7&lt;=30),1,0)*E269</f>
        <v>0</v>
      </c>
      <c r="X269" s="35">
        <f t="shared" si="227"/>
        <v>0</v>
      </c>
      <c r="Y269" s="35">
        <f>IF(AND(D269/Frequency!$N$7&gt;30, D269/Frequency!$N$7&lt;=50),1,0)*E269</f>
        <v>0</v>
      </c>
      <c r="Z269" s="35">
        <f t="shared" si="228"/>
        <v>0</v>
      </c>
      <c r="AA269" s="35">
        <f>IF(AND(D269/Frequency!$N$7&gt;50, D269/Frequency!$N$7&lt;=100),1,0)*E269</f>
        <v>0</v>
      </c>
      <c r="AB269" s="35">
        <f t="shared" si="229"/>
        <v>0</v>
      </c>
      <c r="AC269" s="35">
        <f>IF(D269/Frequency!$N$7&gt;100,1,0)*E269</f>
        <v>0</v>
      </c>
      <c r="AD269" s="35">
        <f t="shared" si="230"/>
        <v>0</v>
      </c>
      <c r="AE269" s="22">
        <f t="shared" si="231"/>
        <v>0</v>
      </c>
      <c r="AF269" s="22">
        <f t="shared" si="232"/>
        <v>5</v>
      </c>
      <c r="AG269" s="22">
        <f t="shared" si="233"/>
        <v>85</v>
      </c>
      <c r="AH269" s="22">
        <f t="shared" si="234"/>
        <v>0</v>
      </c>
      <c r="AI269" s="35">
        <f t="shared" si="235"/>
        <v>1</v>
      </c>
      <c r="AJ269" s="35">
        <f t="shared" si="236"/>
        <v>5</v>
      </c>
      <c r="AK269" s="35">
        <f t="shared" si="237"/>
        <v>85</v>
      </c>
      <c r="AL269">
        <f t="shared" si="238"/>
        <v>0</v>
      </c>
      <c r="AM269">
        <f t="shared" si="239"/>
        <v>0</v>
      </c>
      <c r="AN269">
        <f t="shared" si="240"/>
        <v>0</v>
      </c>
      <c r="AO269">
        <f t="shared" si="241"/>
        <v>0</v>
      </c>
      <c r="AP269">
        <f t="shared" si="242"/>
        <v>0</v>
      </c>
      <c r="AQ269">
        <f t="shared" si="243"/>
        <v>0</v>
      </c>
      <c r="AR269">
        <f t="shared" si="244"/>
        <v>0</v>
      </c>
      <c r="AS269">
        <f t="shared" si="245"/>
        <v>0</v>
      </c>
      <c r="AT269">
        <f t="shared" si="246"/>
        <v>0</v>
      </c>
      <c r="AU269">
        <f t="shared" si="247"/>
        <v>0</v>
      </c>
      <c r="AV269">
        <v>0</v>
      </c>
      <c r="AW269">
        <v>0</v>
      </c>
      <c r="AX269">
        <f t="shared" si="248"/>
        <v>1</v>
      </c>
      <c r="AY269">
        <f t="shared" si="249"/>
        <v>5</v>
      </c>
      <c r="AZ269">
        <f t="shared" si="250"/>
        <v>85</v>
      </c>
      <c r="BA269">
        <f t="shared" si="251"/>
        <v>0</v>
      </c>
      <c r="BB269">
        <f t="shared" si="252"/>
        <v>0</v>
      </c>
      <c r="BC269">
        <f t="shared" si="253"/>
        <v>0</v>
      </c>
      <c r="BD269">
        <f t="shared" si="254"/>
        <v>0</v>
      </c>
      <c r="BE269">
        <f t="shared" si="255"/>
        <v>0</v>
      </c>
      <c r="BF269">
        <f t="shared" si="256"/>
        <v>0</v>
      </c>
      <c r="BG269">
        <f t="shared" si="257"/>
        <v>0</v>
      </c>
      <c r="BH269">
        <f t="shared" si="258"/>
        <v>0</v>
      </c>
      <c r="BI269">
        <f t="shared" si="259"/>
        <v>0</v>
      </c>
      <c r="BJ269">
        <v>0</v>
      </c>
      <c r="BK269" t="str">
        <f t="shared" si="271"/>
        <v>Big Win</v>
      </c>
      <c r="BL269" s="40" t="str">
        <f t="shared" si="272"/>
        <v>Bonus Game A</v>
      </c>
      <c r="BM269">
        <f>(D269/Frequency!$N$7-Summary!$C$7)^2*E269</f>
        <v>1305.7280000000001</v>
      </c>
      <c r="BN269">
        <f t="shared" si="260"/>
        <v>0</v>
      </c>
      <c r="BO269">
        <f t="shared" si="261"/>
        <v>0</v>
      </c>
      <c r="BP269">
        <f t="shared" si="262"/>
        <v>0</v>
      </c>
      <c r="BQ269">
        <f t="shared" si="263"/>
        <v>0</v>
      </c>
      <c r="BR269">
        <f t="shared" si="264"/>
        <v>0</v>
      </c>
      <c r="BS269">
        <f t="shared" si="265"/>
        <v>0</v>
      </c>
      <c r="BT269">
        <f t="shared" si="266"/>
        <v>0</v>
      </c>
      <c r="BU269">
        <f t="shared" si="267"/>
        <v>0</v>
      </c>
      <c r="BV269">
        <f t="shared" si="268"/>
        <v>0</v>
      </c>
      <c r="BW269">
        <f t="shared" si="269"/>
        <v>5</v>
      </c>
      <c r="BX269">
        <f t="shared" si="270"/>
        <v>85</v>
      </c>
    </row>
    <row r="270" spans="2:76">
      <c r="B270" s="19">
        <f>Tiers!B271</f>
        <v>268</v>
      </c>
      <c r="C270" s="20" t="str">
        <f>Tiers!X271</f>
        <v>main-19|bonusA-5||||||||</v>
      </c>
      <c r="D270" s="21">
        <f>Tiers!C271</f>
        <v>20</v>
      </c>
      <c r="E270" s="22">
        <f>Frequency!E272</f>
        <v>10</v>
      </c>
      <c r="F270" s="22">
        <f t="shared" si="220"/>
        <v>200</v>
      </c>
      <c r="G270" s="20">
        <f>IF(AND(D270/Summary!$C$4&gt;0, D270/Summary!$C$4&lt;5),E270,0) * D270</f>
        <v>0</v>
      </c>
      <c r="H270" s="20">
        <f>IF(AND(D270/Summary!$C$4&gt;= 5, D270/Summary!$C$4&lt;10),E270,0) * D270</f>
        <v>0</v>
      </c>
      <c r="I270" s="20">
        <f>IF(AND(D270/Summary!$C$4&gt;=10, D270/Summary!$C$4&lt;25),E270,0)*D270</f>
        <v>200</v>
      </c>
      <c r="J270" s="20">
        <f>IF(D270/Summary!$C$4&gt;=25,E270,0)*D270</f>
        <v>0</v>
      </c>
      <c r="K270" s="35">
        <f>IF(AND(D270/Frequency!$N$7&gt;0, D270/Frequency!$N$7&lt;1),E270,0)</f>
        <v>0</v>
      </c>
      <c r="L270" s="35">
        <f t="shared" si="221"/>
        <v>0</v>
      </c>
      <c r="M270" s="35">
        <f>IF(D270/Frequency!$N$7=1,1,0)*E270</f>
        <v>0</v>
      </c>
      <c r="N270" s="35">
        <f t="shared" si="222"/>
        <v>0</v>
      </c>
      <c r="O270" s="35">
        <f>IF(AND(D270/Frequency!$N$7&gt;1, D270/Frequency!$N$7&lt;=2),1,0)*E270</f>
        <v>0</v>
      </c>
      <c r="P270" s="35">
        <f t="shared" si="223"/>
        <v>0</v>
      </c>
      <c r="Q270" s="35">
        <f>IF(AND(D270/Frequency!$N$7&gt;2,D270/Frequency!$N$7&lt;=5),1,0)*E270</f>
        <v>0</v>
      </c>
      <c r="R270" s="35">
        <f t="shared" si="224"/>
        <v>0</v>
      </c>
      <c r="S270" s="35">
        <f>IF(AND(D270/Frequency!$N$7&gt;5, D270/Frequency!$N$7&lt;=10),1,0)*E270</f>
        <v>0</v>
      </c>
      <c r="T270" s="35">
        <f t="shared" si="225"/>
        <v>0</v>
      </c>
      <c r="U270" s="35">
        <f>IF(AND(D270/Frequency!$N$7&gt;10, D270/Frequency!$N$7&lt;=20),1,0)*E270</f>
        <v>10</v>
      </c>
      <c r="V270" s="35">
        <f t="shared" si="226"/>
        <v>200</v>
      </c>
      <c r="W270" s="35">
        <f>IF(AND(D270/Frequency!$N$7&gt;20, D270/Frequency!$N$7&lt;=30),1,0)*E270</f>
        <v>0</v>
      </c>
      <c r="X270" s="35">
        <f t="shared" si="227"/>
        <v>0</v>
      </c>
      <c r="Y270" s="35">
        <f>IF(AND(D270/Frequency!$N$7&gt;30, D270/Frequency!$N$7&lt;=50),1,0)*E270</f>
        <v>0</v>
      </c>
      <c r="Z270" s="35">
        <f t="shared" si="228"/>
        <v>0</v>
      </c>
      <c r="AA270" s="35">
        <f>IF(AND(D270/Frequency!$N$7&gt;50, D270/Frequency!$N$7&lt;=100),1,0)*E270</f>
        <v>0</v>
      </c>
      <c r="AB270" s="35">
        <f t="shared" si="229"/>
        <v>0</v>
      </c>
      <c r="AC270" s="35">
        <f>IF(D270/Frequency!$N$7&gt;100,1,0)*E270</f>
        <v>0</v>
      </c>
      <c r="AD270" s="35">
        <f t="shared" si="230"/>
        <v>0</v>
      </c>
      <c r="AE270" s="22">
        <f t="shared" si="231"/>
        <v>0</v>
      </c>
      <c r="AF270" s="22">
        <f t="shared" si="232"/>
        <v>10</v>
      </c>
      <c r="AG270" s="22">
        <f t="shared" si="233"/>
        <v>200</v>
      </c>
      <c r="AH270" s="22">
        <f t="shared" si="234"/>
        <v>0</v>
      </c>
      <c r="AI270" s="35">
        <f t="shared" si="235"/>
        <v>1</v>
      </c>
      <c r="AJ270" s="35">
        <f t="shared" si="236"/>
        <v>10</v>
      </c>
      <c r="AK270" s="35">
        <f t="shared" si="237"/>
        <v>200</v>
      </c>
      <c r="AL270">
        <f t="shared" si="238"/>
        <v>0</v>
      </c>
      <c r="AM270">
        <f t="shared" si="239"/>
        <v>0</v>
      </c>
      <c r="AN270">
        <f t="shared" si="240"/>
        <v>0</v>
      </c>
      <c r="AO270">
        <f t="shared" si="241"/>
        <v>0</v>
      </c>
      <c r="AP270">
        <f t="shared" si="242"/>
        <v>0</v>
      </c>
      <c r="AQ270">
        <f t="shared" si="243"/>
        <v>0</v>
      </c>
      <c r="AR270">
        <f t="shared" si="244"/>
        <v>0</v>
      </c>
      <c r="AS270">
        <f t="shared" si="245"/>
        <v>0</v>
      </c>
      <c r="AT270">
        <f t="shared" si="246"/>
        <v>0</v>
      </c>
      <c r="AU270">
        <f t="shared" si="247"/>
        <v>0</v>
      </c>
      <c r="AV270">
        <v>0</v>
      </c>
      <c r="AW270">
        <v>0</v>
      </c>
      <c r="AX270">
        <f t="shared" si="248"/>
        <v>1</v>
      </c>
      <c r="AY270">
        <f t="shared" si="249"/>
        <v>10</v>
      </c>
      <c r="AZ270">
        <f t="shared" si="250"/>
        <v>200</v>
      </c>
      <c r="BA270">
        <f t="shared" si="251"/>
        <v>0</v>
      </c>
      <c r="BB270">
        <f t="shared" si="252"/>
        <v>0</v>
      </c>
      <c r="BC270">
        <f t="shared" si="253"/>
        <v>0</v>
      </c>
      <c r="BD270">
        <f t="shared" si="254"/>
        <v>0</v>
      </c>
      <c r="BE270">
        <f t="shared" si="255"/>
        <v>0</v>
      </c>
      <c r="BF270">
        <f t="shared" si="256"/>
        <v>0</v>
      </c>
      <c r="BG270">
        <f t="shared" si="257"/>
        <v>0</v>
      </c>
      <c r="BH270">
        <f t="shared" si="258"/>
        <v>0</v>
      </c>
      <c r="BI270">
        <f t="shared" si="259"/>
        <v>0</v>
      </c>
      <c r="BJ270">
        <v>0</v>
      </c>
      <c r="BK270" t="str">
        <f t="shared" si="271"/>
        <v>Big Win</v>
      </c>
      <c r="BL270" s="40" t="str">
        <f t="shared" si="272"/>
        <v>Bonus Game A</v>
      </c>
      <c r="BM270">
        <f>(D270/Frequency!$N$7-Summary!$C$7)^2*E270</f>
        <v>3671.0559999999996</v>
      </c>
      <c r="BN270">
        <f t="shared" si="260"/>
        <v>0</v>
      </c>
      <c r="BO270">
        <f t="shared" si="261"/>
        <v>0</v>
      </c>
      <c r="BP270">
        <f t="shared" si="262"/>
        <v>0</v>
      </c>
      <c r="BQ270">
        <f t="shared" si="263"/>
        <v>0</v>
      </c>
      <c r="BR270">
        <f t="shared" si="264"/>
        <v>0</v>
      </c>
      <c r="BS270">
        <f t="shared" si="265"/>
        <v>0</v>
      </c>
      <c r="BT270">
        <f t="shared" si="266"/>
        <v>0</v>
      </c>
      <c r="BU270">
        <f t="shared" si="267"/>
        <v>0</v>
      </c>
      <c r="BV270">
        <f t="shared" si="268"/>
        <v>0</v>
      </c>
      <c r="BW270">
        <f t="shared" si="269"/>
        <v>10</v>
      </c>
      <c r="BX270">
        <f t="shared" si="270"/>
        <v>200</v>
      </c>
    </row>
    <row r="271" spans="2:76">
      <c r="B271" s="19">
        <f>Tiers!B272</f>
        <v>269</v>
      </c>
      <c r="C271" s="20" t="str">
        <f>Tiers!X272</f>
        <v>main-27|bonusA-4||||||||</v>
      </c>
      <c r="D271" s="21">
        <f>Tiers!C272</f>
        <v>32</v>
      </c>
      <c r="E271" s="22">
        <f>Frequency!E273</f>
        <v>5</v>
      </c>
      <c r="F271" s="22">
        <f t="shared" si="220"/>
        <v>160</v>
      </c>
      <c r="G271" s="20">
        <f>IF(AND(D271/Summary!$C$4&gt;0, D271/Summary!$C$4&lt;5),E271,0) * D271</f>
        <v>0</v>
      </c>
      <c r="H271" s="20">
        <f>IF(AND(D271/Summary!$C$4&gt;= 5, D271/Summary!$C$4&lt;10),E271,0) * D271</f>
        <v>0</v>
      </c>
      <c r="I271" s="20">
        <f>IF(AND(D271/Summary!$C$4&gt;=10, D271/Summary!$C$4&lt;25),E271,0)*D271</f>
        <v>0</v>
      </c>
      <c r="J271" s="20">
        <f>IF(D271/Summary!$C$4&gt;=25,E271,0)*D271</f>
        <v>160</v>
      </c>
      <c r="K271" s="35">
        <f>IF(AND(D271/Frequency!$N$7&gt;0, D271/Frequency!$N$7&lt;1),E271,0)</f>
        <v>0</v>
      </c>
      <c r="L271" s="35">
        <f t="shared" si="221"/>
        <v>0</v>
      </c>
      <c r="M271" s="35">
        <f>IF(D271/Frequency!$N$7=1,1,0)*E271</f>
        <v>0</v>
      </c>
      <c r="N271" s="35">
        <f t="shared" si="222"/>
        <v>0</v>
      </c>
      <c r="O271" s="35">
        <f>IF(AND(D271/Frequency!$N$7&gt;1, D271/Frequency!$N$7&lt;=2),1,0)*E271</f>
        <v>0</v>
      </c>
      <c r="P271" s="35">
        <f t="shared" si="223"/>
        <v>0</v>
      </c>
      <c r="Q271" s="35">
        <f>IF(AND(D271/Frequency!$N$7&gt;2,D271/Frequency!$N$7&lt;=5),1,0)*E271</f>
        <v>0</v>
      </c>
      <c r="R271" s="35">
        <f t="shared" si="224"/>
        <v>0</v>
      </c>
      <c r="S271" s="35">
        <f>IF(AND(D271/Frequency!$N$7&gt;5, D271/Frequency!$N$7&lt;=10),1,0)*E271</f>
        <v>0</v>
      </c>
      <c r="T271" s="35">
        <f t="shared" si="225"/>
        <v>0</v>
      </c>
      <c r="U271" s="35">
        <f>IF(AND(D271/Frequency!$N$7&gt;10, D271/Frequency!$N$7&lt;=20),1,0)*E271</f>
        <v>0</v>
      </c>
      <c r="V271" s="35">
        <f t="shared" si="226"/>
        <v>0</v>
      </c>
      <c r="W271" s="35">
        <f>IF(AND(D271/Frequency!$N$7&gt;20, D271/Frequency!$N$7&lt;=30),1,0)*E271</f>
        <v>0</v>
      </c>
      <c r="X271" s="35">
        <f t="shared" si="227"/>
        <v>0</v>
      </c>
      <c r="Y271" s="35">
        <f>IF(AND(D271/Frequency!$N$7&gt;30, D271/Frequency!$N$7&lt;=50),1,0)*E271</f>
        <v>5</v>
      </c>
      <c r="Z271" s="35">
        <f t="shared" si="228"/>
        <v>160</v>
      </c>
      <c r="AA271" s="35">
        <f>IF(AND(D271/Frequency!$N$7&gt;50, D271/Frequency!$N$7&lt;=100),1,0)*E271</f>
        <v>0</v>
      </c>
      <c r="AB271" s="35">
        <f t="shared" si="229"/>
        <v>0</v>
      </c>
      <c r="AC271" s="35">
        <f>IF(D271/Frequency!$N$7&gt;100,1,0)*E271</f>
        <v>0</v>
      </c>
      <c r="AD271" s="35">
        <f t="shared" si="230"/>
        <v>0</v>
      </c>
      <c r="AE271" s="22">
        <f t="shared" si="231"/>
        <v>0</v>
      </c>
      <c r="AF271" s="22">
        <f t="shared" si="232"/>
        <v>5</v>
      </c>
      <c r="AG271" s="22">
        <f t="shared" si="233"/>
        <v>160</v>
      </c>
      <c r="AH271" s="22">
        <f t="shared" si="234"/>
        <v>0</v>
      </c>
      <c r="AI271" s="35">
        <f t="shared" si="235"/>
        <v>1</v>
      </c>
      <c r="AJ271" s="35">
        <f t="shared" si="236"/>
        <v>5</v>
      </c>
      <c r="AK271" s="35">
        <f t="shared" si="237"/>
        <v>160</v>
      </c>
      <c r="AL271">
        <f t="shared" si="238"/>
        <v>0</v>
      </c>
      <c r="AM271">
        <f t="shared" si="239"/>
        <v>0</v>
      </c>
      <c r="AN271">
        <f t="shared" si="240"/>
        <v>0</v>
      </c>
      <c r="AO271">
        <f t="shared" si="241"/>
        <v>0</v>
      </c>
      <c r="AP271">
        <f t="shared" si="242"/>
        <v>0</v>
      </c>
      <c r="AQ271">
        <f t="shared" si="243"/>
        <v>0</v>
      </c>
      <c r="AR271">
        <f t="shared" si="244"/>
        <v>0</v>
      </c>
      <c r="AS271">
        <f t="shared" si="245"/>
        <v>0</v>
      </c>
      <c r="AT271">
        <f t="shared" si="246"/>
        <v>0</v>
      </c>
      <c r="AU271">
        <f t="shared" si="247"/>
        <v>0</v>
      </c>
      <c r="AV271">
        <v>0</v>
      </c>
      <c r="AW271">
        <v>0</v>
      </c>
      <c r="AX271">
        <f t="shared" si="248"/>
        <v>1</v>
      </c>
      <c r="AY271">
        <f t="shared" si="249"/>
        <v>5</v>
      </c>
      <c r="AZ271">
        <f t="shared" si="250"/>
        <v>160</v>
      </c>
      <c r="BA271">
        <f t="shared" si="251"/>
        <v>0</v>
      </c>
      <c r="BB271">
        <f t="shared" si="252"/>
        <v>0</v>
      </c>
      <c r="BC271">
        <f t="shared" si="253"/>
        <v>0</v>
      </c>
      <c r="BD271">
        <f t="shared" si="254"/>
        <v>0</v>
      </c>
      <c r="BE271">
        <f t="shared" si="255"/>
        <v>0</v>
      </c>
      <c r="BF271">
        <f t="shared" si="256"/>
        <v>0</v>
      </c>
      <c r="BG271">
        <f t="shared" si="257"/>
        <v>0</v>
      </c>
      <c r="BH271">
        <f t="shared" si="258"/>
        <v>0</v>
      </c>
      <c r="BI271">
        <f t="shared" si="259"/>
        <v>0</v>
      </c>
      <c r="BJ271">
        <v>0</v>
      </c>
      <c r="BK271" t="str">
        <f t="shared" si="271"/>
        <v>Big Win</v>
      </c>
      <c r="BL271" s="40" t="str">
        <f t="shared" si="272"/>
        <v>Bonus Game A</v>
      </c>
      <c r="BM271">
        <f>(D271/Frequency!$N$7-Summary!$C$7)^2*E271</f>
        <v>4854.7280000000001</v>
      </c>
      <c r="BN271">
        <f t="shared" si="260"/>
        <v>0</v>
      </c>
      <c r="BO271">
        <f t="shared" si="261"/>
        <v>0</v>
      </c>
      <c r="BP271">
        <f t="shared" si="262"/>
        <v>0</v>
      </c>
      <c r="BQ271">
        <f t="shared" si="263"/>
        <v>0</v>
      </c>
      <c r="BR271">
        <f t="shared" si="264"/>
        <v>0</v>
      </c>
      <c r="BS271">
        <f t="shared" si="265"/>
        <v>0</v>
      </c>
      <c r="BT271">
        <f t="shared" si="266"/>
        <v>0</v>
      </c>
      <c r="BU271">
        <f t="shared" si="267"/>
        <v>0</v>
      </c>
      <c r="BV271">
        <f t="shared" si="268"/>
        <v>0</v>
      </c>
      <c r="BW271">
        <f t="shared" si="269"/>
        <v>5</v>
      </c>
      <c r="BX271">
        <f t="shared" si="270"/>
        <v>160</v>
      </c>
    </row>
    <row r="272" spans="2:76">
      <c r="B272" s="19">
        <f>Tiers!B273</f>
        <v>270</v>
      </c>
      <c r="C272" s="20" t="str">
        <f>Tiers!X273</f>
        <v>main-14|bonusA-4||||||||</v>
      </c>
      <c r="D272" s="21">
        <f>Tiers!C273</f>
        <v>22</v>
      </c>
      <c r="E272" s="22">
        <f>Frequency!E274</f>
        <v>12</v>
      </c>
      <c r="F272" s="22">
        <f t="shared" si="220"/>
        <v>264</v>
      </c>
      <c r="G272" s="20">
        <f>IF(AND(D272/Summary!$C$4&gt;0, D272/Summary!$C$4&lt;5),E272,0) * D272</f>
        <v>0</v>
      </c>
      <c r="H272" s="20">
        <f>IF(AND(D272/Summary!$C$4&gt;= 5, D272/Summary!$C$4&lt;10),E272,0) * D272</f>
        <v>0</v>
      </c>
      <c r="I272" s="20">
        <f>IF(AND(D272/Summary!$C$4&gt;=10, D272/Summary!$C$4&lt;25),E272,0)*D272</f>
        <v>264</v>
      </c>
      <c r="J272" s="20">
        <f>IF(D272/Summary!$C$4&gt;=25,E272,0)*D272</f>
        <v>0</v>
      </c>
      <c r="K272" s="35">
        <f>IF(AND(D272/Frequency!$N$7&gt;0, D272/Frequency!$N$7&lt;1),E272,0)</f>
        <v>0</v>
      </c>
      <c r="L272" s="35">
        <f t="shared" si="221"/>
        <v>0</v>
      </c>
      <c r="M272" s="35">
        <f>IF(D272/Frequency!$N$7=1,1,0)*E272</f>
        <v>0</v>
      </c>
      <c r="N272" s="35">
        <f t="shared" si="222"/>
        <v>0</v>
      </c>
      <c r="O272" s="35">
        <f>IF(AND(D272/Frequency!$N$7&gt;1, D272/Frequency!$N$7&lt;=2),1,0)*E272</f>
        <v>0</v>
      </c>
      <c r="P272" s="35">
        <f t="shared" si="223"/>
        <v>0</v>
      </c>
      <c r="Q272" s="35">
        <f>IF(AND(D272/Frequency!$N$7&gt;2,D272/Frequency!$N$7&lt;=5),1,0)*E272</f>
        <v>0</v>
      </c>
      <c r="R272" s="35">
        <f t="shared" si="224"/>
        <v>0</v>
      </c>
      <c r="S272" s="35">
        <f>IF(AND(D272/Frequency!$N$7&gt;5, D272/Frequency!$N$7&lt;=10),1,0)*E272</f>
        <v>0</v>
      </c>
      <c r="T272" s="35">
        <f t="shared" si="225"/>
        <v>0</v>
      </c>
      <c r="U272" s="35">
        <f>IF(AND(D272/Frequency!$N$7&gt;10, D272/Frequency!$N$7&lt;=20),1,0)*E272</f>
        <v>0</v>
      </c>
      <c r="V272" s="35">
        <f t="shared" si="226"/>
        <v>0</v>
      </c>
      <c r="W272" s="35">
        <f>IF(AND(D272/Frequency!$N$7&gt;20, D272/Frequency!$N$7&lt;=30),1,0)*E272</f>
        <v>12</v>
      </c>
      <c r="X272" s="35">
        <f t="shared" si="227"/>
        <v>264</v>
      </c>
      <c r="Y272" s="35">
        <f>IF(AND(D272/Frequency!$N$7&gt;30, D272/Frequency!$N$7&lt;=50),1,0)*E272</f>
        <v>0</v>
      </c>
      <c r="Z272" s="35">
        <f t="shared" si="228"/>
        <v>0</v>
      </c>
      <c r="AA272" s="35">
        <f>IF(AND(D272/Frequency!$N$7&gt;50, D272/Frequency!$N$7&lt;=100),1,0)*E272</f>
        <v>0</v>
      </c>
      <c r="AB272" s="35">
        <f t="shared" si="229"/>
        <v>0</v>
      </c>
      <c r="AC272" s="35">
        <f>IF(D272/Frequency!$N$7&gt;100,1,0)*E272</f>
        <v>0</v>
      </c>
      <c r="AD272" s="35">
        <f t="shared" si="230"/>
        <v>0</v>
      </c>
      <c r="AE272" s="22">
        <f t="shared" si="231"/>
        <v>0</v>
      </c>
      <c r="AF272" s="22">
        <f t="shared" si="232"/>
        <v>12</v>
      </c>
      <c r="AG272" s="22">
        <f t="shared" si="233"/>
        <v>264</v>
      </c>
      <c r="AH272" s="22">
        <f t="shared" si="234"/>
        <v>0</v>
      </c>
      <c r="AI272" s="35">
        <f t="shared" si="235"/>
        <v>1</v>
      </c>
      <c r="AJ272" s="35">
        <f t="shared" si="236"/>
        <v>12</v>
      </c>
      <c r="AK272" s="35">
        <f t="shared" si="237"/>
        <v>264</v>
      </c>
      <c r="AL272">
        <f t="shared" si="238"/>
        <v>0</v>
      </c>
      <c r="AM272">
        <f t="shared" si="239"/>
        <v>0</v>
      </c>
      <c r="AN272">
        <f t="shared" si="240"/>
        <v>0</v>
      </c>
      <c r="AO272">
        <f t="shared" si="241"/>
        <v>0</v>
      </c>
      <c r="AP272">
        <f t="shared" si="242"/>
        <v>0</v>
      </c>
      <c r="AQ272">
        <f t="shared" si="243"/>
        <v>0</v>
      </c>
      <c r="AR272">
        <f t="shared" si="244"/>
        <v>0</v>
      </c>
      <c r="AS272">
        <f t="shared" si="245"/>
        <v>0</v>
      </c>
      <c r="AT272">
        <f t="shared" si="246"/>
        <v>0</v>
      </c>
      <c r="AU272">
        <f t="shared" si="247"/>
        <v>0</v>
      </c>
      <c r="AV272">
        <v>0</v>
      </c>
      <c r="AW272">
        <v>0</v>
      </c>
      <c r="AX272">
        <f t="shared" si="248"/>
        <v>1</v>
      </c>
      <c r="AY272">
        <f t="shared" si="249"/>
        <v>12</v>
      </c>
      <c r="AZ272">
        <f t="shared" si="250"/>
        <v>264</v>
      </c>
      <c r="BA272">
        <f t="shared" si="251"/>
        <v>0</v>
      </c>
      <c r="BB272">
        <f t="shared" si="252"/>
        <v>0</v>
      </c>
      <c r="BC272">
        <f t="shared" si="253"/>
        <v>0</v>
      </c>
      <c r="BD272">
        <f t="shared" si="254"/>
        <v>0</v>
      </c>
      <c r="BE272">
        <f t="shared" si="255"/>
        <v>0</v>
      </c>
      <c r="BF272">
        <f t="shared" si="256"/>
        <v>0</v>
      </c>
      <c r="BG272">
        <f t="shared" si="257"/>
        <v>0</v>
      </c>
      <c r="BH272">
        <f t="shared" si="258"/>
        <v>0</v>
      </c>
      <c r="BI272">
        <f t="shared" si="259"/>
        <v>0</v>
      </c>
      <c r="BJ272">
        <v>0</v>
      </c>
      <c r="BK272" t="str">
        <f t="shared" si="271"/>
        <v>Big Win</v>
      </c>
      <c r="BL272" s="40" t="str">
        <f t="shared" si="272"/>
        <v>Bonus Game A</v>
      </c>
      <c r="BM272">
        <f>(D272/Frequency!$N$7-Summary!$C$7)^2*E272</f>
        <v>5372.9472000000005</v>
      </c>
      <c r="BN272">
        <f t="shared" si="260"/>
        <v>0</v>
      </c>
      <c r="BO272">
        <f t="shared" si="261"/>
        <v>0</v>
      </c>
      <c r="BP272">
        <f t="shared" si="262"/>
        <v>0</v>
      </c>
      <c r="BQ272">
        <f t="shared" si="263"/>
        <v>0</v>
      </c>
      <c r="BR272">
        <f t="shared" si="264"/>
        <v>0</v>
      </c>
      <c r="BS272">
        <f t="shared" si="265"/>
        <v>0</v>
      </c>
      <c r="BT272">
        <f t="shared" si="266"/>
        <v>0</v>
      </c>
      <c r="BU272">
        <f t="shared" si="267"/>
        <v>0</v>
      </c>
      <c r="BV272">
        <f t="shared" si="268"/>
        <v>0</v>
      </c>
      <c r="BW272">
        <f t="shared" si="269"/>
        <v>12</v>
      </c>
      <c r="BX272">
        <f t="shared" si="270"/>
        <v>264</v>
      </c>
    </row>
    <row r="273" spans="2:76">
      <c r="B273" s="19">
        <f>Tiers!B274</f>
        <v>271</v>
      </c>
      <c r="C273" s="20" t="str">
        <f>Tiers!X274</f>
        <v>main-28|bonusA-5||||||||</v>
      </c>
      <c r="D273" s="21">
        <f>Tiers!C274</f>
        <v>115</v>
      </c>
      <c r="E273" s="22">
        <f>Frequency!E275</f>
        <v>5</v>
      </c>
      <c r="F273" s="22">
        <f t="shared" si="220"/>
        <v>575</v>
      </c>
      <c r="G273" s="20">
        <f>IF(AND(D273/Summary!$C$4&gt;0, D273/Summary!$C$4&lt;5),E273,0) * D273</f>
        <v>0</v>
      </c>
      <c r="H273" s="20">
        <f>IF(AND(D273/Summary!$C$4&gt;= 5, D273/Summary!$C$4&lt;10),E273,0) * D273</f>
        <v>0</v>
      </c>
      <c r="I273" s="20">
        <f>IF(AND(D273/Summary!$C$4&gt;=10, D273/Summary!$C$4&lt;25),E273,0)*D273</f>
        <v>0</v>
      </c>
      <c r="J273" s="20">
        <f>IF(D273/Summary!$C$4&gt;=25,E273,0)*D273</f>
        <v>575</v>
      </c>
      <c r="K273" s="35">
        <f>IF(AND(D273/Frequency!$N$7&gt;0, D273/Frequency!$N$7&lt;1),E273,0)</f>
        <v>0</v>
      </c>
      <c r="L273" s="35">
        <f t="shared" si="221"/>
        <v>0</v>
      </c>
      <c r="M273" s="35">
        <f>IF(D273/Frequency!$N$7=1,1,0)*E273</f>
        <v>0</v>
      </c>
      <c r="N273" s="35">
        <f t="shared" si="222"/>
        <v>0</v>
      </c>
      <c r="O273" s="35">
        <f>IF(AND(D273/Frequency!$N$7&gt;1, D273/Frequency!$N$7&lt;=2),1,0)*E273</f>
        <v>0</v>
      </c>
      <c r="P273" s="35">
        <f t="shared" si="223"/>
        <v>0</v>
      </c>
      <c r="Q273" s="35">
        <f>IF(AND(D273/Frequency!$N$7&gt;2,D273/Frequency!$N$7&lt;=5),1,0)*E273</f>
        <v>0</v>
      </c>
      <c r="R273" s="35">
        <f t="shared" si="224"/>
        <v>0</v>
      </c>
      <c r="S273" s="35">
        <f>IF(AND(D273/Frequency!$N$7&gt;5, D273/Frequency!$N$7&lt;=10),1,0)*E273</f>
        <v>0</v>
      </c>
      <c r="T273" s="35">
        <f t="shared" si="225"/>
        <v>0</v>
      </c>
      <c r="U273" s="35">
        <f>IF(AND(D273/Frequency!$N$7&gt;10, D273/Frequency!$N$7&lt;=20),1,0)*E273</f>
        <v>0</v>
      </c>
      <c r="V273" s="35">
        <f t="shared" si="226"/>
        <v>0</v>
      </c>
      <c r="W273" s="35">
        <f>IF(AND(D273/Frequency!$N$7&gt;20, D273/Frequency!$N$7&lt;=30),1,0)*E273</f>
        <v>0</v>
      </c>
      <c r="X273" s="35">
        <f t="shared" si="227"/>
        <v>0</v>
      </c>
      <c r="Y273" s="35">
        <f>IF(AND(D273/Frequency!$N$7&gt;30, D273/Frequency!$N$7&lt;=50),1,0)*E273</f>
        <v>0</v>
      </c>
      <c r="Z273" s="35">
        <f t="shared" si="228"/>
        <v>0</v>
      </c>
      <c r="AA273" s="35">
        <f>IF(AND(D273/Frequency!$N$7&gt;50, D273/Frequency!$N$7&lt;=100),1,0)*E273</f>
        <v>0</v>
      </c>
      <c r="AB273" s="35">
        <f t="shared" si="229"/>
        <v>0</v>
      </c>
      <c r="AC273" s="35">
        <f>IF(D273/Frequency!$N$7&gt;100,1,0)*E273</f>
        <v>5</v>
      </c>
      <c r="AD273" s="35">
        <f t="shared" si="230"/>
        <v>575</v>
      </c>
      <c r="AE273" s="22">
        <f t="shared" si="231"/>
        <v>0</v>
      </c>
      <c r="AF273" s="22">
        <f t="shared" si="232"/>
        <v>5</v>
      </c>
      <c r="AG273" s="22">
        <f t="shared" si="233"/>
        <v>575</v>
      </c>
      <c r="AH273" s="22">
        <f t="shared" si="234"/>
        <v>0</v>
      </c>
      <c r="AI273" s="35">
        <f t="shared" si="235"/>
        <v>1</v>
      </c>
      <c r="AJ273" s="35">
        <f t="shared" si="236"/>
        <v>5</v>
      </c>
      <c r="AK273" s="35">
        <f t="shared" si="237"/>
        <v>575</v>
      </c>
      <c r="AL273">
        <f t="shared" si="238"/>
        <v>0</v>
      </c>
      <c r="AM273">
        <f t="shared" si="239"/>
        <v>0</v>
      </c>
      <c r="AN273">
        <f t="shared" si="240"/>
        <v>0</v>
      </c>
      <c r="AO273">
        <f t="shared" si="241"/>
        <v>0</v>
      </c>
      <c r="AP273">
        <f t="shared" si="242"/>
        <v>0</v>
      </c>
      <c r="AQ273">
        <f t="shared" si="243"/>
        <v>0</v>
      </c>
      <c r="AR273">
        <f t="shared" si="244"/>
        <v>0</v>
      </c>
      <c r="AS273">
        <f t="shared" si="245"/>
        <v>0</v>
      </c>
      <c r="AT273">
        <f t="shared" si="246"/>
        <v>0</v>
      </c>
      <c r="AU273">
        <f t="shared" si="247"/>
        <v>0</v>
      </c>
      <c r="AV273">
        <v>0</v>
      </c>
      <c r="AW273">
        <v>0</v>
      </c>
      <c r="AX273">
        <f t="shared" si="248"/>
        <v>1</v>
      </c>
      <c r="AY273">
        <f t="shared" si="249"/>
        <v>5</v>
      </c>
      <c r="AZ273">
        <f t="shared" si="250"/>
        <v>575</v>
      </c>
      <c r="BA273">
        <f t="shared" si="251"/>
        <v>0</v>
      </c>
      <c r="BB273">
        <f t="shared" si="252"/>
        <v>0</v>
      </c>
      <c r="BC273">
        <f t="shared" si="253"/>
        <v>0</v>
      </c>
      <c r="BD273">
        <f t="shared" si="254"/>
        <v>0</v>
      </c>
      <c r="BE273">
        <f t="shared" si="255"/>
        <v>0</v>
      </c>
      <c r="BF273">
        <f t="shared" si="256"/>
        <v>0</v>
      </c>
      <c r="BG273">
        <f t="shared" si="257"/>
        <v>0</v>
      </c>
      <c r="BH273">
        <f t="shared" si="258"/>
        <v>0</v>
      </c>
      <c r="BI273">
        <f t="shared" si="259"/>
        <v>0</v>
      </c>
      <c r="BJ273">
        <v>0</v>
      </c>
      <c r="BK273" t="str">
        <f t="shared" si="271"/>
        <v>Huge Win</v>
      </c>
      <c r="BL273" s="40" t="str">
        <f t="shared" si="272"/>
        <v>Bonus Game A</v>
      </c>
      <c r="BM273">
        <f>(D273/Frequency!$N$7-Summary!$C$7)^2*E273</f>
        <v>65162.527999999991</v>
      </c>
      <c r="BN273">
        <f t="shared" si="260"/>
        <v>0</v>
      </c>
      <c r="BO273">
        <f t="shared" si="261"/>
        <v>0</v>
      </c>
      <c r="BP273">
        <f t="shared" si="262"/>
        <v>0</v>
      </c>
      <c r="BQ273">
        <f t="shared" si="263"/>
        <v>0</v>
      </c>
      <c r="BR273">
        <f t="shared" si="264"/>
        <v>0</v>
      </c>
      <c r="BS273">
        <f t="shared" si="265"/>
        <v>0</v>
      </c>
      <c r="BT273">
        <f t="shared" si="266"/>
        <v>0</v>
      </c>
      <c r="BU273">
        <f t="shared" si="267"/>
        <v>0</v>
      </c>
      <c r="BV273">
        <f t="shared" si="268"/>
        <v>0</v>
      </c>
      <c r="BW273">
        <f t="shared" si="269"/>
        <v>5</v>
      </c>
      <c r="BX273">
        <f t="shared" si="270"/>
        <v>575</v>
      </c>
    </row>
    <row r="274" spans="2:76">
      <c r="B274" s="19">
        <f>Tiers!B275</f>
        <v>272</v>
      </c>
      <c r="C274" s="20" t="str">
        <f>Tiers!X275</f>
        <v>main-25|bonusA-6||||||||</v>
      </c>
      <c r="D274" s="21">
        <f>Tiers!C275</f>
        <v>25</v>
      </c>
      <c r="E274" s="22">
        <f>Frequency!E276</f>
        <v>5</v>
      </c>
      <c r="F274" s="22">
        <f t="shared" si="220"/>
        <v>125</v>
      </c>
      <c r="G274" s="20">
        <f>IF(AND(D274/Summary!$C$4&gt;0, D274/Summary!$C$4&lt;5),E274,0) * D274</f>
        <v>0</v>
      </c>
      <c r="H274" s="20">
        <f>IF(AND(D274/Summary!$C$4&gt;= 5, D274/Summary!$C$4&lt;10),E274,0) * D274</f>
        <v>0</v>
      </c>
      <c r="I274" s="20">
        <f>IF(AND(D274/Summary!$C$4&gt;=10, D274/Summary!$C$4&lt;25),E274,0)*D274</f>
        <v>0</v>
      </c>
      <c r="J274" s="20">
        <f>IF(D274/Summary!$C$4&gt;=25,E274,0)*D274</f>
        <v>125</v>
      </c>
      <c r="K274" s="35">
        <f>IF(AND(D274/Frequency!$N$7&gt;0, D274/Frequency!$N$7&lt;1),E274,0)</f>
        <v>0</v>
      </c>
      <c r="L274" s="35">
        <f t="shared" si="221"/>
        <v>0</v>
      </c>
      <c r="M274" s="35">
        <f>IF(D274/Frequency!$N$7=1,1,0)*E274</f>
        <v>0</v>
      </c>
      <c r="N274" s="35">
        <f t="shared" si="222"/>
        <v>0</v>
      </c>
      <c r="O274" s="35">
        <f>IF(AND(D274/Frequency!$N$7&gt;1, D274/Frequency!$N$7&lt;=2),1,0)*E274</f>
        <v>0</v>
      </c>
      <c r="P274" s="35">
        <f t="shared" si="223"/>
        <v>0</v>
      </c>
      <c r="Q274" s="35">
        <f>IF(AND(D274/Frequency!$N$7&gt;2,D274/Frequency!$N$7&lt;=5),1,0)*E274</f>
        <v>0</v>
      </c>
      <c r="R274" s="35">
        <f t="shared" si="224"/>
        <v>0</v>
      </c>
      <c r="S274" s="35">
        <f>IF(AND(D274/Frequency!$N$7&gt;5, D274/Frequency!$N$7&lt;=10),1,0)*E274</f>
        <v>0</v>
      </c>
      <c r="T274" s="35">
        <f t="shared" si="225"/>
        <v>0</v>
      </c>
      <c r="U274" s="35">
        <f>IF(AND(D274/Frequency!$N$7&gt;10, D274/Frequency!$N$7&lt;=20),1,0)*E274</f>
        <v>0</v>
      </c>
      <c r="V274" s="35">
        <f t="shared" si="226"/>
        <v>0</v>
      </c>
      <c r="W274" s="35">
        <f>IF(AND(D274/Frequency!$N$7&gt;20, D274/Frequency!$N$7&lt;=30),1,0)*E274</f>
        <v>5</v>
      </c>
      <c r="X274" s="35">
        <f t="shared" si="227"/>
        <v>125</v>
      </c>
      <c r="Y274" s="35">
        <f>IF(AND(D274/Frequency!$N$7&gt;30, D274/Frequency!$N$7&lt;=50),1,0)*E274</f>
        <v>0</v>
      </c>
      <c r="Z274" s="35">
        <f t="shared" si="228"/>
        <v>0</v>
      </c>
      <c r="AA274" s="35">
        <f>IF(AND(D274/Frequency!$N$7&gt;50, D274/Frequency!$N$7&lt;=100),1,0)*E274</f>
        <v>0</v>
      </c>
      <c r="AB274" s="35">
        <f t="shared" si="229"/>
        <v>0</v>
      </c>
      <c r="AC274" s="35">
        <f>IF(D274/Frequency!$N$7&gt;100,1,0)*E274</f>
        <v>0</v>
      </c>
      <c r="AD274" s="35">
        <f t="shared" si="230"/>
        <v>0</v>
      </c>
      <c r="AE274" s="22">
        <f t="shared" si="231"/>
        <v>0</v>
      </c>
      <c r="AF274" s="22">
        <f t="shared" si="232"/>
        <v>5</v>
      </c>
      <c r="AG274" s="22">
        <f t="shared" si="233"/>
        <v>125</v>
      </c>
      <c r="AH274" s="22">
        <f t="shared" si="234"/>
        <v>0</v>
      </c>
      <c r="AI274" s="35">
        <f t="shared" si="235"/>
        <v>1</v>
      </c>
      <c r="AJ274" s="35">
        <f t="shared" si="236"/>
        <v>5</v>
      </c>
      <c r="AK274" s="35">
        <f t="shared" si="237"/>
        <v>125</v>
      </c>
      <c r="AL274">
        <f t="shared" si="238"/>
        <v>0</v>
      </c>
      <c r="AM274">
        <f t="shared" si="239"/>
        <v>0</v>
      </c>
      <c r="AN274">
        <f t="shared" si="240"/>
        <v>0</v>
      </c>
      <c r="AO274">
        <f t="shared" si="241"/>
        <v>0</v>
      </c>
      <c r="AP274">
        <f t="shared" si="242"/>
        <v>0</v>
      </c>
      <c r="AQ274">
        <f t="shared" si="243"/>
        <v>0</v>
      </c>
      <c r="AR274">
        <f t="shared" si="244"/>
        <v>0</v>
      </c>
      <c r="AS274">
        <f t="shared" si="245"/>
        <v>0</v>
      </c>
      <c r="AT274">
        <f t="shared" si="246"/>
        <v>0</v>
      </c>
      <c r="AU274">
        <f t="shared" si="247"/>
        <v>0</v>
      </c>
      <c r="AV274">
        <v>0</v>
      </c>
      <c r="AW274">
        <v>0</v>
      </c>
      <c r="AX274">
        <f t="shared" si="248"/>
        <v>1</v>
      </c>
      <c r="AY274">
        <f t="shared" si="249"/>
        <v>5</v>
      </c>
      <c r="AZ274">
        <f t="shared" si="250"/>
        <v>125</v>
      </c>
      <c r="BA274">
        <f t="shared" si="251"/>
        <v>0</v>
      </c>
      <c r="BB274">
        <f t="shared" si="252"/>
        <v>0</v>
      </c>
      <c r="BC274">
        <f t="shared" si="253"/>
        <v>0</v>
      </c>
      <c r="BD274">
        <f t="shared" si="254"/>
        <v>0</v>
      </c>
      <c r="BE274">
        <f t="shared" si="255"/>
        <v>0</v>
      </c>
      <c r="BF274">
        <f t="shared" si="256"/>
        <v>0</v>
      </c>
      <c r="BG274">
        <f t="shared" si="257"/>
        <v>0</v>
      </c>
      <c r="BH274">
        <f t="shared" si="258"/>
        <v>0</v>
      </c>
      <c r="BI274">
        <f t="shared" si="259"/>
        <v>0</v>
      </c>
      <c r="BJ274">
        <v>0</v>
      </c>
      <c r="BK274" t="str">
        <f t="shared" si="271"/>
        <v>Big Win</v>
      </c>
      <c r="BL274" s="40" t="str">
        <f t="shared" si="272"/>
        <v>Bonus Game A</v>
      </c>
      <c r="BM274">
        <f>(D274/Frequency!$N$7-Summary!$C$7)^2*E274</f>
        <v>2918.5280000000002</v>
      </c>
      <c r="BN274">
        <f t="shared" si="260"/>
        <v>0</v>
      </c>
      <c r="BO274">
        <f t="shared" si="261"/>
        <v>0</v>
      </c>
      <c r="BP274">
        <f t="shared" si="262"/>
        <v>0</v>
      </c>
      <c r="BQ274">
        <f t="shared" si="263"/>
        <v>0</v>
      </c>
      <c r="BR274">
        <f t="shared" si="264"/>
        <v>0</v>
      </c>
      <c r="BS274">
        <f t="shared" si="265"/>
        <v>0</v>
      </c>
      <c r="BT274">
        <f t="shared" si="266"/>
        <v>0</v>
      </c>
      <c r="BU274">
        <f t="shared" si="267"/>
        <v>0</v>
      </c>
      <c r="BV274">
        <f t="shared" si="268"/>
        <v>0</v>
      </c>
      <c r="BW274">
        <f t="shared" si="269"/>
        <v>5</v>
      </c>
      <c r="BX274">
        <f t="shared" si="270"/>
        <v>125</v>
      </c>
    </row>
    <row r="275" spans="2:76">
      <c r="B275" s="19">
        <f>Tiers!B276</f>
        <v>273</v>
      </c>
      <c r="C275" s="20" t="str">
        <f>Tiers!X276</f>
        <v>main-13|bonusA-3||||||||</v>
      </c>
      <c r="D275" s="21">
        <f>Tiers!C276</f>
        <v>15</v>
      </c>
      <c r="E275" s="22">
        <f>Frequency!E277</f>
        <v>13</v>
      </c>
      <c r="F275" s="22">
        <f t="shared" si="220"/>
        <v>195</v>
      </c>
      <c r="G275" s="20">
        <f>IF(AND(D275/Summary!$C$4&gt;0, D275/Summary!$C$4&lt;5),E275,0) * D275</f>
        <v>0</v>
      </c>
      <c r="H275" s="20">
        <f>IF(AND(D275/Summary!$C$4&gt;= 5, D275/Summary!$C$4&lt;10),E275,0) * D275</f>
        <v>0</v>
      </c>
      <c r="I275" s="20">
        <f>IF(AND(D275/Summary!$C$4&gt;=10, D275/Summary!$C$4&lt;25),E275,0)*D275</f>
        <v>195</v>
      </c>
      <c r="J275" s="20">
        <f>IF(D275/Summary!$C$4&gt;=25,E275,0)*D275</f>
        <v>0</v>
      </c>
      <c r="K275" s="35">
        <f>IF(AND(D275/Frequency!$N$7&gt;0, D275/Frequency!$N$7&lt;1),E275,0)</f>
        <v>0</v>
      </c>
      <c r="L275" s="35">
        <f t="shared" si="221"/>
        <v>0</v>
      </c>
      <c r="M275" s="35">
        <f>IF(D275/Frequency!$N$7=1,1,0)*E275</f>
        <v>0</v>
      </c>
      <c r="N275" s="35">
        <f t="shared" si="222"/>
        <v>0</v>
      </c>
      <c r="O275" s="35">
        <f>IF(AND(D275/Frequency!$N$7&gt;1, D275/Frequency!$N$7&lt;=2),1,0)*E275</f>
        <v>0</v>
      </c>
      <c r="P275" s="35">
        <f t="shared" si="223"/>
        <v>0</v>
      </c>
      <c r="Q275" s="35">
        <f>IF(AND(D275/Frequency!$N$7&gt;2,D275/Frequency!$N$7&lt;=5),1,0)*E275</f>
        <v>0</v>
      </c>
      <c r="R275" s="35">
        <f t="shared" si="224"/>
        <v>0</v>
      </c>
      <c r="S275" s="35">
        <f>IF(AND(D275/Frequency!$N$7&gt;5, D275/Frequency!$N$7&lt;=10),1,0)*E275</f>
        <v>0</v>
      </c>
      <c r="T275" s="35">
        <f t="shared" si="225"/>
        <v>0</v>
      </c>
      <c r="U275" s="35">
        <f>IF(AND(D275/Frequency!$N$7&gt;10, D275/Frequency!$N$7&lt;=20),1,0)*E275</f>
        <v>13</v>
      </c>
      <c r="V275" s="35">
        <f t="shared" si="226"/>
        <v>195</v>
      </c>
      <c r="W275" s="35">
        <f>IF(AND(D275/Frequency!$N$7&gt;20, D275/Frequency!$N$7&lt;=30),1,0)*E275</f>
        <v>0</v>
      </c>
      <c r="X275" s="35">
        <f t="shared" si="227"/>
        <v>0</v>
      </c>
      <c r="Y275" s="35">
        <f>IF(AND(D275/Frequency!$N$7&gt;30, D275/Frequency!$N$7&lt;=50),1,0)*E275</f>
        <v>0</v>
      </c>
      <c r="Z275" s="35">
        <f t="shared" si="228"/>
        <v>0</v>
      </c>
      <c r="AA275" s="35">
        <f>IF(AND(D275/Frequency!$N$7&gt;50, D275/Frequency!$N$7&lt;=100),1,0)*E275</f>
        <v>0</v>
      </c>
      <c r="AB275" s="35">
        <f t="shared" si="229"/>
        <v>0</v>
      </c>
      <c r="AC275" s="35">
        <f>IF(D275/Frequency!$N$7&gt;100,1,0)*E275</f>
        <v>0</v>
      </c>
      <c r="AD275" s="35">
        <f t="shared" si="230"/>
        <v>0</v>
      </c>
      <c r="AE275" s="22">
        <f t="shared" si="231"/>
        <v>0</v>
      </c>
      <c r="AF275" s="22">
        <f t="shared" si="232"/>
        <v>13</v>
      </c>
      <c r="AG275" s="22">
        <f t="shared" si="233"/>
        <v>195</v>
      </c>
      <c r="AH275" s="22">
        <f t="shared" si="234"/>
        <v>0</v>
      </c>
      <c r="AI275" s="35">
        <f t="shared" si="235"/>
        <v>1</v>
      </c>
      <c r="AJ275" s="35">
        <f t="shared" si="236"/>
        <v>13</v>
      </c>
      <c r="AK275" s="35">
        <f t="shared" si="237"/>
        <v>195</v>
      </c>
      <c r="AL275">
        <f t="shared" si="238"/>
        <v>0</v>
      </c>
      <c r="AM275">
        <f t="shared" si="239"/>
        <v>0</v>
      </c>
      <c r="AN275">
        <f t="shared" si="240"/>
        <v>0</v>
      </c>
      <c r="AO275">
        <f t="shared" si="241"/>
        <v>0</v>
      </c>
      <c r="AP275">
        <f t="shared" si="242"/>
        <v>0</v>
      </c>
      <c r="AQ275">
        <f t="shared" si="243"/>
        <v>0</v>
      </c>
      <c r="AR275">
        <f t="shared" si="244"/>
        <v>0</v>
      </c>
      <c r="AS275">
        <f t="shared" si="245"/>
        <v>0</v>
      </c>
      <c r="AT275">
        <f t="shared" si="246"/>
        <v>0</v>
      </c>
      <c r="AU275">
        <f t="shared" si="247"/>
        <v>0</v>
      </c>
      <c r="AV275">
        <v>0</v>
      </c>
      <c r="AW275">
        <v>0</v>
      </c>
      <c r="AX275">
        <f t="shared" si="248"/>
        <v>1</v>
      </c>
      <c r="AY275">
        <f t="shared" si="249"/>
        <v>13</v>
      </c>
      <c r="AZ275">
        <f t="shared" si="250"/>
        <v>195</v>
      </c>
      <c r="BA275">
        <f t="shared" si="251"/>
        <v>0</v>
      </c>
      <c r="BB275">
        <f t="shared" si="252"/>
        <v>0</v>
      </c>
      <c r="BC275">
        <f t="shared" si="253"/>
        <v>0</v>
      </c>
      <c r="BD275">
        <f t="shared" si="254"/>
        <v>0</v>
      </c>
      <c r="BE275">
        <f t="shared" si="255"/>
        <v>0</v>
      </c>
      <c r="BF275">
        <f t="shared" si="256"/>
        <v>0</v>
      </c>
      <c r="BG275">
        <f t="shared" si="257"/>
        <v>0</v>
      </c>
      <c r="BH275">
        <f t="shared" si="258"/>
        <v>0</v>
      </c>
      <c r="BI275">
        <f t="shared" si="259"/>
        <v>0</v>
      </c>
      <c r="BJ275">
        <v>0</v>
      </c>
      <c r="BK275" t="str">
        <f t="shared" si="271"/>
        <v>Big Win</v>
      </c>
      <c r="BL275" s="40" t="str">
        <f t="shared" si="272"/>
        <v>Bonus Game A</v>
      </c>
      <c r="BM275">
        <f>(D275/Frequency!$N$7-Summary!$C$7)^2*E275</f>
        <v>2606.5728000000004</v>
      </c>
      <c r="BN275">
        <f t="shared" si="260"/>
        <v>0</v>
      </c>
      <c r="BO275">
        <f t="shared" si="261"/>
        <v>0</v>
      </c>
      <c r="BP275">
        <f t="shared" si="262"/>
        <v>0</v>
      </c>
      <c r="BQ275">
        <f t="shared" si="263"/>
        <v>0</v>
      </c>
      <c r="BR275">
        <f t="shared" si="264"/>
        <v>0</v>
      </c>
      <c r="BS275">
        <f t="shared" si="265"/>
        <v>0</v>
      </c>
      <c r="BT275">
        <f t="shared" si="266"/>
        <v>0</v>
      </c>
      <c r="BU275">
        <f t="shared" si="267"/>
        <v>0</v>
      </c>
      <c r="BV275">
        <f t="shared" si="268"/>
        <v>0</v>
      </c>
      <c r="BW275">
        <f t="shared" si="269"/>
        <v>13</v>
      </c>
      <c r="BX275">
        <f t="shared" si="270"/>
        <v>195</v>
      </c>
    </row>
    <row r="276" spans="2:76">
      <c r="B276" s="19">
        <f>Tiers!B277</f>
        <v>274</v>
      </c>
      <c r="C276" s="20" t="str">
        <f>Tiers!X277</f>
        <v>main-0|wild-12|bonusA-5|||||||</v>
      </c>
      <c r="D276" s="21">
        <f>Tiers!C277</f>
        <v>18.100000000000001</v>
      </c>
      <c r="E276" s="22">
        <f>Frequency!E278</f>
        <v>7</v>
      </c>
      <c r="F276" s="22">
        <f t="shared" si="220"/>
        <v>126.70000000000002</v>
      </c>
      <c r="G276" s="20">
        <f>IF(AND(D276/Summary!$C$4&gt;0, D276/Summary!$C$4&lt;5),E276,0) * D276</f>
        <v>0</v>
      </c>
      <c r="H276" s="20">
        <f>IF(AND(D276/Summary!$C$4&gt;= 5, D276/Summary!$C$4&lt;10),E276,0) * D276</f>
        <v>0</v>
      </c>
      <c r="I276" s="20">
        <f>IF(AND(D276/Summary!$C$4&gt;=10, D276/Summary!$C$4&lt;25),E276,0)*D276</f>
        <v>126.70000000000002</v>
      </c>
      <c r="J276" s="20">
        <f>IF(D276/Summary!$C$4&gt;=25,E276,0)*D276</f>
        <v>0</v>
      </c>
      <c r="K276" s="35">
        <f>IF(AND(D276/Frequency!$N$7&gt;0, D276/Frequency!$N$7&lt;1),E276,0)</f>
        <v>0</v>
      </c>
      <c r="L276" s="35">
        <f t="shared" si="221"/>
        <v>0</v>
      </c>
      <c r="M276" s="35">
        <f>IF(D276/Frequency!$N$7=1,1,0)*E276</f>
        <v>0</v>
      </c>
      <c r="N276" s="35">
        <f t="shared" si="222"/>
        <v>0</v>
      </c>
      <c r="O276" s="35">
        <f>IF(AND(D276/Frequency!$N$7&gt;1, D276/Frequency!$N$7&lt;=2),1,0)*E276</f>
        <v>0</v>
      </c>
      <c r="P276" s="35">
        <f t="shared" si="223"/>
        <v>0</v>
      </c>
      <c r="Q276" s="35">
        <f>IF(AND(D276/Frequency!$N$7&gt;2,D276/Frequency!$N$7&lt;=5),1,0)*E276</f>
        <v>0</v>
      </c>
      <c r="R276" s="35">
        <f t="shared" si="224"/>
        <v>0</v>
      </c>
      <c r="S276" s="35">
        <f>IF(AND(D276/Frequency!$N$7&gt;5, D276/Frequency!$N$7&lt;=10),1,0)*E276</f>
        <v>0</v>
      </c>
      <c r="T276" s="35">
        <f t="shared" si="225"/>
        <v>0</v>
      </c>
      <c r="U276" s="35">
        <f>IF(AND(D276/Frequency!$N$7&gt;10, D276/Frequency!$N$7&lt;=20),1,0)*E276</f>
        <v>7</v>
      </c>
      <c r="V276" s="35">
        <f t="shared" si="226"/>
        <v>126.70000000000002</v>
      </c>
      <c r="W276" s="35">
        <f>IF(AND(D276/Frequency!$N$7&gt;20, D276/Frequency!$N$7&lt;=30),1,0)*E276</f>
        <v>0</v>
      </c>
      <c r="X276" s="35">
        <f t="shared" si="227"/>
        <v>0</v>
      </c>
      <c r="Y276" s="35">
        <f>IF(AND(D276/Frequency!$N$7&gt;30, D276/Frequency!$N$7&lt;=50),1,0)*E276</f>
        <v>0</v>
      </c>
      <c r="Z276" s="35">
        <f t="shared" si="228"/>
        <v>0</v>
      </c>
      <c r="AA276" s="35">
        <f>IF(AND(D276/Frequency!$N$7&gt;50, D276/Frequency!$N$7&lt;=100),1,0)*E276</f>
        <v>0</v>
      </c>
      <c r="AB276" s="35">
        <f t="shared" si="229"/>
        <v>0</v>
      </c>
      <c r="AC276" s="35">
        <f>IF(D276/Frequency!$N$7&gt;100,1,0)*E276</f>
        <v>0</v>
      </c>
      <c r="AD276" s="35">
        <f t="shared" si="230"/>
        <v>0</v>
      </c>
      <c r="AE276" s="22">
        <f t="shared" si="231"/>
        <v>0</v>
      </c>
      <c r="AF276" s="22">
        <f t="shared" si="232"/>
        <v>7</v>
      </c>
      <c r="AG276" s="22">
        <f t="shared" si="233"/>
        <v>126.70000000000002</v>
      </c>
      <c r="AH276" s="22">
        <f t="shared" si="234"/>
        <v>0</v>
      </c>
      <c r="AI276" s="35">
        <f t="shared" si="235"/>
        <v>1</v>
      </c>
      <c r="AJ276" s="35">
        <f t="shared" si="236"/>
        <v>7</v>
      </c>
      <c r="AK276" s="35">
        <f t="shared" si="237"/>
        <v>126.70000000000002</v>
      </c>
      <c r="AL276">
        <f t="shared" si="238"/>
        <v>1</v>
      </c>
      <c r="AM276">
        <f t="shared" si="239"/>
        <v>7</v>
      </c>
      <c r="AN276">
        <f t="shared" si="240"/>
        <v>126.70000000000002</v>
      </c>
      <c r="AO276">
        <f t="shared" si="241"/>
        <v>1</v>
      </c>
      <c r="AP276">
        <f t="shared" si="242"/>
        <v>7</v>
      </c>
      <c r="AQ276">
        <f t="shared" si="243"/>
        <v>126.70000000000002</v>
      </c>
      <c r="AR276">
        <f t="shared" si="244"/>
        <v>0</v>
      </c>
      <c r="AS276">
        <f t="shared" si="245"/>
        <v>0</v>
      </c>
      <c r="AT276">
        <f t="shared" si="246"/>
        <v>0</v>
      </c>
      <c r="AU276">
        <f t="shared" si="247"/>
        <v>0</v>
      </c>
      <c r="AV276">
        <v>0</v>
      </c>
      <c r="AW276">
        <v>0</v>
      </c>
      <c r="AX276">
        <f t="shared" si="248"/>
        <v>1</v>
      </c>
      <c r="AY276">
        <f t="shared" si="249"/>
        <v>7</v>
      </c>
      <c r="AZ276">
        <f t="shared" si="250"/>
        <v>126.70000000000002</v>
      </c>
      <c r="BA276">
        <f t="shared" si="251"/>
        <v>0</v>
      </c>
      <c r="BB276">
        <f t="shared" si="252"/>
        <v>0</v>
      </c>
      <c r="BC276">
        <f t="shared" si="253"/>
        <v>0</v>
      </c>
      <c r="BD276">
        <f t="shared" si="254"/>
        <v>0</v>
      </c>
      <c r="BE276">
        <f t="shared" si="255"/>
        <v>0</v>
      </c>
      <c r="BF276">
        <f t="shared" si="256"/>
        <v>0</v>
      </c>
      <c r="BG276">
        <f t="shared" si="257"/>
        <v>0</v>
      </c>
      <c r="BH276">
        <f t="shared" si="258"/>
        <v>0</v>
      </c>
      <c r="BI276">
        <f t="shared" si="259"/>
        <v>0</v>
      </c>
      <c r="BJ276">
        <v>0</v>
      </c>
      <c r="BK276" t="str">
        <f t="shared" si="271"/>
        <v>Big Win</v>
      </c>
      <c r="BL276" s="40" t="str">
        <f t="shared" si="272"/>
        <v>Bonus Game A</v>
      </c>
      <c r="BM276">
        <f>(D276/Frequency!$N$7-Summary!$C$7)^2*E276</f>
        <v>2085.3532000000005</v>
      </c>
      <c r="BN276">
        <f t="shared" si="260"/>
        <v>0</v>
      </c>
      <c r="BO276">
        <f t="shared" si="261"/>
        <v>0</v>
      </c>
      <c r="BP276">
        <f t="shared" si="262"/>
        <v>0</v>
      </c>
      <c r="BQ276">
        <f t="shared" si="263"/>
        <v>0</v>
      </c>
      <c r="BR276">
        <f t="shared" si="264"/>
        <v>0</v>
      </c>
      <c r="BS276">
        <f t="shared" si="265"/>
        <v>0</v>
      </c>
      <c r="BT276">
        <f t="shared" si="266"/>
        <v>0</v>
      </c>
      <c r="BU276">
        <f t="shared" si="267"/>
        <v>0</v>
      </c>
      <c r="BV276">
        <f t="shared" si="268"/>
        <v>0</v>
      </c>
      <c r="BW276">
        <f t="shared" si="269"/>
        <v>7</v>
      </c>
      <c r="BX276">
        <f t="shared" si="270"/>
        <v>126.70000000000002</v>
      </c>
    </row>
    <row r="277" spans="2:76">
      <c r="B277" s="19">
        <f>Tiers!B278</f>
        <v>275</v>
      </c>
      <c r="C277" s="20" t="str">
        <f>Tiers!X278</f>
        <v>main-4|wild-13|bonusA-6|||||||</v>
      </c>
      <c r="D277" s="21">
        <f>Tiers!C278</f>
        <v>27</v>
      </c>
      <c r="E277" s="22">
        <f>Frequency!E279</f>
        <v>20</v>
      </c>
      <c r="F277" s="22">
        <f t="shared" si="220"/>
        <v>540</v>
      </c>
      <c r="G277" s="20">
        <f>IF(AND(D277/Summary!$C$4&gt;0, D277/Summary!$C$4&lt;5),E277,0) * D277</f>
        <v>0</v>
      </c>
      <c r="H277" s="20">
        <f>IF(AND(D277/Summary!$C$4&gt;= 5, D277/Summary!$C$4&lt;10),E277,0) * D277</f>
        <v>0</v>
      </c>
      <c r="I277" s="20">
        <f>IF(AND(D277/Summary!$C$4&gt;=10, D277/Summary!$C$4&lt;25),E277,0)*D277</f>
        <v>0</v>
      </c>
      <c r="J277" s="20">
        <f>IF(D277/Summary!$C$4&gt;=25,E277,0)*D277</f>
        <v>540</v>
      </c>
      <c r="K277" s="35">
        <f>IF(AND(D277/Frequency!$N$7&gt;0, D277/Frequency!$N$7&lt;1),E277,0)</f>
        <v>0</v>
      </c>
      <c r="L277" s="35">
        <f t="shared" si="221"/>
        <v>0</v>
      </c>
      <c r="M277" s="35">
        <f>IF(D277/Frequency!$N$7=1,1,0)*E277</f>
        <v>0</v>
      </c>
      <c r="N277" s="35">
        <f t="shared" si="222"/>
        <v>0</v>
      </c>
      <c r="O277" s="35">
        <f>IF(AND(D277/Frequency!$N$7&gt;1, D277/Frequency!$N$7&lt;=2),1,0)*E277</f>
        <v>0</v>
      </c>
      <c r="P277" s="35">
        <f t="shared" si="223"/>
        <v>0</v>
      </c>
      <c r="Q277" s="35">
        <f>IF(AND(D277/Frequency!$N$7&gt;2,D277/Frequency!$N$7&lt;=5),1,0)*E277</f>
        <v>0</v>
      </c>
      <c r="R277" s="35">
        <f t="shared" si="224"/>
        <v>0</v>
      </c>
      <c r="S277" s="35">
        <f>IF(AND(D277/Frequency!$N$7&gt;5, D277/Frequency!$N$7&lt;=10),1,0)*E277</f>
        <v>0</v>
      </c>
      <c r="T277" s="35">
        <f t="shared" si="225"/>
        <v>0</v>
      </c>
      <c r="U277" s="35">
        <f>IF(AND(D277/Frequency!$N$7&gt;10, D277/Frequency!$N$7&lt;=20),1,0)*E277</f>
        <v>0</v>
      </c>
      <c r="V277" s="35">
        <f t="shared" si="226"/>
        <v>0</v>
      </c>
      <c r="W277" s="35">
        <f>IF(AND(D277/Frequency!$N$7&gt;20, D277/Frequency!$N$7&lt;=30),1,0)*E277</f>
        <v>20</v>
      </c>
      <c r="X277" s="35">
        <f t="shared" si="227"/>
        <v>540</v>
      </c>
      <c r="Y277" s="35">
        <f>IF(AND(D277/Frequency!$N$7&gt;30, D277/Frequency!$N$7&lt;=50),1,0)*E277</f>
        <v>0</v>
      </c>
      <c r="Z277" s="35">
        <f t="shared" si="228"/>
        <v>0</v>
      </c>
      <c r="AA277" s="35">
        <f>IF(AND(D277/Frequency!$N$7&gt;50, D277/Frequency!$N$7&lt;=100),1,0)*E277</f>
        <v>0</v>
      </c>
      <c r="AB277" s="35">
        <f t="shared" si="229"/>
        <v>0</v>
      </c>
      <c r="AC277" s="35">
        <f>IF(D277/Frequency!$N$7&gt;100,1,0)*E277</f>
        <v>0</v>
      </c>
      <c r="AD277" s="35">
        <f t="shared" si="230"/>
        <v>0</v>
      </c>
      <c r="AE277" s="22">
        <f t="shared" si="231"/>
        <v>0</v>
      </c>
      <c r="AF277" s="22">
        <f t="shared" si="232"/>
        <v>20</v>
      </c>
      <c r="AG277" s="22">
        <f t="shared" si="233"/>
        <v>540</v>
      </c>
      <c r="AH277" s="22">
        <f t="shared" si="234"/>
        <v>0</v>
      </c>
      <c r="AI277" s="35">
        <f t="shared" si="235"/>
        <v>1</v>
      </c>
      <c r="AJ277" s="35">
        <f t="shared" si="236"/>
        <v>20</v>
      </c>
      <c r="AK277" s="35">
        <f t="shared" si="237"/>
        <v>540</v>
      </c>
      <c r="AL277">
        <f t="shared" si="238"/>
        <v>1</v>
      </c>
      <c r="AM277">
        <f t="shared" si="239"/>
        <v>20</v>
      </c>
      <c r="AN277">
        <f t="shared" si="240"/>
        <v>540</v>
      </c>
      <c r="AO277">
        <f t="shared" si="241"/>
        <v>1</v>
      </c>
      <c r="AP277">
        <f t="shared" si="242"/>
        <v>20</v>
      </c>
      <c r="AQ277">
        <f t="shared" si="243"/>
        <v>540</v>
      </c>
      <c r="AR277">
        <f t="shared" si="244"/>
        <v>0</v>
      </c>
      <c r="AS277">
        <f t="shared" si="245"/>
        <v>0</v>
      </c>
      <c r="AT277">
        <f t="shared" si="246"/>
        <v>0</v>
      </c>
      <c r="AU277">
        <f t="shared" si="247"/>
        <v>0</v>
      </c>
      <c r="AV277">
        <v>0</v>
      </c>
      <c r="AW277">
        <v>0</v>
      </c>
      <c r="AX277">
        <f t="shared" si="248"/>
        <v>1</v>
      </c>
      <c r="AY277">
        <f t="shared" si="249"/>
        <v>20</v>
      </c>
      <c r="AZ277">
        <f t="shared" si="250"/>
        <v>540</v>
      </c>
      <c r="BA277">
        <f t="shared" si="251"/>
        <v>0</v>
      </c>
      <c r="BB277">
        <f t="shared" si="252"/>
        <v>0</v>
      </c>
      <c r="BC277">
        <f t="shared" si="253"/>
        <v>0</v>
      </c>
      <c r="BD277">
        <f t="shared" si="254"/>
        <v>0</v>
      </c>
      <c r="BE277">
        <f t="shared" si="255"/>
        <v>0</v>
      </c>
      <c r="BF277">
        <f t="shared" si="256"/>
        <v>0</v>
      </c>
      <c r="BG277">
        <f t="shared" si="257"/>
        <v>0</v>
      </c>
      <c r="BH277">
        <f t="shared" si="258"/>
        <v>0</v>
      </c>
      <c r="BI277">
        <f t="shared" si="259"/>
        <v>0</v>
      </c>
      <c r="BJ277">
        <v>0</v>
      </c>
      <c r="BK277" t="str">
        <f t="shared" si="271"/>
        <v>Big Win</v>
      </c>
      <c r="BL277" s="40" t="str">
        <f t="shared" si="272"/>
        <v>Bonus Game A</v>
      </c>
      <c r="BM277">
        <f>(D277/Frequency!$N$7-Summary!$C$7)^2*E277</f>
        <v>13686.912</v>
      </c>
      <c r="BN277">
        <f t="shared" si="260"/>
        <v>0</v>
      </c>
      <c r="BO277">
        <f t="shared" si="261"/>
        <v>0</v>
      </c>
      <c r="BP277">
        <f t="shared" si="262"/>
        <v>0</v>
      </c>
      <c r="BQ277">
        <f t="shared" si="263"/>
        <v>0</v>
      </c>
      <c r="BR277">
        <f t="shared" si="264"/>
        <v>0</v>
      </c>
      <c r="BS277">
        <f t="shared" si="265"/>
        <v>0</v>
      </c>
      <c r="BT277">
        <f t="shared" si="266"/>
        <v>0</v>
      </c>
      <c r="BU277">
        <f t="shared" si="267"/>
        <v>0</v>
      </c>
      <c r="BV277">
        <f t="shared" si="268"/>
        <v>0</v>
      </c>
      <c r="BW277">
        <f t="shared" si="269"/>
        <v>20</v>
      </c>
      <c r="BX277">
        <f t="shared" si="270"/>
        <v>540</v>
      </c>
    </row>
    <row r="278" spans="2:76">
      <c r="B278" s="19">
        <f>Tiers!B279</f>
        <v>276</v>
      </c>
      <c r="C278" s="20" t="str">
        <f>Tiers!X279</f>
        <v>main-3|main-20|bonusA-4|||||||</v>
      </c>
      <c r="D278" s="21">
        <f>Tiers!C279</f>
        <v>23</v>
      </c>
      <c r="E278" s="22">
        <f>Frequency!E280</f>
        <v>9</v>
      </c>
      <c r="F278" s="22">
        <f t="shared" si="220"/>
        <v>207</v>
      </c>
      <c r="G278" s="20">
        <f>IF(AND(D278/Summary!$C$4&gt;0, D278/Summary!$C$4&lt;5),E278,0) * D278</f>
        <v>0</v>
      </c>
      <c r="H278" s="20">
        <f>IF(AND(D278/Summary!$C$4&gt;= 5, D278/Summary!$C$4&lt;10),E278,0) * D278</f>
        <v>0</v>
      </c>
      <c r="I278" s="20">
        <f>IF(AND(D278/Summary!$C$4&gt;=10, D278/Summary!$C$4&lt;25),E278,0)*D278</f>
        <v>207</v>
      </c>
      <c r="J278" s="20">
        <f>IF(D278/Summary!$C$4&gt;=25,E278,0)*D278</f>
        <v>0</v>
      </c>
      <c r="K278" s="35">
        <f>IF(AND(D278/Frequency!$N$7&gt;0, D278/Frequency!$N$7&lt;1),E278,0)</f>
        <v>0</v>
      </c>
      <c r="L278" s="35">
        <f t="shared" si="221"/>
        <v>0</v>
      </c>
      <c r="M278" s="35">
        <f>IF(D278/Frequency!$N$7=1,1,0)*E278</f>
        <v>0</v>
      </c>
      <c r="N278" s="35">
        <f t="shared" si="222"/>
        <v>0</v>
      </c>
      <c r="O278" s="35">
        <f>IF(AND(D278/Frequency!$N$7&gt;1, D278/Frequency!$N$7&lt;=2),1,0)*E278</f>
        <v>0</v>
      </c>
      <c r="P278" s="35">
        <f t="shared" si="223"/>
        <v>0</v>
      </c>
      <c r="Q278" s="35">
        <f>IF(AND(D278/Frequency!$N$7&gt;2,D278/Frequency!$N$7&lt;=5),1,0)*E278</f>
        <v>0</v>
      </c>
      <c r="R278" s="35">
        <f t="shared" si="224"/>
        <v>0</v>
      </c>
      <c r="S278" s="35">
        <f>IF(AND(D278/Frequency!$N$7&gt;5, D278/Frequency!$N$7&lt;=10),1,0)*E278</f>
        <v>0</v>
      </c>
      <c r="T278" s="35">
        <f t="shared" si="225"/>
        <v>0</v>
      </c>
      <c r="U278" s="35">
        <f>IF(AND(D278/Frequency!$N$7&gt;10, D278/Frequency!$N$7&lt;=20),1,0)*E278</f>
        <v>0</v>
      </c>
      <c r="V278" s="35">
        <f t="shared" si="226"/>
        <v>0</v>
      </c>
      <c r="W278" s="35">
        <f>IF(AND(D278/Frequency!$N$7&gt;20, D278/Frequency!$N$7&lt;=30),1,0)*E278</f>
        <v>9</v>
      </c>
      <c r="X278" s="35">
        <f t="shared" si="227"/>
        <v>207</v>
      </c>
      <c r="Y278" s="35">
        <f>IF(AND(D278/Frequency!$N$7&gt;30, D278/Frequency!$N$7&lt;=50),1,0)*E278</f>
        <v>0</v>
      </c>
      <c r="Z278" s="35">
        <f t="shared" si="228"/>
        <v>0</v>
      </c>
      <c r="AA278" s="35">
        <f>IF(AND(D278/Frequency!$N$7&gt;50, D278/Frequency!$N$7&lt;=100),1,0)*E278</f>
        <v>0</v>
      </c>
      <c r="AB278" s="35">
        <f t="shared" si="229"/>
        <v>0</v>
      </c>
      <c r="AC278" s="35">
        <f>IF(D278/Frequency!$N$7&gt;100,1,0)*E278</f>
        <v>0</v>
      </c>
      <c r="AD278" s="35">
        <f t="shared" si="230"/>
        <v>0</v>
      </c>
      <c r="AE278" s="22">
        <f t="shared" si="231"/>
        <v>0</v>
      </c>
      <c r="AF278" s="22">
        <f t="shared" si="232"/>
        <v>9</v>
      </c>
      <c r="AG278" s="22">
        <f t="shared" si="233"/>
        <v>207</v>
      </c>
      <c r="AH278" s="22">
        <f t="shared" si="234"/>
        <v>0</v>
      </c>
      <c r="AI278" s="35">
        <f t="shared" si="235"/>
        <v>1</v>
      </c>
      <c r="AJ278" s="35">
        <f t="shared" si="236"/>
        <v>9</v>
      </c>
      <c r="AK278" s="35">
        <f t="shared" si="237"/>
        <v>207</v>
      </c>
      <c r="AL278">
        <f t="shared" si="238"/>
        <v>0</v>
      </c>
      <c r="AM278">
        <f t="shared" si="239"/>
        <v>0</v>
      </c>
      <c r="AN278">
        <f t="shared" si="240"/>
        <v>0</v>
      </c>
      <c r="AO278">
        <f t="shared" si="241"/>
        <v>0</v>
      </c>
      <c r="AP278">
        <f t="shared" si="242"/>
        <v>0</v>
      </c>
      <c r="AQ278">
        <f t="shared" si="243"/>
        <v>0</v>
      </c>
      <c r="AR278">
        <f t="shared" si="244"/>
        <v>0</v>
      </c>
      <c r="AS278">
        <f t="shared" si="245"/>
        <v>0</v>
      </c>
      <c r="AT278">
        <f t="shared" si="246"/>
        <v>0</v>
      </c>
      <c r="AU278">
        <f t="shared" si="247"/>
        <v>0</v>
      </c>
      <c r="AV278">
        <v>0</v>
      </c>
      <c r="AW278">
        <v>0</v>
      </c>
      <c r="AX278">
        <f t="shared" si="248"/>
        <v>1</v>
      </c>
      <c r="AY278">
        <f t="shared" si="249"/>
        <v>9</v>
      </c>
      <c r="AZ278">
        <f t="shared" si="250"/>
        <v>207</v>
      </c>
      <c r="BA278">
        <f t="shared" si="251"/>
        <v>0</v>
      </c>
      <c r="BB278">
        <f t="shared" si="252"/>
        <v>0</v>
      </c>
      <c r="BC278">
        <f t="shared" si="253"/>
        <v>0</v>
      </c>
      <c r="BD278">
        <f t="shared" si="254"/>
        <v>0</v>
      </c>
      <c r="BE278">
        <f t="shared" si="255"/>
        <v>0</v>
      </c>
      <c r="BF278">
        <f t="shared" si="256"/>
        <v>0</v>
      </c>
      <c r="BG278">
        <f t="shared" si="257"/>
        <v>0</v>
      </c>
      <c r="BH278">
        <f t="shared" si="258"/>
        <v>0</v>
      </c>
      <c r="BI278">
        <f t="shared" si="259"/>
        <v>0</v>
      </c>
      <c r="BJ278">
        <v>0</v>
      </c>
      <c r="BK278" t="str">
        <f t="shared" si="271"/>
        <v>Big Win</v>
      </c>
      <c r="BL278" s="40" t="str">
        <f t="shared" si="272"/>
        <v>Bonus Game A</v>
      </c>
      <c r="BM278">
        <f>(D278/Frequency!$N$7-Summary!$C$7)^2*E278</f>
        <v>4419.5904</v>
      </c>
      <c r="BN278">
        <f t="shared" si="260"/>
        <v>0</v>
      </c>
      <c r="BO278">
        <f t="shared" si="261"/>
        <v>0</v>
      </c>
      <c r="BP278">
        <f t="shared" si="262"/>
        <v>0</v>
      </c>
      <c r="BQ278">
        <f t="shared" si="263"/>
        <v>0</v>
      </c>
      <c r="BR278">
        <f t="shared" si="264"/>
        <v>0</v>
      </c>
      <c r="BS278">
        <f t="shared" si="265"/>
        <v>0</v>
      </c>
      <c r="BT278">
        <f t="shared" si="266"/>
        <v>0</v>
      </c>
      <c r="BU278">
        <f t="shared" si="267"/>
        <v>0</v>
      </c>
      <c r="BV278">
        <f t="shared" si="268"/>
        <v>0</v>
      </c>
      <c r="BW278">
        <f t="shared" si="269"/>
        <v>9</v>
      </c>
      <c r="BX278">
        <f t="shared" si="270"/>
        <v>207</v>
      </c>
    </row>
    <row r="279" spans="2:76">
      <c r="B279" s="19">
        <f>Tiers!B280</f>
        <v>277</v>
      </c>
      <c r="C279" s="20" t="str">
        <f>Tiers!X280</f>
        <v>main-4|main-5|bonusA-4|||||||</v>
      </c>
      <c r="D279" s="21">
        <f>Tiers!C280</f>
        <v>19</v>
      </c>
      <c r="E279" s="22">
        <f>Frequency!E281</f>
        <v>9</v>
      </c>
      <c r="F279" s="22">
        <f t="shared" si="220"/>
        <v>171</v>
      </c>
      <c r="G279" s="20">
        <f>IF(AND(D279/Summary!$C$4&gt;0, D279/Summary!$C$4&lt;5),E279,0) * D279</f>
        <v>0</v>
      </c>
      <c r="H279" s="20">
        <f>IF(AND(D279/Summary!$C$4&gt;= 5, D279/Summary!$C$4&lt;10),E279,0) * D279</f>
        <v>0</v>
      </c>
      <c r="I279" s="20">
        <f>IF(AND(D279/Summary!$C$4&gt;=10, D279/Summary!$C$4&lt;25),E279,0)*D279</f>
        <v>171</v>
      </c>
      <c r="J279" s="20">
        <f>IF(D279/Summary!$C$4&gt;=25,E279,0)*D279</f>
        <v>0</v>
      </c>
      <c r="K279" s="35">
        <f>IF(AND(D279/Frequency!$N$7&gt;0, D279/Frequency!$N$7&lt;1),E279,0)</f>
        <v>0</v>
      </c>
      <c r="L279" s="35">
        <f t="shared" si="221"/>
        <v>0</v>
      </c>
      <c r="M279" s="35">
        <f>IF(D279/Frequency!$N$7=1,1,0)*E279</f>
        <v>0</v>
      </c>
      <c r="N279" s="35">
        <f t="shared" si="222"/>
        <v>0</v>
      </c>
      <c r="O279" s="35">
        <f>IF(AND(D279/Frequency!$N$7&gt;1, D279/Frequency!$N$7&lt;=2),1,0)*E279</f>
        <v>0</v>
      </c>
      <c r="P279" s="35">
        <f t="shared" si="223"/>
        <v>0</v>
      </c>
      <c r="Q279" s="35">
        <f>IF(AND(D279/Frequency!$N$7&gt;2,D279/Frequency!$N$7&lt;=5),1,0)*E279</f>
        <v>0</v>
      </c>
      <c r="R279" s="35">
        <f t="shared" si="224"/>
        <v>0</v>
      </c>
      <c r="S279" s="35">
        <f>IF(AND(D279/Frequency!$N$7&gt;5, D279/Frequency!$N$7&lt;=10),1,0)*E279</f>
        <v>0</v>
      </c>
      <c r="T279" s="35">
        <f t="shared" si="225"/>
        <v>0</v>
      </c>
      <c r="U279" s="35">
        <f>IF(AND(D279/Frequency!$N$7&gt;10, D279/Frequency!$N$7&lt;=20),1,0)*E279</f>
        <v>9</v>
      </c>
      <c r="V279" s="35">
        <f t="shared" si="226"/>
        <v>171</v>
      </c>
      <c r="W279" s="35">
        <f>IF(AND(D279/Frequency!$N$7&gt;20, D279/Frequency!$N$7&lt;=30),1,0)*E279</f>
        <v>0</v>
      </c>
      <c r="X279" s="35">
        <f t="shared" si="227"/>
        <v>0</v>
      </c>
      <c r="Y279" s="35">
        <f>IF(AND(D279/Frequency!$N$7&gt;30, D279/Frequency!$N$7&lt;=50),1,0)*E279</f>
        <v>0</v>
      </c>
      <c r="Z279" s="35">
        <f t="shared" si="228"/>
        <v>0</v>
      </c>
      <c r="AA279" s="35">
        <f>IF(AND(D279/Frequency!$N$7&gt;50, D279/Frequency!$N$7&lt;=100),1,0)*E279</f>
        <v>0</v>
      </c>
      <c r="AB279" s="35">
        <f t="shared" si="229"/>
        <v>0</v>
      </c>
      <c r="AC279" s="35">
        <f>IF(D279/Frequency!$N$7&gt;100,1,0)*E279</f>
        <v>0</v>
      </c>
      <c r="AD279" s="35">
        <f t="shared" si="230"/>
        <v>0</v>
      </c>
      <c r="AE279" s="22">
        <f t="shared" si="231"/>
        <v>0</v>
      </c>
      <c r="AF279" s="22">
        <f t="shared" si="232"/>
        <v>9</v>
      </c>
      <c r="AG279" s="22">
        <f t="shared" si="233"/>
        <v>171</v>
      </c>
      <c r="AH279" s="22">
        <f t="shared" si="234"/>
        <v>0</v>
      </c>
      <c r="AI279" s="35">
        <f t="shared" si="235"/>
        <v>1</v>
      </c>
      <c r="AJ279" s="35">
        <f t="shared" si="236"/>
        <v>9</v>
      </c>
      <c r="AK279" s="35">
        <f t="shared" si="237"/>
        <v>171</v>
      </c>
      <c r="AL279">
        <f t="shared" si="238"/>
        <v>0</v>
      </c>
      <c r="AM279">
        <f t="shared" si="239"/>
        <v>0</v>
      </c>
      <c r="AN279">
        <f t="shared" si="240"/>
        <v>0</v>
      </c>
      <c r="AO279">
        <f t="shared" si="241"/>
        <v>0</v>
      </c>
      <c r="AP279">
        <f t="shared" si="242"/>
        <v>0</v>
      </c>
      <c r="AQ279">
        <f t="shared" si="243"/>
        <v>0</v>
      </c>
      <c r="AR279">
        <f t="shared" si="244"/>
        <v>0</v>
      </c>
      <c r="AS279">
        <f t="shared" si="245"/>
        <v>0</v>
      </c>
      <c r="AT279">
        <f t="shared" si="246"/>
        <v>0</v>
      </c>
      <c r="AU279">
        <f t="shared" si="247"/>
        <v>0</v>
      </c>
      <c r="AV279">
        <v>0</v>
      </c>
      <c r="AW279">
        <v>0</v>
      </c>
      <c r="AX279">
        <f t="shared" si="248"/>
        <v>1</v>
      </c>
      <c r="AY279">
        <f t="shared" si="249"/>
        <v>9</v>
      </c>
      <c r="AZ279">
        <f t="shared" si="250"/>
        <v>171</v>
      </c>
      <c r="BA279">
        <f t="shared" si="251"/>
        <v>0</v>
      </c>
      <c r="BB279">
        <f t="shared" si="252"/>
        <v>0</v>
      </c>
      <c r="BC279">
        <f t="shared" si="253"/>
        <v>0</v>
      </c>
      <c r="BD279">
        <f t="shared" si="254"/>
        <v>0</v>
      </c>
      <c r="BE279">
        <f t="shared" si="255"/>
        <v>0</v>
      </c>
      <c r="BF279">
        <f t="shared" si="256"/>
        <v>0</v>
      </c>
      <c r="BG279">
        <f t="shared" si="257"/>
        <v>0</v>
      </c>
      <c r="BH279">
        <f t="shared" si="258"/>
        <v>0</v>
      </c>
      <c r="BI279">
        <f t="shared" si="259"/>
        <v>0</v>
      </c>
      <c r="BJ279">
        <v>0</v>
      </c>
      <c r="BK279" t="str">
        <f t="shared" si="271"/>
        <v>Big Win</v>
      </c>
      <c r="BL279" s="40" t="str">
        <f t="shared" si="272"/>
        <v>Bonus Game A</v>
      </c>
      <c r="BM279">
        <f>(D279/Frequency!$N$7-Summary!$C$7)^2*E279</f>
        <v>2968.0704000000001</v>
      </c>
      <c r="BN279">
        <f t="shared" si="260"/>
        <v>0</v>
      </c>
      <c r="BO279">
        <f t="shared" si="261"/>
        <v>0</v>
      </c>
      <c r="BP279">
        <f t="shared" si="262"/>
        <v>0</v>
      </c>
      <c r="BQ279">
        <f t="shared" si="263"/>
        <v>0</v>
      </c>
      <c r="BR279">
        <f t="shared" si="264"/>
        <v>0</v>
      </c>
      <c r="BS279">
        <f t="shared" si="265"/>
        <v>0</v>
      </c>
      <c r="BT279">
        <f t="shared" si="266"/>
        <v>0</v>
      </c>
      <c r="BU279">
        <f t="shared" si="267"/>
        <v>0</v>
      </c>
      <c r="BV279">
        <f t="shared" si="268"/>
        <v>0</v>
      </c>
      <c r="BW279">
        <f t="shared" si="269"/>
        <v>9</v>
      </c>
      <c r="BX279">
        <f t="shared" si="270"/>
        <v>171</v>
      </c>
    </row>
    <row r="280" spans="2:76">
      <c r="B280" s="19">
        <f>Tiers!B281</f>
        <v>278</v>
      </c>
      <c r="C280" s="20" t="str">
        <f>Tiers!X281</f>
        <v>main-4|wild-9|bonusA-5|||||||</v>
      </c>
      <c r="D280" s="21">
        <f>Tiers!C281</f>
        <v>57</v>
      </c>
      <c r="E280" s="22">
        <f>Frequency!E282</f>
        <v>2</v>
      </c>
      <c r="F280" s="22">
        <f t="shared" si="220"/>
        <v>114</v>
      </c>
      <c r="G280" s="20">
        <f>IF(AND(D280/Summary!$C$4&gt;0, D280/Summary!$C$4&lt;5),E280,0) * D280</f>
        <v>0</v>
      </c>
      <c r="H280" s="20">
        <f>IF(AND(D280/Summary!$C$4&gt;= 5, D280/Summary!$C$4&lt;10),E280,0) * D280</f>
        <v>0</v>
      </c>
      <c r="I280" s="20">
        <f>IF(AND(D280/Summary!$C$4&gt;=10, D280/Summary!$C$4&lt;25),E280,0)*D280</f>
        <v>0</v>
      </c>
      <c r="J280" s="20">
        <f>IF(D280/Summary!$C$4&gt;=25,E280,0)*D280</f>
        <v>114</v>
      </c>
      <c r="K280" s="35">
        <f>IF(AND(D280/Frequency!$N$7&gt;0, D280/Frequency!$N$7&lt;1),E280,0)</f>
        <v>0</v>
      </c>
      <c r="L280" s="35">
        <f t="shared" si="221"/>
        <v>0</v>
      </c>
      <c r="M280" s="35">
        <f>IF(D280/Frequency!$N$7=1,1,0)*E280</f>
        <v>0</v>
      </c>
      <c r="N280" s="35">
        <f t="shared" si="222"/>
        <v>0</v>
      </c>
      <c r="O280" s="35">
        <f>IF(AND(D280/Frequency!$N$7&gt;1, D280/Frequency!$N$7&lt;=2),1,0)*E280</f>
        <v>0</v>
      </c>
      <c r="P280" s="35">
        <f t="shared" si="223"/>
        <v>0</v>
      </c>
      <c r="Q280" s="35">
        <f>IF(AND(D280/Frequency!$N$7&gt;2,D280/Frequency!$N$7&lt;=5),1,0)*E280</f>
        <v>0</v>
      </c>
      <c r="R280" s="35">
        <f t="shared" si="224"/>
        <v>0</v>
      </c>
      <c r="S280" s="35">
        <f>IF(AND(D280/Frequency!$N$7&gt;5, D280/Frequency!$N$7&lt;=10),1,0)*E280</f>
        <v>0</v>
      </c>
      <c r="T280" s="35">
        <f t="shared" si="225"/>
        <v>0</v>
      </c>
      <c r="U280" s="35">
        <f>IF(AND(D280/Frequency!$N$7&gt;10, D280/Frequency!$N$7&lt;=20),1,0)*E280</f>
        <v>0</v>
      </c>
      <c r="V280" s="35">
        <f t="shared" si="226"/>
        <v>0</v>
      </c>
      <c r="W280" s="35">
        <f>IF(AND(D280/Frequency!$N$7&gt;20, D280/Frequency!$N$7&lt;=30),1,0)*E280</f>
        <v>0</v>
      </c>
      <c r="X280" s="35">
        <f t="shared" si="227"/>
        <v>0</v>
      </c>
      <c r="Y280" s="35">
        <f>IF(AND(D280/Frequency!$N$7&gt;30, D280/Frequency!$N$7&lt;=50),1,0)*E280</f>
        <v>0</v>
      </c>
      <c r="Z280" s="35">
        <f t="shared" si="228"/>
        <v>0</v>
      </c>
      <c r="AA280" s="35">
        <f>IF(AND(D280/Frequency!$N$7&gt;50, D280/Frequency!$N$7&lt;=100),1,0)*E280</f>
        <v>2</v>
      </c>
      <c r="AB280" s="35">
        <f t="shared" si="229"/>
        <v>114</v>
      </c>
      <c r="AC280" s="35">
        <f>IF(D280/Frequency!$N$7&gt;100,1,0)*E280</f>
        <v>0</v>
      </c>
      <c r="AD280" s="35">
        <f t="shared" si="230"/>
        <v>0</v>
      </c>
      <c r="AE280" s="22">
        <f t="shared" si="231"/>
        <v>0</v>
      </c>
      <c r="AF280" s="22">
        <f t="shared" si="232"/>
        <v>2</v>
      </c>
      <c r="AG280" s="22">
        <f t="shared" si="233"/>
        <v>114</v>
      </c>
      <c r="AH280" s="22">
        <f t="shared" si="234"/>
        <v>0</v>
      </c>
      <c r="AI280" s="35">
        <f t="shared" si="235"/>
        <v>1</v>
      </c>
      <c r="AJ280" s="35">
        <f t="shared" si="236"/>
        <v>2</v>
      </c>
      <c r="AK280" s="35">
        <f t="shared" si="237"/>
        <v>114</v>
      </c>
      <c r="AL280">
        <f t="shared" si="238"/>
        <v>1</v>
      </c>
      <c r="AM280">
        <f t="shared" si="239"/>
        <v>2</v>
      </c>
      <c r="AN280">
        <f t="shared" si="240"/>
        <v>114</v>
      </c>
      <c r="AO280">
        <f t="shared" si="241"/>
        <v>1</v>
      </c>
      <c r="AP280">
        <f t="shared" si="242"/>
        <v>2</v>
      </c>
      <c r="AQ280">
        <f t="shared" si="243"/>
        <v>114</v>
      </c>
      <c r="AR280">
        <f t="shared" si="244"/>
        <v>0</v>
      </c>
      <c r="AS280">
        <f t="shared" si="245"/>
        <v>0</v>
      </c>
      <c r="AT280">
        <f t="shared" si="246"/>
        <v>0</v>
      </c>
      <c r="AU280">
        <f t="shared" si="247"/>
        <v>0</v>
      </c>
      <c r="AV280">
        <v>0</v>
      </c>
      <c r="AW280">
        <v>0</v>
      </c>
      <c r="AX280">
        <f t="shared" si="248"/>
        <v>1</v>
      </c>
      <c r="AY280">
        <f t="shared" si="249"/>
        <v>2</v>
      </c>
      <c r="AZ280">
        <f t="shared" si="250"/>
        <v>114</v>
      </c>
      <c r="BA280">
        <f t="shared" si="251"/>
        <v>0</v>
      </c>
      <c r="BB280">
        <f t="shared" si="252"/>
        <v>0</v>
      </c>
      <c r="BC280">
        <f t="shared" si="253"/>
        <v>0</v>
      </c>
      <c r="BD280">
        <f t="shared" si="254"/>
        <v>0</v>
      </c>
      <c r="BE280">
        <f t="shared" si="255"/>
        <v>0</v>
      </c>
      <c r="BF280">
        <f t="shared" si="256"/>
        <v>0</v>
      </c>
      <c r="BG280">
        <f t="shared" si="257"/>
        <v>0</v>
      </c>
      <c r="BH280">
        <f t="shared" si="258"/>
        <v>0</v>
      </c>
      <c r="BI280">
        <f t="shared" si="259"/>
        <v>0</v>
      </c>
      <c r="BJ280">
        <v>0</v>
      </c>
      <c r="BK280" t="str">
        <f t="shared" si="271"/>
        <v>Huge Win</v>
      </c>
      <c r="BL280" s="40" t="str">
        <f t="shared" si="272"/>
        <v>Bonus Game A</v>
      </c>
      <c r="BM280">
        <f>(D280/Frequency!$N$7-Summary!$C$7)^2*E280</f>
        <v>6307.8911999999991</v>
      </c>
      <c r="BN280">
        <f t="shared" si="260"/>
        <v>0</v>
      </c>
      <c r="BO280">
        <f t="shared" si="261"/>
        <v>0</v>
      </c>
      <c r="BP280">
        <f t="shared" si="262"/>
        <v>0</v>
      </c>
      <c r="BQ280">
        <f t="shared" si="263"/>
        <v>0</v>
      </c>
      <c r="BR280">
        <f t="shared" si="264"/>
        <v>0</v>
      </c>
      <c r="BS280">
        <f t="shared" si="265"/>
        <v>0</v>
      </c>
      <c r="BT280">
        <f t="shared" si="266"/>
        <v>0</v>
      </c>
      <c r="BU280">
        <f t="shared" si="267"/>
        <v>0</v>
      </c>
      <c r="BV280">
        <f t="shared" si="268"/>
        <v>0</v>
      </c>
      <c r="BW280">
        <f t="shared" si="269"/>
        <v>2</v>
      </c>
      <c r="BX280">
        <f t="shared" si="270"/>
        <v>114</v>
      </c>
    </row>
    <row r="281" spans="2:76">
      <c r="B281" s="19">
        <f>Tiers!B282</f>
        <v>279</v>
      </c>
      <c r="C281" s="20" t="str">
        <f>Tiers!X282</f>
        <v>main-5|wild-2|bonusA-6|||||||</v>
      </c>
      <c r="D281" s="21">
        <f>Tiers!C282</f>
        <v>25.5</v>
      </c>
      <c r="E281" s="22">
        <f>Frequency!E283</f>
        <v>10</v>
      </c>
      <c r="F281" s="22">
        <f t="shared" si="220"/>
        <v>255</v>
      </c>
      <c r="G281" s="20">
        <f>IF(AND(D281/Summary!$C$4&gt;0, D281/Summary!$C$4&lt;5),E281,0) * D281</f>
        <v>0</v>
      </c>
      <c r="H281" s="20">
        <f>IF(AND(D281/Summary!$C$4&gt;= 5, D281/Summary!$C$4&lt;10),E281,0) * D281</f>
        <v>0</v>
      </c>
      <c r="I281" s="20">
        <f>IF(AND(D281/Summary!$C$4&gt;=10, D281/Summary!$C$4&lt;25),E281,0)*D281</f>
        <v>0</v>
      </c>
      <c r="J281" s="20">
        <f>IF(D281/Summary!$C$4&gt;=25,E281,0)*D281</f>
        <v>255</v>
      </c>
      <c r="K281" s="35">
        <f>IF(AND(D281/Frequency!$N$7&gt;0, D281/Frequency!$N$7&lt;1),E281,0)</f>
        <v>0</v>
      </c>
      <c r="L281" s="35">
        <f t="shared" si="221"/>
        <v>0</v>
      </c>
      <c r="M281" s="35">
        <f>IF(D281/Frequency!$N$7=1,1,0)*E281</f>
        <v>0</v>
      </c>
      <c r="N281" s="35">
        <f t="shared" si="222"/>
        <v>0</v>
      </c>
      <c r="O281" s="35">
        <f>IF(AND(D281/Frequency!$N$7&gt;1, D281/Frequency!$N$7&lt;=2),1,0)*E281</f>
        <v>0</v>
      </c>
      <c r="P281" s="35">
        <f t="shared" si="223"/>
        <v>0</v>
      </c>
      <c r="Q281" s="35">
        <f>IF(AND(D281/Frequency!$N$7&gt;2,D281/Frequency!$N$7&lt;=5),1,0)*E281</f>
        <v>0</v>
      </c>
      <c r="R281" s="35">
        <f t="shared" si="224"/>
        <v>0</v>
      </c>
      <c r="S281" s="35">
        <f>IF(AND(D281/Frequency!$N$7&gt;5, D281/Frequency!$N$7&lt;=10),1,0)*E281</f>
        <v>0</v>
      </c>
      <c r="T281" s="35">
        <f t="shared" si="225"/>
        <v>0</v>
      </c>
      <c r="U281" s="35">
        <f>IF(AND(D281/Frequency!$N$7&gt;10, D281/Frequency!$N$7&lt;=20),1,0)*E281</f>
        <v>0</v>
      </c>
      <c r="V281" s="35">
        <f t="shared" si="226"/>
        <v>0</v>
      </c>
      <c r="W281" s="35">
        <f>IF(AND(D281/Frequency!$N$7&gt;20, D281/Frequency!$N$7&lt;=30),1,0)*E281</f>
        <v>10</v>
      </c>
      <c r="X281" s="35">
        <f t="shared" si="227"/>
        <v>255</v>
      </c>
      <c r="Y281" s="35">
        <f>IF(AND(D281/Frequency!$N$7&gt;30, D281/Frequency!$N$7&lt;=50),1,0)*E281</f>
        <v>0</v>
      </c>
      <c r="Z281" s="35">
        <f t="shared" si="228"/>
        <v>0</v>
      </c>
      <c r="AA281" s="35">
        <f>IF(AND(D281/Frequency!$N$7&gt;50, D281/Frequency!$N$7&lt;=100),1,0)*E281</f>
        <v>0</v>
      </c>
      <c r="AB281" s="35">
        <f t="shared" si="229"/>
        <v>0</v>
      </c>
      <c r="AC281" s="35">
        <f>IF(D281/Frequency!$N$7&gt;100,1,0)*E281</f>
        <v>0</v>
      </c>
      <c r="AD281" s="35">
        <f t="shared" si="230"/>
        <v>0</v>
      </c>
      <c r="AE281" s="22">
        <f t="shared" si="231"/>
        <v>0</v>
      </c>
      <c r="AF281" s="22">
        <f t="shared" si="232"/>
        <v>10</v>
      </c>
      <c r="AG281" s="22">
        <f t="shared" si="233"/>
        <v>255</v>
      </c>
      <c r="AH281" s="22">
        <f t="shared" si="234"/>
        <v>0</v>
      </c>
      <c r="AI281" s="35">
        <f t="shared" si="235"/>
        <v>1</v>
      </c>
      <c r="AJ281" s="35">
        <f t="shared" si="236"/>
        <v>10</v>
      </c>
      <c r="AK281" s="35">
        <f t="shared" si="237"/>
        <v>255</v>
      </c>
      <c r="AL281">
        <f t="shared" si="238"/>
        <v>1</v>
      </c>
      <c r="AM281">
        <f t="shared" si="239"/>
        <v>10</v>
      </c>
      <c r="AN281">
        <f t="shared" si="240"/>
        <v>255</v>
      </c>
      <c r="AO281">
        <f t="shared" si="241"/>
        <v>1</v>
      </c>
      <c r="AP281">
        <f t="shared" si="242"/>
        <v>10</v>
      </c>
      <c r="AQ281">
        <f t="shared" si="243"/>
        <v>255</v>
      </c>
      <c r="AR281">
        <f t="shared" si="244"/>
        <v>0</v>
      </c>
      <c r="AS281">
        <f t="shared" si="245"/>
        <v>0</v>
      </c>
      <c r="AT281">
        <f t="shared" si="246"/>
        <v>0</v>
      </c>
      <c r="AU281">
        <f t="shared" si="247"/>
        <v>0</v>
      </c>
      <c r="AV281">
        <v>0</v>
      </c>
      <c r="AW281">
        <v>0</v>
      </c>
      <c r="AX281">
        <f t="shared" si="248"/>
        <v>1</v>
      </c>
      <c r="AY281">
        <f t="shared" si="249"/>
        <v>10</v>
      </c>
      <c r="AZ281">
        <f t="shared" si="250"/>
        <v>255</v>
      </c>
      <c r="BA281">
        <f t="shared" si="251"/>
        <v>0</v>
      </c>
      <c r="BB281">
        <f t="shared" si="252"/>
        <v>0</v>
      </c>
      <c r="BC281">
        <f t="shared" si="253"/>
        <v>0</v>
      </c>
      <c r="BD281">
        <f t="shared" si="254"/>
        <v>0</v>
      </c>
      <c r="BE281">
        <f t="shared" si="255"/>
        <v>0</v>
      </c>
      <c r="BF281">
        <f t="shared" si="256"/>
        <v>0</v>
      </c>
      <c r="BG281">
        <f t="shared" si="257"/>
        <v>0</v>
      </c>
      <c r="BH281">
        <f t="shared" si="258"/>
        <v>0</v>
      </c>
      <c r="BI281">
        <f t="shared" si="259"/>
        <v>0</v>
      </c>
      <c r="BJ281">
        <v>0</v>
      </c>
      <c r="BK281" t="str">
        <f t="shared" si="271"/>
        <v>Big Win</v>
      </c>
      <c r="BL281" s="40" t="str">
        <f t="shared" si="272"/>
        <v>Bonus Game A</v>
      </c>
      <c r="BM281">
        <f>(D281/Frequency!$N$7-Summary!$C$7)^2*E281</f>
        <v>6081.1559999999999</v>
      </c>
      <c r="BN281">
        <f t="shared" si="260"/>
        <v>0</v>
      </c>
      <c r="BO281">
        <f t="shared" si="261"/>
        <v>0</v>
      </c>
      <c r="BP281">
        <f t="shared" si="262"/>
        <v>0</v>
      </c>
      <c r="BQ281">
        <f t="shared" si="263"/>
        <v>0</v>
      </c>
      <c r="BR281">
        <f t="shared" si="264"/>
        <v>0</v>
      </c>
      <c r="BS281">
        <f t="shared" si="265"/>
        <v>0</v>
      </c>
      <c r="BT281">
        <f t="shared" si="266"/>
        <v>0</v>
      </c>
      <c r="BU281">
        <f t="shared" si="267"/>
        <v>0</v>
      </c>
      <c r="BV281">
        <f t="shared" si="268"/>
        <v>0</v>
      </c>
      <c r="BW281">
        <f t="shared" si="269"/>
        <v>10</v>
      </c>
      <c r="BX281">
        <f t="shared" si="270"/>
        <v>255</v>
      </c>
    </row>
    <row r="282" spans="2:76">
      <c r="B282" s="19">
        <f>Tiers!B283</f>
        <v>280</v>
      </c>
      <c r="C282" s="20" t="str">
        <f>Tiers!X283</f>
        <v>main-3|main-0|wild-13|bonusA-2||||||</v>
      </c>
      <c r="D282" s="21">
        <f>Tiers!C283</f>
        <v>14.1</v>
      </c>
      <c r="E282" s="22">
        <f>Frequency!E284</f>
        <v>10</v>
      </c>
      <c r="F282" s="22">
        <f t="shared" si="220"/>
        <v>141</v>
      </c>
      <c r="G282" s="20">
        <f>IF(AND(D282/Summary!$C$4&gt;0, D282/Summary!$C$4&lt;5),E282,0) * D282</f>
        <v>0</v>
      </c>
      <c r="H282" s="20">
        <f>IF(AND(D282/Summary!$C$4&gt;= 5, D282/Summary!$C$4&lt;10),E282,0) * D282</f>
        <v>0</v>
      </c>
      <c r="I282" s="20">
        <f>IF(AND(D282/Summary!$C$4&gt;=10, D282/Summary!$C$4&lt;25),E282,0)*D282</f>
        <v>141</v>
      </c>
      <c r="J282" s="20">
        <f>IF(D282/Summary!$C$4&gt;=25,E282,0)*D282</f>
        <v>0</v>
      </c>
      <c r="K282" s="35">
        <f>IF(AND(D282/Frequency!$N$7&gt;0, D282/Frequency!$N$7&lt;1),E282,0)</f>
        <v>0</v>
      </c>
      <c r="L282" s="35">
        <f t="shared" si="221"/>
        <v>0</v>
      </c>
      <c r="M282" s="35">
        <f>IF(D282/Frequency!$N$7=1,1,0)*E282</f>
        <v>0</v>
      </c>
      <c r="N282" s="35">
        <f t="shared" si="222"/>
        <v>0</v>
      </c>
      <c r="O282" s="35">
        <f>IF(AND(D282/Frequency!$N$7&gt;1, D282/Frequency!$N$7&lt;=2),1,0)*E282</f>
        <v>0</v>
      </c>
      <c r="P282" s="35">
        <f t="shared" si="223"/>
        <v>0</v>
      </c>
      <c r="Q282" s="35">
        <f>IF(AND(D282/Frequency!$N$7&gt;2,D282/Frequency!$N$7&lt;=5),1,0)*E282</f>
        <v>0</v>
      </c>
      <c r="R282" s="35">
        <f t="shared" si="224"/>
        <v>0</v>
      </c>
      <c r="S282" s="35">
        <f>IF(AND(D282/Frequency!$N$7&gt;5, D282/Frequency!$N$7&lt;=10),1,0)*E282</f>
        <v>0</v>
      </c>
      <c r="T282" s="35">
        <f t="shared" si="225"/>
        <v>0</v>
      </c>
      <c r="U282" s="35">
        <f>IF(AND(D282/Frequency!$N$7&gt;10, D282/Frequency!$N$7&lt;=20),1,0)*E282</f>
        <v>10</v>
      </c>
      <c r="V282" s="35">
        <f t="shared" si="226"/>
        <v>141</v>
      </c>
      <c r="W282" s="35">
        <f>IF(AND(D282/Frequency!$N$7&gt;20, D282/Frequency!$N$7&lt;=30),1,0)*E282</f>
        <v>0</v>
      </c>
      <c r="X282" s="35">
        <f t="shared" si="227"/>
        <v>0</v>
      </c>
      <c r="Y282" s="35">
        <f>IF(AND(D282/Frequency!$N$7&gt;30, D282/Frequency!$N$7&lt;=50),1,0)*E282</f>
        <v>0</v>
      </c>
      <c r="Z282" s="35">
        <f t="shared" si="228"/>
        <v>0</v>
      </c>
      <c r="AA282" s="35">
        <f>IF(AND(D282/Frequency!$N$7&gt;50, D282/Frequency!$N$7&lt;=100),1,0)*E282</f>
        <v>0</v>
      </c>
      <c r="AB282" s="35">
        <f t="shared" si="229"/>
        <v>0</v>
      </c>
      <c r="AC282" s="35">
        <f>IF(D282/Frequency!$N$7&gt;100,1,0)*E282</f>
        <v>0</v>
      </c>
      <c r="AD282" s="35">
        <f t="shared" si="230"/>
        <v>0</v>
      </c>
      <c r="AE282" s="22">
        <f t="shared" si="231"/>
        <v>0</v>
      </c>
      <c r="AF282" s="22">
        <f t="shared" si="232"/>
        <v>10</v>
      </c>
      <c r="AG282" s="22">
        <f t="shared" si="233"/>
        <v>141</v>
      </c>
      <c r="AH282" s="22">
        <f t="shared" si="234"/>
        <v>0</v>
      </c>
      <c r="AI282" s="35">
        <f t="shared" si="235"/>
        <v>1</v>
      </c>
      <c r="AJ282" s="35">
        <f t="shared" si="236"/>
        <v>10</v>
      </c>
      <c r="AK282" s="35">
        <f t="shared" si="237"/>
        <v>141</v>
      </c>
      <c r="AL282">
        <f t="shared" si="238"/>
        <v>1</v>
      </c>
      <c r="AM282">
        <f t="shared" si="239"/>
        <v>10</v>
      </c>
      <c r="AN282">
        <f t="shared" si="240"/>
        <v>141</v>
      </c>
      <c r="AO282">
        <f t="shared" si="241"/>
        <v>1</v>
      </c>
      <c r="AP282">
        <f t="shared" si="242"/>
        <v>10</v>
      </c>
      <c r="AQ282">
        <f t="shared" si="243"/>
        <v>141</v>
      </c>
      <c r="AR282">
        <f t="shared" si="244"/>
        <v>0</v>
      </c>
      <c r="AS282">
        <f t="shared" si="245"/>
        <v>0</v>
      </c>
      <c r="AT282">
        <f t="shared" si="246"/>
        <v>0</v>
      </c>
      <c r="AU282">
        <f t="shared" si="247"/>
        <v>0</v>
      </c>
      <c r="AV282">
        <v>0</v>
      </c>
      <c r="AW282">
        <v>0</v>
      </c>
      <c r="AX282">
        <f t="shared" si="248"/>
        <v>1</v>
      </c>
      <c r="AY282">
        <f t="shared" si="249"/>
        <v>10</v>
      </c>
      <c r="AZ282">
        <f t="shared" si="250"/>
        <v>141</v>
      </c>
      <c r="BA282">
        <f t="shared" si="251"/>
        <v>0</v>
      </c>
      <c r="BB282">
        <f t="shared" si="252"/>
        <v>0</v>
      </c>
      <c r="BC282">
        <f t="shared" si="253"/>
        <v>0</v>
      </c>
      <c r="BD282">
        <f t="shared" si="254"/>
        <v>0</v>
      </c>
      <c r="BE282">
        <f t="shared" si="255"/>
        <v>0</v>
      </c>
      <c r="BF282">
        <f t="shared" si="256"/>
        <v>0</v>
      </c>
      <c r="BG282">
        <f t="shared" si="257"/>
        <v>0</v>
      </c>
      <c r="BH282">
        <f t="shared" si="258"/>
        <v>0</v>
      </c>
      <c r="BI282">
        <f t="shared" si="259"/>
        <v>0</v>
      </c>
      <c r="BJ282">
        <v>0</v>
      </c>
      <c r="BK282" t="str">
        <f t="shared" si="271"/>
        <v>Big Win</v>
      </c>
      <c r="BL282" s="40" t="str">
        <f t="shared" si="272"/>
        <v>Bonus Game A</v>
      </c>
      <c r="BM282">
        <f>(D282/Frequency!$N$7-Summary!$C$7)^2*E282</f>
        <v>1758.2759999999998</v>
      </c>
      <c r="BN282">
        <f t="shared" si="260"/>
        <v>0</v>
      </c>
      <c r="BO282">
        <f t="shared" si="261"/>
        <v>0</v>
      </c>
      <c r="BP282">
        <f t="shared" si="262"/>
        <v>0</v>
      </c>
      <c r="BQ282">
        <f t="shared" si="263"/>
        <v>0</v>
      </c>
      <c r="BR282">
        <f t="shared" si="264"/>
        <v>0</v>
      </c>
      <c r="BS282">
        <f t="shared" si="265"/>
        <v>0</v>
      </c>
      <c r="BT282">
        <f t="shared" si="266"/>
        <v>0</v>
      </c>
      <c r="BU282">
        <f t="shared" si="267"/>
        <v>0</v>
      </c>
      <c r="BV282">
        <f t="shared" si="268"/>
        <v>0</v>
      </c>
      <c r="BW282">
        <f t="shared" si="269"/>
        <v>10</v>
      </c>
      <c r="BX282">
        <f t="shared" si="270"/>
        <v>141</v>
      </c>
    </row>
    <row r="283" spans="2:76">
      <c r="B283" s="19">
        <f>Tiers!B284</f>
        <v>281</v>
      </c>
      <c r="C283" s="20" t="str">
        <f>Tiers!X284</f>
        <v>main-3|main-1|wild-15|bonusA-5||||||</v>
      </c>
      <c r="D283" s="21">
        <f>Tiers!C284</f>
        <v>19.2</v>
      </c>
      <c r="E283" s="22">
        <f>Frequency!E285</f>
        <v>10</v>
      </c>
      <c r="F283" s="22">
        <f t="shared" si="220"/>
        <v>192</v>
      </c>
      <c r="G283" s="20">
        <f>IF(AND(D283/Summary!$C$4&gt;0, D283/Summary!$C$4&lt;5),E283,0) * D283</f>
        <v>0</v>
      </c>
      <c r="H283" s="20">
        <f>IF(AND(D283/Summary!$C$4&gt;= 5, D283/Summary!$C$4&lt;10),E283,0) * D283</f>
        <v>0</v>
      </c>
      <c r="I283" s="20">
        <f>IF(AND(D283/Summary!$C$4&gt;=10, D283/Summary!$C$4&lt;25),E283,0)*D283</f>
        <v>192</v>
      </c>
      <c r="J283" s="20">
        <f>IF(D283/Summary!$C$4&gt;=25,E283,0)*D283</f>
        <v>0</v>
      </c>
      <c r="K283" s="35">
        <f>IF(AND(D283/Frequency!$N$7&gt;0, D283/Frequency!$N$7&lt;1),E283,0)</f>
        <v>0</v>
      </c>
      <c r="L283" s="35">
        <f t="shared" si="221"/>
        <v>0</v>
      </c>
      <c r="M283" s="35">
        <f>IF(D283/Frequency!$N$7=1,1,0)*E283</f>
        <v>0</v>
      </c>
      <c r="N283" s="35">
        <f t="shared" si="222"/>
        <v>0</v>
      </c>
      <c r="O283" s="35">
        <f>IF(AND(D283/Frequency!$N$7&gt;1, D283/Frequency!$N$7&lt;=2),1,0)*E283</f>
        <v>0</v>
      </c>
      <c r="P283" s="35">
        <f t="shared" si="223"/>
        <v>0</v>
      </c>
      <c r="Q283" s="35">
        <f>IF(AND(D283/Frequency!$N$7&gt;2,D283/Frequency!$N$7&lt;=5),1,0)*E283</f>
        <v>0</v>
      </c>
      <c r="R283" s="35">
        <f t="shared" si="224"/>
        <v>0</v>
      </c>
      <c r="S283" s="35">
        <f>IF(AND(D283/Frequency!$N$7&gt;5, D283/Frequency!$N$7&lt;=10),1,0)*E283</f>
        <v>0</v>
      </c>
      <c r="T283" s="35">
        <f t="shared" si="225"/>
        <v>0</v>
      </c>
      <c r="U283" s="35">
        <f>IF(AND(D283/Frequency!$N$7&gt;10, D283/Frequency!$N$7&lt;=20),1,0)*E283</f>
        <v>10</v>
      </c>
      <c r="V283" s="35">
        <f t="shared" si="226"/>
        <v>192</v>
      </c>
      <c r="W283" s="35">
        <f>IF(AND(D283/Frequency!$N$7&gt;20, D283/Frequency!$N$7&lt;=30),1,0)*E283</f>
        <v>0</v>
      </c>
      <c r="X283" s="35">
        <f t="shared" si="227"/>
        <v>0</v>
      </c>
      <c r="Y283" s="35">
        <f>IF(AND(D283/Frequency!$N$7&gt;30, D283/Frequency!$N$7&lt;=50),1,0)*E283</f>
        <v>0</v>
      </c>
      <c r="Z283" s="35">
        <f t="shared" si="228"/>
        <v>0</v>
      </c>
      <c r="AA283" s="35">
        <f>IF(AND(D283/Frequency!$N$7&gt;50, D283/Frequency!$N$7&lt;=100),1,0)*E283</f>
        <v>0</v>
      </c>
      <c r="AB283" s="35">
        <f t="shared" si="229"/>
        <v>0</v>
      </c>
      <c r="AC283" s="35">
        <f>IF(D283/Frequency!$N$7&gt;100,1,0)*E283</f>
        <v>0</v>
      </c>
      <c r="AD283" s="35">
        <f t="shared" si="230"/>
        <v>0</v>
      </c>
      <c r="AE283" s="22">
        <f t="shared" si="231"/>
        <v>0</v>
      </c>
      <c r="AF283" s="22">
        <f t="shared" si="232"/>
        <v>10</v>
      </c>
      <c r="AG283" s="22">
        <f t="shared" si="233"/>
        <v>192</v>
      </c>
      <c r="AH283" s="22">
        <f t="shared" si="234"/>
        <v>0</v>
      </c>
      <c r="AI283" s="35">
        <f t="shared" si="235"/>
        <v>1</v>
      </c>
      <c r="AJ283" s="35">
        <f t="shared" si="236"/>
        <v>10</v>
      </c>
      <c r="AK283" s="35">
        <f t="shared" si="237"/>
        <v>192</v>
      </c>
      <c r="AL283">
        <f t="shared" si="238"/>
        <v>1</v>
      </c>
      <c r="AM283">
        <f t="shared" si="239"/>
        <v>10</v>
      </c>
      <c r="AN283">
        <f t="shared" si="240"/>
        <v>192</v>
      </c>
      <c r="AO283">
        <f t="shared" si="241"/>
        <v>1</v>
      </c>
      <c r="AP283">
        <f t="shared" si="242"/>
        <v>10</v>
      </c>
      <c r="AQ283">
        <f t="shared" si="243"/>
        <v>192</v>
      </c>
      <c r="AR283">
        <f t="shared" si="244"/>
        <v>0</v>
      </c>
      <c r="AS283">
        <f t="shared" si="245"/>
        <v>0</v>
      </c>
      <c r="AT283">
        <f t="shared" si="246"/>
        <v>0</v>
      </c>
      <c r="AU283">
        <f t="shared" si="247"/>
        <v>0</v>
      </c>
      <c r="AV283">
        <v>0</v>
      </c>
      <c r="AW283">
        <v>0</v>
      </c>
      <c r="AX283">
        <f t="shared" si="248"/>
        <v>1</v>
      </c>
      <c r="AY283">
        <f t="shared" si="249"/>
        <v>10</v>
      </c>
      <c r="AZ283">
        <f t="shared" si="250"/>
        <v>192</v>
      </c>
      <c r="BA283">
        <f t="shared" si="251"/>
        <v>0</v>
      </c>
      <c r="BB283">
        <f t="shared" si="252"/>
        <v>0</v>
      </c>
      <c r="BC283">
        <f t="shared" si="253"/>
        <v>0</v>
      </c>
      <c r="BD283">
        <f t="shared" si="254"/>
        <v>0</v>
      </c>
      <c r="BE283">
        <f t="shared" si="255"/>
        <v>0</v>
      </c>
      <c r="BF283">
        <f t="shared" si="256"/>
        <v>0</v>
      </c>
      <c r="BG283">
        <f t="shared" si="257"/>
        <v>0</v>
      </c>
      <c r="BH283">
        <f t="shared" si="258"/>
        <v>0</v>
      </c>
      <c r="BI283">
        <f t="shared" si="259"/>
        <v>0</v>
      </c>
      <c r="BJ283">
        <v>0</v>
      </c>
      <c r="BK283" t="str">
        <f t="shared" si="271"/>
        <v>Big Win</v>
      </c>
      <c r="BL283" s="40" t="str">
        <f t="shared" si="272"/>
        <v>Bonus Game A</v>
      </c>
      <c r="BM283">
        <f>(D283/Frequency!$N$7-Summary!$C$7)^2*E283</f>
        <v>3370.8959999999997</v>
      </c>
      <c r="BN283">
        <f t="shared" si="260"/>
        <v>0</v>
      </c>
      <c r="BO283">
        <f t="shared" si="261"/>
        <v>0</v>
      </c>
      <c r="BP283">
        <f t="shared" si="262"/>
        <v>0</v>
      </c>
      <c r="BQ283">
        <f t="shared" si="263"/>
        <v>0</v>
      </c>
      <c r="BR283">
        <f t="shared" si="264"/>
        <v>0</v>
      </c>
      <c r="BS283">
        <f t="shared" si="265"/>
        <v>0</v>
      </c>
      <c r="BT283">
        <f t="shared" si="266"/>
        <v>0</v>
      </c>
      <c r="BU283">
        <f t="shared" si="267"/>
        <v>0</v>
      </c>
      <c r="BV283">
        <f t="shared" si="268"/>
        <v>0</v>
      </c>
      <c r="BW283">
        <f t="shared" si="269"/>
        <v>10</v>
      </c>
      <c r="BX283">
        <f t="shared" si="270"/>
        <v>192</v>
      </c>
    </row>
    <row r="284" spans="2:76">
      <c r="B284" s="19">
        <f>Tiers!B285</f>
        <v>282</v>
      </c>
      <c r="C284" s="20" t="str">
        <f>Tiers!X285</f>
        <v>main-1|main-5|wild-16|bonusA-6||||||</v>
      </c>
      <c r="D284" s="21">
        <f>Tiers!C285</f>
        <v>30.2</v>
      </c>
      <c r="E284" s="22">
        <f>Frequency!E286</f>
        <v>9</v>
      </c>
      <c r="F284" s="22">
        <f t="shared" si="220"/>
        <v>271.8</v>
      </c>
      <c r="G284" s="20">
        <f>IF(AND(D284/Summary!$C$4&gt;0, D284/Summary!$C$4&lt;5),E284,0) * D284</f>
        <v>0</v>
      </c>
      <c r="H284" s="20">
        <f>IF(AND(D284/Summary!$C$4&gt;= 5, D284/Summary!$C$4&lt;10),E284,0) * D284</f>
        <v>0</v>
      </c>
      <c r="I284" s="20">
        <f>IF(AND(D284/Summary!$C$4&gt;=10, D284/Summary!$C$4&lt;25),E284,0)*D284</f>
        <v>0</v>
      </c>
      <c r="J284" s="20">
        <f>IF(D284/Summary!$C$4&gt;=25,E284,0)*D284</f>
        <v>271.8</v>
      </c>
      <c r="K284" s="35">
        <f>IF(AND(D284/Frequency!$N$7&gt;0, D284/Frequency!$N$7&lt;1),E284,0)</f>
        <v>0</v>
      </c>
      <c r="L284" s="35">
        <f t="shared" si="221"/>
        <v>0</v>
      </c>
      <c r="M284" s="35">
        <f>IF(D284/Frequency!$N$7=1,1,0)*E284</f>
        <v>0</v>
      </c>
      <c r="N284" s="35">
        <f t="shared" si="222"/>
        <v>0</v>
      </c>
      <c r="O284" s="35">
        <f>IF(AND(D284/Frequency!$N$7&gt;1, D284/Frequency!$N$7&lt;=2),1,0)*E284</f>
        <v>0</v>
      </c>
      <c r="P284" s="35">
        <f t="shared" si="223"/>
        <v>0</v>
      </c>
      <c r="Q284" s="35">
        <f>IF(AND(D284/Frequency!$N$7&gt;2,D284/Frequency!$N$7&lt;=5),1,0)*E284</f>
        <v>0</v>
      </c>
      <c r="R284" s="35">
        <f t="shared" si="224"/>
        <v>0</v>
      </c>
      <c r="S284" s="35">
        <f>IF(AND(D284/Frequency!$N$7&gt;5, D284/Frequency!$N$7&lt;=10),1,0)*E284</f>
        <v>0</v>
      </c>
      <c r="T284" s="35">
        <f t="shared" si="225"/>
        <v>0</v>
      </c>
      <c r="U284" s="35">
        <f>IF(AND(D284/Frequency!$N$7&gt;10, D284/Frequency!$N$7&lt;=20),1,0)*E284</f>
        <v>0</v>
      </c>
      <c r="V284" s="35">
        <f t="shared" si="226"/>
        <v>0</v>
      </c>
      <c r="W284" s="35">
        <f>IF(AND(D284/Frequency!$N$7&gt;20, D284/Frequency!$N$7&lt;=30),1,0)*E284</f>
        <v>0</v>
      </c>
      <c r="X284" s="35">
        <f t="shared" si="227"/>
        <v>0</v>
      </c>
      <c r="Y284" s="35">
        <f>IF(AND(D284/Frequency!$N$7&gt;30, D284/Frequency!$N$7&lt;=50),1,0)*E284</f>
        <v>9</v>
      </c>
      <c r="Z284" s="35">
        <f t="shared" si="228"/>
        <v>271.8</v>
      </c>
      <c r="AA284" s="35">
        <f>IF(AND(D284/Frequency!$N$7&gt;50, D284/Frequency!$N$7&lt;=100),1,0)*E284</f>
        <v>0</v>
      </c>
      <c r="AB284" s="35">
        <f t="shared" si="229"/>
        <v>0</v>
      </c>
      <c r="AC284" s="35">
        <f>IF(D284/Frequency!$N$7&gt;100,1,0)*E284</f>
        <v>0</v>
      </c>
      <c r="AD284" s="35">
        <f t="shared" si="230"/>
        <v>0</v>
      </c>
      <c r="AE284" s="22">
        <f t="shared" si="231"/>
        <v>0</v>
      </c>
      <c r="AF284" s="22">
        <f t="shared" si="232"/>
        <v>9</v>
      </c>
      <c r="AG284" s="22">
        <f t="shared" si="233"/>
        <v>271.8</v>
      </c>
      <c r="AH284" s="22">
        <f t="shared" si="234"/>
        <v>0</v>
      </c>
      <c r="AI284" s="35">
        <f t="shared" si="235"/>
        <v>1</v>
      </c>
      <c r="AJ284" s="35">
        <f t="shared" si="236"/>
        <v>9</v>
      </c>
      <c r="AK284" s="35">
        <f t="shared" si="237"/>
        <v>271.8</v>
      </c>
      <c r="AL284">
        <f t="shared" si="238"/>
        <v>1</v>
      </c>
      <c r="AM284">
        <f t="shared" si="239"/>
        <v>9</v>
      </c>
      <c r="AN284">
        <f t="shared" si="240"/>
        <v>271.8</v>
      </c>
      <c r="AO284">
        <f t="shared" si="241"/>
        <v>1</v>
      </c>
      <c r="AP284">
        <f t="shared" si="242"/>
        <v>9</v>
      </c>
      <c r="AQ284">
        <f t="shared" si="243"/>
        <v>271.8</v>
      </c>
      <c r="AR284">
        <f t="shared" si="244"/>
        <v>0</v>
      </c>
      <c r="AS284">
        <f t="shared" si="245"/>
        <v>0</v>
      </c>
      <c r="AT284">
        <f t="shared" si="246"/>
        <v>0</v>
      </c>
      <c r="AU284">
        <f t="shared" si="247"/>
        <v>0</v>
      </c>
      <c r="AV284">
        <v>0</v>
      </c>
      <c r="AW284">
        <v>0</v>
      </c>
      <c r="AX284">
        <f t="shared" si="248"/>
        <v>1</v>
      </c>
      <c r="AY284">
        <f t="shared" si="249"/>
        <v>9</v>
      </c>
      <c r="AZ284">
        <f t="shared" si="250"/>
        <v>271.8</v>
      </c>
      <c r="BA284">
        <f t="shared" si="251"/>
        <v>0</v>
      </c>
      <c r="BB284">
        <f t="shared" si="252"/>
        <v>0</v>
      </c>
      <c r="BC284">
        <f t="shared" si="253"/>
        <v>0</v>
      </c>
      <c r="BD284">
        <f t="shared" si="254"/>
        <v>0</v>
      </c>
      <c r="BE284">
        <f t="shared" si="255"/>
        <v>0</v>
      </c>
      <c r="BF284">
        <f t="shared" si="256"/>
        <v>0</v>
      </c>
      <c r="BG284">
        <f t="shared" si="257"/>
        <v>0</v>
      </c>
      <c r="BH284">
        <f t="shared" si="258"/>
        <v>0</v>
      </c>
      <c r="BI284">
        <f t="shared" si="259"/>
        <v>0</v>
      </c>
      <c r="BJ284">
        <v>0</v>
      </c>
      <c r="BK284" t="str">
        <f t="shared" si="271"/>
        <v>Big Win</v>
      </c>
      <c r="BL284" s="40" t="str">
        <f t="shared" si="272"/>
        <v>Bonus Game A</v>
      </c>
      <c r="BM284">
        <f>(D284/Frequency!$N$7-Summary!$C$7)^2*E284</f>
        <v>7758.0864000000001</v>
      </c>
      <c r="BN284">
        <f t="shared" si="260"/>
        <v>0</v>
      </c>
      <c r="BO284">
        <f t="shared" si="261"/>
        <v>0</v>
      </c>
      <c r="BP284">
        <f t="shared" si="262"/>
        <v>0</v>
      </c>
      <c r="BQ284">
        <f t="shared" si="263"/>
        <v>0</v>
      </c>
      <c r="BR284">
        <f t="shared" si="264"/>
        <v>0</v>
      </c>
      <c r="BS284">
        <f t="shared" si="265"/>
        <v>0</v>
      </c>
      <c r="BT284">
        <f t="shared" si="266"/>
        <v>0</v>
      </c>
      <c r="BU284">
        <f t="shared" si="267"/>
        <v>0</v>
      </c>
      <c r="BV284">
        <f t="shared" si="268"/>
        <v>0</v>
      </c>
      <c r="BW284">
        <f t="shared" si="269"/>
        <v>9</v>
      </c>
      <c r="BX284">
        <f t="shared" si="270"/>
        <v>271.8</v>
      </c>
    </row>
    <row r="285" spans="2:76">
      <c r="B285" s="19">
        <f>Tiers!B286</f>
        <v>283</v>
      </c>
      <c r="C285" s="20" t="str">
        <f>Tiers!X286</f>
        <v>main-4|main-19|wild-17|bonusA-4||||||</v>
      </c>
      <c r="D285" s="21">
        <f>Tiers!C286</f>
        <v>29</v>
      </c>
      <c r="E285" s="22">
        <f>Frequency!E287</f>
        <v>13</v>
      </c>
      <c r="F285" s="22">
        <f t="shared" si="220"/>
        <v>377</v>
      </c>
      <c r="G285" s="20">
        <f>IF(AND(D285/Summary!$C$4&gt;0, D285/Summary!$C$4&lt;5),E285,0) * D285</f>
        <v>0</v>
      </c>
      <c r="H285" s="20">
        <f>IF(AND(D285/Summary!$C$4&gt;= 5, D285/Summary!$C$4&lt;10),E285,0) * D285</f>
        <v>0</v>
      </c>
      <c r="I285" s="20">
        <f>IF(AND(D285/Summary!$C$4&gt;=10, D285/Summary!$C$4&lt;25),E285,0)*D285</f>
        <v>0</v>
      </c>
      <c r="J285" s="20">
        <f>IF(D285/Summary!$C$4&gt;=25,E285,0)*D285</f>
        <v>377</v>
      </c>
      <c r="K285" s="35">
        <f>IF(AND(D285/Frequency!$N$7&gt;0, D285/Frequency!$N$7&lt;1),E285,0)</f>
        <v>0</v>
      </c>
      <c r="L285" s="35">
        <f t="shared" si="221"/>
        <v>0</v>
      </c>
      <c r="M285" s="35">
        <f>IF(D285/Frequency!$N$7=1,1,0)*E285</f>
        <v>0</v>
      </c>
      <c r="N285" s="35">
        <f t="shared" si="222"/>
        <v>0</v>
      </c>
      <c r="O285" s="35">
        <f>IF(AND(D285/Frequency!$N$7&gt;1, D285/Frequency!$N$7&lt;=2),1,0)*E285</f>
        <v>0</v>
      </c>
      <c r="P285" s="35">
        <f t="shared" si="223"/>
        <v>0</v>
      </c>
      <c r="Q285" s="35">
        <f>IF(AND(D285/Frequency!$N$7&gt;2,D285/Frequency!$N$7&lt;=5),1,0)*E285</f>
        <v>0</v>
      </c>
      <c r="R285" s="35">
        <f t="shared" si="224"/>
        <v>0</v>
      </c>
      <c r="S285" s="35">
        <f>IF(AND(D285/Frequency!$N$7&gt;5, D285/Frequency!$N$7&lt;=10),1,0)*E285</f>
        <v>0</v>
      </c>
      <c r="T285" s="35">
        <f t="shared" si="225"/>
        <v>0</v>
      </c>
      <c r="U285" s="35">
        <f>IF(AND(D285/Frequency!$N$7&gt;10, D285/Frequency!$N$7&lt;=20),1,0)*E285</f>
        <v>0</v>
      </c>
      <c r="V285" s="35">
        <f t="shared" si="226"/>
        <v>0</v>
      </c>
      <c r="W285" s="35">
        <f>IF(AND(D285/Frequency!$N$7&gt;20, D285/Frequency!$N$7&lt;=30),1,0)*E285</f>
        <v>13</v>
      </c>
      <c r="X285" s="35">
        <f t="shared" si="227"/>
        <v>377</v>
      </c>
      <c r="Y285" s="35">
        <f>IF(AND(D285/Frequency!$N$7&gt;30, D285/Frequency!$N$7&lt;=50),1,0)*E285</f>
        <v>0</v>
      </c>
      <c r="Z285" s="35">
        <f t="shared" si="228"/>
        <v>0</v>
      </c>
      <c r="AA285" s="35">
        <f>IF(AND(D285/Frequency!$N$7&gt;50, D285/Frequency!$N$7&lt;=100),1,0)*E285</f>
        <v>0</v>
      </c>
      <c r="AB285" s="35">
        <f t="shared" si="229"/>
        <v>0</v>
      </c>
      <c r="AC285" s="35">
        <f>IF(D285/Frequency!$N$7&gt;100,1,0)*E285</f>
        <v>0</v>
      </c>
      <c r="AD285" s="35">
        <f t="shared" si="230"/>
        <v>0</v>
      </c>
      <c r="AE285" s="22">
        <f t="shared" si="231"/>
        <v>0</v>
      </c>
      <c r="AF285" s="22">
        <f t="shared" si="232"/>
        <v>13</v>
      </c>
      <c r="AG285" s="22">
        <f t="shared" si="233"/>
        <v>377</v>
      </c>
      <c r="AH285" s="22">
        <f t="shared" si="234"/>
        <v>0</v>
      </c>
      <c r="AI285" s="35">
        <f t="shared" si="235"/>
        <v>1</v>
      </c>
      <c r="AJ285" s="35">
        <f t="shared" si="236"/>
        <v>13</v>
      </c>
      <c r="AK285" s="35">
        <f t="shared" si="237"/>
        <v>377</v>
      </c>
      <c r="AL285">
        <f t="shared" si="238"/>
        <v>1</v>
      </c>
      <c r="AM285">
        <f t="shared" si="239"/>
        <v>13</v>
      </c>
      <c r="AN285">
        <f t="shared" si="240"/>
        <v>377</v>
      </c>
      <c r="AO285">
        <f t="shared" si="241"/>
        <v>1</v>
      </c>
      <c r="AP285">
        <f t="shared" si="242"/>
        <v>13</v>
      </c>
      <c r="AQ285">
        <f t="shared" si="243"/>
        <v>377</v>
      </c>
      <c r="AR285">
        <f t="shared" si="244"/>
        <v>0</v>
      </c>
      <c r="AS285">
        <f t="shared" si="245"/>
        <v>0</v>
      </c>
      <c r="AT285">
        <f t="shared" si="246"/>
        <v>0</v>
      </c>
      <c r="AU285">
        <f t="shared" si="247"/>
        <v>0</v>
      </c>
      <c r="AV285">
        <v>0</v>
      </c>
      <c r="AW285">
        <v>0</v>
      </c>
      <c r="AX285">
        <f t="shared" si="248"/>
        <v>1</v>
      </c>
      <c r="AY285">
        <f t="shared" si="249"/>
        <v>13</v>
      </c>
      <c r="AZ285">
        <f t="shared" si="250"/>
        <v>377</v>
      </c>
      <c r="BA285">
        <f t="shared" si="251"/>
        <v>0</v>
      </c>
      <c r="BB285">
        <f t="shared" si="252"/>
        <v>0</v>
      </c>
      <c r="BC285">
        <f t="shared" si="253"/>
        <v>0</v>
      </c>
      <c r="BD285">
        <f t="shared" si="254"/>
        <v>0</v>
      </c>
      <c r="BE285">
        <f t="shared" si="255"/>
        <v>0</v>
      </c>
      <c r="BF285">
        <f t="shared" si="256"/>
        <v>0</v>
      </c>
      <c r="BG285">
        <f t="shared" si="257"/>
        <v>0</v>
      </c>
      <c r="BH285">
        <f t="shared" si="258"/>
        <v>0</v>
      </c>
      <c r="BI285">
        <f t="shared" si="259"/>
        <v>0</v>
      </c>
      <c r="BJ285">
        <v>0</v>
      </c>
      <c r="BK285" t="str">
        <f t="shared" si="271"/>
        <v>Big Win</v>
      </c>
      <c r="BL285" s="40" t="str">
        <f t="shared" si="272"/>
        <v>Bonus Game A</v>
      </c>
      <c r="BM285">
        <f>(D285/Frequency!$N$7-Summary!$C$7)^2*E285</f>
        <v>10308.8128</v>
      </c>
      <c r="BN285">
        <f t="shared" si="260"/>
        <v>0</v>
      </c>
      <c r="BO285">
        <f t="shared" si="261"/>
        <v>0</v>
      </c>
      <c r="BP285">
        <f t="shared" si="262"/>
        <v>0</v>
      </c>
      <c r="BQ285">
        <f t="shared" si="263"/>
        <v>0</v>
      </c>
      <c r="BR285">
        <f t="shared" si="264"/>
        <v>0</v>
      </c>
      <c r="BS285">
        <f t="shared" si="265"/>
        <v>0</v>
      </c>
      <c r="BT285">
        <f t="shared" si="266"/>
        <v>0</v>
      </c>
      <c r="BU285">
        <f t="shared" si="267"/>
        <v>0</v>
      </c>
      <c r="BV285">
        <f t="shared" si="268"/>
        <v>0</v>
      </c>
      <c r="BW285">
        <f t="shared" si="269"/>
        <v>13</v>
      </c>
      <c r="BX285">
        <f t="shared" si="270"/>
        <v>377</v>
      </c>
    </row>
    <row r="286" spans="2:76">
      <c r="B286" s="19">
        <f>Tiers!B287</f>
        <v>284</v>
      </c>
      <c r="C286" s="20" t="str">
        <f>Tiers!X287</f>
        <v>main-3|main-20|main-4|bonusA-4||||||</v>
      </c>
      <c r="D286" s="21">
        <f>Tiers!C287</f>
        <v>25</v>
      </c>
      <c r="E286" s="22">
        <f>Frequency!E288</f>
        <v>9</v>
      </c>
      <c r="F286" s="22">
        <f t="shared" si="220"/>
        <v>225</v>
      </c>
      <c r="G286" s="20">
        <f>IF(AND(D286/Summary!$C$4&gt;0, D286/Summary!$C$4&lt;5),E286,0) * D286</f>
        <v>0</v>
      </c>
      <c r="H286" s="20">
        <f>IF(AND(D286/Summary!$C$4&gt;= 5, D286/Summary!$C$4&lt;10),E286,0) * D286</f>
        <v>0</v>
      </c>
      <c r="I286" s="20">
        <f>IF(AND(D286/Summary!$C$4&gt;=10, D286/Summary!$C$4&lt;25),E286,0)*D286</f>
        <v>0</v>
      </c>
      <c r="J286" s="20">
        <f>IF(D286/Summary!$C$4&gt;=25,E286,0)*D286</f>
        <v>225</v>
      </c>
      <c r="K286" s="35">
        <f>IF(AND(D286/Frequency!$N$7&gt;0, D286/Frequency!$N$7&lt;1),E286,0)</f>
        <v>0</v>
      </c>
      <c r="L286" s="35">
        <f t="shared" si="221"/>
        <v>0</v>
      </c>
      <c r="M286" s="35">
        <f>IF(D286/Frequency!$N$7=1,1,0)*E286</f>
        <v>0</v>
      </c>
      <c r="N286" s="35">
        <f t="shared" si="222"/>
        <v>0</v>
      </c>
      <c r="O286" s="35">
        <f>IF(AND(D286/Frequency!$N$7&gt;1, D286/Frequency!$N$7&lt;=2),1,0)*E286</f>
        <v>0</v>
      </c>
      <c r="P286" s="35">
        <f t="shared" si="223"/>
        <v>0</v>
      </c>
      <c r="Q286" s="35">
        <f>IF(AND(D286/Frequency!$N$7&gt;2,D286/Frequency!$N$7&lt;=5),1,0)*E286</f>
        <v>0</v>
      </c>
      <c r="R286" s="35">
        <f t="shared" si="224"/>
        <v>0</v>
      </c>
      <c r="S286" s="35">
        <f>IF(AND(D286/Frequency!$N$7&gt;5, D286/Frequency!$N$7&lt;=10),1,0)*E286</f>
        <v>0</v>
      </c>
      <c r="T286" s="35">
        <f t="shared" si="225"/>
        <v>0</v>
      </c>
      <c r="U286" s="35">
        <f>IF(AND(D286/Frequency!$N$7&gt;10, D286/Frequency!$N$7&lt;=20),1,0)*E286</f>
        <v>0</v>
      </c>
      <c r="V286" s="35">
        <f t="shared" si="226"/>
        <v>0</v>
      </c>
      <c r="W286" s="35">
        <f>IF(AND(D286/Frequency!$N$7&gt;20, D286/Frequency!$N$7&lt;=30),1,0)*E286</f>
        <v>9</v>
      </c>
      <c r="X286" s="35">
        <f t="shared" si="227"/>
        <v>225</v>
      </c>
      <c r="Y286" s="35">
        <f>IF(AND(D286/Frequency!$N$7&gt;30, D286/Frequency!$N$7&lt;=50),1,0)*E286</f>
        <v>0</v>
      </c>
      <c r="Z286" s="35">
        <f t="shared" si="228"/>
        <v>0</v>
      </c>
      <c r="AA286" s="35">
        <f>IF(AND(D286/Frequency!$N$7&gt;50, D286/Frequency!$N$7&lt;=100),1,0)*E286</f>
        <v>0</v>
      </c>
      <c r="AB286" s="35">
        <f t="shared" si="229"/>
        <v>0</v>
      </c>
      <c r="AC286" s="35">
        <f>IF(D286/Frequency!$N$7&gt;100,1,0)*E286</f>
        <v>0</v>
      </c>
      <c r="AD286" s="35">
        <f t="shared" si="230"/>
        <v>0</v>
      </c>
      <c r="AE286" s="22">
        <f t="shared" si="231"/>
        <v>0</v>
      </c>
      <c r="AF286" s="22">
        <f t="shared" si="232"/>
        <v>9</v>
      </c>
      <c r="AG286" s="22">
        <f t="shared" si="233"/>
        <v>225</v>
      </c>
      <c r="AH286" s="22">
        <f t="shared" si="234"/>
        <v>0</v>
      </c>
      <c r="AI286" s="35">
        <f t="shared" si="235"/>
        <v>1</v>
      </c>
      <c r="AJ286" s="35">
        <f t="shared" si="236"/>
        <v>9</v>
      </c>
      <c r="AK286" s="35">
        <f t="shared" si="237"/>
        <v>225</v>
      </c>
      <c r="AL286">
        <f t="shared" si="238"/>
        <v>0</v>
      </c>
      <c r="AM286">
        <f t="shared" si="239"/>
        <v>0</v>
      </c>
      <c r="AN286">
        <f t="shared" si="240"/>
        <v>0</v>
      </c>
      <c r="AO286">
        <f t="shared" si="241"/>
        <v>0</v>
      </c>
      <c r="AP286">
        <f t="shared" si="242"/>
        <v>0</v>
      </c>
      <c r="AQ286">
        <f t="shared" si="243"/>
        <v>0</v>
      </c>
      <c r="AR286">
        <f t="shared" si="244"/>
        <v>0</v>
      </c>
      <c r="AS286">
        <f t="shared" si="245"/>
        <v>0</v>
      </c>
      <c r="AT286">
        <f t="shared" si="246"/>
        <v>0</v>
      </c>
      <c r="AU286">
        <f t="shared" si="247"/>
        <v>0</v>
      </c>
      <c r="AV286">
        <v>0</v>
      </c>
      <c r="AW286">
        <v>0</v>
      </c>
      <c r="AX286">
        <f t="shared" si="248"/>
        <v>1</v>
      </c>
      <c r="AY286">
        <f t="shared" si="249"/>
        <v>9</v>
      </c>
      <c r="AZ286">
        <f t="shared" si="250"/>
        <v>225</v>
      </c>
      <c r="BA286">
        <f t="shared" si="251"/>
        <v>0</v>
      </c>
      <c r="BB286">
        <f t="shared" si="252"/>
        <v>0</v>
      </c>
      <c r="BC286">
        <f t="shared" si="253"/>
        <v>0</v>
      </c>
      <c r="BD286">
        <f t="shared" si="254"/>
        <v>0</v>
      </c>
      <c r="BE286">
        <f t="shared" si="255"/>
        <v>0</v>
      </c>
      <c r="BF286">
        <f t="shared" si="256"/>
        <v>0</v>
      </c>
      <c r="BG286">
        <f t="shared" si="257"/>
        <v>0</v>
      </c>
      <c r="BH286">
        <f t="shared" si="258"/>
        <v>0</v>
      </c>
      <c r="BI286">
        <f t="shared" si="259"/>
        <v>0</v>
      </c>
      <c r="BJ286">
        <v>0</v>
      </c>
      <c r="BK286" t="str">
        <f t="shared" si="271"/>
        <v>Big Win</v>
      </c>
      <c r="BL286" s="40" t="str">
        <f t="shared" si="272"/>
        <v>Bonus Game A</v>
      </c>
      <c r="BM286">
        <f>(D286/Frequency!$N$7-Summary!$C$7)^2*E286</f>
        <v>5253.3504000000003</v>
      </c>
      <c r="BN286">
        <f t="shared" si="260"/>
        <v>0</v>
      </c>
      <c r="BO286">
        <f t="shared" si="261"/>
        <v>0</v>
      </c>
      <c r="BP286">
        <f t="shared" si="262"/>
        <v>0</v>
      </c>
      <c r="BQ286">
        <f t="shared" si="263"/>
        <v>0</v>
      </c>
      <c r="BR286">
        <f t="shared" si="264"/>
        <v>0</v>
      </c>
      <c r="BS286">
        <f t="shared" si="265"/>
        <v>0</v>
      </c>
      <c r="BT286">
        <f t="shared" si="266"/>
        <v>0</v>
      </c>
      <c r="BU286">
        <f t="shared" si="267"/>
        <v>0</v>
      </c>
      <c r="BV286">
        <f t="shared" si="268"/>
        <v>0</v>
      </c>
      <c r="BW286">
        <f t="shared" si="269"/>
        <v>9</v>
      </c>
      <c r="BX286">
        <f t="shared" si="270"/>
        <v>225</v>
      </c>
    </row>
    <row r="287" spans="2:76">
      <c r="B287" s="19">
        <f>Tiers!B288</f>
        <v>285</v>
      </c>
      <c r="C287" s="20" t="str">
        <f>Tiers!X288</f>
        <v>main-3|main-20|wild-11|bonusA-5||||||</v>
      </c>
      <c r="D287" s="21">
        <f>Tiers!C288</f>
        <v>28</v>
      </c>
      <c r="E287" s="22">
        <f>Frequency!E289</f>
        <v>9</v>
      </c>
      <c r="F287" s="22">
        <f t="shared" si="220"/>
        <v>252</v>
      </c>
      <c r="G287" s="20">
        <f>IF(AND(D287/Summary!$C$4&gt;0, D287/Summary!$C$4&lt;5),E287,0) * D287</f>
        <v>0</v>
      </c>
      <c r="H287" s="20">
        <f>IF(AND(D287/Summary!$C$4&gt;= 5, D287/Summary!$C$4&lt;10),E287,0) * D287</f>
        <v>0</v>
      </c>
      <c r="I287" s="20">
        <f>IF(AND(D287/Summary!$C$4&gt;=10, D287/Summary!$C$4&lt;25),E287,0)*D287</f>
        <v>0</v>
      </c>
      <c r="J287" s="20">
        <f>IF(D287/Summary!$C$4&gt;=25,E287,0)*D287</f>
        <v>252</v>
      </c>
      <c r="K287" s="35">
        <f>IF(AND(D287/Frequency!$N$7&gt;0, D287/Frequency!$N$7&lt;1),E287,0)</f>
        <v>0</v>
      </c>
      <c r="L287" s="35">
        <f t="shared" si="221"/>
        <v>0</v>
      </c>
      <c r="M287" s="35">
        <f>IF(D287/Frequency!$N$7=1,1,0)*E287</f>
        <v>0</v>
      </c>
      <c r="N287" s="35">
        <f t="shared" si="222"/>
        <v>0</v>
      </c>
      <c r="O287" s="35">
        <f>IF(AND(D287/Frequency!$N$7&gt;1, D287/Frequency!$N$7&lt;=2),1,0)*E287</f>
        <v>0</v>
      </c>
      <c r="P287" s="35">
        <f t="shared" si="223"/>
        <v>0</v>
      </c>
      <c r="Q287" s="35">
        <f>IF(AND(D287/Frequency!$N$7&gt;2,D287/Frequency!$N$7&lt;=5),1,0)*E287</f>
        <v>0</v>
      </c>
      <c r="R287" s="35">
        <f t="shared" si="224"/>
        <v>0</v>
      </c>
      <c r="S287" s="35">
        <f>IF(AND(D287/Frequency!$N$7&gt;5, D287/Frequency!$N$7&lt;=10),1,0)*E287</f>
        <v>0</v>
      </c>
      <c r="T287" s="35">
        <f t="shared" si="225"/>
        <v>0</v>
      </c>
      <c r="U287" s="35">
        <f>IF(AND(D287/Frequency!$N$7&gt;10, D287/Frequency!$N$7&lt;=20),1,0)*E287</f>
        <v>0</v>
      </c>
      <c r="V287" s="35">
        <f t="shared" si="226"/>
        <v>0</v>
      </c>
      <c r="W287" s="35">
        <f>IF(AND(D287/Frequency!$N$7&gt;20, D287/Frequency!$N$7&lt;=30),1,0)*E287</f>
        <v>9</v>
      </c>
      <c r="X287" s="35">
        <f t="shared" si="227"/>
        <v>252</v>
      </c>
      <c r="Y287" s="35">
        <f>IF(AND(D287/Frequency!$N$7&gt;30, D287/Frequency!$N$7&lt;=50),1,0)*E287</f>
        <v>0</v>
      </c>
      <c r="Z287" s="35">
        <f t="shared" si="228"/>
        <v>0</v>
      </c>
      <c r="AA287" s="35">
        <f>IF(AND(D287/Frequency!$N$7&gt;50, D287/Frequency!$N$7&lt;=100),1,0)*E287</f>
        <v>0</v>
      </c>
      <c r="AB287" s="35">
        <f t="shared" si="229"/>
        <v>0</v>
      </c>
      <c r="AC287" s="35">
        <f>IF(D287/Frequency!$N$7&gt;100,1,0)*E287</f>
        <v>0</v>
      </c>
      <c r="AD287" s="35">
        <f t="shared" si="230"/>
        <v>0</v>
      </c>
      <c r="AE287" s="22">
        <f t="shared" si="231"/>
        <v>0</v>
      </c>
      <c r="AF287" s="22">
        <f t="shared" si="232"/>
        <v>9</v>
      </c>
      <c r="AG287" s="22">
        <f t="shared" si="233"/>
        <v>252</v>
      </c>
      <c r="AH287" s="22">
        <f t="shared" si="234"/>
        <v>0</v>
      </c>
      <c r="AI287" s="35">
        <f t="shared" si="235"/>
        <v>1</v>
      </c>
      <c r="AJ287" s="35">
        <f t="shared" si="236"/>
        <v>9</v>
      </c>
      <c r="AK287" s="35">
        <f t="shared" si="237"/>
        <v>252</v>
      </c>
      <c r="AL287">
        <f t="shared" si="238"/>
        <v>1</v>
      </c>
      <c r="AM287">
        <f t="shared" si="239"/>
        <v>9</v>
      </c>
      <c r="AN287">
        <f t="shared" si="240"/>
        <v>252</v>
      </c>
      <c r="AO287">
        <f t="shared" si="241"/>
        <v>1</v>
      </c>
      <c r="AP287">
        <f t="shared" si="242"/>
        <v>9</v>
      </c>
      <c r="AQ287">
        <f t="shared" si="243"/>
        <v>252</v>
      </c>
      <c r="AR287">
        <f t="shared" si="244"/>
        <v>0</v>
      </c>
      <c r="AS287">
        <f t="shared" si="245"/>
        <v>0</v>
      </c>
      <c r="AT287">
        <f t="shared" si="246"/>
        <v>0</v>
      </c>
      <c r="AU287">
        <f t="shared" si="247"/>
        <v>0</v>
      </c>
      <c r="AV287">
        <v>0</v>
      </c>
      <c r="AW287">
        <v>0</v>
      </c>
      <c r="AX287">
        <f t="shared" si="248"/>
        <v>1</v>
      </c>
      <c r="AY287">
        <f t="shared" si="249"/>
        <v>9</v>
      </c>
      <c r="AZ287">
        <f t="shared" si="250"/>
        <v>252</v>
      </c>
      <c r="BA287">
        <f t="shared" si="251"/>
        <v>0</v>
      </c>
      <c r="BB287">
        <f t="shared" si="252"/>
        <v>0</v>
      </c>
      <c r="BC287">
        <f t="shared" si="253"/>
        <v>0</v>
      </c>
      <c r="BD287">
        <f t="shared" si="254"/>
        <v>0</v>
      </c>
      <c r="BE287">
        <f t="shared" si="255"/>
        <v>0</v>
      </c>
      <c r="BF287">
        <f t="shared" si="256"/>
        <v>0</v>
      </c>
      <c r="BG287">
        <f t="shared" si="257"/>
        <v>0</v>
      </c>
      <c r="BH287">
        <f t="shared" si="258"/>
        <v>0</v>
      </c>
      <c r="BI287">
        <f t="shared" si="259"/>
        <v>0</v>
      </c>
      <c r="BJ287">
        <v>0</v>
      </c>
      <c r="BK287" t="str">
        <f t="shared" si="271"/>
        <v>Big Win</v>
      </c>
      <c r="BL287" s="40" t="str">
        <f t="shared" si="272"/>
        <v>Bonus Game A</v>
      </c>
      <c r="BM287">
        <f>(D287/Frequency!$N$7-Summary!$C$7)^2*E287</f>
        <v>6638.9904000000006</v>
      </c>
      <c r="BN287">
        <f t="shared" si="260"/>
        <v>0</v>
      </c>
      <c r="BO287">
        <f t="shared" si="261"/>
        <v>0</v>
      </c>
      <c r="BP287">
        <f t="shared" si="262"/>
        <v>0</v>
      </c>
      <c r="BQ287">
        <f t="shared" si="263"/>
        <v>0</v>
      </c>
      <c r="BR287">
        <f t="shared" si="264"/>
        <v>0</v>
      </c>
      <c r="BS287">
        <f t="shared" si="265"/>
        <v>0</v>
      </c>
      <c r="BT287">
        <f t="shared" si="266"/>
        <v>0</v>
      </c>
      <c r="BU287">
        <f t="shared" si="267"/>
        <v>0</v>
      </c>
      <c r="BV287">
        <f t="shared" si="268"/>
        <v>0</v>
      </c>
      <c r="BW287">
        <f t="shared" si="269"/>
        <v>9</v>
      </c>
      <c r="BX287">
        <f t="shared" si="270"/>
        <v>252</v>
      </c>
    </row>
    <row r="288" spans="2:76">
      <c r="B288" s="19">
        <f>Tiers!B289</f>
        <v>286</v>
      </c>
      <c r="C288" s="20" t="str">
        <f>Tiers!X289</f>
        <v>main-4|main-5|wild-12|bonusA-5||||||</v>
      </c>
      <c r="D288" s="21">
        <f>Tiers!C289</f>
        <v>25</v>
      </c>
      <c r="E288" s="22">
        <f>Frequency!E290</f>
        <v>9</v>
      </c>
      <c r="F288" s="22">
        <f t="shared" si="220"/>
        <v>225</v>
      </c>
      <c r="G288" s="20">
        <f>IF(AND(D288/Summary!$C$4&gt;0, D288/Summary!$C$4&lt;5),E288,0) * D288</f>
        <v>0</v>
      </c>
      <c r="H288" s="20">
        <f>IF(AND(D288/Summary!$C$4&gt;= 5, D288/Summary!$C$4&lt;10),E288,0) * D288</f>
        <v>0</v>
      </c>
      <c r="I288" s="20">
        <f>IF(AND(D288/Summary!$C$4&gt;=10, D288/Summary!$C$4&lt;25),E288,0)*D288</f>
        <v>0</v>
      </c>
      <c r="J288" s="20">
        <f>IF(D288/Summary!$C$4&gt;=25,E288,0)*D288</f>
        <v>225</v>
      </c>
      <c r="K288" s="35">
        <f>IF(AND(D288/Frequency!$N$7&gt;0, D288/Frequency!$N$7&lt;1),E288,0)</f>
        <v>0</v>
      </c>
      <c r="L288" s="35">
        <f t="shared" si="221"/>
        <v>0</v>
      </c>
      <c r="M288" s="35">
        <f>IF(D288/Frequency!$N$7=1,1,0)*E288</f>
        <v>0</v>
      </c>
      <c r="N288" s="35">
        <f t="shared" si="222"/>
        <v>0</v>
      </c>
      <c r="O288" s="35">
        <f>IF(AND(D288/Frequency!$N$7&gt;1, D288/Frequency!$N$7&lt;=2),1,0)*E288</f>
        <v>0</v>
      </c>
      <c r="P288" s="35">
        <f t="shared" si="223"/>
        <v>0</v>
      </c>
      <c r="Q288" s="35">
        <f>IF(AND(D288/Frequency!$N$7&gt;2,D288/Frequency!$N$7&lt;=5),1,0)*E288</f>
        <v>0</v>
      </c>
      <c r="R288" s="35">
        <f t="shared" si="224"/>
        <v>0</v>
      </c>
      <c r="S288" s="35">
        <f>IF(AND(D288/Frequency!$N$7&gt;5, D288/Frequency!$N$7&lt;=10),1,0)*E288</f>
        <v>0</v>
      </c>
      <c r="T288" s="35">
        <f t="shared" si="225"/>
        <v>0</v>
      </c>
      <c r="U288" s="35">
        <f>IF(AND(D288/Frequency!$N$7&gt;10, D288/Frequency!$N$7&lt;=20),1,0)*E288</f>
        <v>0</v>
      </c>
      <c r="V288" s="35">
        <f t="shared" si="226"/>
        <v>0</v>
      </c>
      <c r="W288" s="35">
        <f>IF(AND(D288/Frequency!$N$7&gt;20, D288/Frequency!$N$7&lt;=30),1,0)*E288</f>
        <v>9</v>
      </c>
      <c r="X288" s="35">
        <f t="shared" si="227"/>
        <v>225</v>
      </c>
      <c r="Y288" s="35">
        <f>IF(AND(D288/Frequency!$N$7&gt;30, D288/Frequency!$N$7&lt;=50),1,0)*E288</f>
        <v>0</v>
      </c>
      <c r="Z288" s="35">
        <f t="shared" si="228"/>
        <v>0</v>
      </c>
      <c r="AA288" s="35">
        <f>IF(AND(D288/Frequency!$N$7&gt;50, D288/Frequency!$N$7&lt;=100),1,0)*E288</f>
        <v>0</v>
      </c>
      <c r="AB288" s="35">
        <f t="shared" si="229"/>
        <v>0</v>
      </c>
      <c r="AC288" s="35">
        <f>IF(D288/Frequency!$N$7&gt;100,1,0)*E288</f>
        <v>0</v>
      </c>
      <c r="AD288" s="35">
        <f t="shared" si="230"/>
        <v>0</v>
      </c>
      <c r="AE288" s="22">
        <f t="shared" si="231"/>
        <v>0</v>
      </c>
      <c r="AF288" s="22">
        <f t="shared" si="232"/>
        <v>9</v>
      </c>
      <c r="AG288" s="22">
        <f t="shared" si="233"/>
        <v>225</v>
      </c>
      <c r="AH288" s="22">
        <f t="shared" si="234"/>
        <v>0</v>
      </c>
      <c r="AI288" s="35">
        <f t="shared" si="235"/>
        <v>1</v>
      </c>
      <c r="AJ288" s="35">
        <f t="shared" si="236"/>
        <v>9</v>
      </c>
      <c r="AK288" s="35">
        <f t="shared" si="237"/>
        <v>225</v>
      </c>
      <c r="AL288">
        <f t="shared" si="238"/>
        <v>1</v>
      </c>
      <c r="AM288">
        <f t="shared" si="239"/>
        <v>9</v>
      </c>
      <c r="AN288">
        <f t="shared" si="240"/>
        <v>225</v>
      </c>
      <c r="AO288">
        <f t="shared" si="241"/>
        <v>1</v>
      </c>
      <c r="AP288">
        <f t="shared" si="242"/>
        <v>9</v>
      </c>
      <c r="AQ288">
        <f t="shared" si="243"/>
        <v>225</v>
      </c>
      <c r="AR288">
        <f t="shared" si="244"/>
        <v>0</v>
      </c>
      <c r="AS288">
        <f t="shared" si="245"/>
        <v>0</v>
      </c>
      <c r="AT288">
        <f t="shared" si="246"/>
        <v>0</v>
      </c>
      <c r="AU288">
        <f t="shared" si="247"/>
        <v>0</v>
      </c>
      <c r="AV288">
        <v>0</v>
      </c>
      <c r="AW288">
        <v>0</v>
      </c>
      <c r="AX288">
        <f t="shared" si="248"/>
        <v>1</v>
      </c>
      <c r="AY288">
        <f t="shared" si="249"/>
        <v>9</v>
      </c>
      <c r="AZ288">
        <f t="shared" si="250"/>
        <v>225</v>
      </c>
      <c r="BA288">
        <f t="shared" si="251"/>
        <v>0</v>
      </c>
      <c r="BB288">
        <f t="shared" si="252"/>
        <v>0</v>
      </c>
      <c r="BC288">
        <f t="shared" si="253"/>
        <v>0</v>
      </c>
      <c r="BD288">
        <f t="shared" si="254"/>
        <v>0</v>
      </c>
      <c r="BE288">
        <f t="shared" si="255"/>
        <v>0</v>
      </c>
      <c r="BF288">
        <f t="shared" si="256"/>
        <v>0</v>
      </c>
      <c r="BG288">
        <f t="shared" si="257"/>
        <v>0</v>
      </c>
      <c r="BH288">
        <f t="shared" si="258"/>
        <v>0</v>
      </c>
      <c r="BI288">
        <f t="shared" si="259"/>
        <v>0</v>
      </c>
      <c r="BJ288">
        <v>0</v>
      </c>
      <c r="BK288" t="str">
        <f t="shared" si="271"/>
        <v>Big Win</v>
      </c>
      <c r="BL288" s="40" t="str">
        <f t="shared" si="272"/>
        <v>Bonus Game A</v>
      </c>
      <c r="BM288">
        <f>(D288/Frequency!$N$7-Summary!$C$7)^2*E288</f>
        <v>5253.3504000000003</v>
      </c>
      <c r="BN288">
        <f t="shared" si="260"/>
        <v>0</v>
      </c>
      <c r="BO288">
        <f t="shared" si="261"/>
        <v>0</v>
      </c>
      <c r="BP288">
        <f t="shared" si="262"/>
        <v>0</v>
      </c>
      <c r="BQ288">
        <f t="shared" si="263"/>
        <v>0</v>
      </c>
      <c r="BR288">
        <f t="shared" si="264"/>
        <v>0</v>
      </c>
      <c r="BS288">
        <f t="shared" si="265"/>
        <v>0</v>
      </c>
      <c r="BT288">
        <f t="shared" si="266"/>
        <v>0</v>
      </c>
      <c r="BU288">
        <f t="shared" si="267"/>
        <v>0</v>
      </c>
      <c r="BV288">
        <f t="shared" si="268"/>
        <v>0</v>
      </c>
      <c r="BW288">
        <f t="shared" si="269"/>
        <v>9</v>
      </c>
      <c r="BX288">
        <f t="shared" si="270"/>
        <v>225</v>
      </c>
    </row>
    <row r="289" spans="2:76">
      <c r="B289" s="19">
        <f>Tiers!B290</f>
        <v>287</v>
      </c>
      <c r="C289" s="20" t="str">
        <f>Tiers!X290</f>
        <v>main-5|main-25|wild-13|bonusA-3||||||</v>
      </c>
      <c r="D289" s="21">
        <f>Tiers!C290</f>
        <v>25</v>
      </c>
      <c r="E289" s="22">
        <f>Frequency!E291</f>
        <v>9</v>
      </c>
      <c r="F289" s="22">
        <f t="shared" si="220"/>
        <v>225</v>
      </c>
      <c r="G289" s="20">
        <f>IF(AND(D289/Summary!$C$4&gt;0, D289/Summary!$C$4&lt;5),E289,0) * D289</f>
        <v>0</v>
      </c>
      <c r="H289" s="20">
        <f>IF(AND(D289/Summary!$C$4&gt;= 5, D289/Summary!$C$4&lt;10),E289,0) * D289</f>
        <v>0</v>
      </c>
      <c r="I289" s="20">
        <f>IF(AND(D289/Summary!$C$4&gt;=10, D289/Summary!$C$4&lt;25),E289,0)*D289</f>
        <v>0</v>
      </c>
      <c r="J289" s="20">
        <f>IF(D289/Summary!$C$4&gt;=25,E289,0)*D289</f>
        <v>225</v>
      </c>
      <c r="K289" s="35">
        <f>IF(AND(D289/Frequency!$N$7&gt;0, D289/Frequency!$N$7&lt;1),E289,0)</f>
        <v>0</v>
      </c>
      <c r="L289" s="35">
        <f t="shared" si="221"/>
        <v>0</v>
      </c>
      <c r="M289" s="35">
        <f>IF(D289/Frequency!$N$7=1,1,0)*E289</f>
        <v>0</v>
      </c>
      <c r="N289" s="35">
        <f t="shared" si="222"/>
        <v>0</v>
      </c>
      <c r="O289" s="35">
        <f>IF(AND(D289/Frequency!$N$7&gt;1, D289/Frequency!$N$7&lt;=2),1,0)*E289</f>
        <v>0</v>
      </c>
      <c r="P289" s="35">
        <f t="shared" si="223"/>
        <v>0</v>
      </c>
      <c r="Q289" s="35">
        <f>IF(AND(D289/Frequency!$N$7&gt;2,D289/Frequency!$N$7&lt;=5),1,0)*E289</f>
        <v>0</v>
      </c>
      <c r="R289" s="35">
        <f t="shared" si="224"/>
        <v>0</v>
      </c>
      <c r="S289" s="35">
        <f>IF(AND(D289/Frequency!$N$7&gt;5, D289/Frequency!$N$7&lt;=10),1,0)*E289</f>
        <v>0</v>
      </c>
      <c r="T289" s="35">
        <f t="shared" si="225"/>
        <v>0</v>
      </c>
      <c r="U289" s="35">
        <f>IF(AND(D289/Frequency!$N$7&gt;10, D289/Frequency!$N$7&lt;=20),1,0)*E289</f>
        <v>0</v>
      </c>
      <c r="V289" s="35">
        <f t="shared" si="226"/>
        <v>0</v>
      </c>
      <c r="W289" s="35">
        <f>IF(AND(D289/Frequency!$N$7&gt;20, D289/Frequency!$N$7&lt;=30),1,0)*E289</f>
        <v>9</v>
      </c>
      <c r="X289" s="35">
        <f t="shared" si="227"/>
        <v>225</v>
      </c>
      <c r="Y289" s="35">
        <f>IF(AND(D289/Frequency!$N$7&gt;30, D289/Frequency!$N$7&lt;=50),1,0)*E289</f>
        <v>0</v>
      </c>
      <c r="Z289" s="35">
        <f t="shared" si="228"/>
        <v>0</v>
      </c>
      <c r="AA289" s="35">
        <f>IF(AND(D289/Frequency!$N$7&gt;50, D289/Frequency!$N$7&lt;=100),1,0)*E289</f>
        <v>0</v>
      </c>
      <c r="AB289" s="35">
        <f t="shared" si="229"/>
        <v>0</v>
      </c>
      <c r="AC289" s="35">
        <f>IF(D289/Frequency!$N$7&gt;100,1,0)*E289</f>
        <v>0</v>
      </c>
      <c r="AD289" s="35">
        <f t="shared" si="230"/>
        <v>0</v>
      </c>
      <c r="AE289" s="22">
        <f t="shared" si="231"/>
        <v>0</v>
      </c>
      <c r="AF289" s="22">
        <f t="shared" si="232"/>
        <v>9</v>
      </c>
      <c r="AG289" s="22">
        <f t="shared" si="233"/>
        <v>225</v>
      </c>
      <c r="AH289" s="22">
        <f t="shared" si="234"/>
        <v>0</v>
      </c>
      <c r="AI289" s="35">
        <f t="shared" si="235"/>
        <v>1</v>
      </c>
      <c r="AJ289" s="35">
        <f t="shared" si="236"/>
        <v>9</v>
      </c>
      <c r="AK289" s="35">
        <f t="shared" si="237"/>
        <v>225</v>
      </c>
      <c r="AL289">
        <f t="shared" si="238"/>
        <v>1</v>
      </c>
      <c r="AM289">
        <f t="shared" si="239"/>
        <v>9</v>
      </c>
      <c r="AN289">
        <f t="shared" si="240"/>
        <v>225</v>
      </c>
      <c r="AO289">
        <f t="shared" si="241"/>
        <v>1</v>
      </c>
      <c r="AP289">
        <f t="shared" si="242"/>
        <v>9</v>
      </c>
      <c r="AQ289">
        <f t="shared" si="243"/>
        <v>225</v>
      </c>
      <c r="AR289">
        <f t="shared" si="244"/>
        <v>0</v>
      </c>
      <c r="AS289">
        <f t="shared" si="245"/>
        <v>0</v>
      </c>
      <c r="AT289">
        <f t="shared" si="246"/>
        <v>0</v>
      </c>
      <c r="AU289">
        <f t="shared" si="247"/>
        <v>0</v>
      </c>
      <c r="AV289">
        <v>0</v>
      </c>
      <c r="AW289">
        <v>0</v>
      </c>
      <c r="AX289">
        <f t="shared" si="248"/>
        <v>1</v>
      </c>
      <c r="AY289">
        <f t="shared" si="249"/>
        <v>9</v>
      </c>
      <c r="AZ289">
        <f t="shared" si="250"/>
        <v>225</v>
      </c>
      <c r="BA289">
        <f t="shared" si="251"/>
        <v>0</v>
      </c>
      <c r="BB289">
        <f t="shared" si="252"/>
        <v>0</v>
      </c>
      <c r="BC289">
        <f t="shared" si="253"/>
        <v>0</v>
      </c>
      <c r="BD289">
        <f t="shared" si="254"/>
        <v>0</v>
      </c>
      <c r="BE289">
        <f t="shared" si="255"/>
        <v>0</v>
      </c>
      <c r="BF289">
        <f t="shared" si="256"/>
        <v>0</v>
      </c>
      <c r="BG289">
        <f t="shared" si="257"/>
        <v>0</v>
      </c>
      <c r="BH289">
        <f t="shared" si="258"/>
        <v>0</v>
      </c>
      <c r="BI289">
        <f t="shared" si="259"/>
        <v>0</v>
      </c>
      <c r="BJ289">
        <v>0</v>
      </c>
      <c r="BK289" t="str">
        <f t="shared" si="271"/>
        <v>Big Win</v>
      </c>
      <c r="BL289" s="40" t="str">
        <f t="shared" si="272"/>
        <v>Bonus Game A</v>
      </c>
      <c r="BM289">
        <f>(D289/Frequency!$N$7-Summary!$C$7)^2*E289</f>
        <v>5253.3504000000003</v>
      </c>
      <c r="BN289">
        <f t="shared" si="260"/>
        <v>0</v>
      </c>
      <c r="BO289">
        <f t="shared" si="261"/>
        <v>0</v>
      </c>
      <c r="BP289">
        <f t="shared" si="262"/>
        <v>0</v>
      </c>
      <c r="BQ289">
        <f t="shared" si="263"/>
        <v>0</v>
      </c>
      <c r="BR289">
        <f t="shared" si="264"/>
        <v>0</v>
      </c>
      <c r="BS289">
        <f t="shared" si="265"/>
        <v>0</v>
      </c>
      <c r="BT289">
        <f t="shared" si="266"/>
        <v>0</v>
      </c>
      <c r="BU289">
        <f t="shared" si="267"/>
        <v>0</v>
      </c>
      <c r="BV289">
        <f t="shared" si="268"/>
        <v>0</v>
      </c>
      <c r="BW289">
        <f t="shared" si="269"/>
        <v>9</v>
      </c>
      <c r="BX289">
        <f t="shared" si="270"/>
        <v>225</v>
      </c>
    </row>
    <row r="290" spans="2:76">
      <c r="B290" s="19">
        <f>Tiers!B291</f>
        <v>288</v>
      </c>
      <c r="C290" s="20" t="str">
        <f>Tiers!X291</f>
        <v>main-5|main-26|wild-14|bonusA-4||||||</v>
      </c>
      <c r="D290" s="21">
        <f>Tiers!C291</f>
        <v>29</v>
      </c>
      <c r="E290" s="22">
        <f>Frequency!E292</f>
        <v>12</v>
      </c>
      <c r="F290" s="22">
        <f t="shared" si="220"/>
        <v>348</v>
      </c>
      <c r="G290" s="20">
        <f>IF(AND(D290/Summary!$C$4&gt;0, D290/Summary!$C$4&lt;5),E290,0) * D290</f>
        <v>0</v>
      </c>
      <c r="H290" s="20">
        <f>IF(AND(D290/Summary!$C$4&gt;= 5, D290/Summary!$C$4&lt;10),E290,0) * D290</f>
        <v>0</v>
      </c>
      <c r="I290" s="20">
        <f>IF(AND(D290/Summary!$C$4&gt;=10, D290/Summary!$C$4&lt;25),E290,0)*D290</f>
        <v>0</v>
      </c>
      <c r="J290" s="20">
        <f>IF(D290/Summary!$C$4&gt;=25,E290,0)*D290</f>
        <v>348</v>
      </c>
      <c r="K290" s="35">
        <f>IF(AND(D290/Frequency!$N$7&gt;0, D290/Frequency!$N$7&lt;1),E290,0)</f>
        <v>0</v>
      </c>
      <c r="L290" s="35">
        <f t="shared" si="221"/>
        <v>0</v>
      </c>
      <c r="M290" s="35">
        <f>IF(D290/Frequency!$N$7=1,1,0)*E290</f>
        <v>0</v>
      </c>
      <c r="N290" s="35">
        <f t="shared" si="222"/>
        <v>0</v>
      </c>
      <c r="O290" s="35">
        <f>IF(AND(D290/Frequency!$N$7&gt;1, D290/Frequency!$N$7&lt;=2),1,0)*E290</f>
        <v>0</v>
      </c>
      <c r="P290" s="35">
        <f t="shared" si="223"/>
        <v>0</v>
      </c>
      <c r="Q290" s="35">
        <f>IF(AND(D290/Frequency!$N$7&gt;2,D290/Frequency!$N$7&lt;=5),1,0)*E290</f>
        <v>0</v>
      </c>
      <c r="R290" s="35">
        <f t="shared" si="224"/>
        <v>0</v>
      </c>
      <c r="S290" s="35">
        <f>IF(AND(D290/Frequency!$N$7&gt;5, D290/Frequency!$N$7&lt;=10),1,0)*E290</f>
        <v>0</v>
      </c>
      <c r="T290" s="35">
        <f t="shared" si="225"/>
        <v>0</v>
      </c>
      <c r="U290" s="35">
        <f>IF(AND(D290/Frequency!$N$7&gt;10, D290/Frequency!$N$7&lt;=20),1,0)*E290</f>
        <v>0</v>
      </c>
      <c r="V290" s="35">
        <f t="shared" si="226"/>
        <v>0</v>
      </c>
      <c r="W290" s="35">
        <f>IF(AND(D290/Frequency!$N$7&gt;20, D290/Frequency!$N$7&lt;=30),1,0)*E290</f>
        <v>12</v>
      </c>
      <c r="X290" s="35">
        <f t="shared" si="227"/>
        <v>348</v>
      </c>
      <c r="Y290" s="35">
        <f>IF(AND(D290/Frequency!$N$7&gt;30, D290/Frequency!$N$7&lt;=50),1,0)*E290</f>
        <v>0</v>
      </c>
      <c r="Z290" s="35">
        <f t="shared" si="228"/>
        <v>0</v>
      </c>
      <c r="AA290" s="35">
        <f>IF(AND(D290/Frequency!$N$7&gt;50, D290/Frequency!$N$7&lt;=100),1,0)*E290</f>
        <v>0</v>
      </c>
      <c r="AB290" s="35">
        <f t="shared" si="229"/>
        <v>0</v>
      </c>
      <c r="AC290" s="35">
        <f>IF(D290/Frequency!$N$7&gt;100,1,0)*E290</f>
        <v>0</v>
      </c>
      <c r="AD290" s="35">
        <f t="shared" si="230"/>
        <v>0</v>
      </c>
      <c r="AE290" s="22">
        <f t="shared" si="231"/>
        <v>0</v>
      </c>
      <c r="AF290" s="22">
        <f t="shared" si="232"/>
        <v>12</v>
      </c>
      <c r="AG290" s="22">
        <f t="shared" si="233"/>
        <v>348</v>
      </c>
      <c r="AH290" s="22">
        <f t="shared" si="234"/>
        <v>0</v>
      </c>
      <c r="AI290" s="35">
        <f t="shared" si="235"/>
        <v>1</v>
      </c>
      <c r="AJ290" s="35">
        <f t="shared" si="236"/>
        <v>12</v>
      </c>
      <c r="AK290" s="35">
        <f t="shared" si="237"/>
        <v>348</v>
      </c>
      <c r="AL290">
        <f t="shared" si="238"/>
        <v>1</v>
      </c>
      <c r="AM290">
        <f t="shared" si="239"/>
        <v>12</v>
      </c>
      <c r="AN290">
        <f t="shared" si="240"/>
        <v>348</v>
      </c>
      <c r="AO290">
        <f t="shared" si="241"/>
        <v>1</v>
      </c>
      <c r="AP290">
        <f t="shared" si="242"/>
        <v>12</v>
      </c>
      <c r="AQ290">
        <f t="shared" si="243"/>
        <v>348</v>
      </c>
      <c r="AR290">
        <f t="shared" si="244"/>
        <v>0</v>
      </c>
      <c r="AS290">
        <f t="shared" si="245"/>
        <v>0</v>
      </c>
      <c r="AT290">
        <f t="shared" si="246"/>
        <v>0</v>
      </c>
      <c r="AU290">
        <f t="shared" si="247"/>
        <v>0</v>
      </c>
      <c r="AV290">
        <v>0</v>
      </c>
      <c r="AW290">
        <v>0</v>
      </c>
      <c r="AX290">
        <f t="shared" si="248"/>
        <v>1</v>
      </c>
      <c r="AY290">
        <f t="shared" si="249"/>
        <v>12</v>
      </c>
      <c r="AZ290">
        <f t="shared" si="250"/>
        <v>348</v>
      </c>
      <c r="BA290">
        <f t="shared" si="251"/>
        <v>0</v>
      </c>
      <c r="BB290">
        <f t="shared" si="252"/>
        <v>0</v>
      </c>
      <c r="BC290">
        <f t="shared" si="253"/>
        <v>0</v>
      </c>
      <c r="BD290">
        <f t="shared" si="254"/>
        <v>0</v>
      </c>
      <c r="BE290">
        <f t="shared" si="255"/>
        <v>0</v>
      </c>
      <c r="BF290">
        <f t="shared" si="256"/>
        <v>0</v>
      </c>
      <c r="BG290">
        <f t="shared" si="257"/>
        <v>0</v>
      </c>
      <c r="BH290">
        <f t="shared" si="258"/>
        <v>0</v>
      </c>
      <c r="BI290">
        <f t="shared" si="259"/>
        <v>0</v>
      </c>
      <c r="BJ290">
        <v>0</v>
      </c>
      <c r="BK290" t="str">
        <f t="shared" si="271"/>
        <v>Big Win</v>
      </c>
      <c r="BL290" s="40" t="str">
        <f t="shared" si="272"/>
        <v>Bonus Game A</v>
      </c>
      <c r="BM290">
        <f>(D290/Frequency!$N$7-Summary!$C$7)^2*E290</f>
        <v>9515.8271999999997</v>
      </c>
      <c r="BN290">
        <f t="shared" si="260"/>
        <v>0</v>
      </c>
      <c r="BO290">
        <f t="shared" si="261"/>
        <v>0</v>
      </c>
      <c r="BP290">
        <f t="shared" si="262"/>
        <v>0</v>
      </c>
      <c r="BQ290">
        <f t="shared" si="263"/>
        <v>0</v>
      </c>
      <c r="BR290">
        <f t="shared" si="264"/>
        <v>0</v>
      </c>
      <c r="BS290">
        <f t="shared" si="265"/>
        <v>0</v>
      </c>
      <c r="BT290">
        <f t="shared" si="266"/>
        <v>0</v>
      </c>
      <c r="BU290">
        <f t="shared" si="267"/>
        <v>0</v>
      </c>
      <c r="BV290">
        <f t="shared" si="268"/>
        <v>0</v>
      </c>
      <c r="BW290">
        <f t="shared" si="269"/>
        <v>12</v>
      </c>
      <c r="BX290">
        <f t="shared" si="270"/>
        <v>348</v>
      </c>
    </row>
    <row r="291" spans="2:76">
      <c r="B291" s="19">
        <f>Tiers!B292</f>
        <v>289</v>
      </c>
      <c r="C291" s="20" t="str">
        <f>Tiers!X292</f>
        <v>main-4|main-0|main-20|bonusA-5||||||</v>
      </c>
      <c r="D291" s="21">
        <f>Tiers!C292</f>
        <v>27.1</v>
      </c>
      <c r="E291" s="22">
        <f>Frequency!E293</f>
        <v>7</v>
      </c>
      <c r="F291" s="22">
        <f t="shared" si="220"/>
        <v>189.70000000000002</v>
      </c>
      <c r="G291" s="20">
        <f>IF(AND(D291/Summary!$C$4&gt;0, D291/Summary!$C$4&lt;5),E291,0) * D291</f>
        <v>0</v>
      </c>
      <c r="H291" s="20">
        <f>IF(AND(D291/Summary!$C$4&gt;= 5, D291/Summary!$C$4&lt;10),E291,0) * D291</f>
        <v>0</v>
      </c>
      <c r="I291" s="20">
        <f>IF(AND(D291/Summary!$C$4&gt;=10, D291/Summary!$C$4&lt;25),E291,0)*D291</f>
        <v>0</v>
      </c>
      <c r="J291" s="20">
        <f>IF(D291/Summary!$C$4&gt;=25,E291,0)*D291</f>
        <v>189.70000000000002</v>
      </c>
      <c r="K291" s="35">
        <f>IF(AND(D291/Frequency!$N$7&gt;0, D291/Frequency!$N$7&lt;1),E291,0)</f>
        <v>0</v>
      </c>
      <c r="L291" s="35">
        <f t="shared" si="221"/>
        <v>0</v>
      </c>
      <c r="M291" s="35">
        <f>IF(D291/Frequency!$N$7=1,1,0)*E291</f>
        <v>0</v>
      </c>
      <c r="N291" s="35">
        <f t="shared" si="222"/>
        <v>0</v>
      </c>
      <c r="O291" s="35">
        <f>IF(AND(D291/Frequency!$N$7&gt;1, D291/Frequency!$N$7&lt;=2),1,0)*E291</f>
        <v>0</v>
      </c>
      <c r="P291" s="35">
        <f t="shared" si="223"/>
        <v>0</v>
      </c>
      <c r="Q291" s="35">
        <f>IF(AND(D291/Frequency!$N$7&gt;2,D291/Frequency!$N$7&lt;=5),1,0)*E291</f>
        <v>0</v>
      </c>
      <c r="R291" s="35">
        <f t="shared" si="224"/>
        <v>0</v>
      </c>
      <c r="S291" s="35">
        <f>IF(AND(D291/Frequency!$N$7&gt;5, D291/Frequency!$N$7&lt;=10),1,0)*E291</f>
        <v>0</v>
      </c>
      <c r="T291" s="35">
        <f t="shared" si="225"/>
        <v>0</v>
      </c>
      <c r="U291" s="35">
        <f>IF(AND(D291/Frequency!$N$7&gt;10, D291/Frequency!$N$7&lt;=20),1,0)*E291</f>
        <v>0</v>
      </c>
      <c r="V291" s="35">
        <f t="shared" si="226"/>
        <v>0</v>
      </c>
      <c r="W291" s="35">
        <f>IF(AND(D291/Frequency!$N$7&gt;20, D291/Frequency!$N$7&lt;=30),1,0)*E291</f>
        <v>7</v>
      </c>
      <c r="X291" s="35">
        <f t="shared" si="227"/>
        <v>189.70000000000002</v>
      </c>
      <c r="Y291" s="35">
        <f>IF(AND(D291/Frequency!$N$7&gt;30, D291/Frequency!$N$7&lt;=50),1,0)*E291</f>
        <v>0</v>
      </c>
      <c r="Z291" s="35">
        <f t="shared" si="228"/>
        <v>0</v>
      </c>
      <c r="AA291" s="35">
        <f>IF(AND(D291/Frequency!$N$7&gt;50, D291/Frequency!$N$7&lt;=100),1,0)*E291</f>
        <v>0</v>
      </c>
      <c r="AB291" s="35">
        <f t="shared" si="229"/>
        <v>0</v>
      </c>
      <c r="AC291" s="35">
        <f>IF(D291/Frequency!$N$7&gt;100,1,0)*E291</f>
        <v>0</v>
      </c>
      <c r="AD291" s="35">
        <f t="shared" si="230"/>
        <v>0</v>
      </c>
      <c r="AE291" s="22">
        <f t="shared" si="231"/>
        <v>0</v>
      </c>
      <c r="AF291" s="22">
        <f t="shared" si="232"/>
        <v>7</v>
      </c>
      <c r="AG291" s="22">
        <f t="shared" si="233"/>
        <v>189.70000000000002</v>
      </c>
      <c r="AH291" s="22">
        <f t="shared" si="234"/>
        <v>0</v>
      </c>
      <c r="AI291" s="35">
        <f t="shared" si="235"/>
        <v>1</v>
      </c>
      <c r="AJ291" s="35">
        <f t="shared" si="236"/>
        <v>7</v>
      </c>
      <c r="AK291" s="35">
        <f t="shared" si="237"/>
        <v>189.70000000000002</v>
      </c>
      <c r="AL291">
        <f t="shared" si="238"/>
        <v>0</v>
      </c>
      <c r="AM291">
        <f t="shared" si="239"/>
        <v>0</v>
      </c>
      <c r="AN291">
        <f t="shared" si="240"/>
        <v>0</v>
      </c>
      <c r="AO291">
        <f t="shared" si="241"/>
        <v>0</v>
      </c>
      <c r="AP291">
        <f t="shared" si="242"/>
        <v>0</v>
      </c>
      <c r="AQ291">
        <f t="shared" si="243"/>
        <v>0</v>
      </c>
      <c r="AR291">
        <f t="shared" si="244"/>
        <v>0</v>
      </c>
      <c r="AS291">
        <f t="shared" si="245"/>
        <v>0</v>
      </c>
      <c r="AT291">
        <f t="shared" si="246"/>
        <v>0</v>
      </c>
      <c r="AU291">
        <f t="shared" si="247"/>
        <v>0</v>
      </c>
      <c r="AV291">
        <v>0</v>
      </c>
      <c r="AW291">
        <v>0</v>
      </c>
      <c r="AX291">
        <f t="shared" si="248"/>
        <v>1</v>
      </c>
      <c r="AY291">
        <f t="shared" si="249"/>
        <v>7</v>
      </c>
      <c r="AZ291">
        <f t="shared" si="250"/>
        <v>189.70000000000002</v>
      </c>
      <c r="BA291">
        <f t="shared" si="251"/>
        <v>0</v>
      </c>
      <c r="BB291">
        <f t="shared" si="252"/>
        <v>0</v>
      </c>
      <c r="BC291">
        <f t="shared" si="253"/>
        <v>0</v>
      </c>
      <c r="BD291">
        <f t="shared" si="254"/>
        <v>0</v>
      </c>
      <c r="BE291">
        <f t="shared" si="255"/>
        <v>0</v>
      </c>
      <c r="BF291">
        <f t="shared" si="256"/>
        <v>0</v>
      </c>
      <c r="BG291">
        <f t="shared" si="257"/>
        <v>0</v>
      </c>
      <c r="BH291">
        <f t="shared" si="258"/>
        <v>0</v>
      </c>
      <c r="BI291">
        <f t="shared" si="259"/>
        <v>0</v>
      </c>
      <c r="BJ291">
        <v>0</v>
      </c>
      <c r="BK291" t="str">
        <f t="shared" ref="BK291:BK321" si="273">IF(D291 &lt; $D$417, $C$417,
IF(D291 = $D$418, $C$418,
IF(D291 &lt; $D$419, $C$419,
IF(D291 &lt; $D$420, $C$420,
IF(D291 &lt; $D$421, $C$421, $C$422)))))</f>
        <v>Big Win</v>
      </c>
      <c r="BL291" s="40" t="str">
        <f t="shared" ref="BL291:BL321" si="274">IF(AU291 = 1,$C$426,
IF(AV291 = 1,$C$427,
IF(AW291 = 1,$C$428,
IF(AX291 = 1,$C$429,
IF(BA291 = 1,$C$430,
IF(BD291 = 1,$C$431,
IF(BG291 = 1,$C$432,
IF(ISNUMBER(SEARCH("|||||||||",C291)), $C$433,$C$434))))))))</f>
        <v>Bonus Game A</v>
      </c>
      <c r="BM291">
        <f>(D291/Frequency!$N$7-Summary!$C$7)^2*E291</f>
        <v>4827.1132000000007</v>
      </c>
      <c r="BN291">
        <f t="shared" si="260"/>
        <v>0</v>
      </c>
      <c r="BO291">
        <f t="shared" si="261"/>
        <v>0</v>
      </c>
      <c r="BP291">
        <f t="shared" si="262"/>
        <v>0</v>
      </c>
      <c r="BQ291">
        <f t="shared" si="263"/>
        <v>0</v>
      </c>
      <c r="BR291">
        <f t="shared" si="264"/>
        <v>0</v>
      </c>
      <c r="BS291">
        <f t="shared" si="265"/>
        <v>0</v>
      </c>
      <c r="BT291">
        <f t="shared" si="266"/>
        <v>0</v>
      </c>
      <c r="BU291">
        <f t="shared" si="267"/>
        <v>0</v>
      </c>
      <c r="BV291">
        <f t="shared" si="268"/>
        <v>0</v>
      </c>
      <c r="BW291">
        <f t="shared" si="269"/>
        <v>7</v>
      </c>
      <c r="BX291">
        <f t="shared" si="270"/>
        <v>189.70000000000002</v>
      </c>
    </row>
    <row r="292" spans="2:76">
      <c r="B292" s="19">
        <f>Tiers!B293</f>
        <v>290</v>
      </c>
      <c r="C292" s="20" t="str">
        <f>Tiers!X293</f>
        <v>main-11|main-25|main-5|bonusA-4||||||</v>
      </c>
      <c r="D292" s="21">
        <f>Tiers!C293</f>
        <v>24</v>
      </c>
      <c r="E292" s="22">
        <f>Frequency!E294</f>
        <v>9</v>
      </c>
      <c r="F292" s="22">
        <f t="shared" si="220"/>
        <v>216</v>
      </c>
      <c r="G292" s="20">
        <f>IF(AND(D292/Summary!$C$4&gt;0, D292/Summary!$C$4&lt;5),E292,0) * D292</f>
        <v>0</v>
      </c>
      <c r="H292" s="20">
        <f>IF(AND(D292/Summary!$C$4&gt;= 5, D292/Summary!$C$4&lt;10),E292,0) * D292</f>
        <v>0</v>
      </c>
      <c r="I292" s="20">
        <f>IF(AND(D292/Summary!$C$4&gt;=10, D292/Summary!$C$4&lt;25),E292,0)*D292</f>
        <v>216</v>
      </c>
      <c r="J292" s="20">
        <f>IF(D292/Summary!$C$4&gt;=25,E292,0)*D292</f>
        <v>0</v>
      </c>
      <c r="K292" s="35">
        <f>IF(AND(D292/Frequency!$N$7&gt;0, D292/Frequency!$N$7&lt;1),E292,0)</f>
        <v>0</v>
      </c>
      <c r="L292" s="35">
        <f t="shared" si="221"/>
        <v>0</v>
      </c>
      <c r="M292" s="35">
        <f>IF(D292/Frequency!$N$7=1,1,0)*E292</f>
        <v>0</v>
      </c>
      <c r="N292" s="35">
        <f t="shared" si="222"/>
        <v>0</v>
      </c>
      <c r="O292" s="35">
        <f>IF(AND(D292/Frequency!$N$7&gt;1, D292/Frequency!$N$7&lt;=2),1,0)*E292</f>
        <v>0</v>
      </c>
      <c r="P292" s="35">
        <f t="shared" si="223"/>
        <v>0</v>
      </c>
      <c r="Q292" s="35">
        <f>IF(AND(D292/Frequency!$N$7&gt;2,D292/Frequency!$N$7&lt;=5),1,0)*E292</f>
        <v>0</v>
      </c>
      <c r="R292" s="35">
        <f t="shared" si="224"/>
        <v>0</v>
      </c>
      <c r="S292" s="35">
        <f>IF(AND(D292/Frequency!$N$7&gt;5, D292/Frequency!$N$7&lt;=10),1,0)*E292</f>
        <v>0</v>
      </c>
      <c r="T292" s="35">
        <f t="shared" si="225"/>
        <v>0</v>
      </c>
      <c r="U292" s="35">
        <f>IF(AND(D292/Frequency!$N$7&gt;10, D292/Frequency!$N$7&lt;=20),1,0)*E292</f>
        <v>0</v>
      </c>
      <c r="V292" s="35">
        <f t="shared" si="226"/>
        <v>0</v>
      </c>
      <c r="W292" s="35">
        <f>IF(AND(D292/Frequency!$N$7&gt;20, D292/Frequency!$N$7&lt;=30),1,0)*E292</f>
        <v>9</v>
      </c>
      <c r="X292" s="35">
        <f t="shared" si="227"/>
        <v>216</v>
      </c>
      <c r="Y292" s="35">
        <f>IF(AND(D292/Frequency!$N$7&gt;30, D292/Frequency!$N$7&lt;=50),1,0)*E292</f>
        <v>0</v>
      </c>
      <c r="Z292" s="35">
        <f t="shared" si="228"/>
        <v>0</v>
      </c>
      <c r="AA292" s="35">
        <f>IF(AND(D292/Frequency!$N$7&gt;50, D292/Frequency!$N$7&lt;=100),1,0)*E292</f>
        <v>0</v>
      </c>
      <c r="AB292" s="35">
        <f t="shared" si="229"/>
        <v>0</v>
      </c>
      <c r="AC292" s="35">
        <f>IF(D292/Frequency!$N$7&gt;100,1,0)*E292</f>
        <v>0</v>
      </c>
      <c r="AD292" s="35">
        <f t="shared" si="230"/>
        <v>0</v>
      </c>
      <c r="AE292" s="22">
        <f t="shared" si="231"/>
        <v>0</v>
      </c>
      <c r="AF292" s="22">
        <f t="shared" si="232"/>
        <v>9</v>
      </c>
      <c r="AG292" s="22">
        <f t="shared" si="233"/>
        <v>216</v>
      </c>
      <c r="AH292" s="22">
        <f t="shared" si="234"/>
        <v>0</v>
      </c>
      <c r="AI292" s="35">
        <f t="shared" si="235"/>
        <v>1</v>
      </c>
      <c r="AJ292" s="35">
        <f t="shared" si="236"/>
        <v>9</v>
      </c>
      <c r="AK292" s="35">
        <f t="shared" si="237"/>
        <v>216</v>
      </c>
      <c r="AL292">
        <f t="shared" si="238"/>
        <v>0</v>
      </c>
      <c r="AM292">
        <f t="shared" si="239"/>
        <v>0</v>
      </c>
      <c r="AN292">
        <f t="shared" si="240"/>
        <v>0</v>
      </c>
      <c r="AO292">
        <f t="shared" si="241"/>
        <v>0</v>
      </c>
      <c r="AP292">
        <f t="shared" si="242"/>
        <v>0</v>
      </c>
      <c r="AQ292">
        <f t="shared" si="243"/>
        <v>0</v>
      </c>
      <c r="AR292">
        <f t="shared" si="244"/>
        <v>0</v>
      </c>
      <c r="AS292">
        <f t="shared" si="245"/>
        <v>0</v>
      </c>
      <c r="AT292">
        <f t="shared" si="246"/>
        <v>0</v>
      </c>
      <c r="AU292">
        <f t="shared" si="247"/>
        <v>0</v>
      </c>
      <c r="AV292">
        <v>0</v>
      </c>
      <c r="AW292">
        <v>0</v>
      </c>
      <c r="AX292">
        <f t="shared" si="248"/>
        <v>1</v>
      </c>
      <c r="AY292">
        <f t="shared" si="249"/>
        <v>9</v>
      </c>
      <c r="AZ292">
        <f t="shared" si="250"/>
        <v>216</v>
      </c>
      <c r="BA292">
        <f t="shared" si="251"/>
        <v>0</v>
      </c>
      <c r="BB292">
        <f t="shared" si="252"/>
        <v>0</v>
      </c>
      <c r="BC292">
        <f t="shared" si="253"/>
        <v>0</v>
      </c>
      <c r="BD292">
        <f t="shared" si="254"/>
        <v>0</v>
      </c>
      <c r="BE292">
        <f t="shared" si="255"/>
        <v>0</v>
      </c>
      <c r="BF292">
        <f t="shared" si="256"/>
        <v>0</v>
      </c>
      <c r="BG292">
        <f t="shared" si="257"/>
        <v>0</v>
      </c>
      <c r="BH292">
        <f t="shared" si="258"/>
        <v>0</v>
      </c>
      <c r="BI292">
        <f t="shared" si="259"/>
        <v>0</v>
      </c>
      <c r="BJ292">
        <v>0</v>
      </c>
      <c r="BK292" t="str">
        <f t="shared" si="273"/>
        <v>Big Win</v>
      </c>
      <c r="BL292" s="40" t="str">
        <f t="shared" si="274"/>
        <v>Bonus Game A</v>
      </c>
      <c r="BM292">
        <f>(D292/Frequency!$N$7-Summary!$C$7)^2*E292</f>
        <v>4827.4703999999992</v>
      </c>
      <c r="BN292">
        <f t="shared" si="260"/>
        <v>0</v>
      </c>
      <c r="BO292">
        <f t="shared" si="261"/>
        <v>0</v>
      </c>
      <c r="BP292">
        <f t="shared" si="262"/>
        <v>0</v>
      </c>
      <c r="BQ292">
        <f t="shared" si="263"/>
        <v>0</v>
      </c>
      <c r="BR292">
        <f t="shared" si="264"/>
        <v>0</v>
      </c>
      <c r="BS292">
        <f t="shared" si="265"/>
        <v>0</v>
      </c>
      <c r="BT292">
        <f t="shared" si="266"/>
        <v>0</v>
      </c>
      <c r="BU292">
        <f t="shared" si="267"/>
        <v>0</v>
      </c>
      <c r="BV292">
        <f t="shared" si="268"/>
        <v>0</v>
      </c>
      <c r="BW292">
        <f t="shared" si="269"/>
        <v>9</v>
      </c>
      <c r="BX292">
        <f t="shared" si="270"/>
        <v>216</v>
      </c>
    </row>
    <row r="293" spans="2:76">
      <c r="B293" s="19">
        <f>Tiers!B294</f>
        <v>291</v>
      </c>
      <c r="C293" s="20" t="str">
        <f>Tiers!X294</f>
        <v>main-18|main-19|main-5|bonusA-3||||||</v>
      </c>
      <c r="D293" s="21">
        <f>Tiers!C294</f>
        <v>23</v>
      </c>
      <c r="E293" s="22">
        <f>Frequency!E295</f>
        <v>23</v>
      </c>
      <c r="F293" s="22">
        <f t="shared" si="220"/>
        <v>529</v>
      </c>
      <c r="G293" s="20">
        <f>IF(AND(D293/Summary!$C$4&gt;0, D293/Summary!$C$4&lt;5),E293,0) * D293</f>
        <v>0</v>
      </c>
      <c r="H293" s="20">
        <f>IF(AND(D293/Summary!$C$4&gt;= 5, D293/Summary!$C$4&lt;10),E293,0) * D293</f>
        <v>0</v>
      </c>
      <c r="I293" s="20">
        <f>IF(AND(D293/Summary!$C$4&gt;=10, D293/Summary!$C$4&lt;25),E293,0)*D293</f>
        <v>529</v>
      </c>
      <c r="J293" s="20">
        <f>IF(D293/Summary!$C$4&gt;=25,E293,0)*D293</f>
        <v>0</v>
      </c>
      <c r="K293" s="35">
        <f>IF(AND(D293/Frequency!$N$7&gt;0, D293/Frequency!$N$7&lt;1),E293,0)</f>
        <v>0</v>
      </c>
      <c r="L293" s="35">
        <f t="shared" si="221"/>
        <v>0</v>
      </c>
      <c r="M293" s="35">
        <f>IF(D293/Frequency!$N$7=1,1,0)*E293</f>
        <v>0</v>
      </c>
      <c r="N293" s="35">
        <f t="shared" si="222"/>
        <v>0</v>
      </c>
      <c r="O293" s="35">
        <f>IF(AND(D293/Frequency!$N$7&gt;1, D293/Frequency!$N$7&lt;=2),1,0)*E293</f>
        <v>0</v>
      </c>
      <c r="P293" s="35">
        <f t="shared" si="223"/>
        <v>0</v>
      </c>
      <c r="Q293" s="35">
        <f>IF(AND(D293/Frequency!$N$7&gt;2,D293/Frequency!$N$7&lt;=5),1,0)*E293</f>
        <v>0</v>
      </c>
      <c r="R293" s="35">
        <f t="shared" si="224"/>
        <v>0</v>
      </c>
      <c r="S293" s="35">
        <f>IF(AND(D293/Frequency!$N$7&gt;5, D293/Frequency!$N$7&lt;=10),1,0)*E293</f>
        <v>0</v>
      </c>
      <c r="T293" s="35">
        <f t="shared" si="225"/>
        <v>0</v>
      </c>
      <c r="U293" s="35">
        <f>IF(AND(D293/Frequency!$N$7&gt;10, D293/Frequency!$N$7&lt;=20),1,0)*E293</f>
        <v>0</v>
      </c>
      <c r="V293" s="35">
        <f t="shared" si="226"/>
        <v>0</v>
      </c>
      <c r="W293" s="35">
        <f>IF(AND(D293/Frequency!$N$7&gt;20, D293/Frequency!$N$7&lt;=30),1,0)*E293</f>
        <v>23</v>
      </c>
      <c r="X293" s="35">
        <f t="shared" si="227"/>
        <v>529</v>
      </c>
      <c r="Y293" s="35">
        <f>IF(AND(D293/Frequency!$N$7&gt;30, D293/Frequency!$N$7&lt;=50),1,0)*E293</f>
        <v>0</v>
      </c>
      <c r="Z293" s="35">
        <f t="shared" si="228"/>
        <v>0</v>
      </c>
      <c r="AA293" s="35">
        <f>IF(AND(D293/Frequency!$N$7&gt;50, D293/Frequency!$N$7&lt;=100),1,0)*E293</f>
        <v>0</v>
      </c>
      <c r="AB293" s="35">
        <f t="shared" si="229"/>
        <v>0</v>
      </c>
      <c r="AC293" s="35">
        <f>IF(D293/Frequency!$N$7&gt;100,1,0)*E293</f>
        <v>0</v>
      </c>
      <c r="AD293" s="35">
        <f t="shared" si="230"/>
        <v>0</v>
      </c>
      <c r="AE293" s="22">
        <f t="shared" si="231"/>
        <v>0</v>
      </c>
      <c r="AF293" s="22">
        <f t="shared" si="232"/>
        <v>23</v>
      </c>
      <c r="AG293" s="22">
        <f t="shared" si="233"/>
        <v>529</v>
      </c>
      <c r="AH293" s="22">
        <f t="shared" si="234"/>
        <v>0</v>
      </c>
      <c r="AI293" s="35">
        <f t="shared" si="235"/>
        <v>1</v>
      </c>
      <c r="AJ293" s="35">
        <f t="shared" si="236"/>
        <v>23</v>
      </c>
      <c r="AK293" s="35">
        <f t="shared" si="237"/>
        <v>529</v>
      </c>
      <c r="AL293">
        <f t="shared" si="238"/>
        <v>0</v>
      </c>
      <c r="AM293">
        <f t="shared" si="239"/>
        <v>0</v>
      </c>
      <c r="AN293">
        <f t="shared" si="240"/>
        <v>0</v>
      </c>
      <c r="AO293">
        <f t="shared" si="241"/>
        <v>0</v>
      </c>
      <c r="AP293">
        <f t="shared" si="242"/>
        <v>0</v>
      </c>
      <c r="AQ293">
        <f t="shared" si="243"/>
        <v>0</v>
      </c>
      <c r="AR293">
        <f t="shared" si="244"/>
        <v>0</v>
      </c>
      <c r="AS293">
        <f t="shared" si="245"/>
        <v>0</v>
      </c>
      <c r="AT293">
        <f t="shared" si="246"/>
        <v>0</v>
      </c>
      <c r="AU293">
        <f t="shared" si="247"/>
        <v>0</v>
      </c>
      <c r="AV293">
        <v>0</v>
      </c>
      <c r="AW293">
        <v>0</v>
      </c>
      <c r="AX293">
        <f t="shared" si="248"/>
        <v>1</v>
      </c>
      <c r="AY293">
        <f t="shared" si="249"/>
        <v>23</v>
      </c>
      <c r="AZ293">
        <f t="shared" si="250"/>
        <v>529</v>
      </c>
      <c r="BA293">
        <f t="shared" si="251"/>
        <v>0</v>
      </c>
      <c r="BB293">
        <f t="shared" si="252"/>
        <v>0</v>
      </c>
      <c r="BC293">
        <f t="shared" si="253"/>
        <v>0</v>
      </c>
      <c r="BD293">
        <f t="shared" si="254"/>
        <v>0</v>
      </c>
      <c r="BE293">
        <f t="shared" si="255"/>
        <v>0</v>
      </c>
      <c r="BF293">
        <f t="shared" si="256"/>
        <v>0</v>
      </c>
      <c r="BG293">
        <f t="shared" si="257"/>
        <v>0</v>
      </c>
      <c r="BH293">
        <f t="shared" si="258"/>
        <v>0</v>
      </c>
      <c r="BI293">
        <f t="shared" si="259"/>
        <v>0</v>
      </c>
      <c r="BJ293">
        <v>0</v>
      </c>
      <c r="BK293" t="str">
        <f t="shared" si="273"/>
        <v>Big Win</v>
      </c>
      <c r="BL293" s="40" t="str">
        <f t="shared" si="274"/>
        <v>Bonus Game A</v>
      </c>
      <c r="BM293">
        <f>(D293/Frequency!$N$7-Summary!$C$7)^2*E293</f>
        <v>11294.5088</v>
      </c>
      <c r="BN293">
        <f t="shared" si="260"/>
        <v>0</v>
      </c>
      <c r="BO293">
        <f t="shared" si="261"/>
        <v>0</v>
      </c>
      <c r="BP293">
        <f t="shared" si="262"/>
        <v>0</v>
      </c>
      <c r="BQ293">
        <f t="shared" si="263"/>
        <v>0</v>
      </c>
      <c r="BR293">
        <f t="shared" si="264"/>
        <v>0</v>
      </c>
      <c r="BS293">
        <f t="shared" si="265"/>
        <v>0</v>
      </c>
      <c r="BT293">
        <f t="shared" si="266"/>
        <v>0</v>
      </c>
      <c r="BU293">
        <f t="shared" si="267"/>
        <v>0</v>
      </c>
      <c r="BV293">
        <f t="shared" si="268"/>
        <v>0</v>
      </c>
      <c r="BW293">
        <f t="shared" si="269"/>
        <v>23</v>
      </c>
      <c r="BX293">
        <f t="shared" si="270"/>
        <v>529</v>
      </c>
    </row>
    <row r="294" spans="2:76">
      <c r="B294" s="19">
        <f>Tiers!B295</f>
        <v>292</v>
      </c>
      <c r="C294" s="20" t="str">
        <f>Tiers!X295</f>
        <v>main-2|main-19|main-3|bonusA-4||||||</v>
      </c>
      <c r="D294" s="21">
        <f>Tiers!C295</f>
        <v>18.5</v>
      </c>
      <c r="E294" s="22">
        <f>Frequency!E296</f>
        <v>20</v>
      </c>
      <c r="F294" s="22">
        <f t="shared" si="220"/>
        <v>370</v>
      </c>
      <c r="G294" s="20">
        <f>IF(AND(D294/Summary!$C$4&gt;0, D294/Summary!$C$4&lt;5),E294,0) * D294</f>
        <v>0</v>
      </c>
      <c r="H294" s="20">
        <f>IF(AND(D294/Summary!$C$4&gt;= 5, D294/Summary!$C$4&lt;10),E294,0) * D294</f>
        <v>0</v>
      </c>
      <c r="I294" s="20">
        <f>IF(AND(D294/Summary!$C$4&gt;=10, D294/Summary!$C$4&lt;25),E294,0)*D294</f>
        <v>370</v>
      </c>
      <c r="J294" s="20">
        <f>IF(D294/Summary!$C$4&gt;=25,E294,0)*D294</f>
        <v>0</v>
      </c>
      <c r="K294" s="35">
        <f>IF(AND(D294/Frequency!$N$7&gt;0, D294/Frequency!$N$7&lt;1),E294,0)</f>
        <v>0</v>
      </c>
      <c r="L294" s="35">
        <f t="shared" si="221"/>
        <v>0</v>
      </c>
      <c r="M294" s="35">
        <f>IF(D294/Frequency!$N$7=1,1,0)*E294</f>
        <v>0</v>
      </c>
      <c r="N294" s="35">
        <f t="shared" si="222"/>
        <v>0</v>
      </c>
      <c r="O294" s="35">
        <f>IF(AND(D294/Frequency!$N$7&gt;1, D294/Frequency!$N$7&lt;=2),1,0)*E294</f>
        <v>0</v>
      </c>
      <c r="P294" s="35">
        <f t="shared" si="223"/>
        <v>0</v>
      </c>
      <c r="Q294" s="35">
        <f>IF(AND(D294/Frequency!$N$7&gt;2,D294/Frequency!$N$7&lt;=5),1,0)*E294</f>
        <v>0</v>
      </c>
      <c r="R294" s="35">
        <f t="shared" si="224"/>
        <v>0</v>
      </c>
      <c r="S294" s="35">
        <f>IF(AND(D294/Frequency!$N$7&gt;5, D294/Frequency!$N$7&lt;=10),1,0)*E294</f>
        <v>0</v>
      </c>
      <c r="T294" s="35">
        <f t="shared" si="225"/>
        <v>0</v>
      </c>
      <c r="U294" s="35">
        <f>IF(AND(D294/Frequency!$N$7&gt;10, D294/Frequency!$N$7&lt;=20),1,0)*E294</f>
        <v>20</v>
      </c>
      <c r="V294" s="35">
        <f t="shared" si="226"/>
        <v>370</v>
      </c>
      <c r="W294" s="35">
        <f>IF(AND(D294/Frequency!$N$7&gt;20, D294/Frequency!$N$7&lt;=30),1,0)*E294</f>
        <v>0</v>
      </c>
      <c r="X294" s="35">
        <f t="shared" si="227"/>
        <v>0</v>
      </c>
      <c r="Y294" s="35">
        <f>IF(AND(D294/Frequency!$N$7&gt;30, D294/Frequency!$N$7&lt;=50),1,0)*E294</f>
        <v>0</v>
      </c>
      <c r="Z294" s="35">
        <f t="shared" si="228"/>
        <v>0</v>
      </c>
      <c r="AA294" s="35">
        <f>IF(AND(D294/Frequency!$N$7&gt;50, D294/Frequency!$N$7&lt;=100),1,0)*E294</f>
        <v>0</v>
      </c>
      <c r="AB294" s="35">
        <f t="shared" si="229"/>
        <v>0</v>
      </c>
      <c r="AC294" s="35">
        <f>IF(D294/Frequency!$N$7&gt;100,1,0)*E294</f>
        <v>0</v>
      </c>
      <c r="AD294" s="35">
        <f t="shared" si="230"/>
        <v>0</v>
      </c>
      <c r="AE294" s="22">
        <f t="shared" si="231"/>
        <v>0</v>
      </c>
      <c r="AF294" s="22">
        <f t="shared" si="232"/>
        <v>20</v>
      </c>
      <c r="AG294" s="22">
        <f t="shared" si="233"/>
        <v>370</v>
      </c>
      <c r="AH294" s="22">
        <f t="shared" si="234"/>
        <v>0</v>
      </c>
      <c r="AI294" s="35">
        <f t="shared" si="235"/>
        <v>1</v>
      </c>
      <c r="AJ294" s="35">
        <f t="shared" si="236"/>
        <v>20</v>
      </c>
      <c r="AK294" s="35">
        <f t="shared" si="237"/>
        <v>370</v>
      </c>
      <c r="AL294">
        <f t="shared" si="238"/>
        <v>0</v>
      </c>
      <c r="AM294">
        <f t="shared" si="239"/>
        <v>0</v>
      </c>
      <c r="AN294">
        <f t="shared" si="240"/>
        <v>0</v>
      </c>
      <c r="AO294">
        <f t="shared" si="241"/>
        <v>0</v>
      </c>
      <c r="AP294">
        <f t="shared" si="242"/>
        <v>0</v>
      </c>
      <c r="AQ294">
        <f t="shared" si="243"/>
        <v>0</v>
      </c>
      <c r="AR294">
        <f t="shared" si="244"/>
        <v>0</v>
      </c>
      <c r="AS294">
        <f t="shared" si="245"/>
        <v>0</v>
      </c>
      <c r="AT294">
        <f t="shared" si="246"/>
        <v>0</v>
      </c>
      <c r="AU294">
        <f t="shared" si="247"/>
        <v>0</v>
      </c>
      <c r="AV294">
        <v>0</v>
      </c>
      <c r="AW294">
        <v>0</v>
      </c>
      <c r="AX294">
        <f t="shared" si="248"/>
        <v>1</v>
      </c>
      <c r="AY294">
        <f t="shared" si="249"/>
        <v>20</v>
      </c>
      <c r="AZ294">
        <f t="shared" si="250"/>
        <v>370</v>
      </c>
      <c r="BA294">
        <f t="shared" si="251"/>
        <v>0</v>
      </c>
      <c r="BB294">
        <f t="shared" si="252"/>
        <v>0</v>
      </c>
      <c r="BC294">
        <f t="shared" si="253"/>
        <v>0</v>
      </c>
      <c r="BD294">
        <f t="shared" si="254"/>
        <v>0</v>
      </c>
      <c r="BE294">
        <f t="shared" si="255"/>
        <v>0</v>
      </c>
      <c r="BF294">
        <f t="shared" si="256"/>
        <v>0</v>
      </c>
      <c r="BG294">
        <f t="shared" si="257"/>
        <v>0</v>
      </c>
      <c r="BH294">
        <f t="shared" si="258"/>
        <v>0</v>
      </c>
      <c r="BI294">
        <f t="shared" si="259"/>
        <v>0</v>
      </c>
      <c r="BJ294">
        <v>0</v>
      </c>
      <c r="BK294" t="str">
        <f t="shared" si="273"/>
        <v>Big Win</v>
      </c>
      <c r="BL294" s="40" t="str">
        <f t="shared" si="274"/>
        <v>Bonus Game A</v>
      </c>
      <c r="BM294">
        <f>(D294/Frequency!$N$7-Summary!$C$7)^2*E294</f>
        <v>6237.5120000000006</v>
      </c>
      <c r="BN294">
        <f t="shared" si="260"/>
        <v>0</v>
      </c>
      <c r="BO294">
        <f t="shared" si="261"/>
        <v>0</v>
      </c>
      <c r="BP294">
        <f t="shared" si="262"/>
        <v>0</v>
      </c>
      <c r="BQ294">
        <f t="shared" si="263"/>
        <v>0</v>
      </c>
      <c r="BR294">
        <f t="shared" si="264"/>
        <v>0</v>
      </c>
      <c r="BS294">
        <f t="shared" si="265"/>
        <v>0</v>
      </c>
      <c r="BT294">
        <f t="shared" si="266"/>
        <v>0</v>
      </c>
      <c r="BU294">
        <f t="shared" si="267"/>
        <v>0</v>
      </c>
      <c r="BV294">
        <f t="shared" si="268"/>
        <v>0</v>
      </c>
      <c r="BW294">
        <f t="shared" si="269"/>
        <v>20</v>
      </c>
      <c r="BX294">
        <f t="shared" si="270"/>
        <v>370</v>
      </c>
    </row>
    <row r="295" spans="2:76">
      <c r="B295" s="19">
        <f>Tiers!B296</f>
        <v>293</v>
      </c>
      <c r="C295" s="20" t="str">
        <f>Tiers!X296</f>
        <v>main-18|main-19|main-5|wild-13|bonusA-3|||||</v>
      </c>
      <c r="D295" s="21">
        <f>Tiers!C296</f>
        <v>28</v>
      </c>
      <c r="E295" s="22">
        <f>Frequency!E297</f>
        <v>20</v>
      </c>
      <c r="F295" s="22">
        <f t="shared" si="220"/>
        <v>560</v>
      </c>
      <c r="G295" s="20">
        <f>IF(AND(D295/Summary!$C$4&gt;0, D295/Summary!$C$4&lt;5),E295,0) * D295</f>
        <v>0</v>
      </c>
      <c r="H295" s="20">
        <f>IF(AND(D295/Summary!$C$4&gt;= 5, D295/Summary!$C$4&lt;10),E295,0) * D295</f>
        <v>0</v>
      </c>
      <c r="I295" s="20">
        <f>IF(AND(D295/Summary!$C$4&gt;=10, D295/Summary!$C$4&lt;25),E295,0)*D295</f>
        <v>0</v>
      </c>
      <c r="J295" s="20">
        <f>IF(D295/Summary!$C$4&gt;=25,E295,0)*D295</f>
        <v>560</v>
      </c>
      <c r="K295" s="35">
        <f>IF(AND(D295/Frequency!$N$7&gt;0, D295/Frequency!$N$7&lt;1),E295,0)</f>
        <v>0</v>
      </c>
      <c r="L295" s="35">
        <f t="shared" si="221"/>
        <v>0</v>
      </c>
      <c r="M295" s="35">
        <f>IF(D295/Frequency!$N$7=1,1,0)*E295</f>
        <v>0</v>
      </c>
      <c r="N295" s="35">
        <f t="shared" si="222"/>
        <v>0</v>
      </c>
      <c r="O295" s="35">
        <f>IF(AND(D295/Frequency!$N$7&gt;1, D295/Frequency!$N$7&lt;=2),1,0)*E295</f>
        <v>0</v>
      </c>
      <c r="P295" s="35">
        <f t="shared" si="223"/>
        <v>0</v>
      </c>
      <c r="Q295" s="35">
        <f>IF(AND(D295/Frequency!$N$7&gt;2,D295/Frequency!$N$7&lt;=5),1,0)*E295</f>
        <v>0</v>
      </c>
      <c r="R295" s="35">
        <f t="shared" si="224"/>
        <v>0</v>
      </c>
      <c r="S295" s="35">
        <f>IF(AND(D295/Frequency!$N$7&gt;5, D295/Frequency!$N$7&lt;=10),1,0)*E295</f>
        <v>0</v>
      </c>
      <c r="T295" s="35">
        <f t="shared" si="225"/>
        <v>0</v>
      </c>
      <c r="U295" s="35">
        <f>IF(AND(D295/Frequency!$N$7&gt;10, D295/Frequency!$N$7&lt;=20),1,0)*E295</f>
        <v>0</v>
      </c>
      <c r="V295" s="35">
        <f t="shared" si="226"/>
        <v>0</v>
      </c>
      <c r="W295" s="35">
        <f>IF(AND(D295/Frequency!$N$7&gt;20, D295/Frequency!$N$7&lt;=30),1,0)*E295</f>
        <v>20</v>
      </c>
      <c r="X295" s="35">
        <f t="shared" si="227"/>
        <v>560</v>
      </c>
      <c r="Y295" s="35">
        <f>IF(AND(D295/Frequency!$N$7&gt;30, D295/Frequency!$N$7&lt;=50),1,0)*E295</f>
        <v>0</v>
      </c>
      <c r="Z295" s="35">
        <f t="shared" si="228"/>
        <v>0</v>
      </c>
      <c r="AA295" s="35">
        <f>IF(AND(D295/Frequency!$N$7&gt;50, D295/Frequency!$N$7&lt;=100),1,0)*E295</f>
        <v>0</v>
      </c>
      <c r="AB295" s="35">
        <f t="shared" si="229"/>
        <v>0</v>
      </c>
      <c r="AC295" s="35">
        <f>IF(D295/Frequency!$N$7&gt;100,1,0)*E295</f>
        <v>0</v>
      </c>
      <c r="AD295" s="35">
        <f t="shared" si="230"/>
        <v>0</v>
      </c>
      <c r="AE295" s="22">
        <f t="shared" si="231"/>
        <v>0</v>
      </c>
      <c r="AF295" s="22">
        <f t="shared" si="232"/>
        <v>20</v>
      </c>
      <c r="AG295" s="22">
        <f t="shared" si="233"/>
        <v>560</v>
      </c>
      <c r="AH295" s="22">
        <f t="shared" si="234"/>
        <v>0</v>
      </c>
      <c r="AI295" s="35">
        <f t="shared" si="235"/>
        <v>1</v>
      </c>
      <c r="AJ295" s="35">
        <f t="shared" si="236"/>
        <v>20</v>
      </c>
      <c r="AK295" s="35">
        <f t="shared" si="237"/>
        <v>560</v>
      </c>
      <c r="AL295">
        <f t="shared" si="238"/>
        <v>1</v>
      </c>
      <c r="AM295">
        <f t="shared" si="239"/>
        <v>20</v>
      </c>
      <c r="AN295">
        <f t="shared" si="240"/>
        <v>560</v>
      </c>
      <c r="AO295">
        <f t="shared" si="241"/>
        <v>1</v>
      </c>
      <c r="AP295">
        <f t="shared" si="242"/>
        <v>20</v>
      </c>
      <c r="AQ295">
        <f t="shared" si="243"/>
        <v>560</v>
      </c>
      <c r="AR295">
        <f t="shared" si="244"/>
        <v>0</v>
      </c>
      <c r="AS295">
        <f t="shared" si="245"/>
        <v>0</v>
      </c>
      <c r="AT295">
        <f t="shared" si="246"/>
        <v>0</v>
      </c>
      <c r="AU295">
        <f t="shared" si="247"/>
        <v>0</v>
      </c>
      <c r="AV295">
        <v>0</v>
      </c>
      <c r="AW295">
        <v>0</v>
      </c>
      <c r="AX295">
        <f t="shared" si="248"/>
        <v>1</v>
      </c>
      <c r="AY295">
        <f t="shared" si="249"/>
        <v>20</v>
      </c>
      <c r="AZ295">
        <f t="shared" si="250"/>
        <v>560</v>
      </c>
      <c r="BA295">
        <f t="shared" si="251"/>
        <v>0</v>
      </c>
      <c r="BB295">
        <f t="shared" si="252"/>
        <v>0</v>
      </c>
      <c r="BC295">
        <f t="shared" si="253"/>
        <v>0</v>
      </c>
      <c r="BD295">
        <f t="shared" si="254"/>
        <v>0</v>
      </c>
      <c r="BE295">
        <f t="shared" si="255"/>
        <v>0</v>
      </c>
      <c r="BF295">
        <f t="shared" si="256"/>
        <v>0</v>
      </c>
      <c r="BG295">
        <f t="shared" si="257"/>
        <v>0</v>
      </c>
      <c r="BH295">
        <f t="shared" si="258"/>
        <v>0</v>
      </c>
      <c r="BI295">
        <f t="shared" si="259"/>
        <v>0</v>
      </c>
      <c r="BJ295">
        <v>0</v>
      </c>
      <c r="BK295" t="str">
        <f t="shared" si="273"/>
        <v>Big Win</v>
      </c>
      <c r="BL295" s="40" t="str">
        <f t="shared" si="274"/>
        <v>Bonus Game A</v>
      </c>
      <c r="BM295">
        <f>(D295/Frequency!$N$7-Summary!$C$7)^2*E295</f>
        <v>14753.312000000002</v>
      </c>
      <c r="BN295">
        <f t="shared" si="260"/>
        <v>0</v>
      </c>
      <c r="BO295">
        <f t="shared" si="261"/>
        <v>0</v>
      </c>
      <c r="BP295">
        <f t="shared" si="262"/>
        <v>0</v>
      </c>
      <c r="BQ295">
        <f t="shared" si="263"/>
        <v>0</v>
      </c>
      <c r="BR295">
        <f t="shared" si="264"/>
        <v>0</v>
      </c>
      <c r="BS295">
        <f t="shared" si="265"/>
        <v>0</v>
      </c>
      <c r="BT295">
        <f t="shared" si="266"/>
        <v>0</v>
      </c>
      <c r="BU295">
        <f t="shared" si="267"/>
        <v>0</v>
      </c>
      <c r="BV295">
        <f t="shared" si="268"/>
        <v>0</v>
      </c>
      <c r="BW295">
        <f t="shared" si="269"/>
        <v>20</v>
      </c>
      <c r="BX295">
        <f t="shared" si="270"/>
        <v>560</v>
      </c>
    </row>
    <row r="296" spans="2:76">
      <c r="B296" s="19">
        <f>Tiers!B297</f>
        <v>294</v>
      </c>
      <c r="C296" s="20" t="str">
        <f>Tiers!X297</f>
        <v>main-3|main-20|main-4|wild-15|bonusA-4|||||</v>
      </c>
      <c r="D296" s="21">
        <f>Tiers!C297</f>
        <v>28</v>
      </c>
      <c r="E296" s="22">
        <f>Frequency!E298</f>
        <v>5</v>
      </c>
      <c r="F296" s="22">
        <f t="shared" si="220"/>
        <v>140</v>
      </c>
      <c r="G296" s="20">
        <f>IF(AND(D296/Summary!$C$4&gt;0, D296/Summary!$C$4&lt;5),E296,0) * D296</f>
        <v>0</v>
      </c>
      <c r="H296" s="20">
        <f>IF(AND(D296/Summary!$C$4&gt;= 5, D296/Summary!$C$4&lt;10),E296,0) * D296</f>
        <v>0</v>
      </c>
      <c r="I296" s="20">
        <f>IF(AND(D296/Summary!$C$4&gt;=10, D296/Summary!$C$4&lt;25),E296,0)*D296</f>
        <v>0</v>
      </c>
      <c r="J296" s="20">
        <f>IF(D296/Summary!$C$4&gt;=25,E296,0)*D296</f>
        <v>140</v>
      </c>
      <c r="K296" s="35">
        <f>IF(AND(D296/Frequency!$N$7&gt;0, D296/Frequency!$N$7&lt;1),E296,0)</f>
        <v>0</v>
      </c>
      <c r="L296" s="35">
        <f t="shared" si="221"/>
        <v>0</v>
      </c>
      <c r="M296" s="35">
        <f>IF(D296/Frequency!$N$7=1,1,0)*E296</f>
        <v>0</v>
      </c>
      <c r="N296" s="35">
        <f t="shared" si="222"/>
        <v>0</v>
      </c>
      <c r="O296" s="35">
        <f>IF(AND(D296/Frequency!$N$7&gt;1, D296/Frequency!$N$7&lt;=2),1,0)*E296</f>
        <v>0</v>
      </c>
      <c r="P296" s="35">
        <f t="shared" si="223"/>
        <v>0</v>
      </c>
      <c r="Q296" s="35">
        <f>IF(AND(D296/Frequency!$N$7&gt;2,D296/Frequency!$N$7&lt;=5),1,0)*E296</f>
        <v>0</v>
      </c>
      <c r="R296" s="35">
        <f t="shared" si="224"/>
        <v>0</v>
      </c>
      <c r="S296" s="35">
        <f>IF(AND(D296/Frequency!$N$7&gt;5, D296/Frequency!$N$7&lt;=10),1,0)*E296</f>
        <v>0</v>
      </c>
      <c r="T296" s="35">
        <f t="shared" si="225"/>
        <v>0</v>
      </c>
      <c r="U296" s="35">
        <f>IF(AND(D296/Frequency!$N$7&gt;10, D296/Frequency!$N$7&lt;=20),1,0)*E296</f>
        <v>0</v>
      </c>
      <c r="V296" s="35">
        <f t="shared" si="226"/>
        <v>0</v>
      </c>
      <c r="W296" s="35">
        <f>IF(AND(D296/Frequency!$N$7&gt;20, D296/Frequency!$N$7&lt;=30),1,0)*E296</f>
        <v>5</v>
      </c>
      <c r="X296" s="35">
        <f t="shared" si="227"/>
        <v>140</v>
      </c>
      <c r="Y296" s="35">
        <f>IF(AND(D296/Frequency!$N$7&gt;30, D296/Frequency!$N$7&lt;=50),1,0)*E296</f>
        <v>0</v>
      </c>
      <c r="Z296" s="35">
        <f t="shared" si="228"/>
        <v>0</v>
      </c>
      <c r="AA296" s="35">
        <f>IF(AND(D296/Frequency!$N$7&gt;50, D296/Frequency!$N$7&lt;=100),1,0)*E296</f>
        <v>0</v>
      </c>
      <c r="AB296" s="35">
        <f t="shared" si="229"/>
        <v>0</v>
      </c>
      <c r="AC296" s="35">
        <f>IF(D296/Frequency!$N$7&gt;100,1,0)*E296</f>
        <v>0</v>
      </c>
      <c r="AD296" s="35">
        <f t="shared" si="230"/>
        <v>0</v>
      </c>
      <c r="AE296" s="22">
        <f t="shared" si="231"/>
        <v>0</v>
      </c>
      <c r="AF296" s="22">
        <f t="shared" si="232"/>
        <v>5</v>
      </c>
      <c r="AG296" s="22">
        <f t="shared" si="233"/>
        <v>140</v>
      </c>
      <c r="AH296" s="22">
        <f t="shared" si="234"/>
        <v>0</v>
      </c>
      <c r="AI296" s="35">
        <f t="shared" si="235"/>
        <v>1</v>
      </c>
      <c r="AJ296" s="35">
        <f t="shared" si="236"/>
        <v>5</v>
      </c>
      <c r="AK296" s="35">
        <f t="shared" si="237"/>
        <v>140</v>
      </c>
      <c r="AL296">
        <f t="shared" si="238"/>
        <v>1</v>
      </c>
      <c r="AM296">
        <f t="shared" si="239"/>
        <v>5</v>
      </c>
      <c r="AN296">
        <f t="shared" si="240"/>
        <v>140</v>
      </c>
      <c r="AO296">
        <f t="shared" si="241"/>
        <v>1</v>
      </c>
      <c r="AP296">
        <f t="shared" si="242"/>
        <v>5</v>
      </c>
      <c r="AQ296">
        <f t="shared" si="243"/>
        <v>140</v>
      </c>
      <c r="AR296">
        <f t="shared" si="244"/>
        <v>0</v>
      </c>
      <c r="AS296">
        <f t="shared" si="245"/>
        <v>0</v>
      </c>
      <c r="AT296">
        <f t="shared" si="246"/>
        <v>0</v>
      </c>
      <c r="AU296">
        <f t="shared" si="247"/>
        <v>0</v>
      </c>
      <c r="AV296">
        <v>0</v>
      </c>
      <c r="AW296">
        <v>0</v>
      </c>
      <c r="AX296">
        <f t="shared" si="248"/>
        <v>1</v>
      </c>
      <c r="AY296">
        <f t="shared" si="249"/>
        <v>5</v>
      </c>
      <c r="AZ296">
        <f t="shared" si="250"/>
        <v>140</v>
      </c>
      <c r="BA296">
        <f t="shared" si="251"/>
        <v>0</v>
      </c>
      <c r="BB296">
        <f t="shared" si="252"/>
        <v>0</v>
      </c>
      <c r="BC296">
        <f t="shared" si="253"/>
        <v>0</v>
      </c>
      <c r="BD296">
        <f t="shared" si="254"/>
        <v>0</v>
      </c>
      <c r="BE296">
        <f t="shared" si="255"/>
        <v>0</v>
      </c>
      <c r="BF296">
        <f t="shared" si="256"/>
        <v>0</v>
      </c>
      <c r="BG296">
        <f t="shared" si="257"/>
        <v>0</v>
      </c>
      <c r="BH296">
        <f t="shared" si="258"/>
        <v>0</v>
      </c>
      <c r="BI296">
        <f t="shared" si="259"/>
        <v>0</v>
      </c>
      <c r="BJ296">
        <v>0</v>
      </c>
      <c r="BK296" t="str">
        <f t="shared" si="273"/>
        <v>Big Win</v>
      </c>
      <c r="BL296" s="40" t="str">
        <f t="shared" si="274"/>
        <v>Bonus Game A</v>
      </c>
      <c r="BM296">
        <f>(D296/Frequency!$N$7-Summary!$C$7)^2*E296</f>
        <v>3688.3280000000004</v>
      </c>
      <c r="BN296">
        <f t="shared" si="260"/>
        <v>0</v>
      </c>
      <c r="BO296">
        <f t="shared" si="261"/>
        <v>0</v>
      </c>
      <c r="BP296">
        <f t="shared" si="262"/>
        <v>0</v>
      </c>
      <c r="BQ296">
        <f t="shared" si="263"/>
        <v>0</v>
      </c>
      <c r="BR296">
        <f t="shared" si="264"/>
        <v>0</v>
      </c>
      <c r="BS296">
        <f t="shared" si="265"/>
        <v>0</v>
      </c>
      <c r="BT296">
        <f t="shared" si="266"/>
        <v>0</v>
      </c>
      <c r="BU296">
        <f t="shared" si="267"/>
        <v>0</v>
      </c>
      <c r="BV296">
        <f t="shared" si="268"/>
        <v>0</v>
      </c>
      <c r="BW296">
        <f t="shared" si="269"/>
        <v>5</v>
      </c>
      <c r="BX296">
        <f t="shared" si="270"/>
        <v>140</v>
      </c>
    </row>
    <row r="297" spans="2:76">
      <c r="B297" s="19">
        <f>Tiers!B298</f>
        <v>295</v>
      </c>
      <c r="C297" s="20" t="str">
        <f>Tiers!X298</f>
        <v>main-4|main-0|main-1|main-18|bonusA-5|||||</v>
      </c>
      <c r="D297" s="21">
        <f>Tiers!C298</f>
        <v>20.3</v>
      </c>
      <c r="E297" s="22">
        <f>Frequency!E299</f>
        <v>8</v>
      </c>
      <c r="F297" s="22">
        <f t="shared" si="220"/>
        <v>162.4</v>
      </c>
      <c r="G297" s="20">
        <f>IF(AND(D297/Summary!$C$4&gt;0, D297/Summary!$C$4&lt;5),E297,0) * D297</f>
        <v>0</v>
      </c>
      <c r="H297" s="20">
        <f>IF(AND(D297/Summary!$C$4&gt;= 5, D297/Summary!$C$4&lt;10),E297,0) * D297</f>
        <v>0</v>
      </c>
      <c r="I297" s="20">
        <f>IF(AND(D297/Summary!$C$4&gt;=10, D297/Summary!$C$4&lt;25),E297,0)*D297</f>
        <v>162.4</v>
      </c>
      <c r="J297" s="20">
        <f>IF(D297/Summary!$C$4&gt;=25,E297,0)*D297</f>
        <v>0</v>
      </c>
      <c r="K297" s="35">
        <f>IF(AND(D297/Frequency!$N$7&gt;0, D297/Frequency!$N$7&lt;1),E297,0)</f>
        <v>0</v>
      </c>
      <c r="L297" s="35">
        <f t="shared" si="221"/>
        <v>0</v>
      </c>
      <c r="M297" s="35">
        <f>IF(D297/Frequency!$N$7=1,1,0)*E297</f>
        <v>0</v>
      </c>
      <c r="N297" s="35">
        <f t="shared" si="222"/>
        <v>0</v>
      </c>
      <c r="O297" s="35">
        <f>IF(AND(D297/Frequency!$N$7&gt;1, D297/Frequency!$N$7&lt;=2),1,0)*E297</f>
        <v>0</v>
      </c>
      <c r="P297" s="35">
        <f t="shared" si="223"/>
        <v>0</v>
      </c>
      <c r="Q297" s="35">
        <f>IF(AND(D297/Frequency!$N$7&gt;2,D297/Frequency!$N$7&lt;=5),1,0)*E297</f>
        <v>0</v>
      </c>
      <c r="R297" s="35">
        <f t="shared" si="224"/>
        <v>0</v>
      </c>
      <c r="S297" s="35">
        <f>IF(AND(D297/Frequency!$N$7&gt;5, D297/Frequency!$N$7&lt;=10),1,0)*E297</f>
        <v>0</v>
      </c>
      <c r="T297" s="35">
        <f t="shared" si="225"/>
        <v>0</v>
      </c>
      <c r="U297" s="35">
        <f>IF(AND(D297/Frequency!$N$7&gt;10, D297/Frequency!$N$7&lt;=20),1,0)*E297</f>
        <v>0</v>
      </c>
      <c r="V297" s="35">
        <f t="shared" si="226"/>
        <v>0</v>
      </c>
      <c r="W297" s="35">
        <f>IF(AND(D297/Frequency!$N$7&gt;20, D297/Frequency!$N$7&lt;=30),1,0)*E297</f>
        <v>8</v>
      </c>
      <c r="X297" s="35">
        <f t="shared" si="227"/>
        <v>162.4</v>
      </c>
      <c r="Y297" s="35">
        <f>IF(AND(D297/Frequency!$N$7&gt;30, D297/Frequency!$N$7&lt;=50),1,0)*E297</f>
        <v>0</v>
      </c>
      <c r="Z297" s="35">
        <f t="shared" si="228"/>
        <v>0</v>
      </c>
      <c r="AA297" s="35">
        <f>IF(AND(D297/Frequency!$N$7&gt;50, D297/Frequency!$N$7&lt;=100),1,0)*E297</f>
        <v>0</v>
      </c>
      <c r="AB297" s="35">
        <f t="shared" si="229"/>
        <v>0</v>
      </c>
      <c r="AC297" s="35">
        <f>IF(D297/Frequency!$N$7&gt;100,1,0)*E297</f>
        <v>0</v>
      </c>
      <c r="AD297" s="35">
        <f t="shared" si="230"/>
        <v>0</v>
      </c>
      <c r="AE297" s="22">
        <f t="shared" si="231"/>
        <v>0</v>
      </c>
      <c r="AF297" s="22">
        <f t="shared" si="232"/>
        <v>8</v>
      </c>
      <c r="AG297" s="22">
        <f t="shared" si="233"/>
        <v>162.4</v>
      </c>
      <c r="AH297" s="22">
        <f t="shared" si="234"/>
        <v>0</v>
      </c>
      <c r="AI297" s="35">
        <f t="shared" si="235"/>
        <v>1</v>
      </c>
      <c r="AJ297" s="35">
        <f t="shared" si="236"/>
        <v>8</v>
      </c>
      <c r="AK297" s="35">
        <f t="shared" si="237"/>
        <v>162.4</v>
      </c>
      <c r="AL297">
        <f t="shared" si="238"/>
        <v>0</v>
      </c>
      <c r="AM297">
        <f t="shared" si="239"/>
        <v>0</v>
      </c>
      <c r="AN297">
        <f t="shared" si="240"/>
        <v>0</v>
      </c>
      <c r="AO297">
        <f t="shared" si="241"/>
        <v>0</v>
      </c>
      <c r="AP297">
        <f t="shared" si="242"/>
        <v>0</v>
      </c>
      <c r="AQ297">
        <f t="shared" si="243"/>
        <v>0</v>
      </c>
      <c r="AR297">
        <f t="shared" si="244"/>
        <v>0</v>
      </c>
      <c r="AS297">
        <f t="shared" si="245"/>
        <v>0</v>
      </c>
      <c r="AT297">
        <f t="shared" si="246"/>
        <v>0</v>
      </c>
      <c r="AU297">
        <f t="shared" si="247"/>
        <v>0</v>
      </c>
      <c r="AV297">
        <v>0</v>
      </c>
      <c r="AW297">
        <v>0</v>
      </c>
      <c r="AX297">
        <f t="shared" si="248"/>
        <v>1</v>
      </c>
      <c r="AY297">
        <f t="shared" si="249"/>
        <v>8</v>
      </c>
      <c r="AZ297">
        <f t="shared" si="250"/>
        <v>162.4</v>
      </c>
      <c r="BA297">
        <f t="shared" si="251"/>
        <v>0</v>
      </c>
      <c r="BB297">
        <f t="shared" si="252"/>
        <v>0</v>
      </c>
      <c r="BC297">
        <f t="shared" si="253"/>
        <v>0</v>
      </c>
      <c r="BD297">
        <f t="shared" si="254"/>
        <v>0</v>
      </c>
      <c r="BE297">
        <f t="shared" si="255"/>
        <v>0</v>
      </c>
      <c r="BF297">
        <f t="shared" si="256"/>
        <v>0</v>
      </c>
      <c r="BG297">
        <f t="shared" si="257"/>
        <v>0</v>
      </c>
      <c r="BH297">
        <f t="shared" si="258"/>
        <v>0</v>
      </c>
      <c r="BI297">
        <f t="shared" si="259"/>
        <v>0</v>
      </c>
      <c r="BJ297">
        <v>0</v>
      </c>
      <c r="BK297" t="str">
        <f t="shared" si="273"/>
        <v>Big Win</v>
      </c>
      <c r="BL297" s="40" t="str">
        <f t="shared" si="274"/>
        <v>Bonus Game A</v>
      </c>
      <c r="BM297">
        <f>(D297/Frequency!$N$7-Summary!$C$7)^2*E297</f>
        <v>3029.5328000000004</v>
      </c>
      <c r="BN297">
        <f t="shared" si="260"/>
        <v>0</v>
      </c>
      <c r="BO297">
        <f t="shared" si="261"/>
        <v>0</v>
      </c>
      <c r="BP297">
        <f t="shared" si="262"/>
        <v>0</v>
      </c>
      <c r="BQ297">
        <f t="shared" si="263"/>
        <v>0</v>
      </c>
      <c r="BR297">
        <f t="shared" si="264"/>
        <v>0</v>
      </c>
      <c r="BS297">
        <f t="shared" si="265"/>
        <v>0</v>
      </c>
      <c r="BT297">
        <f t="shared" si="266"/>
        <v>0</v>
      </c>
      <c r="BU297">
        <f t="shared" si="267"/>
        <v>0</v>
      </c>
      <c r="BV297">
        <f t="shared" si="268"/>
        <v>0</v>
      </c>
      <c r="BW297">
        <f t="shared" si="269"/>
        <v>8</v>
      </c>
      <c r="BX297">
        <f t="shared" si="270"/>
        <v>162.4</v>
      </c>
    </row>
    <row r="298" spans="2:76">
      <c r="B298" s="19">
        <f>Tiers!B299</f>
        <v>296</v>
      </c>
      <c r="C298" s="20" t="str">
        <f>Tiers!X299</f>
        <v>main-0|main-4|main-0|main-19|bonusA-4|||||</v>
      </c>
      <c r="D298" s="21">
        <f>Tiers!C299</f>
        <v>19.2</v>
      </c>
      <c r="E298" s="22">
        <f>Frequency!E300</f>
        <v>8</v>
      </c>
      <c r="F298" s="22">
        <f t="shared" si="220"/>
        <v>153.6</v>
      </c>
      <c r="G298" s="20">
        <f>IF(AND(D298/Summary!$C$4&gt;0, D298/Summary!$C$4&lt;5),E298,0) * D298</f>
        <v>0</v>
      </c>
      <c r="H298" s="20">
        <f>IF(AND(D298/Summary!$C$4&gt;= 5, D298/Summary!$C$4&lt;10),E298,0) * D298</f>
        <v>0</v>
      </c>
      <c r="I298" s="20">
        <f>IF(AND(D298/Summary!$C$4&gt;=10, D298/Summary!$C$4&lt;25),E298,0)*D298</f>
        <v>153.6</v>
      </c>
      <c r="J298" s="20">
        <f>IF(D298/Summary!$C$4&gt;=25,E298,0)*D298</f>
        <v>0</v>
      </c>
      <c r="K298" s="35">
        <f>IF(AND(D298/Frequency!$N$7&gt;0, D298/Frequency!$N$7&lt;1),E298,0)</f>
        <v>0</v>
      </c>
      <c r="L298" s="35">
        <f t="shared" si="221"/>
        <v>0</v>
      </c>
      <c r="M298" s="35">
        <f>IF(D298/Frequency!$N$7=1,1,0)*E298</f>
        <v>0</v>
      </c>
      <c r="N298" s="35">
        <f t="shared" si="222"/>
        <v>0</v>
      </c>
      <c r="O298" s="35">
        <f>IF(AND(D298/Frequency!$N$7&gt;1, D298/Frequency!$N$7&lt;=2),1,0)*E298</f>
        <v>0</v>
      </c>
      <c r="P298" s="35">
        <f t="shared" si="223"/>
        <v>0</v>
      </c>
      <c r="Q298" s="35">
        <f>IF(AND(D298/Frequency!$N$7&gt;2,D298/Frequency!$N$7&lt;=5),1,0)*E298</f>
        <v>0</v>
      </c>
      <c r="R298" s="35">
        <f t="shared" si="224"/>
        <v>0</v>
      </c>
      <c r="S298" s="35">
        <f>IF(AND(D298/Frequency!$N$7&gt;5, D298/Frequency!$N$7&lt;=10),1,0)*E298</f>
        <v>0</v>
      </c>
      <c r="T298" s="35">
        <f t="shared" si="225"/>
        <v>0</v>
      </c>
      <c r="U298" s="35">
        <f>IF(AND(D298/Frequency!$N$7&gt;10, D298/Frequency!$N$7&lt;=20),1,0)*E298</f>
        <v>8</v>
      </c>
      <c r="V298" s="35">
        <f t="shared" si="226"/>
        <v>153.6</v>
      </c>
      <c r="W298" s="35">
        <f>IF(AND(D298/Frequency!$N$7&gt;20, D298/Frequency!$N$7&lt;=30),1,0)*E298</f>
        <v>0</v>
      </c>
      <c r="X298" s="35">
        <f t="shared" si="227"/>
        <v>0</v>
      </c>
      <c r="Y298" s="35">
        <f>IF(AND(D298/Frequency!$N$7&gt;30, D298/Frequency!$N$7&lt;=50),1,0)*E298</f>
        <v>0</v>
      </c>
      <c r="Z298" s="35">
        <f t="shared" si="228"/>
        <v>0</v>
      </c>
      <c r="AA298" s="35">
        <f>IF(AND(D298/Frequency!$N$7&gt;50, D298/Frequency!$N$7&lt;=100),1,0)*E298</f>
        <v>0</v>
      </c>
      <c r="AB298" s="35">
        <f t="shared" si="229"/>
        <v>0</v>
      </c>
      <c r="AC298" s="35">
        <f>IF(D298/Frequency!$N$7&gt;100,1,0)*E298</f>
        <v>0</v>
      </c>
      <c r="AD298" s="35">
        <f t="shared" si="230"/>
        <v>0</v>
      </c>
      <c r="AE298" s="22">
        <f t="shared" si="231"/>
        <v>0</v>
      </c>
      <c r="AF298" s="22">
        <f t="shared" si="232"/>
        <v>8</v>
      </c>
      <c r="AG298" s="22">
        <f t="shared" si="233"/>
        <v>153.6</v>
      </c>
      <c r="AH298" s="22">
        <f t="shared" si="234"/>
        <v>0</v>
      </c>
      <c r="AI298" s="35">
        <f t="shared" si="235"/>
        <v>1</v>
      </c>
      <c r="AJ298" s="35">
        <f t="shared" si="236"/>
        <v>8</v>
      </c>
      <c r="AK298" s="35">
        <f t="shared" si="237"/>
        <v>153.6</v>
      </c>
      <c r="AL298">
        <f t="shared" si="238"/>
        <v>0</v>
      </c>
      <c r="AM298">
        <f t="shared" si="239"/>
        <v>0</v>
      </c>
      <c r="AN298">
        <f t="shared" si="240"/>
        <v>0</v>
      </c>
      <c r="AO298">
        <f t="shared" si="241"/>
        <v>0</v>
      </c>
      <c r="AP298">
        <f t="shared" si="242"/>
        <v>0</v>
      </c>
      <c r="AQ298">
        <f t="shared" si="243"/>
        <v>0</v>
      </c>
      <c r="AR298">
        <f t="shared" si="244"/>
        <v>0</v>
      </c>
      <c r="AS298">
        <f t="shared" si="245"/>
        <v>0</v>
      </c>
      <c r="AT298">
        <f t="shared" si="246"/>
        <v>0</v>
      </c>
      <c r="AU298">
        <f t="shared" si="247"/>
        <v>0</v>
      </c>
      <c r="AV298">
        <v>0</v>
      </c>
      <c r="AW298">
        <v>0</v>
      </c>
      <c r="AX298">
        <f t="shared" si="248"/>
        <v>1</v>
      </c>
      <c r="AY298">
        <f t="shared" si="249"/>
        <v>8</v>
      </c>
      <c r="AZ298">
        <f t="shared" si="250"/>
        <v>153.6</v>
      </c>
      <c r="BA298">
        <f t="shared" si="251"/>
        <v>0</v>
      </c>
      <c r="BB298">
        <f t="shared" si="252"/>
        <v>0</v>
      </c>
      <c r="BC298">
        <f t="shared" si="253"/>
        <v>0</v>
      </c>
      <c r="BD298">
        <f t="shared" si="254"/>
        <v>0</v>
      </c>
      <c r="BE298">
        <f t="shared" si="255"/>
        <v>0</v>
      </c>
      <c r="BF298">
        <f t="shared" si="256"/>
        <v>0</v>
      </c>
      <c r="BG298">
        <f t="shared" si="257"/>
        <v>0</v>
      </c>
      <c r="BH298">
        <f t="shared" si="258"/>
        <v>0</v>
      </c>
      <c r="BI298">
        <f t="shared" si="259"/>
        <v>0</v>
      </c>
      <c r="BJ298">
        <v>0</v>
      </c>
      <c r="BK298" t="str">
        <f t="shared" si="273"/>
        <v>Big Win</v>
      </c>
      <c r="BL298" s="40" t="str">
        <f t="shared" si="274"/>
        <v>Bonus Game A</v>
      </c>
      <c r="BM298">
        <f>(D298/Frequency!$N$7-Summary!$C$7)^2*E298</f>
        <v>2696.7167999999997</v>
      </c>
      <c r="BN298">
        <f t="shared" si="260"/>
        <v>0</v>
      </c>
      <c r="BO298">
        <f t="shared" si="261"/>
        <v>0</v>
      </c>
      <c r="BP298">
        <f t="shared" si="262"/>
        <v>0</v>
      </c>
      <c r="BQ298">
        <f t="shared" si="263"/>
        <v>0</v>
      </c>
      <c r="BR298">
        <f t="shared" si="264"/>
        <v>0</v>
      </c>
      <c r="BS298">
        <f t="shared" si="265"/>
        <v>0</v>
      </c>
      <c r="BT298">
        <f t="shared" si="266"/>
        <v>0</v>
      </c>
      <c r="BU298">
        <f t="shared" si="267"/>
        <v>0</v>
      </c>
      <c r="BV298">
        <f t="shared" si="268"/>
        <v>0</v>
      </c>
      <c r="BW298">
        <f t="shared" si="269"/>
        <v>8</v>
      </c>
      <c r="BX298">
        <f t="shared" si="270"/>
        <v>153.6</v>
      </c>
    </row>
    <row r="299" spans="2:76">
      <c r="B299" s="19">
        <f>Tiers!B300</f>
        <v>297</v>
      </c>
      <c r="C299" s="20" t="str">
        <f>Tiers!X300</f>
        <v>main-0|main-13|main-26|main-18|bonusA-4|||||</v>
      </c>
      <c r="D299" s="21">
        <f>Tiers!C300</f>
        <v>30.1</v>
      </c>
      <c r="E299" s="22">
        <f>Frequency!E301</f>
        <v>9</v>
      </c>
      <c r="F299" s="22">
        <f t="shared" si="220"/>
        <v>270.90000000000003</v>
      </c>
      <c r="G299" s="20">
        <f>IF(AND(D299/Summary!$C$4&gt;0, D299/Summary!$C$4&lt;5),E299,0) * D299</f>
        <v>0</v>
      </c>
      <c r="H299" s="20">
        <f>IF(AND(D299/Summary!$C$4&gt;= 5, D299/Summary!$C$4&lt;10),E299,0) * D299</f>
        <v>0</v>
      </c>
      <c r="I299" s="20">
        <f>IF(AND(D299/Summary!$C$4&gt;=10, D299/Summary!$C$4&lt;25),E299,0)*D299</f>
        <v>0</v>
      </c>
      <c r="J299" s="20">
        <f>IF(D299/Summary!$C$4&gt;=25,E299,0)*D299</f>
        <v>270.90000000000003</v>
      </c>
      <c r="K299" s="35">
        <f>IF(AND(D299/Frequency!$N$7&gt;0, D299/Frequency!$N$7&lt;1),E299,0)</f>
        <v>0</v>
      </c>
      <c r="L299" s="35">
        <f t="shared" si="221"/>
        <v>0</v>
      </c>
      <c r="M299" s="35">
        <f>IF(D299/Frequency!$N$7=1,1,0)*E299</f>
        <v>0</v>
      </c>
      <c r="N299" s="35">
        <f t="shared" si="222"/>
        <v>0</v>
      </c>
      <c r="O299" s="35">
        <f>IF(AND(D299/Frequency!$N$7&gt;1, D299/Frequency!$N$7&lt;=2),1,0)*E299</f>
        <v>0</v>
      </c>
      <c r="P299" s="35">
        <f t="shared" si="223"/>
        <v>0</v>
      </c>
      <c r="Q299" s="35">
        <f>IF(AND(D299/Frequency!$N$7&gt;2,D299/Frequency!$N$7&lt;=5),1,0)*E299</f>
        <v>0</v>
      </c>
      <c r="R299" s="35">
        <f t="shared" si="224"/>
        <v>0</v>
      </c>
      <c r="S299" s="35">
        <f>IF(AND(D299/Frequency!$N$7&gt;5, D299/Frequency!$N$7&lt;=10),1,0)*E299</f>
        <v>0</v>
      </c>
      <c r="T299" s="35">
        <f t="shared" si="225"/>
        <v>0</v>
      </c>
      <c r="U299" s="35">
        <f>IF(AND(D299/Frequency!$N$7&gt;10, D299/Frequency!$N$7&lt;=20),1,0)*E299</f>
        <v>0</v>
      </c>
      <c r="V299" s="35">
        <f t="shared" si="226"/>
        <v>0</v>
      </c>
      <c r="W299" s="35">
        <f>IF(AND(D299/Frequency!$N$7&gt;20, D299/Frequency!$N$7&lt;=30),1,0)*E299</f>
        <v>0</v>
      </c>
      <c r="X299" s="35">
        <f t="shared" si="227"/>
        <v>0</v>
      </c>
      <c r="Y299" s="35">
        <f>IF(AND(D299/Frequency!$N$7&gt;30, D299/Frequency!$N$7&lt;=50),1,0)*E299</f>
        <v>9</v>
      </c>
      <c r="Z299" s="35">
        <f t="shared" si="228"/>
        <v>270.90000000000003</v>
      </c>
      <c r="AA299" s="35">
        <f>IF(AND(D299/Frequency!$N$7&gt;50, D299/Frequency!$N$7&lt;=100),1,0)*E299</f>
        <v>0</v>
      </c>
      <c r="AB299" s="35">
        <f t="shared" si="229"/>
        <v>0</v>
      </c>
      <c r="AC299" s="35">
        <f>IF(D299/Frequency!$N$7&gt;100,1,0)*E299</f>
        <v>0</v>
      </c>
      <c r="AD299" s="35">
        <f t="shared" si="230"/>
        <v>0</v>
      </c>
      <c r="AE299" s="22">
        <f t="shared" si="231"/>
        <v>0</v>
      </c>
      <c r="AF299" s="22">
        <f t="shared" si="232"/>
        <v>9</v>
      </c>
      <c r="AG299" s="22">
        <f t="shared" si="233"/>
        <v>270.90000000000003</v>
      </c>
      <c r="AH299" s="22">
        <f t="shared" si="234"/>
        <v>0</v>
      </c>
      <c r="AI299" s="35">
        <f t="shared" si="235"/>
        <v>1</v>
      </c>
      <c r="AJ299" s="35">
        <f t="shared" si="236"/>
        <v>9</v>
      </c>
      <c r="AK299" s="35">
        <f t="shared" si="237"/>
        <v>270.90000000000003</v>
      </c>
      <c r="AL299">
        <f t="shared" si="238"/>
        <v>0</v>
      </c>
      <c r="AM299">
        <f t="shared" si="239"/>
        <v>0</v>
      </c>
      <c r="AN299">
        <f t="shared" si="240"/>
        <v>0</v>
      </c>
      <c r="AO299">
        <f t="shared" si="241"/>
        <v>0</v>
      </c>
      <c r="AP299">
        <f t="shared" si="242"/>
        <v>0</v>
      </c>
      <c r="AQ299">
        <f t="shared" si="243"/>
        <v>0</v>
      </c>
      <c r="AR299">
        <f t="shared" si="244"/>
        <v>0</v>
      </c>
      <c r="AS299">
        <f t="shared" si="245"/>
        <v>0</v>
      </c>
      <c r="AT299">
        <f t="shared" si="246"/>
        <v>0</v>
      </c>
      <c r="AU299">
        <f t="shared" si="247"/>
        <v>0</v>
      </c>
      <c r="AV299">
        <v>0</v>
      </c>
      <c r="AW299">
        <v>0</v>
      </c>
      <c r="AX299">
        <f t="shared" si="248"/>
        <v>1</v>
      </c>
      <c r="AY299">
        <f t="shared" si="249"/>
        <v>9</v>
      </c>
      <c r="AZ299">
        <f t="shared" si="250"/>
        <v>270.90000000000003</v>
      </c>
      <c r="BA299">
        <f t="shared" si="251"/>
        <v>0</v>
      </c>
      <c r="BB299">
        <f t="shared" si="252"/>
        <v>0</v>
      </c>
      <c r="BC299">
        <f t="shared" si="253"/>
        <v>0</v>
      </c>
      <c r="BD299">
        <f t="shared" si="254"/>
        <v>0</v>
      </c>
      <c r="BE299">
        <f t="shared" si="255"/>
        <v>0</v>
      </c>
      <c r="BF299">
        <f t="shared" si="256"/>
        <v>0</v>
      </c>
      <c r="BG299">
        <f t="shared" si="257"/>
        <v>0</v>
      </c>
      <c r="BH299">
        <f t="shared" si="258"/>
        <v>0</v>
      </c>
      <c r="BI299">
        <f t="shared" si="259"/>
        <v>0</v>
      </c>
      <c r="BJ299">
        <v>0</v>
      </c>
      <c r="BK299" t="str">
        <f t="shared" si="273"/>
        <v>Big Win</v>
      </c>
      <c r="BL299" s="40" t="str">
        <f t="shared" si="274"/>
        <v>Bonus Game A</v>
      </c>
      <c r="BM299">
        <f>(D299/Frequency!$N$7-Summary!$C$7)^2*E299</f>
        <v>7705.3284000000012</v>
      </c>
      <c r="BN299">
        <f t="shared" si="260"/>
        <v>0</v>
      </c>
      <c r="BO299">
        <f t="shared" si="261"/>
        <v>0</v>
      </c>
      <c r="BP299">
        <f t="shared" si="262"/>
        <v>0</v>
      </c>
      <c r="BQ299">
        <f t="shared" si="263"/>
        <v>0</v>
      </c>
      <c r="BR299">
        <f t="shared" si="264"/>
        <v>0</v>
      </c>
      <c r="BS299">
        <f t="shared" si="265"/>
        <v>0</v>
      </c>
      <c r="BT299">
        <f t="shared" si="266"/>
        <v>0</v>
      </c>
      <c r="BU299">
        <f t="shared" si="267"/>
        <v>0</v>
      </c>
      <c r="BV299">
        <f t="shared" si="268"/>
        <v>0</v>
      </c>
      <c r="BW299">
        <f t="shared" si="269"/>
        <v>9</v>
      </c>
      <c r="BX299">
        <f t="shared" si="270"/>
        <v>270.90000000000003</v>
      </c>
    </row>
    <row r="300" spans="2:76">
      <c r="B300" s="19">
        <f>Tiers!B301</f>
        <v>298</v>
      </c>
      <c r="C300" s="20" t="str">
        <f>Tiers!X301</f>
        <v>main-5|main-13|main-25|main-0|bonusA-5|||||</v>
      </c>
      <c r="D300" s="21">
        <f>Tiers!C301</f>
        <v>30.1</v>
      </c>
      <c r="E300" s="22">
        <f>Frequency!E302</f>
        <v>9</v>
      </c>
      <c r="F300" s="22">
        <f t="shared" si="220"/>
        <v>270.90000000000003</v>
      </c>
      <c r="G300" s="20">
        <f>IF(AND(D300/Summary!$C$4&gt;0, D300/Summary!$C$4&lt;5),E300,0) * D300</f>
        <v>0</v>
      </c>
      <c r="H300" s="20">
        <f>IF(AND(D300/Summary!$C$4&gt;= 5, D300/Summary!$C$4&lt;10),E300,0) * D300</f>
        <v>0</v>
      </c>
      <c r="I300" s="20">
        <f>IF(AND(D300/Summary!$C$4&gt;=10, D300/Summary!$C$4&lt;25),E300,0)*D300</f>
        <v>0</v>
      </c>
      <c r="J300" s="20">
        <f>IF(D300/Summary!$C$4&gt;=25,E300,0)*D300</f>
        <v>270.90000000000003</v>
      </c>
      <c r="K300" s="35">
        <f>IF(AND(D300/Frequency!$N$7&gt;0, D300/Frequency!$N$7&lt;1),E300,0)</f>
        <v>0</v>
      </c>
      <c r="L300" s="35">
        <f t="shared" si="221"/>
        <v>0</v>
      </c>
      <c r="M300" s="35">
        <f>IF(D300/Frequency!$N$7=1,1,0)*E300</f>
        <v>0</v>
      </c>
      <c r="N300" s="35">
        <f t="shared" si="222"/>
        <v>0</v>
      </c>
      <c r="O300" s="35">
        <f>IF(AND(D300/Frequency!$N$7&gt;1, D300/Frequency!$N$7&lt;=2),1,0)*E300</f>
        <v>0</v>
      </c>
      <c r="P300" s="35">
        <f t="shared" si="223"/>
        <v>0</v>
      </c>
      <c r="Q300" s="35">
        <f>IF(AND(D300/Frequency!$N$7&gt;2,D300/Frequency!$N$7&lt;=5),1,0)*E300</f>
        <v>0</v>
      </c>
      <c r="R300" s="35">
        <f t="shared" si="224"/>
        <v>0</v>
      </c>
      <c r="S300" s="35">
        <f>IF(AND(D300/Frequency!$N$7&gt;5, D300/Frequency!$N$7&lt;=10),1,0)*E300</f>
        <v>0</v>
      </c>
      <c r="T300" s="35">
        <f t="shared" si="225"/>
        <v>0</v>
      </c>
      <c r="U300" s="35">
        <f>IF(AND(D300/Frequency!$N$7&gt;10, D300/Frequency!$N$7&lt;=20),1,0)*E300</f>
        <v>0</v>
      </c>
      <c r="V300" s="35">
        <f t="shared" si="226"/>
        <v>0</v>
      </c>
      <c r="W300" s="35">
        <f>IF(AND(D300/Frequency!$N$7&gt;20, D300/Frequency!$N$7&lt;=30),1,0)*E300</f>
        <v>0</v>
      </c>
      <c r="X300" s="35">
        <f t="shared" si="227"/>
        <v>0</v>
      </c>
      <c r="Y300" s="35">
        <f>IF(AND(D300/Frequency!$N$7&gt;30, D300/Frequency!$N$7&lt;=50),1,0)*E300</f>
        <v>9</v>
      </c>
      <c r="Z300" s="35">
        <f t="shared" si="228"/>
        <v>270.90000000000003</v>
      </c>
      <c r="AA300" s="35">
        <f>IF(AND(D300/Frequency!$N$7&gt;50, D300/Frequency!$N$7&lt;=100),1,0)*E300</f>
        <v>0</v>
      </c>
      <c r="AB300" s="35">
        <f t="shared" si="229"/>
        <v>0</v>
      </c>
      <c r="AC300" s="35">
        <f>IF(D300/Frequency!$N$7&gt;100,1,0)*E300</f>
        <v>0</v>
      </c>
      <c r="AD300" s="35">
        <f t="shared" si="230"/>
        <v>0</v>
      </c>
      <c r="AE300" s="22">
        <f t="shared" si="231"/>
        <v>0</v>
      </c>
      <c r="AF300" s="22">
        <f t="shared" si="232"/>
        <v>9</v>
      </c>
      <c r="AG300" s="22">
        <f t="shared" si="233"/>
        <v>270.90000000000003</v>
      </c>
      <c r="AH300" s="22">
        <f t="shared" si="234"/>
        <v>0</v>
      </c>
      <c r="AI300" s="35">
        <f t="shared" si="235"/>
        <v>1</v>
      </c>
      <c r="AJ300" s="35">
        <f t="shared" si="236"/>
        <v>9</v>
      </c>
      <c r="AK300" s="35">
        <f t="shared" si="237"/>
        <v>270.90000000000003</v>
      </c>
      <c r="AL300">
        <f t="shared" si="238"/>
        <v>0</v>
      </c>
      <c r="AM300">
        <f t="shared" si="239"/>
        <v>0</v>
      </c>
      <c r="AN300">
        <f t="shared" si="240"/>
        <v>0</v>
      </c>
      <c r="AO300">
        <f t="shared" si="241"/>
        <v>0</v>
      </c>
      <c r="AP300">
        <f t="shared" si="242"/>
        <v>0</v>
      </c>
      <c r="AQ300">
        <f t="shared" si="243"/>
        <v>0</v>
      </c>
      <c r="AR300">
        <f t="shared" si="244"/>
        <v>0</v>
      </c>
      <c r="AS300">
        <f t="shared" si="245"/>
        <v>0</v>
      </c>
      <c r="AT300">
        <f t="shared" si="246"/>
        <v>0</v>
      </c>
      <c r="AU300">
        <f t="shared" si="247"/>
        <v>0</v>
      </c>
      <c r="AV300">
        <v>0</v>
      </c>
      <c r="AW300">
        <v>0</v>
      </c>
      <c r="AX300">
        <f t="shared" si="248"/>
        <v>1</v>
      </c>
      <c r="AY300">
        <f t="shared" si="249"/>
        <v>9</v>
      </c>
      <c r="AZ300">
        <f t="shared" si="250"/>
        <v>270.90000000000003</v>
      </c>
      <c r="BA300">
        <f t="shared" si="251"/>
        <v>0</v>
      </c>
      <c r="BB300">
        <f t="shared" si="252"/>
        <v>0</v>
      </c>
      <c r="BC300">
        <f t="shared" si="253"/>
        <v>0</v>
      </c>
      <c r="BD300">
        <f t="shared" si="254"/>
        <v>0</v>
      </c>
      <c r="BE300">
        <f t="shared" si="255"/>
        <v>0</v>
      </c>
      <c r="BF300">
        <f t="shared" si="256"/>
        <v>0</v>
      </c>
      <c r="BG300">
        <f t="shared" si="257"/>
        <v>0</v>
      </c>
      <c r="BH300">
        <f t="shared" si="258"/>
        <v>0</v>
      </c>
      <c r="BI300">
        <f t="shared" si="259"/>
        <v>0</v>
      </c>
      <c r="BJ300">
        <v>0</v>
      </c>
      <c r="BK300" t="str">
        <f t="shared" si="273"/>
        <v>Big Win</v>
      </c>
      <c r="BL300" s="40" t="str">
        <f t="shared" si="274"/>
        <v>Bonus Game A</v>
      </c>
      <c r="BM300">
        <f>(D300/Frequency!$N$7-Summary!$C$7)^2*E300</f>
        <v>7705.3284000000012</v>
      </c>
      <c r="BN300">
        <f t="shared" si="260"/>
        <v>0</v>
      </c>
      <c r="BO300">
        <f t="shared" si="261"/>
        <v>0</v>
      </c>
      <c r="BP300">
        <f t="shared" si="262"/>
        <v>0</v>
      </c>
      <c r="BQ300">
        <f t="shared" si="263"/>
        <v>0</v>
      </c>
      <c r="BR300">
        <f t="shared" si="264"/>
        <v>0</v>
      </c>
      <c r="BS300">
        <f t="shared" si="265"/>
        <v>0</v>
      </c>
      <c r="BT300">
        <f t="shared" si="266"/>
        <v>0</v>
      </c>
      <c r="BU300">
        <f t="shared" si="267"/>
        <v>0</v>
      </c>
      <c r="BV300">
        <f t="shared" si="268"/>
        <v>0</v>
      </c>
      <c r="BW300">
        <f t="shared" si="269"/>
        <v>9</v>
      </c>
      <c r="BX300">
        <f t="shared" si="270"/>
        <v>270.90000000000003</v>
      </c>
    </row>
    <row r="301" spans="2:76">
      <c r="B301" s="19">
        <f>Tiers!B302</f>
        <v>299</v>
      </c>
      <c r="C301" s="20" t="str">
        <f>Tiers!X302</f>
        <v>main-5|main-25|main-19|wild-11|bonusA-6|||||</v>
      </c>
      <c r="D301" s="21">
        <f>Tiers!C302</f>
        <v>37</v>
      </c>
      <c r="E301" s="22">
        <f>Frequency!E303</f>
        <v>10</v>
      </c>
      <c r="F301" s="22">
        <f t="shared" si="220"/>
        <v>370</v>
      </c>
      <c r="G301" s="20">
        <f>IF(AND(D301/Summary!$C$4&gt;0, D301/Summary!$C$4&lt;5),E301,0) * D301</f>
        <v>0</v>
      </c>
      <c r="H301" s="20">
        <f>IF(AND(D301/Summary!$C$4&gt;= 5, D301/Summary!$C$4&lt;10),E301,0) * D301</f>
        <v>0</v>
      </c>
      <c r="I301" s="20">
        <f>IF(AND(D301/Summary!$C$4&gt;=10, D301/Summary!$C$4&lt;25),E301,0)*D301</f>
        <v>0</v>
      </c>
      <c r="J301" s="20">
        <f>IF(D301/Summary!$C$4&gt;=25,E301,0)*D301</f>
        <v>370</v>
      </c>
      <c r="K301" s="35">
        <f>IF(AND(D301/Frequency!$N$7&gt;0, D301/Frequency!$N$7&lt;1),E301,0)</f>
        <v>0</v>
      </c>
      <c r="L301" s="35">
        <f t="shared" si="221"/>
        <v>0</v>
      </c>
      <c r="M301" s="35">
        <f>IF(D301/Frequency!$N$7=1,1,0)*E301</f>
        <v>0</v>
      </c>
      <c r="N301" s="35">
        <f t="shared" si="222"/>
        <v>0</v>
      </c>
      <c r="O301" s="35">
        <f>IF(AND(D301/Frequency!$N$7&gt;1, D301/Frequency!$N$7&lt;=2),1,0)*E301</f>
        <v>0</v>
      </c>
      <c r="P301" s="35">
        <f t="shared" si="223"/>
        <v>0</v>
      </c>
      <c r="Q301" s="35">
        <f>IF(AND(D301/Frequency!$N$7&gt;2,D301/Frequency!$N$7&lt;=5),1,0)*E301</f>
        <v>0</v>
      </c>
      <c r="R301" s="35">
        <f t="shared" si="224"/>
        <v>0</v>
      </c>
      <c r="S301" s="35">
        <f>IF(AND(D301/Frequency!$N$7&gt;5, D301/Frequency!$N$7&lt;=10),1,0)*E301</f>
        <v>0</v>
      </c>
      <c r="T301" s="35">
        <f t="shared" si="225"/>
        <v>0</v>
      </c>
      <c r="U301" s="35">
        <f>IF(AND(D301/Frequency!$N$7&gt;10, D301/Frequency!$N$7&lt;=20),1,0)*E301</f>
        <v>0</v>
      </c>
      <c r="V301" s="35">
        <f t="shared" si="226"/>
        <v>0</v>
      </c>
      <c r="W301" s="35">
        <f>IF(AND(D301/Frequency!$N$7&gt;20, D301/Frequency!$N$7&lt;=30),1,0)*E301</f>
        <v>0</v>
      </c>
      <c r="X301" s="35">
        <f t="shared" si="227"/>
        <v>0</v>
      </c>
      <c r="Y301" s="35">
        <f>IF(AND(D301/Frequency!$N$7&gt;30, D301/Frequency!$N$7&lt;=50),1,0)*E301</f>
        <v>10</v>
      </c>
      <c r="Z301" s="35">
        <f t="shared" si="228"/>
        <v>370</v>
      </c>
      <c r="AA301" s="35">
        <f>IF(AND(D301/Frequency!$N$7&gt;50, D301/Frequency!$N$7&lt;=100),1,0)*E301</f>
        <v>0</v>
      </c>
      <c r="AB301" s="35">
        <f t="shared" si="229"/>
        <v>0</v>
      </c>
      <c r="AC301" s="35">
        <f>IF(D301/Frequency!$N$7&gt;100,1,0)*E301</f>
        <v>0</v>
      </c>
      <c r="AD301" s="35">
        <f t="shared" si="230"/>
        <v>0</v>
      </c>
      <c r="AE301" s="22">
        <f t="shared" si="231"/>
        <v>0</v>
      </c>
      <c r="AF301" s="22">
        <f t="shared" si="232"/>
        <v>10</v>
      </c>
      <c r="AG301" s="22">
        <f t="shared" si="233"/>
        <v>370</v>
      </c>
      <c r="AH301" s="22">
        <f t="shared" si="234"/>
        <v>0</v>
      </c>
      <c r="AI301" s="35">
        <f t="shared" si="235"/>
        <v>1</v>
      </c>
      <c r="AJ301" s="35">
        <f t="shared" si="236"/>
        <v>10</v>
      </c>
      <c r="AK301" s="35">
        <f t="shared" si="237"/>
        <v>370</v>
      </c>
      <c r="AL301">
        <f t="shared" si="238"/>
        <v>1</v>
      </c>
      <c r="AM301">
        <f t="shared" si="239"/>
        <v>10</v>
      </c>
      <c r="AN301">
        <f t="shared" si="240"/>
        <v>370</v>
      </c>
      <c r="AO301">
        <f t="shared" si="241"/>
        <v>1</v>
      </c>
      <c r="AP301">
        <f t="shared" si="242"/>
        <v>10</v>
      </c>
      <c r="AQ301">
        <f t="shared" si="243"/>
        <v>370</v>
      </c>
      <c r="AR301">
        <f t="shared" si="244"/>
        <v>0</v>
      </c>
      <c r="AS301">
        <f t="shared" si="245"/>
        <v>0</v>
      </c>
      <c r="AT301">
        <f t="shared" si="246"/>
        <v>0</v>
      </c>
      <c r="AU301">
        <f t="shared" si="247"/>
        <v>0</v>
      </c>
      <c r="AV301">
        <v>0</v>
      </c>
      <c r="AW301">
        <v>0</v>
      </c>
      <c r="AX301">
        <f t="shared" si="248"/>
        <v>1</v>
      </c>
      <c r="AY301">
        <f t="shared" si="249"/>
        <v>10</v>
      </c>
      <c r="AZ301">
        <f t="shared" si="250"/>
        <v>370</v>
      </c>
      <c r="BA301">
        <f t="shared" si="251"/>
        <v>0</v>
      </c>
      <c r="BB301">
        <f t="shared" si="252"/>
        <v>0</v>
      </c>
      <c r="BC301">
        <f t="shared" si="253"/>
        <v>0</v>
      </c>
      <c r="BD301">
        <f t="shared" si="254"/>
        <v>0</v>
      </c>
      <c r="BE301">
        <f t="shared" si="255"/>
        <v>0</v>
      </c>
      <c r="BF301">
        <f t="shared" si="256"/>
        <v>0</v>
      </c>
      <c r="BG301">
        <f t="shared" si="257"/>
        <v>0</v>
      </c>
      <c r="BH301">
        <f t="shared" si="258"/>
        <v>0</v>
      </c>
      <c r="BI301">
        <f t="shared" si="259"/>
        <v>0</v>
      </c>
      <c r="BJ301">
        <v>0</v>
      </c>
      <c r="BK301" t="str">
        <f t="shared" si="273"/>
        <v>Big Win</v>
      </c>
      <c r="BL301" s="40" t="str">
        <f t="shared" si="274"/>
        <v>Bonus Game A</v>
      </c>
      <c r="BM301">
        <f>(D301/Frequency!$N$7-Summary!$C$7)^2*E301</f>
        <v>13075.455999999996</v>
      </c>
      <c r="BN301">
        <f t="shared" si="260"/>
        <v>0</v>
      </c>
      <c r="BO301">
        <f t="shared" si="261"/>
        <v>0</v>
      </c>
      <c r="BP301">
        <f t="shared" si="262"/>
        <v>0</v>
      </c>
      <c r="BQ301">
        <f t="shared" si="263"/>
        <v>0</v>
      </c>
      <c r="BR301">
        <f t="shared" si="264"/>
        <v>0</v>
      </c>
      <c r="BS301">
        <f t="shared" si="265"/>
        <v>0</v>
      </c>
      <c r="BT301">
        <f t="shared" si="266"/>
        <v>0</v>
      </c>
      <c r="BU301">
        <f t="shared" si="267"/>
        <v>0</v>
      </c>
      <c r="BV301">
        <f t="shared" si="268"/>
        <v>0</v>
      </c>
      <c r="BW301">
        <f t="shared" si="269"/>
        <v>10</v>
      </c>
      <c r="BX301">
        <f t="shared" si="270"/>
        <v>370</v>
      </c>
    </row>
    <row r="302" spans="2:76">
      <c r="B302" s="19">
        <f>Tiers!B303</f>
        <v>300</v>
      </c>
      <c r="C302" s="20" t="str">
        <f>Tiers!X303</f>
        <v>main-4|main-19|main-5|wild-2|bonusA-3|||||</v>
      </c>
      <c r="D302" s="21">
        <f>Tiers!C303</f>
        <v>22.5</v>
      </c>
      <c r="E302" s="22">
        <f>Frequency!E304</f>
        <v>10</v>
      </c>
      <c r="F302" s="22">
        <f t="shared" si="220"/>
        <v>225</v>
      </c>
      <c r="G302" s="20">
        <f>IF(AND(D302/Summary!$C$4&gt;0, D302/Summary!$C$4&lt;5),E302,0) * D302</f>
        <v>0</v>
      </c>
      <c r="H302" s="20">
        <f>IF(AND(D302/Summary!$C$4&gt;= 5, D302/Summary!$C$4&lt;10),E302,0) * D302</f>
        <v>0</v>
      </c>
      <c r="I302" s="20">
        <f>IF(AND(D302/Summary!$C$4&gt;=10, D302/Summary!$C$4&lt;25),E302,0)*D302</f>
        <v>225</v>
      </c>
      <c r="J302" s="20">
        <f>IF(D302/Summary!$C$4&gt;=25,E302,0)*D302</f>
        <v>0</v>
      </c>
      <c r="K302" s="35">
        <f>IF(AND(D302/Frequency!$N$7&gt;0, D302/Frequency!$N$7&lt;1),E302,0)</f>
        <v>0</v>
      </c>
      <c r="L302" s="35">
        <f t="shared" si="221"/>
        <v>0</v>
      </c>
      <c r="M302" s="35">
        <f>IF(D302/Frequency!$N$7=1,1,0)*E302</f>
        <v>0</v>
      </c>
      <c r="N302" s="35">
        <f t="shared" si="222"/>
        <v>0</v>
      </c>
      <c r="O302" s="35">
        <f>IF(AND(D302/Frequency!$N$7&gt;1, D302/Frequency!$N$7&lt;=2),1,0)*E302</f>
        <v>0</v>
      </c>
      <c r="P302" s="35">
        <f t="shared" si="223"/>
        <v>0</v>
      </c>
      <c r="Q302" s="35">
        <f>IF(AND(D302/Frequency!$N$7&gt;2,D302/Frequency!$N$7&lt;=5),1,0)*E302</f>
        <v>0</v>
      </c>
      <c r="R302" s="35">
        <f t="shared" si="224"/>
        <v>0</v>
      </c>
      <c r="S302" s="35">
        <f>IF(AND(D302/Frequency!$N$7&gt;5, D302/Frequency!$N$7&lt;=10),1,0)*E302</f>
        <v>0</v>
      </c>
      <c r="T302" s="35">
        <f t="shared" si="225"/>
        <v>0</v>
      </c>
      <c r="U302" s="35">
        <f>IF(AND(D302/Frequency!$N$7&gt;10, D302/Frequency!$N$7&lt;=20),1,0)*E302</f>
        <v>0</v>
      </c>
      <c r="V302" s="35">
        <f t="shared" si="226"/>
        <v>0</v>
      </c>
      <c r="W302" s="35">
        <f>IF(AND(D302/Frequency!$N$7&gt;20, D302/Frequency!$N$7&lt;=30),1,0)*E302</f>
        <v>10</v>
      </c>
      <c r="X302" s="35">
        <f t="shared" si="227"/>
        <v>225</v>
      </c>
      <c r="Y302" s="35">
        <f>IF(AND(D302/Frequency!$N$7&gt;30, D302/Frequency!$N$7&lt;=50),1,0)*E302</f>
        <v>0</v>
      </c>
      <c r="Z302" s="35">
        <f t="shared" si="228"/>
        <v>0</v>
      </c>
      <c r="AA302" s="35">
        <f>IF(AND(D302/Frequency!$N$7&gt;50, D302/Frequency!$N$7&lt;=100),1,0)*E302</f>
        <v>0</v>
      </c>
      <c r="AB302" s="35">
        <f t="shared" si="229"/>
        <v>0</v>
      </c>
      <c r="AC302" s="35">
        <f>IF(D302/Frequency!$N$7&gt;100,1,0)*E302</f>
        <v>0</v>
      </c>
      <c r="AD302" s="35">
        <f t="shared" si="230"/>
        <v>0</v>
      </c>
      <c r="AE302" s="22">
        <f t="shared" si="231"/>
        <v>0</v>
      </c>
      <c r="AF302" s="22">
        <f t="shared" si="232"/>
        <v>10</v>
      </c>
      <c r="AG302" s="22">
        <f t="shared" si="233"/>
        <v>225</v>
      </c>
      <c r="AH302" s="22">
        <f t="shared" si="234"/>
        <v>0</v>
      </c>
      <c r="AI302" s="35">
        <f t="shared" si="235"/>
        <v>1</v>
      </c>
      <c r="AJ302" s="35">
        <f t="shared" si="236"/>
        <v>10</v>
      </c>
      <c r="AK302" s="35">
        <f t="shared" si="237"/>
        <v>225</v>
      </c>
      <c r="AL302">
        <f t="shared" si="238"/>
        <v>1</v>
      </c>
      <c r="AM302">
        <f t="shared" si="239"/>
        <v>10</v>
      </c>
      <c r="AN302">
        <f t="shared" si="240"/>
        <v>225</v>
      </c>
      <c r="AO302">
        <f t="shared" si="241"/>
        <v>1</v>
      </c>
      <c r="AP302">
        <f t="shared" si="242"/>
        <v>10</v>
      </c>
      <c r="AQ302">
        <f t="shared" si="243"/>
        <v>225</v>
      </c>
      <c r="AR302">
        <f t="shared" si="244"/>
        <v>0</v>
      </c>
      <c r="AS302">
        <f t="shared" si="245"/>
        <v>0</v>
      </c>
      <c r="AT302">
        <f t="shared" si="246"/>
        <v>0</v>
      </c>
      <c r="AU302">
        <f t="shared" si="247"/>
        <v>0</v>
      </c>
      <c r="AV302">
        <v>0</v>
      </c>
      <c r="AW302">
        <v>0</v>
      </c>
      <c r="AX302">
        <f t="shared" si="248"/>
        <v>1</v>
      </c>
      <c r="AY302">
        <f t="shared" si="249"/>
        <v>10</v>
      </c>
      <c r="AZ302">
        <f t="shared" si="250"/>
        <v>225</v>
      </c>
      <c r="BA302">
        <f t="shared" si="251"/>
        <v>0</v>
      </c>
      <c r="BB302">
        <f t="shared" si="252"/>
        <v>0</v>
      </c>
      <c r="BC302">
        <f t="shared" si="253"/>
        <v>0</v>
      </c>
      <c r="BD302">
        <f t="shared" si="254"/>
        <v>0</v>
      </c>
      <c r="BE302">
        <f t="shared" si="255"/>
        <v>0</v>
      </c>
      <c r="BF302">
        <f t="shared" si="256"/>
        <v>0</v>
      </c>
      <c r="BG302">
        <f t="shared" si="257"/>
        <v>0</v>
      </c>
      <c r="BH302">
        <f t="shared" si="258"/>
        <v>0</v>
      </c>
      <c r="BI302">
        <f t="shared" si="259"/>
        <v>0</v>
      </c>
      <c r="BJ302">
        <v>0</v>
      </c>
      <c r="BK302" t="str">
        <f t="shared" si="273"/>
        <v>Big Win</v>
      </c>
      <c r="BL302" s="40" t="str">
        <f t="shared" si="274"/>
        <v>Bonus Game A</v>
      </c>
      <c r="BM302">
        <f>(D302/Frequency!$N$7-Summary!$C$7)^2*E302</f>
        <v>4691.5559999999996</v>
      </c>
      <c r="BN302">
        <f t="shared" si="260"/>
        <v>0</v>
      </c>
      <c r="BO302">
        <f t="shared" si="261"/>
        <v>0</v>
      </c>
      <c r="BP302">
        <f t="shared" si="262"/>
        <v>0</v>
      </c>
      <c r="BQ302">
        <f t="shared" si="263"/>
        <v>0</v>
      </c>
      <c r="BR302">
        <f t="shared" si="264"/>
        <v>0</v>
      </c>
      <c r="BS302">
        <f t="shared" si="265"/>
        <v>0</v>
      </c>
      <c r="BT302">
        <f t="shared" si="266"/>
        <v>0</v>
      </c>
      <c r="BU302">
        <f t="shared" si="267"/>
        <v>0</v>
      </c>
      <c r="BV302">
        <f t="shared" si="268"/>
        <v>0</v>
      </c>
      <c r="BW302">
        <f t="shared" si="269"/>
        <v>10</v>
      </c>
      <c r="BX302">
        <f t="shared" si="270"/>
        <v>225</v>
      </c>
    </row>
    <row r="303" spans="2:76">
      <c r="B303" s="19">
        <f>Tiers!B304</f>
        <v>301</v>
      </c>
      <c r="C303" s="20" t="str">
        <f>Tiers!X304</f>
        <v>main-26|bonusB-3||||||||</v>
      </c>
      <c r="D303" s="21">
        <f>Tiers!C304</f>
        <v>20</v>
      </c>
      <c r="E303" s="22">
        <f>Frequency!E305</f>
        <v>5</v>
      </c>
      <c r="F303" s="22">
        <f t="shared" si="220"/>
        <v>100</v>
      </c>
      <c r="G303" s="20">
        <f>IF(AND(D303/Summary!$C$4&gt;0, D303/Summary!$C$4&lt;5),E303,0) * D303</f>
        <v>0</v>
      </c>
      <c r="H303" s="20">
        <f>IF(AND(D303/Summary!$C$4&gt;= 5, D303/Summary!$C$4&lt;10),E303,0) * D303</f>
        <v>0</v>
      </c>
      <c r="I303" s="20">
        <f>IF(AND(D303/Summary!$C$4&gt;=10, D303/Summary!$C$4&lt;25),E303,0)*D303</f>
        <v>100</v>
      </c>
      <c r="J303" s="20">
        <f>IF(D303/Summary!$C$4&gt;=25,E303,0)*D303</f>
        <v>0</v>
      </c>
      <c r="K303" s="35">
        <f>IF(AND(D303/Frequency!$N$7&gt;0, D303/Frequency!$N$7&lt;1),E303,0)</f>
        <v>0</v>
      </c>
      <c r="L303" s="35">
        <f t="shared" si="221"/>
        <v>0</v>
      </c>
      <c r="M303" s="35">
        <f>IF(D303/Frequency!$N$7=1,1,0)*E303</f>
        <v>0</v>
      </c>
      <c r="N303" s="35">
        <f t="shared" si="222"/>
        <v>0</v>
      </c>
      <c r="O303" s="35">
        <f>IF(AND(D303/Frequency!$N$7&gt;1, D303/Frequency!$N$7&lt;=2),1,0)*E303</f>
        <v>0</v>
      </c>
      <c r="P303" s="35">
        <f t="shared" si="223"/>
        <v>0</v>
      </c>
      <c r="Q303" s="35">
        <f>IF(AND(D303/Frequency!$N$7&gt;2,D303/Frequency!$N$7&lt;=5),1,0)*E303</f>
        <v>0</v>
      </c>
      <c r="R303" s="35">
        <f t="shared" si="224"/>
        <v>0</v>
      </c>
      <c r="S303" s="35">
        <f>IF(AND(D303/Frequency!$N$7&gt;5, D303/Frequency!$N$7&lt;=10),1,0)*E303</f>
        <v>0</v>
      </c>
      <c r="T303" s="35">
        <f t="shared" si="225"/>
        <v>0</v>
      </c>
      <c r="U303" s="35">
        <f>IF(AND(D303/Frequency!$N$7&gt;10, D303/Frequency!$N$7&lt;=20),1,0)*E303</f>
        <v>5</v>
      </c>
      <c r="V303" s="35">
        <f t="shared" si="226"/>
        <v>100</v>
      </c>
      <c r="W303" s="35">
        <f>IF(AND(D303/Frequency!$N$7&gt;20, D303/Frequency!$N$7&lt;=30),1,0)*E303</f>
        <v>0</v>
      </c>
      <c r="X303" s="35">
        <f t="shared" si="227"/>
        <v>0</v>
      </c>
      <c r="Y303" s="35">
        <f>IF(AND(D303/Frequency!$N$7&gt;30, D303/Frequency!$N$7&lt;=50),1,0)*E303</f>
        <v>0</v>
      </c>
      <c r="Z303" s="35">
        <f t="shared" si="228"/>
        <v>0</v>
      </c>
      <c r="AA303" s="35">
        <f>IF(AND(D303/Frequency!$N$7&gt;50, D303/Frequency!$N$7&lt;=100),1,0)*E303</f>
        <v>0</v>
      </c>
      <c r="AB303" s="35">
        <f t="shared" si="229"/>
        <v>0</v>
      </c>
      <c r="AC303" s="35">
        <f>IF(D303/Frequency!$N$7&gt;100,1,0)*E303</f>
        <v>0</v>
      </c>
      <c r="AD303" s="35">
        <f t="shared" si="230"/>
        <v>0</v>
      </c>
      <c r="AE303" s="22">
        <f t="shared" si="231"/>
        <v>0</v>
      </c>
      <c r="AF303" s="22">
        <f t="shared" si="232"/>
        <v>5</v>
      </c>
      <c r="AG303" s="22">
        <f t="shared" si="233"/>
        <v>100</v>
      </c>
      <c r="AH303" s="22">
        <f t="shared" si="234"/>
        <v>0</v>
      </c>
      <c r="AI303" s="35">
        <f t="shared" si="235"/>
        <v>1</v>
      </c>
      <c r="AJ303" s="35">
        <f t="shared" si="236"/>
        <v>5</v>
      </c>
      <c r="AK303" s="35">
        <f t="shared" si="237"/>
        <v>100</v>
      </c>
      <c r="AL303">
        <f t="shared" si="238"/>
        <v>0</v>
      </c>
      <c r="AM303">
        <f t="shared" si="239"/>
        <v>0</v>
      </c>
      <c r="AN303">
        <f t="shared" si="240"/>
        <v>0</v>
      </c>
      <c r="AO303">
        <f t="shared" si="241"/>
        <v>0</v>
      </c>
      <c r="AP303">
        <f t="shared" si="242"/>
        <v>0</v>
      </c>
      <c r="AQ303">
        <f t="shared" si="243"/>
        <v>0</v>
      </c>
      <c r="AR303">
        <f t="shared" si="244"/>
        <v>0</v>
      </c>
      <c r="AS303">
        <f t="shared" si="245"/>
        <v>0</v>
      </c>
      <c r="AT303">
        <f t="shared" si="246"/>
        <v>0</v>
      </c>
      <c r="AU303">
        <f t="shared" si="247"/>
        <v>0</v>
      </c>
      <c r="AV303">
        <v>0</v>
      </c>
      <c r="AW303">
        <v>0</v>
      </c>
      <c r="AX303">
        <f t="shared" si="248"/>
        <v>0</v>
      </c>
      <c r="AY303">
        <f t="shared" si="249"/>
        <v>0</v>
      </c>
      <c r="AZ303">
        <f t="shared" si="250"/>
        <v>0</v>
      </c>
      <c r="BA303">
        <f t="shared" si="251"/>
        <v>1</v>
      </c>
      <c r="BB303">
        <f t="shared" si="252"/>
        <v>5</v>
      </c>
      <c r="BC303">
        <f t="shared" si="253"/>
        <v>100</v>
      </c>
      <c r="BD303">
        <f t="shared" si="254"/>
        <v>0</v>
      </c>
      <c r="BE303">
        <f t="shared" si="255"/>
        <v>0</v>
      </c>
      <c r="BF303">
        <f t="shared" si="256"/>
        <v>0</v>
      </c>
      <c r="BG303">
        <f t="shared" si="257"/>
        <v>0</v>
      </c>
      <c r="BH303">
        <f t="shared" si="258"/>
        <v>0</v>
      </c>
      <c r="BI303">
        <f t="shared" si="259"/>
        <v>0</v>
      </c>
      <c r="BJ303">
        <v>0</v>
      </c>
      <c r="BK303" t="str">
        <f t="shared" si="273"/>
        <v>Big Win</v>
      </c>
      <c r="BL303" s="40" t="str">
        <f t="shared" si="274"/>
        <v>Bonus Game B</v>
      </c>
      <c r="BM303">
        <f>(D303/Frequency!$N$7-Summary!$C$7)^2*E303</f>
        <v>1835.5279999999998</v>
      </c>
      <c r="BN303">
        <f t="shared" si="260"/>
        <v>0</v>
      </c>
      <c r="BO303">
        <f t="shared" si="261"/>
        <v>0</v>
      </c>
      <c r="BP303">
        <f t="shared" si="262"/>
        <v>0</v>
      </c>
      <c r="BQ303">
        <f t="shared" si="263"/>
        <v>0</v>
      </c>
      <c r="BR303">
        <f t="shared" si="264"/>
        <v>0</v>
      </c>
      <c r="BS303">
        <f t="shared" si="265"/>
        <v>0</v>
      </c>
      <c r="BT303">
        <f t="shared" si="266"/>
        <v>0</v>
      </c>
      <c r="BU303">
        <f t="shared" si="267"/>
        <v>0</v>
      </c>
      <c r="BV303">
        <f t="shared" si="268"/>
        <v>0</v>
      </c>
      <c r="BW303">
        <f t="shared" si="269"/>
        <v>5</v>
      </c>
      <c r="BX303">
        <f t="shared" si="270"/>
        <v>100</v>
      </c>
    </row>
    <row r="304" spans="2:76">
      <c r="B304" s="19">
        <f>Tiers!B305</f>
        <v>302</v>
      </c>
      <c r="C304" s="20" t="str">
        <f>Tiers!X305</f>
        <v>main-25|bonusB-4||||||||</v>
      </c>
      <c r="D304" s="21">
        <f>Tiers!C305</f>
        <v>17</v>
      </c>
      <c r="E304" s="22">
        <f>Frequency!E306</f>
        <v>5</v>
      </c>
      <c r="F304" s="22">
        <f t="shared" si="220"/>
        <v>85</v>
      </c>
      <c r="G304" s="20">
        <f>IF(AND(D304/Summary!$C$4&gt;0, D304/Summary!$C$4&lt;5),E304,0) * D304</f>
        <v>0</v>
      </c>
      <c r="H304" s="20">
        <f>IF(AND(D304/Summary!$C$4&gt;= 5, D304/Summary!$C$4&lt;10),E304,0) * D304</f>
        <v>0</v>
      </c>
      <c r="I304" s="20">
        <f>IF(AND(D304/Summary!$C$4&gt;=10, D304/Summary!$C$4&lt;25),E304,0)*D304</f>
        <v>85</v>
      </c>
      <c r="J304" s="20">
        <f>IF(D304/Summary!$C$4&gt;=25,E304,0)*D304</f>
        <v>0</v>
      </c>
      <c r="K304" s="35">
        <f>IF(AND(D304/Frequency!$N$7&gt;0, D304/Frequency!$N$7&lt;1),E304,0)</f>
        <v>0</v>
      </c>
      <c r="L304" s="35">
        <f t="shared" si="221"/>
        <v>0</v>
      </c>
      <c r="M304" s="35">
        <f>IF(D304/Frequency!$N$7=1,1,0)*E304</f>
        <v>0</v>
      </c>
      <c r="N304" s="35">
        <f t="shared" si="222"/>
        <v>0</v>
      </c>
      <c r="O304" s="35">
        <f>IF(AND(D304/Frequency!$N$7&gt;1, D304/Frequency!$N$7&lt;=2),1,0)*E304</f>
        <v>0</v>
      </c>
      <c r="P304" s="35">
        <f t="shared" si="223"/>
        <v>0</v>
      </c>
      <c r="Q304" s="35">
        <f>IF(AND(D304/Frequency!$N$7&gt;2,D304/Frequency!$N$7&lt;=5),1,0)*E304</f>
        <v>0</v>
      </c>
      <c r="R304" s="35">
        <f t="shared" si="224"/>
        <v>0</v>
      </c>
      <c r="S304" s="35">
        <f>IF(AND(D304/Frequency!$N$7&gt;5, D304/Frequency!$N$7&lt;=10),1,0)*E304</f>
        <v>0</v>
      </c>
      <c r="T304" s="35">
        <f t="shared" si="225"/>
        <v>0</v>
      </c>
      <c r="U304" s="35">
        <f>IF(AND(D304/Frequency!$N$7&gt;10, D304/Frequency!$N$7&lt;=20),1,0)*E304</f>
        <v>5</v>
      </c>
      <c r="V304" s="35">
        <f t="shared" si="226"/>
        <v>85</v>
      </c>
      <c r="W304" s="35">
        <f>IF(AND(D304/Frequency!$N$7&gt;20, D304/Frequency!$N$7&lt;=30),1,0)*E304</f>
        <v>0</v>
      </c>
      <c r="X304" s="35">
        <f t="shared" si="227"/>
        <v>0</v>
      </c>
      <c r="Y304" s="35">
        <f>IF(AND(D304/Frequency!$N$7&gt;30, D304/Frequency!$N$7&lt;=50),1,0)*E304</f>
        <v>0</v>
      </c>
      <c r="Z304" s="35">
        <f t="shared" si="228"/>
        <v>0</v>
      </c>
      <c r="AA304" s="35">
        <f>IF(AND(D304/Frequency!$N$7&gt;50, D304/Frequency!$N$7&lt;=100),1,0)*E304</f>
        <v>0</v>
      </c>
      <c r="AB304" s="35">
        <f t="shared" si="229"/>
        <v>0</v>
      </c>
      <c r="AC304" s="35">
        <f>IF(D304/Frequency!$N$7&gt;100,1,0)*E304</f>
        <v>0</v>
      </c>
      <c r="AD304" s="35">
        <f t="shared" si="230"/>
        <v>0</v>
      </c>
      <c r="AE304" s="22">
        <f t="shared" si="231"/>
        <v>0</v>
      </c>
      <c r="AF304" s="22">
        <f t="shared" si="232"/>
        <v>5</v>
      </c>
      <c r="AG304" s="22">
        <f t="shared" si="233"/>
        <v>85</v>
      </c>
      <c r="AH304" s="22">
        <f t="shared" si="234"/>
        <v>0</v>
      </c>
      <c r="AI304" s="35">
        <f t="shared" si="235"/>
        <v>1</v>
      </c>
      <c r="AJ304" s="35">
        <f t="shared" si="236"/>
        <v>5</v>
      </c>
      <c r="AK304" s="35">
        <f t="shared" si="237"/>
        <v>85</v>
      </c>
      <c r="AL304">
        <f t="shared" si="238"/>
        <v>0</v>
      </c>
      <c r="AM304">
        <f t="shared" si="239"/>
        <v>0</v>
      </c>
      <c r="AN304">
        <f t="shared" si="240"/>
        <v>0</v>
      </c>
      <c r="AO304">
        <f t="shared" si="241"/>
        <v>0</v>
      </c>
      <c r="AP304">
        <f t="shared" si="242"/>
        <v>0</v>
      </c>
      <c r="AQ304">
        <f t="shared" si="243"/>
        <v>0</v>
      </c>
      <c r="AR304">
        <f t="shared" si="244"/>
        <v>0</v>
      </c>
      <c r="AS304">
        <f t="shared" si="245"/>
        <v>0</v>
      </c>
      <c r="AT304">
        <f t="shared" si="246"/>
        <v>0</v>
      </c>
      <c r="AU304">
        <f t="shared" si="247"/>
        <v>0</v>
      </c>
      <c r="AV304">
        <v>0</v>
      </c>
      <c r="AW304">
        <v>0</v>
      </c>
      <c r="AX304">
        <f t="shared" si="248"/>
        <v>0</v>
      </c>
      <c r="AY304">
        <f t="shared" si="249"/>
        <v>0</v>
      </c>
      <c r="AZ304">
        <f t="shared" si="250"/>
        <v>0</v>
      </c>
      <c r="BA304">
        <f t="shared" si="251"/>
        <v>1</v>
      </c>
      <c r="BB304">
        <f t="shared" si="252"/>
        <v>5</v>
      </c>
      <c r="BC304">
        <f t="shared" si="253"/>
        <v>85</v>
      </c>
      <c r="BD304">
        <f t="shared" si="254"/>
        <v>0</v>
      </c>
      <c r="BE304">
        <f t="shared" si="255"/>
        <v>0</v>
      </c>
      <c r="BF304">
        <f t="shared" si="256"/>
        <v>0</v>
      </c>
      <c r="BG304">
        <f t="shared" si="257"/>
        <v>0</v>
      </c>
      <c r="BH304">
        <f t="shared" si="258"/>
        <v>0</v>
      </c>
      <c r="BI304">
        <f t="shared" si="259"/>
        <v>0</v>
      </c>
      <c r="BJ304">
        <v>0</v>
      </c>
      <c r="BK304" t="str">
        <f t="shared" si="273"/>
        <v>Big Win</v>
      </c>
      <c r="BL304" s="40" t="str">
        <f t="shared" si="274"/>
        <v>Bonus Game B</v>
      </c>
      <c r="BM304">
        <f>(D304/Frequency!$N$7-Summary!$C$7)^2*E304</f>
        <v>1305.7280000000001</v>
      </c>
      <c r="BN304">
        <f t="shared" si="260"/>
        <v>0</v>
      </c>
      <c r="BO304">
        <f t="shared" si="261"/>
        <v>0</v>
      </c>
      <c r="BP304">
        <f t="shared" si="262"/>
        <v>0</v>
      </c>
      <c r="BQ304">
        <f t="shared" si="263"/>
        <v>0</v>
      </c>
      <c r="BR304">
        <f t="shared" si="264"/>
        <v>0</v>
      </c>
      <c r="BS304">
        <f t="shared" si="265"/>
        <v>0</v>
      </c>
      <c r="BT304">
        <f t="shared" si="266"/>
        <v>0</v>
      </c>
      <c r="BU304">
        <f t="shared" si="267"/>
        <v>0</v>
      </c>
      <c r="BV304">
        <f t="shared" si="268"/>
        <v>0</v>
      </c>
      <c r="BW304">
        <f t="shared" si="269"/>
        <v>5</v>
      </c>
      <c r="BX304">
        <f t="shared" si="270"/>
        <v>85</v>
      </c>
    </row>
    <row r="305" spans="2:76">
      <c r="B305" s="19">
        <f>Tiers!B306</f>
        <v>303</v>
      </c>
      <c r="C305" s="20" t="str">
        <f>Tiers!X306</f>
        <v>main-19|bonusB-5||||||||</v>
      </c>
      <c r="D305" s="21">
        <f>Tiers!C306</f>
        <v>20</v>
      </c>
      <c r="E305" s="22">
        <f>Frequency!E307</f>
        <v>10</v>
      </c>
      <c r="F305" s="22">
        <f t="shared" si="220"/>
        <v>200</v>
      </c>
      <c r="G305" s="20">
        <f>IF(AND(D305/Summary!$C$4&gt;0, D305/Summary!$C$4&lt;5),E305,0) * D305</f>
        <v>0</v>
      </c>
      <c r="H305" s="20">
        <f>IF(AND(D305/Summary!$C$4&gt;= 5, D305/Summary!$C$4&lt;10),E305,0) * D305</f>
        <v>0</v>
      </c>
      <c r="I305" s="20">
        <f>IF(AND(D305/Summary!$C$4&gt;=10, D305/Summary!$C$4&lt;25),E305,0)*D305</f>
        <v>200</v>
      </c>
      <c r="J305" s="20">
        <f>IF(D305/Summary!$C$4&gt;=25,E305,0)*D305</f>
        <v>0</v>
      </c>
      <c r="K305" s="35">
        <f>IF(AND(D305/Frequency!$N$7&gt;0, D305/Frequency!$N$7&lt;1),E305,0)</f>
        <v>0</v>
      </c>
      <c r="L305" s="35">
        <f t="shared" si="221"/>
        <v>0</v>
      </c>
      <c r="M305" s="35">
        <f>IF(D305/Frequency!$N$7=1,1,0)*E305</f>
        <v>0</v>
      </c>
      <c r="N305" s="35">
        <f t="shared" si="222"/>
        <v>0</v>
      </c>
      <c r="O305" s="35">
        <f>IF(AND(D305/Frequency!$N$7&gt;1, D305/Frequency!$N$7&lt;=2),1,0)*E305</f>
        <v>0</v>
      </c>
      <c r="P305" s="35">
        <f t="shared" si="223"/>
        <v>0</v>
      </c>
      <c r="Q305" s="35">
        <f>IF(AND(D305/Frequency!$N$7&gt;2,D305/Frequency!$N$7&lt;=5),1,0)*E305</f>
        <v>0</v>
      </c>
      <c r="R305" s="35">
        <f t="shared" si="224"/>
        <v>0</v>
      </c>
      <c r="S305" s="35">
        <f>IF(AND(D305/Frequency!$N$7&gt;5, D305/Frequency!$N$7&lt;=10),1,0)*E305</f>
        <v>0</v>
      </c>
      <c r="T305" s="35">
        <f t="shared" si="225"/>
        <v>0</v>
      </c>
      <c r="U305" s="35">
        <f>IF(AND(D305/Frequency!$N$7&gt;10, D305/Frequency!$N$7&lt;=20),1,0)*E305</f>
        <v>10</v>
      </c>
      <c r="V305" s="35">
        <f t="shared" si="226"/>
        <v>200</v>
      </c>
      <c r="W305" s="35">
        <f>IF(AND(D305/Frequency!$N$7&gt;20, D305/Frequency!$N$7&lt;=30),1,0)*E305</f>
        <v>0</v>
      </c>
      <c r="X305" s="35">
        <f t="shared" si="227"/>
        <v>0</v>
      </c>
      <c r="Y305" s="35">
        <f>IF(AND(D305/Frequency!$N$7&gt;30, D305/Frequency!$N$7&lt;=50),1,0)*E305</f>
        <v>0</v>
      </c>
      <c r="Z305" s="35">
        <f t="shared" si="228"/>
        <v>0</v>
      </c>
      <c r="AA305" s="35">
        <f>IF(AND(D305/Frequency!$N$7&gt;50, D305/Frequency!$N$7&lt;=100),1,0)*E305</f>
        <v>0</v>
      </c>
      <c r="AB305" s="35">
        <f t="shared" si="229"/>
        <v>0</v>
      </c>
      <c r="AC305" s="35">
        <f>IF(D305/Frequency!$N$7&gt;100,1,0)*E305</f>
        <v>0</v>
      </c>
      <c r="AD305" s="35">
        <f t="shared" si="230"/>
        <v>0</v>
      </c>
      <c r="AE305" s="22">
        <f t="shared" si="231"/>
        <v>0</v>
      </c>
      <c r="AF305" s="22">
        <f t="shared" si="232"/>
        <v>10</v>
      </c>
      <c r="AG305" s="22">
        <f t="shared" si="233"/>
        <v>200</v>
      </c>
      <c r="AH305" s="22">
        <f t="shared" si="234"/>
        <v>0</v>
      </c>
      <c r="AI305" s="35">
        <f t="shared" si="235"/>
        <v>1</v>
      </c>
      <c r="AJ305" s="35">
        <f t="shared" si="236"/>
        <v>10</v>
      </c>
      <c r="AK305" s="35">
        <f t="shared" si="237"/>
        <v>200</v>
      </c>
      <c r="AL305">
        <f t="shared" si="238"/>
        <v>0</v>
      </c>
      <c r="AM305">
        <f t="shared" si="239"/>
        <v>0</v>
      </c>
      <c r="AN305">
        <f t="shared" si="240"/>
        <v>0</v>
      </c>
      <c r="AO305">
        <f t="shared" si="241"/>
        <v>0</v>
      </c>
      <c r="AP305">
        <f t="shared" si="242"/>
        <v>0</v>
      </c>
      <c r="AQ305">
        <f t="shared" si="243"/>
        <v>0</v>
      </c>
      <c r="AR305">
        <f t="shared" si="244"/>
        <v>0</v>
      </c>
      <c r="AS305">
        <f t="shared" si="245"/>
        <v>0</v>
      </c>
      <c r="AT305">
        <f t="shared" si="246"/>
        <v>0</v>
      </c>
      <c r="AU305">
        <f t="shared" si="247"/>
        <v>0</v>
      </c>
      <c r="AV305">
        <v>0</v>
      </c>
      <c r="AW305">
        <v>0</v>
      </c>
      <c r="AX305">
        <f t="shared" si="248"/>
        <v>0</v>
      </c>
      <c r="AY305">
        <f t="shared" si="249"/>
        <v>0</v>
      </c>
      <c r="AZ305">
        <f t="shared" si="250"/>
        <v>0</v>
      </c>
      <c r="BA305">
        <f t="shared" si="251"/>
        <v>1</v>
      </c>
      <c r="BB305">
        <f t="shared" si="252"/>
        <v>10</v>
      </c>
      <c r="BC305">
        <f t="shared" si="253"/>
        <v>200</v>
      </c>
      <c r="BD305">
        <f t="shared" si="254"/>
        <v>0</v>
      </c>
      <c r="BE305">
        <f t="shared" si="255"/>
        <v>0</v>
      </c>
      <c r="BF305">
        <f t="shared" si="256"/>
        <v>0</v>
      </c>
      <c r="BG305">
        <f t="shared" si="257"/>
        <v>0</v>
      </c>
      <c r="BH305">
        <f t="shared" si="258"/>
        <v>0</v>
      </c>
      <c r="BI305">
        <f t="shared" si="259"/>
        <v>0</v>
      </c>
      <c r="BJ305">
        <v>0</v>
      </c>
      <c r="BK305" t="str">
        <f t="shared" si="273"/>
        <v>Big Win</v>
      </c>
      <c r="BL305" s="40" t="str">
        <f t="shared" si="274"/>
        <v>Bonus Game B</v>
      </c>
      <c r="BM305">
        <f>(D305/Frequency!$N$7-Summary!$C$7)^2*E305</f>
        <v>3671.0559999999996</v>
      </c>
      <c r="BN305">
        <f t="shared" si="260"/>
        <v>0</v>
      </c>
      <c r="BO305">
        <f t="shared" si="261"/>
        <v>0</v>
      </c>
      <c r="BP305">
        <f t="shared" si="262"/>
        <v>0</v>
      </c>
      <c r="BQ305">
        <f t="shared" si="263"/>
        <v>0</v>
      </c>
      <c r="BR305">
        <f t="shared" si="264"/>
        <v>0</v>
      </c>
      <c r="BS305">
        <f t="shared" si="265"/>
        <v>0</v>
      </c>
      <c r="BT305">
        <f t="shared" si="266"/>
        <v>0</v>
      </c>
      <c r="BU305">
        <f t="shared" si="267"/>
        <v>0</v>
      </c>
      <c r="BV305">
        <f t="shared" si="268"/>
        <v>0</v>
      </c>
      <c r="BW305">
        <f t="shared" si="269"/>
        <v>10</v>
      </c>
      <c r="BX305">
        <f t="shared" si="270"/>
        <v>200</v>
      </c>
    </row>
    <row r="306" spans="2:76">
      <c r="B306" s="19">
        <f>Tiers!B307</f>
        <v>304</v>
      </c>
      <c r="C306" s="20" t="str">
        <f>Tiers!X307</f>
        <v>main-27|bonusB-4||||||||</v>
      </c>
      <c r="D306" s="21">
        <f>Tiers!C307</f>
        <v>32</v>
      </c>
      <c r="E306" s="22">
        <f>Frequency!E308</f>
        <v>5</v>
      </c>
      <c r="F306" s="22">
        <f t="shared" si="220"/>
        <v>160</v>
      </c>
      <c r="G306" s="20">
        <f>IF(AND(D306/Summary!$C$4&gt;0, D306/Summary!$C$4&lt;5),E306,0) * D306</f>
        <v>0</v>
      </c>
      <c r="H306" s="20">
        <f>IF(AND(D306/Summary!$C$4&gt;= 5, D306/Summary!$C$4&lt;10),E306,0) * D306</f>
        <v>0</v>
      </c>
      <c r="I306" s="20">
        <f>IF(AND(D306/Summary!$C$4&gt;=10, D306/Summary!$C$4&lt;25),E306,0)*D306</f>
        <v>0</v>
      </c>
      <c r="J306" s="20">
        <f>IF(D306/Summary!$C$4&gt;=25,E306,0)*D306</f>
        <v>160</v>
      </c>
      <c r="K306" s="35">
        <f>IF(AND(D306/Frequency!$N$7&gt;0, D306/Frequency!$N$7&lt;1),E306,0)</f>
        <v>0</v>
      </c>
      <c r="L306" s="35">
        <f t="shared" si="221"/>
        <v>0</v>
      </c>
      <c r="M306" s="35">
        <f>IF(D306/Frequency!$N$7=1,1,0)*E306</f>
        <v>0</v>
      </c>
      <c r="N306" s="35">
        <f t="shared" si="222"/>
        <v>0</v>
      </c>
      <c r="O306" s="35">
        <f>IF(AND(D306/Frequency!$N$7&gt;1, D306/Frequency!$N$7&lt;=2),1,0)*E306</f>
        <v>0</v>
      </c>
      <c r="P306" s="35">
        <f t="shared" si="223"/>
        <v>0</v>
      </c>
      <c r="Q306" s="35">
        <f>IF(AND(D306/Frequency!$N$7&gt;2,D306/Frequency!$N$7&lt;=5),1,0)*E306</f>
        <v>0</v>
      </c>
      <c r="R306" s="35">
        <f t="shared" si="224"/>
        <v>0</v>
      </c>
      <c r="S306" s="35">
        <f>IF(AND(D306/Frequency!$N$7&gt;5, D306/Frequency!$N$7&lt;=10),1,0)*E306</f>
        <v>0</v>
      </c>
      <c r="T306" s="35">
        <f t="shared" si="225"/>
        <v>0</v>
      </c>
      <c r="U306" s="35">
        <f>IF(AND(D306/Frequency!$N$7&gt;10, D306/Frequency!$N$7&lt;=20),1,0)*E306</f>
        <v>0</v>
      </c>
      <c r="V306" s="35">
        <f t="shared" si="226"/>
        <v>0</v>
      </c>
      <c r="W306" s="35">
        <f>IF(AND(D306/Frequency!$N$7&gt;20, D306/Frequency!$N$7&lt;=30),1,0)*E306</f>
        <v>0</v>
      </c>
      <c r="X306" s="35">
        <f t="shared" si="227"/>
        <v>0</v>
      </c>
      <c r="Y306" s="35">
        <f>IF(AND(D306/Frequency!$N$7&gt;30, D306/Frequency!$N$7&lt;=50),1,0)*E306</f>
        <v>5</v>
      </c>
      <c r="Z306" s="35">
        <f t="shared" si="228"/>
        <v>160</v>
      </c>
      <c r="AA306" s="35">
        <f>IF(AND(D306/Frequency!$N$7&gt;50, D306/Frequency!$N$7&lt;=100),1,0)*E306</f>
        <v>0</v>
      </c>
      <c r="AB306" s="35">
        <f t="shared" si="229"/>
        <v>0</v>
      </c>
      <c r="AC306" s="35">
        <f>IF(D306/Frequency!$N$7&gt;100,1,0)*E306</f>
        <v>0</v>
      </c>
      <c r="AD306" s="35">
        <f t="shared" si="230"/>
        <v>0</v>
      </c>
      <c r="AE306" s="22">
        <f t="shared" si="231"/>
        <v>0</v>
      </c>
      <c r="AF306" s="22">
        <f t="shared" si="232"/>
        <v>5</v>
      </c>
      <c r="AG306" s="22">
        <f t="shared" si="233"/>
        <v>160</v>
      </c>
      <c r="AH306" s="22">
        <f t="shared" si="234"/>
        <v>0</v>
      </c>
      <c r="AI306" s="35">
        <f t="shared" si="235"/>
        <v>1</v>
      </c>
      <c r="AJ306" s="35">
        <f t="shared" si="236"/>
        <v>5</v>
      </c>
      <c r="AK306" s="35">
        <f t="shared" si="237"/>
        <v>160</v>
      </c>
      <c r="AL306">
        <f t="shared" si="238"/>
        <v>0</v>
      </c>
      <c r="AM306">
        <f t="shared" si="239"/>
        <v>0</v>
      </c>
      <c r="AN306">
        <f t="shared" si="240"/>
        <v>0</v>
      </c>
      <c r="AO306">
        <f t="shared" si="241"/>
        <v>0</v>
      </c>
      <c r="AP306">
        <f t="shared" si="242"/>
        <v>0</v>
      </c>
      <c r="AQ306">
        <f t="shared" si="243"/>
        <v>0</v>
      </c>
      <c r="AR306">
        <f t="shared" si="244"/>
        <v>0</v>
      </c>
      <c r="AS306">
        <f t="shared" si="245"/>
        <v>0</v>
      </c>
      <c r="AT306">
        <f t="shared" si="246"/>
        <v>0</v>
      </c>
      <c r="AU306">
        <f t="shared" si="247"/>
        <v>0</v>
      </c>
      <c r="AV306">
        <v>0</v>
      </c>
      <c r="AW306">
        <v>0</v>
      </c>
      <c r="AX306">
        <f t="shared" si="248"/>
        <v>0</v>
      </c>
      <c r="AY306">
        <f t="shared" si="249"/>
        <v>0</v>
      </c>
      <c r="AZ306">
        <f t="shared" si="250"/>
        <v>0</v>
      </c>
      <c r="BA306">
        <f t="shared" si="251"/>
        <v>1</v>
      </c>
      <c r="BB306">
        <f t="shared" si="252"/>
        <v>5</v>
      </c>
      <c r="BC306">
        <f t="shared" si="253"/>
        <v>160</v>
      </c>
      <c r="BD306">
        <f t="shared" si="254"/>
        <v>0</v>
      </c>
      <c r="BE306">
        <f t="shared" si="255"/>
        <v>0</v>
      </c>
      <c r="BF306">
        <f t="shared" si="256"/>
        <v>0</v>
      </c>
      <c r="BG306">
        <f t="shared" si="257"/>
        <v>0</v>
      </c>
      <c r="BH306">
        <f t="shared" si="258"/>
        <v>0</v>
      </c>
      <c r="BI306">
        <f t="shared" si="259"/>
        <v>0</v>
      </c>
      <c r="BJ306">
        <v>0</v>
      </c>
      <c r="BK306" t="str">
        <f t="shared" si="273"/>
        <v>Big Win</v>
      </c>
      <c r="BL306" s="40" t="str">
        <f t="shared" si="274"/>
        <v>Bonus Game B</v>
      </c>
      <c r="BM306">
        <f>(D306/Frequency!$N$7-Summary!$C$7)^2*E306</f>
        <v>4854.7280000000001</v>
      </c>
      <c r="BN306">
        <f t="shared" si="260"/>
        <v>0</v>
      </c>
      <c r="BO306">
        <f t="shared" si="261"/>
        <v>0</v>
      </c>
      <c r="BP306">
        <f t="shared" si="262"/>
        <v>0</v>
      </c>
      <c r="BQ306">
        <f t="shared" si="263"/>
        <v>0</v>
      </c>
      <c r="BR306">
        <f t="shared" si="264"/>
        <v>0</v>
      </c>
      <c r="BS306">
        <f t="shared" si="265"/>
        <v>0</v>
      </c>
      <c r="BT306">
        <f t="shared" si="266"/>
        <v>0</v>
      </c>
      <c r="BU306">
        <f t="shared" si="267"/>
        <v>0</v>
      </c>
      <c r="BV306">
        <f t="shared" si="268"/>
        <v>0</v>
      </c>
      <c r="BW306">
        <f t="shared" si="269"/>
        <v>5</v>
      </c>
      <c r="BX306">
        <f t="shared" si="270"/>
        <v>160</v>
      </c>
    </row>
    <row r="307" spans="2:76">
      <c r="B307" s="19">
        <f>Tiers!B308</f>
        <v>305</v>
      </c>
      <c r="C307" s="20" t="str">
        <f>Tiers!X308</f>
        <v>main-14|bonusB-4||||||||</v>
      </c>
      <c r="D307" s="21">
        <f>Tiers!C308</f>
        <v>22</v>
      </c>
      <c r="E307" s="22">
        <f>Frequency!E309</f>
        <v>12</v>
      </c>
      <c r="F307" s="22">
        <f t="shared" si="220"/>
        <v>264</v>
      </c>
      <c r="G307" s="20">
        <f>IF(AND(D307/Summary!$C$4&gt;0, D307/Summary!$C$4&lt;5),E307,0) * D307</f>
        <v>0</v>
      </c>
      <c r="H307" s="20">
        <f>IF(AND(D307/Summary!$C$4&gt;= 5, D307/Summary!$C$4&lt;10),E307,0) * D307</f>
        <v>0</v>
      </c>
      <c r="I307" s="20">
        <f>IF(AND(D307/Summary!$C$4&gt;=10, D307/Summary!$C$4&lt;25),E307,0)*D307</f>
        <v>264</v>
      </c>
      <c r="J307" s="20">
        <f>IF(D307/Summary!$C$4&gt;=25,E307,0)*D307</f>
        <v>0</v>
      </c>
      <c r="K307" s="35">
        <f>IF(AND(D307/Frequency!$N$7&gt;0, D307/Frequency!$N$7&lt;1),E307,0)</f>
        <v>0</v>
      </c>
      <c r="L307" s="35">
        <f t="shared" si="221"/>
        <v>0</v>
      </c>
      <c r="M307" s="35">
        <f>IF(D307/Frequency!$N$7=1,1,0)*E307</f>
        <v>0</v>
      </c>
      <c r="N307" s="35">
        <f t="shared" si="222"/>
        <v>0</v>
      </c>
      <c r="O307" s="35">
        <f>IF(AND(D307/Frequency!$N$7&gt;1, D307/Frequency!$N$7&lt;=2),1,0)*E307</f>
        <v>0</v>
      </c>
      <c r="P307" s="35">
        <f t="shared" si="223"/>
        <v>0</v>
      </c>
      <c r="Q307" s="35">
        <f>IF(AND(D307/Frequency!$N$7&gt;2,D307/Frequency!$N$7&lt;=5),1,0)*E307</f>
        <v>0</v>
      </c>
      <c r="R307" s="35">
        <f t="shared" si="224"/>
        <v>0</v>
      </c>
      <c r="S307" s="35">
        <f>IF(AND(D307/Frequency!$N$7&gt;5, D307/Frequency!$N$7&lt;=10),1,0)*E307</f>
        <v>0</v>
      </c>
      <c r="T307" s="35">
        <f t="shared" si="225"/>
        <v>0</v>
      </c>
      <c r="U307" s="35">
        <f>IF(AND(D307/Frequency!$N$7&gt;10, D307/Frequency!$N$7&lt;=20),1,0)*E307</f>
        <v>0</v>
      </c>
      <c r="V307" s="35">
        <f t="shared" si="226"/>
        <v>0</v>
      </c>
      <c r="W307" s="35">
        <f>IF(AND(D307/Frequency!$N$7&gt;20, D307/Frequency!$N$7&lt;=30),1,0)*E307</f>
        <v>12</v>
      </c>
      <c r="X307" s="35">
        <f t="shared" si="227"/>
        <v>264</v>
      </c>
      <c r="Y307" s="35">
        <f>IF(AND(D307/Frequency!$N$7&gt;30, D307/Frequency!$N$7&lt;=50),1,0)*E307</f>
        <v>0</v>
      </c>
      <c r="Z307" s="35">
        <f t="shared" si="228"/>
        <v>0</v>
      </c>
      <c r="AA307" s="35">
        <f>IF(AND(D307/Frequency!$N$7&gt;50, D307/Frequency!$N$7&lt;=100),1,0)*E307</f>
        <v>0</v>
      </c>
      <c r="AB307" s="35">
        <f t="shared" si="229"/>
        <v>0</v>
      </c>
      <c r="AC307" s="35">
        <f>IF(D307/Frequency!$N$7&gt;100,1,0)*E307</f>
        <v>0</v>
      </c>
      <c r="AD307" s="35">
        <f t="shared" si="230"/>
        <v>0</v>
      </c>
      <c r="AE307" s="22">
        <f t="shared" si="231"/>
        <v>0</v>
      </c>
      <c r="AF307" s="22">
        <f t="shared" si="232"/>
        <v>12</v>
      </c>
      <c r="AG307" s="22">
        <f t="shared" si="233"/>
        <v>264</v>
      </c>
      <c r="AH307" s="22">
        <f t="shared" si="234"/>
        <v>0</v>
      </c>
      <c r="AI307" s="35">
        <f t="shared" si="235"/>
        <v>1</v>
      </c>
      <c r="AJ307" s="35">
        <f t="shared" si="236"/>
        <v>12</v>
      </c>
      <c r="AK307" s="35">
        <f t="shared" si="237"/>
        <v>264</v>
      </c>
      <c r="AL307">
        <f t="shared" si="238"/>
        <v>0</v>
      </c>
      <c r="AM307">
        <f t="shared" si="239"/>
        <v>0</v>
      </c>
      <c r="AN307">
        <f t="shared" si="240"/>
        <v>0</v>
      </c>
      <c r="AO307">
        <f t="shared" si="241"/>
        <v>0</v>
      </c>
      <c r="AP307">
        <f t="shared" si="242"/>
        <v>0</v>
      </c>
      <c r="AQ307">
        <f t="shared" si="243"/>
        <v>0</v>
      </c>
      <c r="AR307">
        <f t="shared" si="244"/>
        <v>0</v>
      </c>
      <c r="AS307">
        <f t="shared" si="245"/>
        <v>0</v>
      </c>
      <c r="AT307">
        <f t="shared" si="246"/>
        <v>0</v>
      </c>
      <c r="AU307">
        <f t="shared" si="247"/>
        <v>0</v>
      </c>
      <c r="AV307">
        <v>0</v>
      </c>
      <c r="AW307">
        <v>0</v>
      </c>
      <c r="AX307">
        <f t="shared" si="248"/>
        <v>0</v>
      </c>
      <c r="AY307">
        <f t="shared" si="249"/>
        <v>0</v>
      </c>
      <c r="AZ307">
        <f t="shared" si="250"/>
        <v>0</v>
      </c>
      <c r="BA307">
        <f t="shared" si="251"/>
        <v>1</v>
      </c>
      <c r="BB307">
        <f t="shared" si="252"/>
        <v>12</v>
      </c>
      <c r="BC307">
        <f t="shared" si="253"/>
        <v>264</v>
      </c>
      <c r="BD307">
        <f t="shared" si="254"/>
        <v>0</v>
      </c>
      <c r="BE307">
        <f t="shared" si="255"/>
        <v>0</v>
      </c>
      <c r="BF307">
        <f t="shared" si="256"/>
        <v>0</v>
      </c>
      <c r="BG307">
        <f t="shared" si="257"/>
        <v>0</v>
      </c>
      <c r="BH307">
        <f t="shared" si="258"/>
        <v>0</v>
      </c>
      <c r="BI307">
        <f t="shared" si="259"/>
        <v>0</v>
      </c>
      <c r="BJ307">
        <v>0</v>
      </c>
      <c r="BK307" t="str">
        <f t="shared" si="273"/>
        <v>Big Win</v>
      </c>
      <c r="BL307" s="40" t="str">
        <f t="shared" si="274"/>
        <v>Bonus Game B</v>
      </c>
      <c r="BM307">
        <f>(D307/Frequency!$N$7-Summary!$C$7)^2*E307</f>
        <v>5372.9472000000005</v>
      </c>
      <c r="BN307">
        <f t="shared" si="260"/>
        <v>0</v>
      </c>
      <c r="BO307">
        <f t="shared" si="261"/>
        <v>0</v>
      </c>
      <c r="BP307">
        <f t="shared" si="262"/>
        <v>0</v>
      </c>
      <c r="BQ307">
        <f t="shared" si="263"/>
        <v>0</v>
      </c>
      <c r="BR307">
        <f t="shared" si="264"/>
        <v>0</v>
      </c>
      <c r="BS307">
        <f t="shared" si="265"/>
        <v>0</v>
      </c>
      <c r="BT307">
        <f t="shared" si="266"/>
        <v>0</v>
      </c>
      <c r="BU307">
        <f t="shared" si="267"/>
        <v>0</v>
      </c>
      <c r="BV307">
        <f t="shared" si="268"/>
        <v>0</v>
      </c>
      <c r="BW307">
        <f t="shared" si="269"/>
        <v>12</v>
      </c>
      <c r="BX307">
        <f t="shared" si="270"/>
        <v>264</v>
      </c>
    </row>
    <row r="308" spans="2:76">
      <c r="B308" s="19">
        <f>Tiers!B309</f>
        <v>306</v>
      </c>
      <c r="C308" s="20" t="str">
        <f>Tiers!X309</f>
        <v>main-28|bonusB-5||||||||</v>
      </c>
      <c r="D308" s="21">
        <f>Tiers!C309</f>
        <v>115</v>
      </c>
      <c r="E308" s="22">
        <f>Frequency!E310</f>
        <v>5</v>
      </c>
      <c r="F308" s="22">
        <f t="shared" si="220"/>
        <v>575</v>
      </c>
      <c r="G308" s="20">
        <f>IF(AND(D308/Summary!$C$4&gt;0, D308/Summary!$C$4&lt;5),E308,0) * D308</f>
        <v>0</v>
      </c>
      <c r="H308" s="20">
        <f>IF(AND(D308/Summary!$C$4&gt;= 5, D308/Summary!$C$4&lt;10),E308,0) * D308</f>
        <v>0</v>
      </c>
      <c r="I308" s="20">
        <f>IF(AND(D308/Summary!$C$4&gt;=10, D308/Summary!$C$4&lt;25),E308,0)*D308</f>
        <v>0</v>
      </c>
      <c r="J308" s="20">
        <f>IF(D308/Summary!$C$4&gt;=25,E308,0)*D308</f>
        <v>575</v>
      </c>
      <c r="K308" s="35">
        <f>IF(AND(D308/Frequency!$N$7&gt;0, D308/Frequency!$N$7&lt;1),E308,0)</f>
        <v>0</v>
      </c>
      <c r="L308" s="35">
        <f t="shared" si="221"/>
        <v>0</v>
      </c>
      <c r="M308" s="35">
        <f>IF(D308/Frequency!$N$7=1,1,0)*E308</f>
        <v>0</v>
      </c>
      <c r="N308" s="35">
        <f t="shared" si="222"/>
        <v>0</v>
      </c>
      <c r="O308" s="35">
        <f>IF(AND(D308/Frequency!$N$7&gt;1, D308/Frequency!$N$7&lt;=2),1,0)*E308</f>
        <v>0</v>
      </c>
      <c r="P308" s="35">
        <f t="shared" si="223"/>
        <v>0</v>
      </c>
      <c r="Q308" s="35">
        <f>IF(AND(D308/Frequency!$N$7&gt;2,D308/Frequency!$N$7&lt;=5),1,0)*E308</f>
        <v>0</v>
      </c>
      <c r="R308" s="35">
        <f t="shared" si="224"/>
        <v>0</v>
      </c>
      <c r="S308" s="35">
        <f>IF(AND(D308/Frequency!$N$7&gt;5, D308/Frequency!$N$7&lt;=10),1,0)*E308</f>
        <v>0</v>
      </c>
      <c r="T308" s="35">
        <f t="shared" si="225"/>
        <v>0</v>
      </c>
      <c r="U308" s="35">
        <f>IF(AND(D308/Frequency!$N$7&gt;10, D308/Frequency!$N$7&lt;=20),1,0)*E308</f>
        <v>0</v>
      </c>
      <c r="V308" s="35">
        <f t="shared" si="226"/>
        <v>0</v>
      </c>
      <c r="W308" s="35">
        <f>IF(AND(D308/Frequency!$N$7&gt;20, D308/Frequency!$N$7&lt;=30),1,0)*E308</f>
        <v>0</v>
      </c>
      <c r="X308" s="35">
        <f t="shared" si="227"/>
        <v>0</v>
      </c>
      <c r="Y308" s="35">
        <f>IF(AND(D308/Frequency!$N$7&gt;30, D308/Frequency!$N$7&lt;=50),1,0)*E308</f>
        <v>0</v>
      </c>
      <c r="Z308" s="35">
        <f t="shared" si="228"/>
        <v>0</v>
      </c>
      <c r="AA308" s="35">
        <f>IF(AND(D308/Frequency!$N$7&gt;50, D308/Frequency!$N$7&lt;=100),1,0)*E308</f>
        <v>0</v>
      </c>
      <c r="AB308" s="35">
        <f t="shared" si="229"/>
        <v>0</v>
      </c>
      <c r="AC308" s="35">
        <f>IF(D308/Frequency!$N$7&gt;100,1,0)*E308</f>
        <v>5</v>
      </c>
      <c r="AD308" s="35">
        <f t="shared" si="230"/>
        <v>575</v>
      </c>
      <c r="AE308" s="22">
        <f t="shared" si="231"/>
        <v>0</v>
      </c>
      <c r="AF308" s="22">
        <f t="shared" si="232"/>
        <v>5</v>
      </c>
      <c r="AG308" s="22">
        <f t="shared" si="233"/>
        <v>575</v>
      </c>
      <c r="AH308" s="22">
        <f t="shared" si="234"/>
        <v>0</v>
      </c>
      <c r="AI308" s="35">
        <f t="shared" si="235"/>
        <v>1</v>
      </c>
      <c r="AJ308" s="35">
        <f t="shared" si="236"/>
        <v>5</v>
      </c>
      <c r="AK308" s="35">
        <f t="shared" si="237"/>
        <v>575</v>
      </c>
      <c r="AL308">
        <f t="shared" si="238"/>
        <v>0</v>
      </c>
      <c r="AM308">
        <f t="shared" si="239"/>
        <v>0</v>
      </c>
      <c r="AN308">
        <f t="shared" si="240"/>
        <v>0</v>
      </c>
      <c r="AO308">
        <f t="shared" si="241"/>
        <v>0</v>
      </c>
      <c r="AP308">
        <f t="shared" si="242"/>
        <v>0</v>
      </c>
      <c r="AQ308">
        <f t="shared" si="243"/>
        <v>0</v>
      </c>
      <c r="AR308">
        <f t="shared" si="244"/>
        <v>0</v>
      </c>
      <c r="AS308">
        <f t="shared" si="245"/>
        <v>0</v>
      </c>
      <c r="AT308">
        <f t="shared" si="246"/>
        <v>0</v>
      </c>
      <c r="AU308">
        <f t="shared" si="247"/>
        <v>0</v>
      </c>
      <c r="AV308">
        <v>0</v>
      </c>
      <c r="AW308">
        <v>0</v>
      </c>
      <c r="AX308">
        <f t="shared" si="248"/>
        <v>0</v>
      </c>
      <c r="AY308">
        <f t="shared" si="249"/>
        <v>0</v>
      </c>
      <c r="AZ308">
        <f t="shared" si="250"/>
        <v>0</v>
      </c>
      <c r="BA308">
        <f t="shared" si="251"/>
        <v>1</v>
      </c>
      <c r="BB308">
        <f t="shared" si="252"/>
        <v>5</v>
      </c>
      <c r="BC308">
        <f t="shared" si="253"/>
        <v>575</v>
      </c>
      <c r="BD308">
        <f t="shared" si="254"/>
        <v>0</v>
      </c>
      <c r="BE308">
        <f t="shared" si="255"/>
        <v>0</v>
      </c>
      <c r="BF308">
        <f t="shared" si="256"/>
        <v>0</v>
      </c>
      <c r="BG308">
        <f t="shared" si="257"/>
        <v>0</v>
      </c>
      <c r="BH308">
        <f t="shared" si="258"/>
        <v>0</v>
      </c>
      <c r="BI308">
        <f t="shared" si="259"/>
        <v>0</v>
      </c>
      <c r="BJ308">
        <v>0</v>
      </c>
      <c r="BK308" t="str">
        <f t="shared" si="273"/>
        <v>Huge Win</v>
      </c>
      <c r="BL308" s="40" t="str">
        <f t="shared" si="274"/>
        <v>Bonus Game B</v>
      </c>
      <c r="BM308">
        <f>(D308/Frequency!$N$7-Summary!$C$7)^2*E308</f>
        <v>65162.527999999991</v>
      </c>
      <c r="BN308">
        <f t="shared" si="260"/>
        <v>0</v>
      </c>
      <c r="BO308">
        <f t="shared" si="261"/>
        <v>0</v>
      </c>
      <c r="BP308">
        <f t="shared" si="262"/>
        <v>0</v>
      </c>
      <c r="BQ308">
        <f t="shared" si="263"/>
        <v>0</v>
      </c>
      <c r="BR308">
        <f t="shared" si="264"/>
        <v>0</v>
      </c>
      <c r="BS308">
        <f t="shared" si="265"/>
        <v>0</v>
      </c>
      <c r="BT308">
        <f t="shared" si="266"/>
        <v>0</v>
      </c>
      <c r="BU308">
        <f t="shared" si="267"/>
        <v>0</v>
      </c>
      <c r="BV308">
        <f t="shared" si="268"/>
        <v>0</v>
      </c>
      <c r="BW308">
        <f t="shared" si="269"/>
        <v>5</v>
      </c>
      <c r="BX308">
        <f t="shared" si="270"/>
        <v>575</v>
      </c>
    </row>
    <row r="309" spans="2:76">
      <c r="B309" s="19">
        <f>Tiers!B310</f>
        <v>307</v>
      </c>
      <c r="C309" s="20" t="str">
        <f>Tiers!X310</f>
        <v>main-25|bonusB-6||||||||</v>
      </c>
      <c r="D309" s="21">
        <f>Tiers!C310</f>
        <v>25</v>
      </c>
      <c r="E309" s="22">
        <f>Frequency!E311</f>
        <v>5</v>
      </c>
      <c r="F309" s="22">
        <f t="shared" si="220"/>
        <v>125</v>
      </c>
      <c r="G309" s="20">
        <f>IF(AND(D309/Summary!$C$4&gt;0, D309/Summary!$C$4&lt;5),E309,0) * D309</f>
        <v>0</v>
      </c>
      <c r="H309" s="20">
        <f>IF(AND(D309/Summary!$C$4&gt;= 5, D309/Summary!$C$4&lt;10),E309,0) * D309</f>
        <v>0</v>
      </c>
      <c r="I309" s="20">
        <f>IF(AND(D309/Summary!$C$4&gt;=10, D309/Summary!$C$4&lt;25),E309,0)*D309</f>
        <v>0</v>
      </c>
      <c r="J309" s="20">
        <f>IF(D309/Summary!$C$4&gt;=25,E309,0)*D309</f>
        <v>125</v>
      </c>
      <c r="K309" s="35">
        <f>IF(AND(D309/Frequency!$N$7&gt;0, D309/Frequency!$N$7&lt;1),E309,0)</f>
        <v>0</v>
      </c>
      <c r="L309" s="35">
        <f t="shared" si="221"/>
        <v>0</v>
      </c>
      <c r="M309" s="35">
        <f>IF(D309/Frequency!$N$7=1,1,0)*E309</f>
        <v>0</v>
      </c>
      <c r="N309" s="35">
        <f t="shared" si="222"/>
        <v>0</v>
      </c>
      <c r="O309" s="35">
        <f>IF(AND(D309/Frequency!$N$7&gt;1, D309/Frequency!$N$7&lt;=2),1,0)*E309</f>
        <v>0</v>
      </c>
      <c r="P309" s="35">
        <f t="shared" si="223"/>
        <v>0</v>
      </c>
      <c r="Q309" s="35">
        <f>IF(AND(D309/Frequency!$N$7&gt;2,D309/Frequency!$N$7&lt;=5),1,0)*E309</f>
        <v>0</v>
      </c>
      <c r="R309" s="35">
        <f t="shared" si="224"/>
        <v>0</v>
      </c>
      <c r="S309" s="35">
        <f>IF(AND(D309/Frequency!$N$7&gt;5, D309/Frequency!$N$7&lt;=10),1,0)*E309</f>
        <v>0</v>
      </c>
      <c r="T309" s="35">
        <f t="shared" si="225"/>
        <v>0</v>
      </c>
      <c r="U309" s="35">
        <f>IF(AND(D309/Frequency!$N$7&gt;10, D309/Frequency!$N$7&lt;=20),1,0)*E309</f>
        <v>0</v>
      </c>
      <c r="V309" s="35">
        <f t="shared" si="226"/>
        <v>0</v>
      </c>
      <c r="W309" s="35">
        <f>IF(AND(D309/Frequency!$N$7&gt;20, D309/Frequency!$N$7&lt;=30),1,0)*E309</f>
        <v>5</v>
      </c>
      <c r="X309" s="35">
        <f t="shared" si="227"/>
        <v>125</v>
      </c>
      <c r="Y309" s="35">
        <f>IF(AND(D309/Frequency!$N$7&gt;30, D309/Frequency!$N$7&lt;=50),1,0)*E309</f>
        <v>0</v>
      </c>
      <c r="Z309" s="35">
        <f t="shared" si="228"/>
        <v>0</v>
      </c>
      <c r="AA309" s="35">
        <f>IF(AND(D309/Frequency!$N$7&gt;50, D309/Frequency!$N$7&lt;=100),1,0)*E309</f>
        <v>0</v>
      </c>
      <c r="AB309" s="35">
        <f t="shared" si="229"/>
        <v>0</v>
      </c>
      <c r="AC309" s="35">
        <f>IF(D309/Frequency!$N$7&gt;100,1,0)*E309</f>
        <v>0</v>
      </c>
      <c r="AD309" s="35">
        <f t="shared" si="230"/>
        <v>0</v>
      </c>
      <c r="AE309" s="22">
        <f t="shared" si="231"/>
        <v>0</v>
      </c>
      <c r="AF309" s="22">
        <f t="shared" si="232"/>
        <v>5</v>
      </c>
      <c r="AG309" s="22">
        <f t="shared" si="233"/>
        <v>125</v>
      </c>
      <c r="AH309" s="22">
        <f t="shared" si="234"/>
        <v>0</v>
      </c>
      <c r="AI309" s="35">
        <f t="shared" si="235"/>
        <v>1</v>
      </c>
      <c r="AJ309" s="35">
        <f t="shared" si="236"/>
        <v>5</v>
      </c>
      <c r="AK309" s="35">
        <f t="shared" si="237"/>
        <v>125</v>
      </c>
      <c r="AL309">
        <f t="shared" si="238"/>
        <v>0</v>
      </c>
      <c r="AM309">
        <f t="shared" si="239"/>
        <v>0</v>
      </c>
      <c r="AN309">
        <f t="shared" si="240"/>
        <v>0</v>
      </c>
      <c r="AO309">
        <f t="shared" si="241"/>
        <v>0</v>
      </c>
      <c r="AP309">
        <f t="shared" si="242"/>
        <v>0</v>
      </c>
      <c r="AQ309">
        <f t="shared" si="243"/>
        <v>0</v>
      </c>
      <c r="AR309">
        <f t="shared" si="244"/>
        <v>0</v>
      </c>
      <c r="AS309">
        <f t="shared" si="245"/>
        <v>0</v>
      </c>
      <c r="AT309">
        <f t="shared" si="246"/>
        <v>0</v>
      </c>
      <c r="AU309">
        <f t="shared" si="247"/>
        <v>0</v>
      </c>
      <c r="AV309">
        <v>0</v>
      </c>
      <c r="AW309">
        <v>0</v>
      </c>
      <c r="AX309">
        <f t="shared" si="248"/>
        <v>0</v>
      </c>
      <c r="AY309">
        <f t="shared" si="249"/>
        <v>0</v>
      </c>
      <c r="AZ309">
        <f t="shared" si="250"/>
        <v>0</v>
      </c>
      <c r="BA309">
        <f t="shared" si="251"/>
        <v>1</v>
      </c>
      <c r="BB309">
        <f t="shared" si="252"/>
        <v>5</v>
      </c>
      <c r="BC309">
        <f t="shared" si="253"/>
        <v>125</v>
      </c>
      <c r="BD309">
        <f t="shared" si="254"/>
        <v>0</v>
      </c>
      <c r="BE309">
        <f t="shared" si="255"/>
        <v>0</v>
      </c>
      <c r="BF309">
        <f t="shared" si="256"/>
        <v>0</v>
      </c>
      <c r="BG309">
        <f t="shared" si="257"/>
        <v>0</v>
      </c>
      <c r="BH309">
        <f t="shared" si="258"/>
        <v>0</v>
      </c>
      <c r="BI309">
        <f t="shared" si="259"/>
        <v>0</v>
      </c>
      <c r="BJ309">
        <v>0</v>
      </c>
      <c r="BK309" t="str">
        <f t="shared" si="273"/>
        <v>Big Win</v>
      </c>
      <c r="BL309" s="40" t="str">
        <f t="shared" si="274"/>
        <v>Bonus Game B</v>
      </c>
      <c r="BM309">
        <f>(D309/Frequency!$N$7-Summary!$C$7)^2*E309</f>
        <v>2918.5280000000002</v>
      </c>
      <c r="BN309">
        <f t="shared" si="260"/>
        <v>0</v>
      </c>
      <c r="BO309">
        <f t="shared" si="261"/>
        <v>0</v>
      </c>
      <c r="BP309">
        <f t="shared" si="262"/>
        <v>0</v>
      </c>
      <c r="BQ309">
        <f t="shared" si="263"/>
        <v>0</v>
      </c>
      <c r="BR309">
        <f t="shared" si="264"/>
        <v>0</v>
      </c>
      <c r="BS309">
        <f t="shared" si="265"/>
        <v>0</v>
      </c>
      <c r="BT309">
        <f t="shared" si="266"/>
        <v>0</v>
      </c>
      <c r="BU309">
        <f t="shared" si="267"/>
        <v>0</v>
      </c>
      <c r="BV309">
        <f t="shared" si="268"/>
        <v>0</v>
      </c>
      <c r="BW309">
        <f t="shared" si="269"/>
        <v>5</v>
      </c>
      <c r="BX309">
        <f t="shared" si="270"/>
        <v>125</v>
      </c>
    </row>
    <row r="310" spans="2:76">
      <c r="B310" s="19">
        <f>Tiers!B311</f>
        <v>308</v>
      </c>
      <c r="C310" s="20" t="str">
        <f>Tiers!X311</f>
        <v>main-13|bonusB-3||||||||</v>
      </c>
      <c r="D310" s="21">
        <f>Tiers!C311</f>
        <v>15</v>
      </c>
      <c r="E310" s="22">
        <f>Frequency!E312</f>
        <v>13</v>
      </c>
      <c r="F310" s="22">
        <f t="shared" si="220"/>
        <v>195</v>
      </c>
      <c r="G310" s="20">
        <f>IF(AND(D310/Summary!$C$4&gt;0, D310/Summary!$C$4&lt;5),E310,0) * D310</f>
        <v>0</v>
      </c>
      <c r="H310" s="20">
        <f>IF(AND(D310/Summary!$C$4&gt;= 5, D310/Summary!$C$4&lt;10),E310,0) * D310</f>
        <v>0</v>
      </c>
      <c r="I310" s="20">
        <f>IF(AND(D310/Summary!$C$4&gt;=10, D310/Summary!$C$4&lt;25),E310,0)*D310</f>
        <v>195</v>
      </c>
      <c r="J310" s="20">
        <f>IF(D310/Summary!$C$4&gt;=25,E310,0)*D310</f>
        <v>0</v>
      </c>
      <c r="K310" s="35">
        <f>IF(AND(D310/Frequency!$N$7&gt;0, D310/Frequency!$N$7&lt;1),E310,0)</f>
        <v>0</v>
      </c>
      <c r="L310" s="35">
        <f t="shared" si="221"/>
        <v>0</v>
      </c>
      <c r="M310" s="35">
        <f>IF(D310/Frequency!$N$7=1,1,0)*E310</f>
        <v>0</v>
      </c>
      <c r="N310" s="35">
        <f t="shared" si="222"/>
        <v>0</v>
      </c>
      <c r="O310" s="35">
        <f>IF(AND(D310/Frequency!$N$7&gt;1, D310/Frequency!$N$7&lt;=2),1,0)*E310</f>
        <v>0</v>
      </c>
      <c r="P310" s="35">
        <f t="shared" si="223"/>
        <v>0</v>
      </c>
      <c r="Q310" s="35">
        <f>IF(AND(D310/Frequency!$N$7&gt;2,D310/Frequency!$N$7&lt;=5),1,0)*E310</f>
        <v>0</v>
      </c>
      <c r="R310" s="35">
        <f t="shared" si="224"/>
        <v>0</v>
      </c>
      <c r="S310" s="35">
        <f>IF(AND(D310/Frequency!$N$7&gt;5, D310/Frequency!$N$7&lt;=10),1,0)*E310</f>
        <v>0</v>
      </c>
      <c r="T310" s="35">
        <f t="shared" si="225"/>
        <v>0</v>
      </c>
      <c r="U310" s="35">
        <f>IF(AND(D310/Frequency!$N$7&gt;10, D310/Frequency!$N$7&lt;=20),1,0)*E310</f>
        <v>13</v>
      </c>
      <c r="V310" s="35">
        <f t="shared" si="226"/>
        <v>195</v>
      </c>
      <c r="W310" s="35">
        <f>IF(AND(D310/Frequency!$N$7&gt;20, D310/Frequency!$N$7&lt;=30),1,0)*E310</f>
        <v>0</v>
      </c>
      <c r="X310" s="35">
        <f t="shared" si="227"/>
        <v>0</v>
      </c>
      <c r="Y310" s="35">
        <f>IF(AND(D310/Frequency!$N$7&gt;30, D310/Frequency!$N$7&lt;=50),1,0)*E310</f>
        <v>0</v>
      </c>
      <c r="Z310" s="35">
        <f t="shared" si="228"/>
        <v>0</v>
      </c>
      <c r="AA310" s="35">
        <f>IF(AND(D310/Frequency!$N$7&gt;50, D310/Frequency!$N$7&lt;=100),1,0)*E310</f>
        <v>0</v>
      </c>
      <c r="AB310" s="35">
        <f t="shared" si="229"/>
        <v>0</v>
      </c>
      <c r="AC310" s="35">
        <f>IF(D310/Frequency!$N$7&gt;100,1,0)*E310</f>
        <v>0</v>
      </c>
      <c r="AD310" s="35">
        <f t="shared" si="230"/>
        <v>0</v>
      </c>
      <c r="AE310" s="22">
        <f t="shared" si="231"/>
        <v>0</v>
      </c>
      <c r="AF310" s="22">
        <f t="shared" si="232"/>
        <v>13</v>
      </c>
      <c r="AG310" s="22">
        <f t="shared" si="233"/>
        <v>195</v>
      </c>
      <c r="AH310" s="22">
        <f t="shared" si="234"/>
        <v>0</v>
      </c>
      <c r="AI310" s="35">
        <f t="shared" si="235"/>
        <v>1</v>
      </c>
      <c r="AJ310" s="35">
        <f t="shared" si="236"/>
        <v>13</v>
      </c>
      <c r="AK310" s="35">
        <f t="shared" si="237"/>
        <v>195</v>
      </c>
      <c r="AL310">
        <f t="shared" si="238"/>
        <v>0</v>
      </c>
      <c r="AM310">
        <f t="shared" si="239"/>
        <v>0</v>
      </c>
      <c r="AN310">
        <f t="shared" si="240"/>
        <v>0</v>
      </c>
      <c r="AO310">
        <f t="shared" si="241"/>
        <v>0</v>
      </c>
      <c r="AP310">
        <f t="shared" si="242"/>
        <v>0</v>
      </c>
      <c r="AQ310">
        <f t="shared" si="243"/>
        <v>0</v>
      </c>
      <c r="AR310">
        <f t="shared" si="244"/>
        <v>0</v>
      </c>
      <c r="AS310">
        <f t="shared" si="245"/>
        <v>0</v>
      </c>
      <c r="AT310">
        <f t="shared" si="246"/>
        <v>0</v>
      </c>
      <c r="AU310">
        <f t="shared" si="247"/>
        <v>0</v>
      </c>
      <c r="AV310">
        <v>0</v>
      </c>
      <c r="AW310">
        <v>0</v>
      </c>
      <c r="AX310">
        <f t="shared" si="248"/>
        <v>0</v>
      </c>
      <c r="AY310">
        <f t="shared" si="249"/>
        <v>0</v>
      </c>
      <c r="AZ310">
        <f t="shared" si="250"/>
        <v>0</v>
      </c>
      <c r="BA310">
        <f t="shared" si="251"/>
        <v>1</v>
      </c>
      <c r="BB310">
        <f t="shared" si="252"/>
        <v>13</v>
      </c>
      <c r="BC310">
        <f t="shared" si="253"/>
        <v>195</v>
      </c>
      <c r="BD310">
        <f t="shared" si="254"/>
        <v>0</v>
      </c>
      <c r="BE310">
        <f t="shared" si="255"/>
        <v>0</v>
      </c>
      <c r="BF310">
        <f t="shared" si="256"/>
        <v>0</v>
      </c>
      <c r="BG310">
        <f t="shared" si="257"/>
        <v>0</v>
      </c>
      <c r="BH310">
        <f t="shared" si="258"/>
        <v>0</v>
      </c>
      <c r="BI310">
        <f t="shared" si="259"/>
        <v>0</v>
      </c>
      <c r="BJ310">
        <v>0</v>
      </c>
      <c r="BK310" t="str">
        <f t="shared" si="273"/>
        <v>Big Win</v>
      </c>
      <c r="BL310" s="40" t="str">
        <f t="shared" si="274"/>
        <v>Bonus Game B</v>
      </c>
      <c r="BM310">
        <f>(D310/Frequency!$N$7-Summary!$C$7)^2*E310</f>
        <v>2606.5728000000004</v>
      </c>
      <c r="BN310">
        <f t="shared" si="260"/>
        <v>0</v>
      </c>
      <c r="BO310">
        <f t="shared" si="261"/>
        <v>0</v>
      </c>
      <c r="BP310">
        <f t="shared" si="262"/>
        <v>0</v>
      </c>
      <c r="BQ310">
        <f t="shared" si="263"/>
        <v>0</v>
      </c>
      <c r="BR310">
        <f t="shared" si="264"/>
        <v>0</v>
      </c>
      <c r="BS310">
        <f t="shared" si="265"/>
        <v>0</v>
      </c>
      <c r="BT310">
        <f t="shared" si="266"/>
        <v>0</v>
      </c>
      <c r="BU310">
        <f t="shared" si="267"/>
        <v>0</v>
      </c>
      <c r="BV310">
        <f t="shared" si="268"/>
        <v>0</v>
      </c>
      <c r="BW310">
        <f t="shared" si="269"/>
        <v>13</v>
      </c>
      <c r="BX310">
        <f t="shared" si="270"/>
        <v>195</v>
      </c>
    </row>
    <row r="311" spans="2:76">
      <c r="B311" s="19">
        <f>Tiers!B312</f>
        <v>309</v>
      </c>
      <c r="C311" s="20" t="str">
        <f>Tiers!X312</f>
        <v>main-0|wild-12|bonusB-5|||||||</v>
      </c>
      <c r="D311" s="21">
        <f>Tiers!C312</f>
        <v>18.100000000000001</v>
      </c>
      <c r="E311" s="22">
        <f>Frequency!E313</f>
        <v>7</v>
      </c>
      <c r="F311" s="22">
        <f t="shared" si="220"/>
        <v>126.70000000000002</v>
      </c>
      <c r="G311" s="20">
        <f>IF(AND(D311/Summary!$C$4&gt;0, D311/Summary!$C$4&lt;5),E311,0) * D311</f>
        <v>0</v>
      </c>
      <c r="H311" s="20">
        <f>IF(AND(D311/Summary!$C$4&gt;= 5, D311/Summary!$C$4&lt;10),E311,0) * D311</f>
        <v>0</v>
      </c>
      <c r="I311" s="20">
        <f>IF(AND(D311/Summary!$C$4&gt;=10, D311/Summary!$C$4&lt;25),E311,0)*D311</f>
        <v>126.70000000000002</v>
      </c>
      <c r="J311" s="20">
        <f>IF(D311/Summary!$C$4&gt;=25,E311,0)*D311</f>
        <v>0</v>
      </c>
      <c r="K311" s="35">
        <f>IF(AND(D311/Frequency!$N$7&gt;0, D311/Frequency!$N$7&lt;1),E311,0)</f>
        <v>0</v>
      </c>
      <c r="L311" s="35">
        <f t="shared" si="221"/>
        <v>0</v>
      </c>
      <c r="M311" s="35">
        <f>IF(D311/Frequency!$N$7=1,1,0)*E311</f>
        <v>0</v>
      </c>
      <c r="N311" s="35">
        <f t="shared" si="222"/>
        <v>0</v>
      </c>
      <c r="O311" s="35">
        <f>IF(AND(D311/Frequency!$N$7&gt;1, D311/Frequency!$N$7&lt;=2),1,0)*E311</f>
        <v>0</v>
      </c>
      <c r="P311" s="35">
        <f t="shared" si="223"/>
        <v>0</v>
      </c>
      <c r="Q311" s="35">
        <f>IF(AND(D311/Frequency!$N$7&gt;2,D311/Frequency!$N$7&lt;=5),1,0)*E311</f>
        <v>0</v>
      </c>
      <c r="R311" s="35">
        <f t="shared" si="224"/>
        <v>0</v>
      </c>
      <c r="S311" s="35">
        <f>IF(AND(D311/Frequency!$N$7&gt;5, D311/Frequency!$N$7&lt;=10),1,0)*E311</f>
        <v>0</v>
      </c>
      <c r="T311" s="35">
        <f t="shared" si="225"/>
        <v>0</v>
      </c>
      <c r="U311" s="35">
        <f>IF(AND(D311/Frequency!$N$7&gt;10, D311/Frequency!$N$7&lt;=20),1,0)*E311</f>
        <v>7</v>
      </c>
      <c r="V311" s="35">
        <f t="shared" si="226"/>
        <v>126.70000000000002</v>
      </c>
      <c r="W311" s="35">
        <f>IF(AND(D311/Frequency!$N$7&gt;20, D311/Frequency!$N$7&lt;=30),1,0)*E311</f>
        <v>0</v>
      </c>
      <c r="X311" s="35">
        <f t="shared" si="227"/>
        <v>0</v>
      </c>
      <c r="Y311" s="35">
        <f>IF(AND(D311/Frequency!$N$7&gt;30, D311/Frequency!$N$7&lt;=50),1,0)*E311</f>
        <v>0</v>
      </c>
      <c r="Z311" s="35">
        <f t="shared" si="228"/>
        <v>0</v>
      </c>
      <c r="AA311" s="35">
        <f>IF(AND(D311/Frequency!$N$7&gt;50, D311/Frequency!$N$7&lt;=100),1,0)*E311</f>
        <v>0</v>
      </c>
      <c r="AB311" s="35">
        <f t="shared" si="229"/>
        <v>0</v>
      </c>
      <c r="AC311" s="35">
        <f>IF(D311/Frequency!$N$7&gt;100,1,0)*E311</f>
        <v>0</v>
      </c>
      <c r="AD311" s="35">
        <f t="shared" si="230"/>
        <v>0</v>
      </c>
      <c r="AE311" s="22">
        <f t="shared" si="231"/>
        <v>0</v>
      </c>
      <c r="AF311" s="22">
        <f t="shared" si="232"/>
        <v>7</v>
      </c>
      <c r="AG311" s="22">
        <f t="shared" si="233"/>
        <v>126.70000000000002</v>
      </c>
      <c r="AH311" s="22">
        <f t="shared" si="234"/>
        <v>0</v>
      </c>
      <c r="AI311" s="35">
        <f t="shared" si="235"/>
        <v>1</v>
      </c>
      <c r="AJ311" s="35">
        <f t="shared" si="236"/>
        <v>7</v>
      </c>
      <c r="AK311" s="35">
        <f t="shared" si="237"/>
        <v>126.70000000000002</v>
      </c>
      <c r="AL311">
        <f t="shared" si="238"/>
        <v>1</v>
      </c>
      <c r="AM311">
        <f t="shared" si="239"/>
        <v>7</v>
      </c>
      <c r="AN311">
        <f t="shared" si="240"/>
        <v>126.70000000000002</v>
      </c>
      <c r="AO311">
        <f t="shared" si="241"/>
        <v>1</v>
      </c>
      <c r="AP311">
        <f t="shared" si="242"/>
        <v>7</v>
      </c>
      <c r="AQ311">
        <f t="shared" si="243"/>
        <v>126.70000000000002</v>
      </c>
      <c r="AR311">
        <f t="shared" si="244"/>
        <v>0</v>
      </c>
      <c r="AS311">
        <f t="shared" si="245"/>
        <v>0</v>
      </c>
      <c r="AT311">
        <f t="shared" si="246"/>
        <v>0</v>
      </c>
      <c r="AU311">
        <f t="shared" si="247"/>
        <v>0</v>
      </c>
      <c r="AV311">
        <v>0</v>
      </c>
      <c r="AW311">
        <v>0</v>
      </c>
      <c r="AX311">
        <f t="shared" si="248"/>
        <v>0</v>
      </c>
      <c r="AY311">
        <f t="shared" si="249"/>
        <v>0</v>
      </c>
      <c r="AZ311">
        <f t="shared" si="250"/>
        <v>0</v>
      </c>
      <c r="BA311">
        <f t="shared" si="251"/>
        <v>1</v>
      </c>
      <c r="BB311">
        <f t="shared" si="252"/>
        <v>7</v>
      </c>
      <c r="BC311">
        <f t="shared" si="253"/>
        <v>126.70000000000002</v>
      </c>
      <c r="BD311">
        <f t="shared" si="254"/>
        <v>0</v>
      </c>
      <c r="BE311">
        <f t="shared" si="255"/>
        <v>0</v>
      </c>
      <c r="BF311">
        <f t="shared" si="256"/>
        <v>0</v>
      </c>
      <c r="BG311">
        <f t="shared" si="257"/>
        <v>0</v>
      </c>
      <c r="BH311">
        <f t="shared" si="258"/>
        <v>0</v>
      </c>
      <c r="BI311">
        <f t="shared" si="259"/>
        <v>0</v>
      </c>
      <c r="BJ311">
        <v>0</v>
      </c>
      <c r="BK311" t="str">
        <f t="shared" si="273"/>
        <v>Big Win</v>
      </c>
      <c r="BL311" s="40" t="str">
        <f t="shared" si="274"/>
        <v>Bonus Game B</v>
      </c>
      <c r="BM311">
        <f>(D311/Frequency!$N$7-Summary!$C$7)^2*E311</f>
        <v>2085.3532000000005</v>
      </c>
      <c r="BN311">
        <f t="shared" si="260"/>
        <v>0</v>
      </c>
      <c r="BO311">
        <f t="shared" si="261"/>
        <v>0</v>
      </c>
      <c r="BP311">
        <f t="shared" si="262"/>
        <v>0</v>
      </c>
      <c r="BQ311">
        <f t="shared" si="263"/>
        <v>0</v>
      </c>
      <c r="BR311">
        <f t="shared" si="264"/>
        <v>0</v>
      </c>
      <c r="BS311">
        <f t="shared" si="265"/>
        <v>0</v>
      </c>
      <c r="BT311">
        <f t="shared" si="266"/>
        <v>0</v>
      </c>
      <c r="BU311">
        <f t="shared" si="267"/>
        <v>0</v>
      </c>
      <c r="BV311">
        <f t="shared" si="268"/>
        <v>0</v>
      </c>
      <c r="BW311">
        <f t="shared" si="269"/>
        <v>7</v>
      </c>
      <c r="BX311">
        <f t="shared" si="270"/>
        <v>126.70000000000002</v>
      </c>
    </row>
    <row r="312" spans="2:76">
      <c r="B312" s="19">
        <f>Tiers!B313</f>
        <v>310</v>
      </c>
      <c r="C312" s="20" t="str">
        <f>Tiers!X313</f>
        <v>main-4|wild-13|bonusB-6|||||||</v>
      </c>
      <c r="D312" s="21">
        <f>Tiers!C313</f>
        <v>27</v>
      </c>
      <c r="E312" s="22">
        <f>Frequency!E314</f>
        <v>20</v>
      </c>
      <c r="F312" s="22">
        <f t="shared" si="220"/>
        <v>540</v>
      </c>
      <c r="G312" s="20">
        <f>IF(AND(D312/Summary!$C$4&gt;0, D312/Summary!$C$4&lt;5),E312,0) * D312</f>
        <v>0</v>
      </c>
      <c r="H312" s="20">
        <f>IF(AND(D312/Summary!$C$4&gt;= 5, D312/Summary!$C$4&lt;10),E312,0) * D312</f>
        <v>0</v>
      </c>
      <c r="I312" s="20">
        <f>IF(AND(D312/Summary!$C$4&gt;=10, D312/Summary!$C$4&lt;25),E312,0)*D312</f>
        <v>0</v>
      </c>
      <c r="J312" s="20">
        <f>IF(D312/Summary!$C$4&gt;=25,E312,0)*D312</f>
        <v>540</v>
      </c>
      <c r="K312" s="35">
        <f>IF(AND(D312/Frequency!$N$7&gt;0, D312/Frequency!$N$7&lt;1),E312,0)</f>
        <v>0</v>
      </c>
      <c r="L312" s="35">
        <f t="shared" si="221"/>
        <v>0</v>
      </c>
      <c r="M312" s="35">
        <f>IF(D312/Frequency!$N$7=1,1,0)*E312</f>
        <v>0</v>
      </c>
      <c r="N312" s="35">
        <f t="shared" si="222"/>
        <v>0</v>
      </c>
      <c r="O312" s="35">
        <f>IF(AND(D312/Frequency!$N$7&gt;1, D312/Frequency!$N$7&lt;=2),1,0)*E312</f>
        <v>0</v>
      </c>
      <c r="P312" s="35">
        <f t="shared" si="223"/>
        <v>0</v>
      </c>
      <c r="Q312" s="35">
        <f>IF(AND(D312/Frequency!$N$7&gt;2,D312/Frequency!$N$7&lt;=5),1,0)*E312</f>
        <v>0</v>
      </c>
      <c r="R312" s="35">
        <f t="shared" si="224"/>
        <v>0</v>
      </c>
      <c r="S312" s="35">
        <f>IF(AND(D312/Frequency!$N$7&gt;5, D312/Frequency!$N$7&lt;=10),1,0)*E312</f>
        <v>0</v>
      </c>
      <c r="T312" s="35">
        <f t="shared" si="225"/>
        <v>0</v>
      </c>
      <c r="U312" s="35">
        <f>IF(AND(D312/Frequency!$N$7&gt;10, D312/Frequency!$N$7&lt;=20),1,0)*E312</f>
        <v>0</v>
      </c>
      <c r="V312" s="35">
        <f t="shared" si="226"/>
        <v>0</v>
      </c>
      <c r="W312" s="35">
        <f>IF(AND(D312/Frequency!$N$7&gt;20, D312/Frequency!$N$7&lt;=30),1,0)*E312</f>
        <v>20</v>
      </c>
      <c r="X312" s="35">
        <f t="shared" si="227"/>
        <v>540</v>
      </c>
      <c r="Y312" s="35">
        <f>IF(AND(D312/Frequency!$N$7&gt;30, D312/Frequency!$N$7&lt;=50),1,0)*E312</f>
        <v>0</v>
      </c>
      <c r="Z312" s="35">
        <f t="shared" si="228"/>
        <v>0</v>
      </c>
      <c r="AA312" s="35">
        <f>IF(AND(D312/Frequency!$N$7&gt;50, D312/Frequency!$N$7&lt;=100),1,0)*E312</f>
        <v>0</v>
      </c>
      <c r="AB312" s="35">
        <f t="shared" si="229"/>
        <v>0</v>
      </c>
      <c r="AC312" s="35">
        <f>IF(D312/Frequency!$N$7&gt;100,1,0)*E312</f>
        <v>0</v>
      </c>
      <c r="AD312" s="35">
        <f t="shared" si="230"/>
        <v>0</v>
      </c>
      <c r="AE312" s="22">
        <f t="shared" si="231"/>
        <v>0</v>
      </c>
      <c r="AF312" s="22">
        <f t="shared" si="232"/>
        <v>20</v>
      </c>
      <c r="AG312" s="22">
        <f t="shared" si="233"/>
        <v>540</v>
      </c>
      <c r="AH312" s="22">
        <f t="shared" si="234"/>
        <v>0</v>
      </c>
      <c r="AI312" s="35">
        <f t="shared" si="235"/>
        <v>1</v>
      </c>
      <c r="AJ312" s="35">
        <f t="shared" si="236"/>
        <v>20</v>
      </c>
      <c r="AK312" s="35">
        <f t="shared" si="237"/>
        <v>540</v>
      </c>
      <c r="AL312">
        <f t="shared" si="238"/>
        <v>1</v>
      </c>
      <c r="AM312">
        <f t="shared" si="239"/>
        <v>20</v>
      </c>
      <c r="AN312">
        <f t="shared" si="240"/>
        <v>540</v>
      </c>
      <c r="AO312">
        <f t="shared" si="241"/>
        <v>1</v>
      </c>
      <c r="AP312">
        <f t="shared" si="242"/>
        <v>20</v>
      </c>
      <c r="AQ312">
        <f t="shared" si="243"/>
        <v>540</v>
      </c>
      <c r="AR312">
        <f t="shared" si="244"/>
        <v>0</v>
      </c>
      <c r="AS312">
        <f t="shared" si="245"/>
        <v>0</v>
      </c>
      <c r="AT312">
        <f t="shared" si="246"/>
        <v>0</v>
      </c>
      <c r="AU312">
        <f t="shared" si="247"/>
        <v>0</v>
      </c>
      <c r="AV312">
        <v>0</v>
      </c>
      <c r="AW312">
        <v>0</v>
      </c>
      <c r="AX312">
        <f t="shared" si="248"/>
        <v>0</v>
      </c>
      <c r="AY312">
        <f t="shared" si="249"/>
        <v>0</v>
      </c>
      <c r="AZ312">
        <f t="shared" si="250"/>
        <v>0</v>
      </c>
      <c r="BA312">
        <f t="shared" si="251"/>
        <v>1</v>
      </c>
      <c r="BB312">
        <f t="shared" si="252"/>
        <v>20</v>
      </c>
      <c r="BC312">
        <f t="shared" si="253"/>
        <v>540</v>
      </c>
      <c r="BD312">
        <f t="shared" si="254"/>
        <v>0</v>
      </c>
      <c r="BE312">
        <f t="shared" si="255"/>
        <v>0</v>
      </c>
      <c r="BF312">
        <f t="shared" si="256"/>
        <v>0</v>
      </c>
      <c r="BG312">
        <f t="shared" si="257"/>
        <v>0</v>
      </c>
      <c r="BH312">
        <f t="shared" si="258"/>
        <v>0</v>
      </c>
      <c r="BI312">
        <f t="shared" si="259"/>
        <v>0</v>
      </c>
      <c r="BJ312">
        <v>0</v>
      </c>
      <c r="BK312" t="str">
        <f t="shared" si="273"/>
        <v>Big Win</v>
      </c>
      <c r="BL312" s="40" t="str">
        <f t="shared" si="274"/>
        <v>Bonus Game B</v>
      </c>
      <c r="BM312">
        <f>(D312/Frequency!$N$7-Summary!$C$7)^2*E312</f>
        <v>13686.912</v>
      </c>
      <c r="BN312">
        <f t="shared" si="260"/>
        <v>0</v>
      </c>
      <c r="BO312">
        <f t="shared" si="261"/>
        <v>0</v>
      </c>
      <c r="BP312">
        <f t="shared" si="262"/>
        <v>0</v>
      </c>
      <c r="BQ312">
        <f t="shared" si="263"/>
        <v>0</v>
      </c>
      <c r="BR312">
        <f t="shared" si="264"/>
        <v>0</v>
      </c>
      <c r="BS312">
        <f t="shared" si="265"/>
        <v>0</v>
      </c>
      <c r="BT312">
        <f t="shared" si="266"/>
        <v>0</v>
      </c>
      <c r="BU312">
        <f t="shared" si="267"/>
        <v>0</v>
      </c>
      <c r="BV312">
        <f t="shared" si="268"/>
        <v>0</v>
      </c>
      <c r="BW312">
        <f t="shared" si="269"/>
        <v>20</v>
      </c>
      <c r="BX312">
        <f t="shared" si="270"/>
        <v>540</v>
      </c>
    </row>
    <row r="313" spans="2:76">
      <c r="B313" s="19">
        <f>Tiers!B314</f>
        <v>311</v>
      </c>
      <c r="C313" s="20" t="str">
        <f>Tiers!X314</f>
        <v>main-3|main-20|bonusB-4|||||||</v>
      </c>
      <c r="D313" s="21">
        <f>Tiers!C314</f>
        <v>23</v>
      </c>
      <c r="E313" s="22">
        <f>Frequency!E315</f>
        <v>9</v>
      </c>
      <c r="F313" s="22">
        <f t="shared" si="220"/>
        <v>207</v>
      </c>
      <c r="G313" s="20">
        <f>IF(AND(D313/Summary!$C$4&gt;0, D313/Summary!$C$4&lt;5),E313,0) * D313</f>
        <v>0</v>
      </c>
      <c r="H313" s="20">
        <f>IF(AND(D313/Summary!$C$4&gt;= 5, D313/Summary!$C$4&lt;10),E313,0) * D313</f>
        <v>0</v>
      </c>
      <c r="I313" s="20">
        <f>IF(AND(D313/Summary!$C$4&gt;=10, D313/Summary!$C$4&lt;25),E313,0)*D313</f>
        <v>207</v>
      </c>
      <c r="J313" s="20">
        <f>IF(D313/Summary!$C$4&gt;=25,E313,0)*D313</f>
        <v>0</v>
      </c>
      <c r="K313" s="35">
        <f>IF(AND(D313/Frequency!$N$7&gt;0, D313/Frequency!$N$7&lt;1),E313,0)</f>
        <v>0</v>
      </c>
      <c r="L313" s="35">
        <f t="shared" si="221"/>
        <v>0</v>
      </c>
      <c r="M313" s="35">
        <f>IF(D313/Frequency!$N$7=1,1,0)*E313</f>
        <v>0</v>
      </c>
      <c r="N313" s="35">
        <f t="shared" si="222"/>
        <v>0</v>
      </c>
      <c r="O313" s="35">
        <f>IF(AND(D313/Frequency!$N$7&gt;1, D313/Frequency!$N$7&lt;=2),1,0)*E313</f>
        <v>0</v>
      </c>
      <c r="P313" s="35">
        <f t="shared" si="223"/>
        <v>0</v>
      </c>
      <c r="Q313" s="35">
        <f>IF(AND(D313/Frequency!$N$7&gt;2,D313/Frequency!$N$7&lt;=5),1,0)*E313</f>
        <v>0</v>
      </c>
      <c r="R313" s="35">
        <f t="shared" si="224"/>
        <v>0</v>
      </c>
      <c r="S313" s="35">
        <f>IF(AND(D313/Frequency!$N$7&gt;5, D313/Frequency!$N$7&lt;=10),1,0)*E313</f>
        <v>0</v>
      </c>
      <c r="T313" s="35">
        <f t="shared" si="225"/>
        <v>0</v>
      </c>
      <c r="U313" s="35">
        <f>IF(AND(D313/Frequency!$N$7&gt;10, D313/Frequency!$N$7&lt;=20),1,0)*E313</f>
        <v>0</v>
      </c>
      <c r="V313" s="35">
        <f t="shared" si="226"/>
        <v>0</v>
      </c>
      <c r="W313" s="35">
        <f>IF(AND(D313/Frequency!$N$7&gt;20, D313/Frequency!$N$7&lt;=30),1,0)*E313</f>
        <v>9</v>
      </c>
      <c r="X313" s="35">
        <f t="shared" si="227"/>
        <v>207</v>
      </c>
      <c r="Y313" s="35">
        <f>IF(AND(D313/Frequency!$N$7&gt;30, D313/Frequency!$N$7&lt;=50),1,0)*E313</f>
        <v>0</v>
      </c>
      <c r="Z313" s="35">
        <f t="shared" si="228"/>
        <v>0</v>
      </c>
      <c r="AA313" s="35">
        <f>IF(AND(D313/Frequency!$N$7&gt;50, D313/Frequency!$N$7&lt;=100),1,0)*E313</f>
        <v>0</v>
      </c>
      <c r="AB313" s="35">
        <f t="shared" si="229"/>
        <v>0</v>
      </c>
      <c r="AC313" s="35">
        <f>IF(D313/Frequency!$N$7&gt;100,1,0)*E313</f>
        <v>0</v>
      </c>
      <c r="AD313" s="35">
        <f t="shared" si="230"/>
        <v>0</v>
      </c>
      <c r="AE313" s="22">
        <f t="shared" si="231"/>
        <v>0</v>
      </c>
      <c r="AF313" s="22">
        <f t="shared" si="232"/>
        <v>9</v>
      </c>
      <c r="AG313" s="22">
        <f t="shared" si="233"/>
        <v>207</v>
      </c>
      <c r="AH313" s="22">
        <f t="shared" si="234"/>
        <v>0</v>
      </c>
      <c r="AI313" s="35">
        <f t="shared" si="235"/>
        <v>1</v>
      </c>
      <c r="AJ313" s="35">
        <f t="shared" si="236"/>
        <v>9</v>
      </c>
      <c r="AK313" s="35">
        <f t="shared" si="237"/>
        <v>207</v>
      </c>
      <c r="AL313">
        <f t="shared" si="238"/>
        <v>0</v>
      </c>
      <c r="AM313">
        <f t="shared" si="239"/>
        <v>0</v>
      </c>
      <c r="AN313">
        <f t="shared" si="240"/>
        <v>0</v>
      </c>
      <c r="AO313">
        <f t="shared" si="241"/>
        <v>0</v>
      </c>
      <c r="AP313">
        <f t="shared" si="242"/>
        <v>0</v>
      </c>
      <c r="AQ313">
        <f t="shared" si="243"/>
        <v>0</v>
      </c>
      <c r="AR313">
        <f t="shared" si="244"/>
        <v>0</v>
      </c>
      <c r="AS313">
        <f t="shared" si="245"/>
        <v>0</v>
      </c>
      <c r="AT313">
        <f t="shared" si="246"/>
        <v>0</v>
      </c>
      <c r="AU313">
        <f t="shared" si="247"/>
        <v>0</v>
      </c>
      <c r="AV313">
        <v>0</v>
      </c>
      <c r="AW313">
        <v>0</v>
      </c>
      <c r="AX313">
        <f t="shared" si="248"/>
        <v>0</v>
      </c>
      <c r="AY313">
        <f t="shared" si="249"/>
        <v>0</v>
      </c>
      <c r="AZ313">
        <f t="shared" si="250"/>
        <v>0</v>
      </c>
      <c r="BA313">
        <f t="shared" si="251"/>
        <v>1</v>
      </c>
      <c r="BB313">
        <f t="shared" si="252"/>
        <v>9</v>
      </c>
      <c r="BC313">
        <f t="shared" si="253"/>
        <v>207</v>
      </c>
      <c r="BD313">
        <f t="shared" si="254"/>
        <v>0</v>
      </c>
      <c r="BE313">
        <f t="shared" si="255"/>
        <v>0</v>
      </c>
      <c r="BF313">
        <f t="shared" si="256"/>
        <v>0</v>
      </c>
      <c r="BG313">
        <f t="shared" si="257"/>
        <v>0</v>
      </c>
      <c r="BH313">
        <f t="shared" si="258"/>
        <v>0</v>
      </c>
      <c r="BI313">
        <f t="shared" si="259"/>
        <v>0</v>
      </c>
      <c r="BJ313">
        <v>0</v>
      </c>
      <c r="BK313" t="str">
        <f t="shared" si="273"/>
        <v>Big Win</v>
      </c>
      <c r="BL313" s="40" t="str">
        <f t="shared" si="274"/>
        <v>Bonus Game B</v>
      </c>
      <c r="BM313">
        <f>(D313/Frequency!$N$7-Summary!$C$7)^2*E313</f>
        <v>4419.5904</v>
      </c>
      <c r="BN313">
        <f t="shared" si="260"/>
        <v>0</v>
      </c>
      <c r="BO313">
        <f t="shared" si="261"/>
        <v>0</v>
      </c>
      <c r="BP313">
        <f t="shared" si="262"/>
        <v>0</v>
      </c>
      <c r="BQ313">
        <f t="shared" si="263"/>
        <v>0</v>
      </c>
      <c r="BR313">
        <f t="shared" si="264"/>
        <v>0</v>
      </c>
      <c r="BS313">
        <f t="shared" si="265"/>
        <v>0</v>
      </c>
      <c r="BT313">
        <f t="shared" si="266"/>
        <v>0</v>
      </c>
      <c r="BU313">
        <f t="shared" si="267"/>
        <v>0</v>
      </c>
      <c r="BV313">
        <f t="shared" si="268"/>
        <v>0</v>
      </c>
      <c r="BW313">
        <f t="shared" si="269"/>
        <v>9</v>
      </c>
      <c r="BX313">
        <f t="shared" si="270"/>
        <v>207</v>
      </c>
    </row>
    <row r="314" spans="2:76">
      <c r="B314" s="19">
        <f>Tiers!B315</f>
        <v>312</v>
      </c>
      <c r="C314" s="20" t="str">
        <f>Tiers!X315</f>
        <v>main-4|main-5|bonusB-4|||||||</v>
      </c>
      <c r="D314" s="21">
        <f>Tiers!C315</f>
        <v>19</v>
      </c>
      <c r="E314" s="22">
        <f>Frequency!E316</f>
        <v>9</v>
      </c>
      <c r="F314" s="22">
        <f t="shared" si="220"/>
        <v>171</v>
      </c>
      <c r="G314" s="20">
        <f>IF(AND(D314/Summary!$C$4&gt;0, D314/Summary!$C$4&lt;5),E314,0) * D314</f>
        <v>0</v>
      </c>
      <c r="H314" s="20">
        <f>IF(AND(D314/Summary!$C$4&gt;= 5, D314/Summary!$C$4&lt;10),E314,0) * D314</f>
        <v>0</v>
      </c>
      <c r="I314" s="20">
        <f>IF(AND(D314/Summary!$C$4&gt;=10, D314/Summary!$C$4&lt;25),E314,0)*D314</f>
        <v>171</v>
      </c>
      <c r="J314" s="20">
        <f>IF(D314/Summary!$C$4&gt;=25,E314,0)*D314</f>
        <v>0</v>
      </c>
      <c r="K314" s="35">
        <f>IF(AND(D314/Frequency!$N$7&gt;0, D314/Frequency!$N$7&lt;1),E314,0)</f>
        <v>0</v>
      </c>
      <c r="L314" s="35">
        <f t="shared" si="221"/>
        <v>0</v>
      </c>
      <c r="M314" s="35">
        <f>IF(D314/Frequency!$N$7=1,1,0)*E314</f>
        <v>0</v>
      </c>
      <c r="N314" s="35">
        <f t="shared" si="222"/>
        <v>0</v>
      </c>
      <c r="O314" s="35">
        <f>IF(AND(D314/Frequency!$N$7&gt;1, D314/Frequency!$N$7&lt;=2),1,0)*E314</f>
        <v>0</v>
      </c>
      <c r="P314" s="35">
        <f t="shared" si="223"/>
        <v>0</v>
      </c>
      <c r="Q314" s="35">
        <f>IF(AND(D314/Frequency!$N$7&gt;2,D314/Frequency!$N$7&lt;=5),1,0)*E314</f>
        <v>0</v>
      </c>
      <c r="R314" s="35">
        <f t="shared" si="224"/>
        <v>0</v>
      </c>
      <c r="S314" s="35">
        <f>IF(AND(D314/Frequency!$N$7&gt;5, D314/Frequency!$N$7&lt;=10),1,0)*E314</f>
        <v>0</v>
      </c>
      <c r="T314" s="35">
        <f t="shared" si="225"/>
        <v>0</v>
      </c>
      <c r="U314" s="35">
        <f>IF(AND(D314/Frequency!$N$7&gt;10, D314/Frequency!$N$7&lt;=20),1,0)*E314</f>
        <v>9</v>
      </c>
      <c r="V314" s="35">
        <f t="shared" si="226"/>
        <v>171</v>
      </c>
      <c r="W314" s="35">
        <f>IF(AND(D314/Frequency!$N$7&gt;20, D314/Frequency!$N$7&lt;=30),1,0)*E314</f>
        <v>0</v>
      </c>
      <c r="X314" s="35">
        <f t="shared" si="227"/>
        <v>0</v>
      </c>
      <c r="Y314" s="35">
        <f>IF(AND(D314/Frequency!$N$7&gt;30, D314/Frequency!$N$7&lt;=50),1,0)*E314</f>
        <v>0</v>
      </c>
      <c r="Z314" s="35">
        <f t="shared" si="228"/>
        <v>0</v>
      </c>
      <c r="AA314" s="35">
        <f>IF(AND(D314/Frequency!$N$7&gt;50, D314/Frequency!$N$7&lt;=100),1,0)*E314</f>
        <v>0</v>
      </c>
      <c r="AB314" s="35">
        <f t="shared" si="229"/>
        <v>0</v>
      </c>
      <c r="AC314" s="35">
        <f>IF(D314/Frequency!$N$7&gt;100,1,0)*E314</f>
        <v>0</v>
      </c>
      <c r="AD314" s="35">
        <f t="shared" si="230"/>
        <v>0</v>
      </c>
      <c r="AE314" s="22">
        <f t="shared" si="231"/>
        <v>0</v>
      </c>
      <c r="AF314" s="22">
        <f t="shared" si="232"/>
        <v>9</v>
      </c>
      <c r="AG314" s="22">
        <f t="shared" si="233"/>
        <v>171</v>
      </c>
      <c r="AH314" s="22">
        <f t="shared" si="234"/>
        <v>0</v>
      </c>
      <c r="AI314" s="35">
        <f t="shared" si="235"/>
        <v>1</v>
      </c>
      <c r="AJ314" s="35">
        <f t="shared" si="236"/>
        <v>9</v>
      </c>
      <c r="AK314" s="35">
        <f t="shared" si="237"/>
        <v>171</v>
      </c>
      <c r="AL314">
        <f t="shared" si="238"/>
        <v>0</v>
      </c>
      <c r="AM314">
        <f t="shared" si="239"/>
        <v>0</v>
      </c>
      <c r="AN314">
        <f t="shared" si="240"/>
        <v>0</v>
      </c>
      <c r="AO314">
        <f t="shared" si="241"/>
        <v>0</v>
      </c>
      <c r="AP314">
        <f t="shared" si="242"/>
        <v>0</v>
      </c>
      <c r="AQ314">
        <f t="shared" si="243"/>
        <v>0</v>
      </c>
      <c r="AR314">
        <f t="shared" si="244"/>
        <v>0</v>
      </c>
      <c r="AS314">
        <f t="shared" si="245"/>
        <v>0</v>
      </c>
      <c r="AT314">
        <f t="shared" si="246"/>
        <v>0</v>
      </c>
      <c r="AU314">
        <f t="shared" si="247"/>
        <v>0</v>
      </c>
      <c r="AV314">
        <v>0</v>
      </c>
      <c r="AW314">
        <v>0</v>
      </c>
      <c r="AX314">
        <f t="shared" si="248"/>
        <v>0</v>
      </c>
      <c r="AY314">
        <f t="shared" si="249"/>
        <v>0</v>
      </c>
      <c r="AZ314">
        <f t="shared" si="250"/>
        <v>0</v>
      </c>
      <c r="BA314">
        <f t="shared" si="251"/>
        <v>1</v>
      </c>
      <c r="BB314">
        <f t="shared" si="252"/>
        <v>9</v>
      </c>
      <c r="BC314">
        <f t="shared" si="253"/>
        <v>171</v>
      </c>
      <c r="BD314">
        <f t="shared" si="254"/>
        <v>0</v>
      </c>
      <c r="BE314">
        <f t="shared" si="255"/>
        <v>0</v>
      </c>
      <c r="BF314">
        <f t="shared" si="256"/>
        <v>0</v>
      </c>
      <c r="BG314">
        <f t="shared" si="257"/>
        <v>0</v>
      </c>
      <c r="BH314">
        <f t="shared" si="258"/>
        <v>0</v>
      </c>
      <c r="BI314">
        <f t="shared" si="259"/>
        <v>0</v>
      </c>
      <c r="BJ314">
        <v>0</v>
      </c>
      <c r="BK314" t="str">
        <f t="shared" si="273"/>
        <v>Big Win</v>
      </c>
      <c r="BL314" s="40" t="str">
        <f t="shared" si="274"/>
        <v>Bonus Game B</v>
      </c>
      <c r="BM314">
        <f>(D314/Frequency!$N$7-Summary!$C$7)^2*E314</f>
        <v>2968.0704000000001</v>
      </c>
      <c r="BN314">
        <f t="shared" si="260"/>
        <v>0</v>
      </c>
      <c r="BO314">
        <f t="shared" si="261"/>
        <v>0</v>
      </c>
      <c r="BP314">
        <f t="shared" si="262"/>
        <v>0</v>
      </c>
      <c r="BQ314">
        <f t="shared" si="263"/>
        <v>0</v>
      </c>
      <c r="BR314">
        <f t="shared" si="264"/>
        <v>0</v>
      </c>
      <c r="BS314">
        <f t="shared" si="265"/>
        <v>0</v>
      </c>
      <c r="BT314">
        <f t="shared" si="266"/>
        <v>0</v>
      </c>
      <c r="BU314">
        <f t="shared" si="267"/>
        <v>0</v>
      </c>
      <c r="BV314">
        <f t="shared" si="268"/>
        <v>0</v>
      </c>
      <c r="BW314">
        <f t="shared" si="269"/>
        <v>9</v>
      </c>
      <c r="BX314">
        <f t="shared" si="270"/>
        <v>171</v>
      </c>
    </row>
    <row r="315" spans="2:76">
      <c r="B315" s="19">
        <f>Tiers!B316</f>
        <v>313</v>
      </c>
      <c r="C315" s="20" t="str">
        <f>Tiers!X316</f>
        <v>main-4|wild-9|bonusB-5|||||||</v>
      </c>
      <c r="D315" s="21">
        <f>Tiers!C316</f>
        <v>57</v>
      </c>
      <c r="E315" s="22">
        <f>Frequency!E317</f>
        <v>2</v>
      </c>
      <c r="F315" s="22">
        <f t="shared" si="220"/>
        <v>114</v>
      </c>
      <c r="G315" s="20">
        <f>IF(AND(D315/Summary!$C$4&gt;0, D315/Summary!$C$4&lt;5),E315,0) * D315</f>
        <v>0</v>
      </c>
      <c r="H315" s="20">
        <f>IF(AND(D315/Summary!$C$4&gt;= 5, D315/Summary!$C$4&lt;10),E315,0) * D315</f>
        <v>0</v>
      </c>
      <c r="I315" s="20">
        <f>IF(AND(D315/Summary!$C$4&gt;=10, D315/Summary!$C$4&lt;25),E315,0)*D315</f>
        <v>0</v>
      </c>
      <c r="J315" s="20">
        <f>IF(D315/Summary!$C$4&gt;=25,E315,0)*D315</f>
        <v>114</v>
      </c>
      <c r="K315" s="35">
        <f>IF(AND(D315/Frequency!$N$7&gt;0, D315/Frequency!$N$7&lt;1),E315,0)</f>
        <v>0</v>
      </c>
      <c r="L315" s="35">
        <f t="shared" si="221"/>
        <v>0</v>
      </c>
      <c r="M315" s="35">
        <f>IF(D315/Frequency!$N$7=1,1,0)*E315</f>
        <v>0</v>
      </c>
      <c r="N315" s="35">
        <f t="shared" si="222"/>
        <v>0</v>
      </c>
      <c r="O315" s="35">
        <f>IF(AND(D315/Frequency!$N$7&gt;1, D315/Frequency!$N$7&lt;=2),1,0)*E315</f>
        <v>0</v>
      </c>
      <c r="P315" s="35">
        <f t="shared" si="223"/>
        <v>0</v>
      </c>
      <c r="Q315" s="35">
        <f>IF(AND(D315/Frequency!$N$7&gt;2,D315/Frequency!$N$7&lt;=5),1,0)*E315</f>
        <v>0</v>
      </c>
      <c r="R315" s="35">
        <f t="shared" si="224"/>
        <v>0</v>
      </c>
      <c r="S315" s="35">
        <f>IF(AND(D315/Frequency!$N$7&gt;5, D315/Frequency!$N$7&lt;=10),1,0)*E315</f>
        <v>0</v>
      </c>
      <c r="T315" s="35">
        <f t="shared" si="225"/>
        <v>0</v>
      </c>
      <c r="U315" s="35">
        <f>IF(AND(D315/Frequency!$N$7&gt;10, D315/Frequency!$N$7&lt;=20),1,0)*E315</f>
        <v>0</v>
      </c>
      <c r="V315" s="35">
        <f t="shared" si="226"/>
        <v>0</v>
      </c>
      <c r="W315" s="35">
        <f>IF(AND(D315/Frequency!$N$7&gt;20, D315/Frequency!$N$7&lt;=30),1,0)*E315</f>
        <v>0</v>
      </c>
      <c r="X315" s="35">
        <f t="shared" si="227"/>
        <v>0</v>
      </c>
      <c r="Y315" s="35">
        <f>IF(AND(D315/Frequency!$N$7&gt;30, D315/Frequency!$N$7&lt;=50),1,0)*E315</f>
        <v>0</v>
      </c>
      <c r="Z315" s="35">
        <f t="shared" si="228"/>
        <v>0</v>
      </c>
      <c r="AA315" s="35">
        <f>IF(AND(D315/Frequency!$N$7&gt;50, D315/Frequency!$N$7&lt;=100),1,0)*E315</f>
        <v>2</v>
      </c>
      <c r="AB315" s="35">
        <f t="shared" si="229"/>
        <v>114</v>
      </c>
      <c r="AC315" s="35">
        <f>IF(D315/Frequency!$N$7&gt;100,1,0)*E315</f>
        <v>0</v>
      </c>
      <c r="AD315" s="35">
        <f t="shared" si="230"/>
        <v>0</v>
      </c>
      <c r="AE315" s="22">
        <f t="shared" si="231"/>
        <v>0</v>
      </c>
      <c r="AF315" s="22">
        <f t="shared" si="232"/>
        <v>2</v>
      </c>
      <c r="AG315" s="22">
        <f t="shared" si="233"/>
        <v>114</v>
      </c>
      <c r="AH315" s="22">
        <f t="shared" si="234"/>
        <v>0</v>
      </c>
      <c r="AI315" s="35">
        <f t="shared" si="235"/>
        <v>1</v>
      </c>
      <c r="AJ315" s="35">
        <f t="shared" si="236"/>
        <v>2</v>
      </c>
      <c r="AK315" s="35">
        <f t="shared" si="237"/>
        <v>114</v>
      </c>
      <c r="AL315">
        <f t="shared" si="238"/>
        <v>1</v>
      </c>
      <c r="AM315">
        <f t="shared" si="239"/>
        <v>2</v>
      </c>
      <c r="AN315">
        <f t="shared" si="240"/>
        <v>114</v>
      </c>
      <c r="AO315">
        <f t="shared" si="241"/>
        <v>1</v>
      </c>
      <c r="AP315">
        <f t="shared" si="242"/>
        <v>2</v>
      </c>
      <c r="AQ315">
        <f t="shared" si="243"/>
        <v>114</v>
      </c>
      <c r="AR315">
        <f t="shared" si="244"/>
        <v>0</v>
      </c>
      <c r="AS315">
        <f t="shared" si="245"/>
        <v>0</v>
      </c>
      <c r="AT315">
        <f t="shared" si="246"/>
        <v>0</v>
      </c>
      <c r="AU315">
        <f t="shared" si="247"/>
        <v>0</v>
      </c>
      <c r="AV315">
        <v>0</v>
      </c>
      <c r="AW315">
        <v>0</v>
      </c>
      <c r="AX315">
        <f t="shared" si="248"/>
        <v>0</v>
      </c>
      <c r="AY315">
        <f t="shared" si="249"/>
        <v>0</v>
      </c>
      <c r="AZ315">
        <f t="shared" si="250"/>
        <v>0</v>
      </c>
      <c r="BA315">
        <f t="shared" si="251"/>
        <v>1</v>
      </c>
      <c r="BB315">
        <f t="shared" si="252"/>
        <v>2</v>
      </c>
      <c r="BC315">
        <f t="shared" si="253"/>
        <v>114</v>
      </c>
      <c r="BD315">
        <f t="shared" si="254"/>
        <v>0</v>
      </c>
      <c r="BE315">
        <f t="shared" si="255"/>
        <v>0</v>
      </c>
      <c r="BF315">
        <f t="shared" si="256"/>
        <v>0</v>
      </c>
      <c r="BG315">
        <f t="shared" si="257"/>
        <v>0</v>
      </c>
      <c r="BH315">
        <f t="shared" si="258"/>
        <v>0</v>
      </c>
      <c r="BI315">
        <f t="shared" si="259"/>
        <v>0</v>
      </c>
      <c r="BJ315">
        <v>0</v>
      </c>
      <c r="BK315" t="str">
        <f t="shared" si="273"/>
        <v>Huge Win</v>
      </c>
      <c r="BL315" s="40" t="str">
        <f t="shared" si="274"/>
        <v>Bonus Game B</v>
      </c>
      <c r="BM315">
        <f>(D315/Frequency!$N$7-Summary!$C$7)^2*E315</f>
        <v>6307.8911999999991</v>
      </c>
      <c r="BN315">
        <f t="shared" si="260"/>
        <v>0</v>
      </c>
      <c r="BO315">
        <f t="shared" si="261"/>
        <v>0</v>
      </c>
      <c r="BP315">
        <f t="shared" si="262"/>
        <v>0</v>
      </c>
      <c r="BQ315">
        <f t="shared" si="263"/>
        <v>0</v>
      </c>
      <c r="BR315">
        <f t="shared" si="264"/>
        <v>0</v>
      </c>
      <c r="BS315">
        <f t="shared" si="265"/>
        <v>0</v>
      </c>
      <c r="BT315">
        <f t="shared" si="266"/>
        <v>0</v>
      </c>
      <c r="BU315">
        <f t="shared" si="267"/>
        <v>0</v>
      </c>
      <c r="BV315">
        <f t="shared" si="268"/>
        <v>0</v>
      </c>
      <c r="BW315">
        <f t="shared" si="269"/>
        <v>2</v>
      </c>
      <c r="BX315">
        <f t="shared" si="270"/>
        <v>114</v>
      </c>
    </row>
    <row r="316" spans="2:76">
      <c r="B316" s="19">
        <f>Tiers!B317</f>
        <v>314</v>
      </c>
      <c r="C316" s="20" t="str">
        <f>Tiers!X317</f>
        <v>main-5|wild-2|bonusB-6|||||||</v>
      </c>
      <c r="D316" s="21">
        <f>Tiers!C317</f>
        <v>25.5</v>
      </c>
      <c r="E316" s="22">
        <f>Frequency!E318</f>
        <v>10</v>
      </c>
      <c r="F316" s="22">
        <f t="shared" si="220"/>
        <v>255</v>
      </c>
      <c r="G316" s="20">
        <f>IF(AND(D316/Summary!$C$4&gt;0, D316/Summary!$C$4&lt;5),E316,0) * D316</f>
        <v>0</v>
      </c>
      <c r="H316" s="20">
        <f>IF(AND(D316/Summary!$C$4&gt;= 5, D316/Summary!$C$4&lt;10),E316,0) * D316</f>
        <v>0</v>
      </c>
      <c r="I316" s="20">
        <f>IF(AND(D316/Summary!$C$4&gt;=10, D316/Summary!$C$4&lt;25),E316,0)*D316</f>
        <v>0</v>
      </c>
      <c r="J316" s="20">
        <f>IF(D316/Summary!$C$4&gt;=25,E316,0)*D316</f>
        <v>255</v>
      </c>
      <c r="K316" s="35">
        <f>IF(AND(D316/Frequency!$N$7&gt;0, D316/Frequency!$N$7&lt;1),E316,0)</f>
        <v>0</v>
      </c>
      <c r="L316" s="35">
        <f t="shared" si="221"/>
        <v>0</v>
      </c>
      <c r="M316" s="35">
        <f>IF(D316/Frequency!$N$7=1,1,0)*E316</f>
        <v>0</v>
      </c>
      <c r="N316" s="35">
        <f t="shared" si="222"/>
        <v>0</v>
      </c>
      <c r="O316" s="35">
        <f>IF(AND(D316/Frequency!$N$7&gt;1, D316/Frequency!$N$7&lt;=2),1,0)*E316</f>
        <v>0</v>
      </c>
      <c r="P316" s="35">
        <f t="shared" si="223"/>
        <v>0</v>
      </c>
      <c r="Q316" s="35">
        <f>IF(AND(D316/Frequency!$N$7&gt;2,D316/Frequency!$N$7&lt;=5),1,0)*E316</f>
        <v>0</v>
      </c>
      <c r="R316" s="35">
        <f t="shared" si="224"/>
        <v>0</v>
      </c>
      <c r="S316" s="35">
        <f>IF(AND(D316/Frequency!$N$7&gt;5, D316/Frequency!$N$7&lt;=10),1,0)*E316</f>
        <v>0</v>
      </c>
      <c r="T316" s="35">
        <f t="shared" si="225"/>
        <v>0</v>
      </c>
      <c r="U316" s="35">
        <f>IF(AND(D316/Frequency!$N$7&gt;10, D316/Frequency!$N$7&lt;=20),1,0)*E316</f>
        <v>0</v>
      </c>
      <c r="V316" s="35">
        <f t="shared" si="226"/>
        <v>0</v>
      </c>
      <c r="W316" s="35">
        <f>IF(AND(D316/Frequency!$N$7&gt;20, D316/Frequency!$N$7&lt;=30),1,0)*E316</f>
        <v>10</v>
      </c>
      <c r="X316" s="35">
        <f t="shared" si="227"/>
        <v>255</v>
      </c>
      <c r="Y316" s="35">
        <f>IF(AND(D316/Frequency!$N$7&gt;30, D316/Frequency!$N$7&lt;=50),1,0)*E316</f>
        <v>0</v>
      </c>
      <c r="Z316" s="35">
        <f t="shared" si="228"/>
        <v>0</v>
      </c>
      <c r="AA316" s="35">
        <f>IF(AND(D316/Frequency!$N$7&gt;50, D316/Frequency!$N$7&lt;=100),1,0)*E316</f>
        <v>0</v>
      </c>
      <c r="AB316" s="35">
        <f t="shared" si="229"/>
        <v>0</v>
      </c>
      <c r="AC316" s="35">
        <f>IF(D316/Frequency!$N$7&gt;100,1,0)*E316</f>
        <v>0</v>
      </c>
      <c r="AD316" s="35">
        <f t="shared" si="230"/>
        <v>0</v>
      </c>
      <c r="AE316" s="22">
        <f t="shared" si="231"/>
        <v>0</v>
      </c>
      <c r="AF316" s="22">
        <f t="shared" si="232"/>
        <v>10</v>
      </c>
      <c r="AG316" s="22">
        <f t="shared" si="233"/>
        <v>255</v>
      </c>
      <c r="AH316" s="22">
        <f t="shared" si="234"/>
        <v>0</v>
      </c>
      <c r="AI316" s="35">
        <f t="shared" si="235"/>
        <v>1</v>
      </c>
      <c r="AJ316" s="35">
        <f t="shared" si="236"/>
        <v>10</v>
      </c>
      <c r="AK316" s="35">
        <f t="shared" si="237"/>
        <v>255</v>
      </c>
      <c r="AL316">
        <f t="shared" si="238"/>
        <v>1</v>
      </c>
      <c r="AM316">
        <f t="shared" si="239"/>
        <v>10</v>
      </c>
      <c r="AN316">
        <f t="shared" si="240"/>
        <v>255</v>
      </c>
      <c r="AO316">
        <f t="shared" si="241"/>
        <v>1</v>
      </c>
      <c r="AP316">
        <f t="shared" si="242"/>
        <v>10</v>
      </c>
      <c r="AQ316">
        <f t="shared" si="243"/>
        <v>255</v>
      </c>
      <c r="AR316">
        <f t="shared" si="244"/>
        <v>0</v>
      </c>
      <c r="AS316">
        <f t="shared" si="245"/>
        <v>0</v>
      </c>
      <c r="AT316">
        <f t="shared" si="246"/>
        <v>0</v>
      </c>
      <c r="AU316">
        <f t="shared" si="247"/>
        <v>0</v>
      </c>
      <c r="AV316">
        <v>0</v>
      </c>
      <c r="AW316">
        <v>0</v>
      </c>
      <c r="AX316">
        <f t="shared" si="248"/>
        <v>0</v>
      </c>
      <c r="AY316">
        <f t="shared" si="249"/>
        <v>0</v>
      </c>
      <c r="AZ316">
        <f t="shared" si="250"/>
        <v>0</v>
      </c>
      <c r="BA316">
        <f t="shared" si="251"/>
        <v>1</v>
      </c>
      <c r="BB316">
        <f t="shared" si="252"/>
        <v>10</v>
      </c>
      <c r="BC316">
        <f t="shared" si="253"/>
        <v>255</v>
      </c>
      <c r="BD316">
        <f t="shared" si="254"/>
        <v>0</v>
      </c>
      <c r="BE316">
        <f t="shared" si="255"/>
        <v>0</v>
      </c>
      <c r="BF316">
        <f t="shared" si="256"/>
        <v>0</v>
      </c>
      <c r="BG316">
        <f t="shared" si="257"/>
        <v>0</v>
      </c>
      <c r="BH316">
        <f t="shared" si="258"/>
        <v>0</v>
      </c>
      <c r="BI316">
        <f t="shared" si="259"/>
        <v>0</v>
      </c>
      <c r="BJ316">
        <v>0</v>
      </c>
      <c r="BK316" t="str">
        <f t="shared" si="273"/>
        <v>Big Win</v>
      </c>
      <c r="BL316" s="40" t="str">
        <f t="shared" si="274"/>
        <v>Bonus Game B</v>
      </c>
      <c r="BM316">
        <f>(D316/Frequency!$N$7-Summary!$C$7)^2*E316</f>
        <v>6081.1559999999999</v>
      </c>
      <c r="BN316">
        <f t="shared" si="260"/>
        <v>0</v>
      </c>
      <c r="BO316">
        <f t="shared" si="261"/>
        <v>0</v>
      </c>
      <c r="BP316">
        <f t="shared" si="262"/>
        <v>0</v>
      </c>
      <c r="BQ316">
        <f t="shared" si="263"/>
        <v>0</v>
      </c>
      <c r="BR316">
        <f t="shared" si="264"/>
        <v>0</v>
      </c>
      <c r="BS316">
        <f t="shared" si="265"/>
        <v>0</v>
      </c>
      <c r="BT316">
        <f t="shared" si="266"/>
        <v>0</v>
      </c>
      <c r="BU316">
        <f t="shared" si="267"/>
        <v>0</v>
      </c>
      <c r="BV316">
        <f t="shared" si="268"/>
        <v>0</v>
      </c>
      <c r="BW316">
        <f t="shared" si="269"/>
        <v>10</v>
      </c>
      <c r="BX316">
        <f t="shared" si="270"/>
        <v>255</v>
      </c>
    </row>
    <row r="317" spans="2:76">
      <c r="B317" s="19">
        <f>Tiers!B318</f>
        <v>315</v>
      </c>
      <c r="C317" s="20" t="str">
        <f>Tiers!X318</f>
        <v>main-3|main-0|wild-13|bonusB-2||||||</v>
      </c>
      <c r="D317" s="21">
        <f>Tiers!C318</f>
        <v>14.1</v>
      </c>
      <c r="E317" s="22">
        <f>Frequency!E319</f>
        <v>10</v>
      </c>
      <c r="F317" s="22">
        <f t="shared" si="220"/>
        <v>141</v>
      </c>
      <c r="G317" s="20">
        <f>IF(AND(D317/Summary!$C$4&gt;0, D317/Summary!$C$4&lt;5),E317,0) * D317</f>
        <v>0</v>
      </c>
      <c r="H317" s="20">
        <f>IF(AND(D317/Summary!$C$4&gt;= 5, D317/Summary!$C$4&lt;10),E317,0) * D317</f>
        <v>0</v>
      </c>
      <c r="I317" s="20">
        <f>IF(AND(D317/Summary!$C$4&gt;=10, D317/Summary!$C$4&lt;25),E317,0)*D317</f>
        <v>141</v>
      </c>
      <c r="J317" s="20">
        <f>IF(D317/Summary!$C$4&gt;=25,E317,0)*D317</f>
        <v>0</v>
      </c>
      <c r="K317" s="35">
        <f>IF(AND(D317/Frequency!$N$7&gt;0, D317/Frequency!$N$7&lt;1),E317,0)</f>
        <v>0</v>
      </c>
      <c r="L317" s="35">
        <f t="shared" si="221"/>
        <v>0</v>
      </c>
      <c r="M317" s="35">
        <f>IF(D317/Frequency!$N$7=1,1,0)*E317</f>
        <v>0</v>
      </c>
      <c r="N317" s="35">
        <f t="shared" si="222"/>
        <v>0</v>
      </c>
      <c r="O317" s="35">
        <f>IF(AND(D317/Frequency!$N$7&gt;1, D317/Frequency!$N$7&lt;=2),1,0)*E317</f>
        <v>0</v>
      </c>
      <c r="P317" s="35">
        <f t="shared" si="223"/>
        <v>0</v>
      </c>
      <c r="Q317" s="35">
        <f>IF(AND(D317/Frequency!$N$7&gt;2,D317/Frequency!$N$7&lt;=5),1,0)*E317</f>
        <v>0</v>
      </c>
      <c r="R317" s="35">
        <f t="shared" si="224"/>
        <v>0</v>
      </c>
      <c r="S317" s="35">
        <f>IF(AND(D317/Frequency!$N$7&gt;5, D317/Frequency!$N$7&lt;=10),1,0)*E317</f>
        <v>0</v>
      </c>
      <c r="T317" s="35">
        <f t="shared" si="225"/>
        <v>0</v>
      </c>
      <c r="U317" s="35">
        <f>IF(AND(D317/Frequency!$N$7&gt;10, D317/Frequency!$N$7&lt;=20),1,0)*E317</f>
        <v>10</v>
      </c>
      <c r="V317" s="35">
        <f t="shared" si="226"/>
        <v>141</v>
      </c>
      <c r="W317" s="35">
        <f>IF(AND(D317/Frequency!$N$7&gt;20, D317/Frequency!$N$7&lt;=30),1,0)*E317</f>
        <v>0</v>
      </c>
      <c r="X317" s="35">
        <f t="shared" si="227"/>
        <v>0</v>
      </c>
      <c r="Y317" s="35">
        <f>IF(AND(D317/Frequency!$N$7&gt;30, D317/Frequency!$N$7&lt;=50),1,0)*E317</f>
        <v>0</v>
      </c>
      <c r="Z317" s="35">
        <f t="shared" si="228"/>
        <v>0</v>
      </c>
      <c r="AA317" s="35">
        <f>IF(AND(D317/Frequency!$N$7&gt;50, D317/Frequency!$N$7&lt;=100),1,0)*E317</f>
        <v>0</v>
      </c>
      <c r="AB317" s="35">
        <f t="shared" si="229"/>
        <v>0</v>
      </c>
      <c r="AC317" s="35">
        <f>IF(D317/Frequency!$N$7&gt;100,1,0)*E317</f>
        <v>0</v>
      </c>
      <c r="AD317" s="35">
        <f t="shared" si="230"/>
        <v>0</v>
      </c>
      <c r="AE317" s="22">
        <f t="shared" si="231"/>
        <v>0</v>
      </c>
      <c r="AF317" s="22">
        <f t="shared" si="232"/>
        <v>10</v>
      </c>
      <c r="AG317" s="22">
        <f t="shared" si="233"/>
        <v>141</v>
      </c>
      <c r="AH317" s="22">
        <f t="shared" si="234"/>
        <v>0</v>
      </c>
      <c r="AI317" s="35">
        <f t="shared" si="235"/>
        <v>1</v>
      </c>
      <c r="AJ317" s="35">
        <f t="shared" si="236"/>
        <v>10</v>
      </c>
      <c r="AK317" s="35">
        <f t="shared" si="237"/>
        <v>141</v>
      </c>
      <c r="AL317">
        <f t="shared" si="238"/>
        <v>1</v>
      </c>
      <c r="AM317">
        <f t="shared" si="239"/>
        <v>10</v>
      </c>
      <c r="AN317">
        <f t="shared" si="240"/>
        <v>141</v>
      </c>
      <c r="AO317">
        <f t="shared" si="241"/>
        <v>1</v>
      </c>
      <c r="AP317">
        <f t="shared" si="242"/>
        <v>10</v>
      </c>
      <c r="AQ317">
        <f t="shared" si="243"/>
        <v>141</v>
      </c>
      <c r="AR317">
        <f t="shared" si="244"/>
        <v>0</v>
      </c>
      <c r="AS317">
        <f t="shared" si="245"/>
        <v>0</v>
      </c>
      <c r="AT317">
        <f t="shared" si="246"/>
        <v>0</v>
      </c>
      <c r="AU317">
        <f t="shared" si="247"/>
        <v>0</v>
      </c>
      <c r="AV317">
        <v>0</v>
      </c>
      <c r="AW317">
        <v>0</v>
      </c>
      <c r="AX317">
        <f t="shared" si="248"/>
        <v>0</v>
      </c>
      <c r="AY317">
        <f t="shared" si="249"/>
        <v>0</v>
      </c>
      <c r="AZ317">
        <f t="shared" si="250"/>
        <v>0</v>
      </c>
      <c r="BA317">
        <f t="shared" si="251"/>
        <v>1</v>
      </c>
      <c r="BB317">
        <f t="shared" si="252"/>
        <v>10</v>
      </c>
      <c r="BC317">
        <f t="shared" si="253"/>
        <v>141</v>
      </c>
      <c r="BD317">
        <f t="shared" si="254"/>
        <v>0</v>
      </c>
      <c r="BE317">
        <f t="shared" si="255"/>
        <v>0</v>
      </c>
      <c r="BF317">
        <f t="shared" si="256"/>
        <v>0</v>
      </c>
      <c r="BG317">
        <f t="shared" si="257"/>
        <v>0</v>
      </c>
      <c r="BH317">
        <f t="shared" si="258"/>
        <v>0</v>
      </c>
      <c r="BI317">
        <f t="shared" si="259"/>
        <v>0</v>
      </c>
      <c r="BJ317">
        <v>0</v>
      </c>
      <c r="BK317" t="str">
        <f t="shared" si="273"/>
        <v>Big Win</v>
      </c>
      <c r="BL317" s="40" t="str">
        <f t="shared" si="274"/>
        <v>Bonus Game B</v>
      </c>
      <c r="BM317">
        <f>(D317/Frequency!$N$7-Summary!$C$7)^2*E317</f>
        <v>1758.2759999999998</v>
      </c>
      <c r="BN317">
        <f t="shared" si="260"/>
        <v>0</v>
      </c>
      <c r="BO317">
        <f t="shared" si="261"/>
        <v>0</v>
      </c>
      <c r="BP317">
        <f t="shared" si="262"/>
        <v>0</v>
      </c>
      <c r="BQ317">
        <f t="shared" si="263"/>
        <v>0</v>
      </c>
      <c r="BR317">
        <f t="shared" si="264"/>
        <v>0</v>
      </c>
      <c r="BS317">
        <f t="shared" si="265"/>
        <v>0</v>
      </c>
      <c r="BT317">
        <f t="shared" si="266"/>
        <v>0</v>
      </c>
      <c r="BU317">
        <f t="shared" si="267"/>
        <v>0</v>
      </c>
      <c r="BV317">
        <f t="shared" si="268"/>
        <v>0</v>
      </c>
      <c r="BW317">
        <f t="shared" si="269"/>
        <v>10</v>
      </c>
      <c r="BX317">
        <f t="shared" si="270"/>
        <v>141</v>
      </c>
    </row>
    <row r="318" spans="2:76">
      <c r="B318" s="19">
        <f>Tiers!B319</f>
        <v>316</v>
      </c>
      <c r="C318" s="20" t="str">
        <f>Tiers!X319</f>
        <v>main-3|main-1|wild-15|bonusB-5||||||</v>
      </c>
      <c r="D318" s="21">
        <f>Tiers!C319</f>
        <v>19.2</v>
      </c>
      <c r="E318" s="22">
        <f>Frequency!E320</f>
        <v>10</v>
      </c>
      <c r="F318" s="22">
        <f t="shared" si="220"/>
        <v>192</v>
      </c>
      <c r="G318" s="20">
        <f>IF(AND(D318/Summary!$C$4&gt;0, D318/Summary!$C$4&lt;5),E318,0) * D318</f>
        <v>0</v>
      </c>
      <c r="H318" s="20">
        <f>IF(AND(D318/Summary!$C$4&gt;= 5, D318/Summary!$C$4&lt;10),E318,0) * D318</f>
        <v>0</v>
      </c>
      <c r="I318" s="20">
        <f>IF(AND(D318/Summary!$C$4&gt;=10, D318/Summary!$C$4&lt;25),E318,0)*D318</f>
        <v>192</v>
      </c>
      <c r="J318" s="20">
        <f>IF(D318/Summary!$C$4&gt;=25,E318,0)*D318</f>
        <v>0</v>
      </c>
      <c r="K318" s="35">
        <f>IF(AND(D318/Frequency!$N$7&gt;0, D318/Frequency!$N$7&lt;1),E318,0)</f>
        <v>0</v>
      </c>
      <c r="L318" s="35">
        <f t="shared" si="221"/>
        <v>0</v>
      </c>
      <c r="M318" s="35">
        <f>IF(D318/Frequency!$N$7=1,1,0)*E318</f>
        <v>0</v>
      </c>
      <c r="N318" s="35">
        <f t="shared" si="222"/>
        <v>0</v>
      </c>
      <c r="O318" s="35">
        <f>IF(AND(D318/Frequency!$N$7&gt;1, D318/Frequency!$N$7&lt;=2),1,0)*E318</f>
        <v>0</v>
      </c>
      <c r="P318" s="35">
        <f t="shared" si="223"/>
        <v>0</v>
      </c>
      <c r="Q318" s="35">
        <f>IF(AND(D318/Frequency!$N$7&gt;2,D318/Frequency!$N$7&lt;=5),1,0)*E318</f>
        <v>0</v>
      </c>
      <c r="R318" s="35">
        <f t="shared" si="224"/>
        <v>0</v>
      </c>
      <c r="S318" s="35">
        <f>IF(AND(D318/Frequency!$N$7&gt;5, D318/Frequency!$N$7&lt;=10),1,0)*E318</f>
        <v>0</v>
      </c>
      <c r="T318" s="35">
        <f t="shared" si="225"/>
        <v>0</v>
      </c>
      <c r="U318" s="35">
        <f>IF(AND(D318/Frequency!$N$7&gt;10, D318/Frequency!$N$7&lt;=20),1,0)*E318</f>
        <v>10</v>
      </c>
      <c r="V318" s="35">
        <f t="shared" si="226"/>
        <v>192</v>
      </c>
      <c r="W318" s="35">
        <f>IF(AND(D318/Frequency!$N$7&gt;20, D318/Frequency!$N$7&lt;=30),1,0)*E318</f>
        <v>0</v>
      </c>
      <c r="X318" s="35">
        <f t="shared" si="227"/>
        <v>0</v>
      </c>
      <c r="Y318" s="35">
        <f>IF(AND(D318/Frequency!$N$7&gt;30, D318/Frequency!$N$7&lt;=50),1,0)*E318</f>
        <v>0</v>
      </c>
      <c r="Z318" s="35">
        <f t="shared" si="228"/>
        <v>0</v>
      </c>
      <c r="AA318" s="35">
        <f>IF(AND(D318/Frequency!$N$7&gt;50, D318/Frequency!$N$7&lt;=100),1,0)*E318</f>
        <v>0</v>
      </c>
      <c r="AB318" s="35">
        <f t="shared" si="229"/>
        <v>0</v>
      </c>
      <c r="AC318" s="35">
        <f>IF(D318/Frequency!$N$7&gt;100,1,0)*E318</f>
        <v>0</v>
      </c>
      <c r="AD318" s="35">
        <f t="shared" si="230"/>
        <v>0</v>
      </c>
      <c r="AE318" s="22">
        <f t="shared" si="231"/>
        <v>0</v>
      </c>
      <c r="AF318" s="22">
        <f t="shared" si="232"/>
        <v>10</v>
      </c>
      <c r="AG318" s="22">
        <f t="shared" si="233"/>
        <v>192</v>
      </c>
      <c r="AH318" s="22">
        <f t="shared" si="234"/>
        <v>0</v>
      </c>
      <c r="AI318" s="35">
        <f t="shared" si="235"/>
        <v>1</v>
      </c>
      <c r="AJ318" s="35">
        <f t="shared" si="236"/>
        <v>10</v>
      </c>
      <c r="AK318" s="35">
        <f t="shared" si="237"/>
        <v>192</v>
      </c>
      <c r="AL318">
        <f t="shared" si="238"/>
        <v>1</v>
      </c>
      <c r="AM318">
        <f t="shared" si="239"/>
        <v>10</v>
      </c>
      <c r="AN318">
        <f t="shared" si="240"/>
        <v>192</v>
      </c>
      <c r="AO318">
        <f t="shared" si="241"/>
        <v>1</v>
      </c>
      <c r="AP318">
        <f t="shared" si="242"/>
        <v>10</v>
      </c>
      <c r="AQ318">
        <f t="shared" si="243"/>
        <v>192</v>
      </c>
      <c r="AR318">
        <f t="shared" si="244"/>
        <v>0</v>
      </c>
      <c r="AS318">
        <f t="shared" si="245"/>
        <v>0</v>
      </c>
      <c r="AT318">
        <f t="shared" si="246"/>
        <v>0</v>
      </c>
      <c r="AU318">
        <f t="shared" si="247"/>
        <v>0</v>
      </c>
      <c r="AV318">
        <v>0</v>
      </c>
      <c r="AW318">
        <v>0</v>
      </c>
      <c r="AX318">
        <f t="shared" si="248"/>
        <v>0</v>
      </c>
      <c r="AY318">
        <f t="shared" si="249"/>
        <v>0</v>
      </c>
      <c r="AZ318">
        <f t="shared" si="250"/>
        <v>0</v>
      </c>
      <c r="BA318">
        <f t="shared" si="251"/>
        <v>1</v>
      </c>
      <c r="BB318">
        <f t="shared" si="252"/>
        <v>10</v>
      </c>
      <c r="BC318">
        <f t="shared" si="253"/>
        <v>192</v>
      </c>
      <c r="BD318">
        <f t="shared" si="254"/>
        <v>0</v>
      </c>
      <c r="BE318">
        <f t="shared" si="255"/>
        <v>0</v>
      </c>
      <c r="BF318">
        <f t="shared" si="256"/>
        <v>0</v>
      </c>
      <c r="BG318">
        <f t="shared" si="257"/>
        <v>0</v>
      </c>
      <c r="BH318">
        <f t="shared" si="258"/>
        <v>0</v>
      </c>
      <c r="BI318">
        <f t="shared" si="259"/>
        <v>0</v>
      </c>
      <c r="BJ318">
        <v>0</v>
      </c>
      <c r="BK318" t="str">
        <f t="shared" si="273"/>
        <v>Big Win</v>
      </c>
      <c r="BL318" s="40" t="str">
        <f t="shared" si="274"/>
        <v>Bonus Game B</v>
      </c>
      <c r="BM318">
        <f>(D318/Frequency!$N$7-Summary!$C$7)^2*E318</f>
        <v>3370.8959999999997</v>
      </c>
      <c r="BN318">
        <f t="shared" si="260"/>
        <v>0</v>
      </c>
      <c r="BO318">
        <f t="shared" si="261"/>
        <v>0</v>
      </c>
      <c r="BP318">
        <f t="shared" si="262"/>
        <v>0</v>
      </c>
      <c r="BQ318">
        <f t="shared" si="263"/>
        <v>0</v>
      </c>
      <c r="BR318">
        <f t="shared" si="264"/>
        <v>0</v>
      </c>
      <c r="BS318">
        <f t="shared" si="265"/>
        <v>0</v>
      </c>
      <c r="BT318">
        <f t="shared" si="266"/>
        <v>0</v>
      </c>
      <c r="BU318">
        <f t="shared" si="267"/>
        <v>0</v>
      </c>
      <c r="BV318">
        <f t="shared" si="268"/>
        <v>0</v>
      </c>
      <c r="BW318">
        <f t="shared" si="269"/>
        <v>10</v>
      </c>
      <c r="BX318">
        <f t="shared" si="270"/>
        <v>192</v>
      </c>
    </row>
    <row r="319" spans="2:76">
      <c r="B319" s="19">
        <f>Tiers!B320</f>
        <v>317</v>
      </c>
      <c r="C319" s="20" t="str">
        <f>Tiers!X320</f>
        <v>main-1|main-5|wild-16|bonusB-6||||||</v>
      </c>
      <c r="D319" s="21">
        <f>Tiers!C320</f>
        <v>30.2</v>
      </c>
      <c r="E319" s="22">
        <f>Frequency!E321</f>
        <v>9</v>
      </c>
      <c r="F319" s="22">
        <f t="shared" si="220"/>
        <v>271.8</v>
      </c>
      <c r="G319" s="20">
        <f>IF(AND(D319/Summary!$C$4&gt;0, D319/Summary!$C$4&lt;5),E319,0) * D319</f>
        <v>0</v>
      </c>
      <c r="H319" s="20">
        <f>IF(AND(D319/Summary!$C$4&gt;= 5, D319/Summary!$C$4&lt;10),E319,0) * D319</f>
        <v>0</v>
      </c>
      <c r="I319" s="20">
        <f>IF(AND(D319/Summary!$C$4&gt;=10, D319/Summary!$C$4&lt;25),E319,0)*D319</f>
        <v>0</v>
      </c>
      <c r="J319" s="20">
        <f>IF(D319/Summary!$C$4&gt;=25,E319,0)*D319</f>
        <v>271.8</v>
      </c>
      <c r="K319" s="35">
        <f>IF(AND(D319/Frequency!$N$7&gt;0, D319/Frequency!$N$7&lt;1),E319,0)</f>
        <v>0</v>
      </c>
      <c r="L319" s="35">
        <f t="shared" si="221"/>
        <v>0</v>
      </c>
      <c r="M319" s="35">
        <f>IF(D319/Frequency!$N$7=1,1,0)*E319</f>
        <v>0</v>
      </c>
      <c r="N319" s="35">
        <f t="shared" si="222"/>
        <v>0</v>
      </c>
      <c r="O319" s="35">
        <f>IF(AND(D319/Frequency!$N$7&gt;1, D319/Frequency!$N$7&lt;=2),1,0)*E319</f>
        <v>0</v>
      </c>
      <c r="P319" s="35">
        <f t="shared" si="223"/>
        <v>0</v>
      </c>
      <c r="Q319" s="35">
        <f>IF(AND(D319/Frequency!$N$7&gt;2,D319/Frequency!$N$7&lt;=5),1,0)*E319</f>
        <v>0</v>
      </c>
      <c r="R319" s="35">
        <f t="shared" si="224"/>
        <v>0</v>
      </c>
      <c r="S319" s="35">
        <f>IF(AND(D319/Frequency!$N$7&gt;5, D319/Frequency!$N$7&lt;=10),1,0)*E319</f>
        <v>0</v>
      </c>
      <c r="T319" s="35">
        <f t="shared" si="225"/>
        <v>0</v>
      </c>
      <c r="U319" s="35">
        <f>IF(AND(D319/Frequency!$N$7&gt;10, D319/Frequency!$N$7&lt;=20),1,0)*E319</f>
        <v>0</v>
      </c>
      <c r="V319" s="35">
        <f t="shared" si="226"/>
        <v>0</v>
      </c>
      <c r="W319" s="35">
        <f>IF(AND(D319/Frequency!$N$7&gt;20, D319/Frequency!$N$7&lt;=30),1,0)*E319</f>
        <v>0</v>
      </c>
      <c r="X319" s="35">
        <f t="shared" si="227"/>
        <v>0</v>
      </c>
      <c r="Y319" s="35">
        <f>IF(AND(D319/Frequency!$N$7&gt;30, D319/Frequency!$N$7&lt;=50),1,0)*E319</f>
        <v>9</v>
      </c>
      <c r="Z319" s="35">
        <f t="shared" si="228"/>
        <v>271.8</v>
      </c>
      <c r="AA319" s="35">
        <f>IF(AND(D319/Frequency!$N$7&gt;50, D319/Frequency!$N$7&lt;=100),1,0)*E319</f>
        <v>0</v>
      </c>
      <c r="AB319" s="35">
        <f t="shared" si="229"/>
        <v>0</v>
      </c>
      <c r="AC319" s="35">
        <f>IF(D319/Frequency!$N$7&gt;100,1,0)*E319</f>
        <v>0</v>
      </c>
      <c r="AD319" s="35">
        <f t="shared" si="230"/>
        <v>0</v>
      </c>
      <c r="AE319" s="22">
        <f t="shared" si="231"/>
        <v>0</v>
      </c>
      <c r="AF319" s="22">
        <f t="shared" si="232"/>
        <v>9</v>
      </c>
      <c r="AG319" s="22">
        <f t="shared" si="233"/>
        <v>271.8</v>
      </c>
      <c r="AH319" s="22">
        <f t="shared" si="234"/>
        <v>0</v>
      </c>
      <c r="AI319" s="35">
        <f t="shared" si="235"/>
        <v>1</v>
      </c>
      <c r="AJ319" s="35">
        <f t="shared" si="236"/>
        <v>9</v>
      </c>
      <c r="AK319" s="35">
        <f t="shared" si="237"/>
        <v>271.8</v>
      </c>
      <c r="AL319">
        <f t="shared" si="238"/>
        <v>1</v>
      </c>
      <c r="AM319">
        <f t="shared" si="239"/>
        <v>9</v>
      </c>
      <c r="AN319">
        <f t="shared" si="240"/>
        <v>271.8</v>
      </c>
      <c r="AO319">
        <f t="shared" si="241"/>
        <v>1</v>
      </c>
      <c r="AP319">
        <f t="shared" si="242"/>
        <v>9</v>
      </c>
      <c r="AQ319">
        <f t="shared" si="243"/>
        <v>271.8</v>
      </c>
      <c r="AR319">
        <f t="shared" si="244"/>
        <v>0</v>
      </c>
      <c r="AS319">
        <f t="shared" si="245"/>
        <v>0</v>
      </c>
      <c r="AT319">
        <f t="shared" si="246"/>
        <v>0</v>
      </c>
      <c r="AU319">
        <f t="shared" si="247"/>
        <v>0</v>
      </c>
      <c r="AV319">
        <v>0</v>
      </c>
      <c r="AW319">
        <v>0</v>
      </c>
      <c r="AX319">
        <f t="shared" si="248"/>
        <v>0</v>
      </c>
      <c r="AY319">
        <f t="shared" si="249"/>
        <v>0</v>
      </c>
      <c r="AZ319">
        <f t="shared" si="250"/>
        <v>0</v>
      </c>
      <c r="BA319">
        <f t="shared" si="251"/>
        <v>1</v>
      </c>
      <c r="BB319">
        <f t="shared" si="252"/>
        <v>9</v>
      </c>
      <c r="BC319">
        <f t="shared" si="253"/>
        <v>271.8</v>
      </c>
      <c r="BD319">
        <f t="shared" si="254"/>
        <v>0</v>
      </c>
      <c r="BE319">
        <f t="shared" si="255"/>
        <v>0</v>
      </c>
      <c r="BF319">
        <f t="shared" si="256"/>
        <v>0</v>
      </c>
      <c r="BG319">
        <f t="shared" si="257"/>
        <v>0</v>
      </c>
      <c r="BH319">
        <f t="shared" si="258"/>
        <v>0</v>
      </c>
      <c r="BI319">
        <f t="shared" si="259"/>
        <v>0</v>
      </c>
      <c r="BJ319">
        <v>0</v>
      </c>
      <c r="BK319" t="str">
        <f t="shared" si="273"/>
        <v>Big Win</v>
      </c>
      <c r="BL319" s="40" t="str">
        <f t="shared" si="274"/>
        <v>Bonus Game B</v>
      </c>
      <c r="BM319">
        <f>(D319/Frequency!$N$7-Summary!$C$7)^2*E319</f>
        <v>7758.0864000000001</v>
      </c>
      <c r="BN319">
        <f t="shared" si="260"/>
        <v>0</v>
      </c>
      <c r="BO319">
        <f t="shared" si="261"/>
        <v>0</v>
      </c>
      <c r="BP319">
        <f t="shared" si="262"/>
        <v>0</v>
      </c>
      <c r="BQ319">
        <f t="shared" si="263"/>
        <v>0</v>
      </c>
      <c r="BR319">
        <f t="shared" si="264"/>
        <v>0</v>
      </c>
      <c r="BS319">
        <f t="shared" si="265"/>
        <v>0</v>
      </c>
      <c r="BT319">
        <f t="shared" si="266"/>
        <v>0</v>
      </c>
      <c r="BU319">
        <f t="shared" si="267"/>
        <v>0</v>
      </c>
      <c r="BV319">
        <f t="shared" si="268"/>
        <v>0</v>
      </c>
      <c r="BW319">
        <f t="shared" si="269"/>
        <v>9</v>
      </c>
      <c r="BX319">
        <f t="shared" si="270"/>
        <v>271.8</v>
      </c>
    </row>
    <row r="320" spans="2:76">
      <c r="B320" s="19">
        <f>Tiers!B321</f>
        <v>318</v>
      </c>
      <c r="C320" s="20" t="str">
        <f>Tiers!X321</f>
        <v>main-4|main-19|wild-17|bonusB-4||||||</v>
      </c>
      <c r="D320" s="21">
        <f>Tiers!C321</f>
        <v>29</v>
      </c>
      <c r="E320" s="22">
        <f>Frequency!E322</f>
        <v>13</v>
      </c>
      <c r="F320" s="22">
        <f t="shared" si="220"/>
        <v>377</v>
      </c>
      <c r="G320" s="20">
        <f>IF(AND(D320/Summary!$C$4&gt;0, D320/Summary!$C$4&lt;5),E320,0) * D320</f>
        <v>0</v>
      </c>
      <c r="H320" s="20">
        <f>IF(AND(D320/Summary!$C$4&gt;= 5, D320/Summary!$C$4&lt;10),E320,0) * D320</f>
        <v>0</v>
      </c>
      <c r="I320" s="20">
        <f>IF(AND(D320/Summary!$C$4&gt;=10, D320/Summary!$C$4&lt;25),E320,0)*D320</f>
        <v>0</v>
      </c>
      <c r="J320" s="20">
        <f>IF(D320/Summary!$C$4&gt;=25,E320,0)*D320</f>
        <v>377</v>
      </c>
      <c r="K320" s="35">
        <f>IF(AND(D320/Frequency!$N$7&gt;0, D320/Frequency!$N$7&lt;1),E320,0)</f>
        <v>0</v>
      </c>
      <c r="L320" s="35">
        <f t="shared" si="221"/>
        <v>0</v>
      </c>
      <c r="M320" s="35">
        <f>IF(D320/Frequency!$N$7=1,1,0)*E320</f>
        <v>0</v>
      </c>
      <c r="N320" s="35">
        <f t="shared" si="222"/>
        <v>0</v>
      </c>
      <c r="O320" s="35">
        <f>IF(AND(D320/Frequency!$N$7&gt;1, D320/Frequency!$N$7&lt;=2),1,0)*E320</f>
        <v>0</v>
      </c>
      <c r="P320" s="35">
        <f t="shared" si="223"/>
        <v>0</v>
      </c>
      <c r="Q320" s="35">
        <f>IF(AND(D320/Frequency!$N$7&gt;2,D320/Frequency!$N$7&lt;=5),1,0)*E320</f>
        <v>0</v>
      </c>
      <c r="R320" s="35">
        <f t="shared" si="224"/>
        <v>0</v>
      </c>
      <c r="S320" s="35">
        <f>IF(AND(D320/Frequency!$N$7&gt;5, D320/Frequency!$N$7&lt;=10),1,0)*E320</f>
        <v>0</v>
      </c>
      <c r="T320" s="35">
        <f t="shared" si="225"/>
        <v>0</v>
      </c>
      <c r="U320" s="35">
        <f>IF(AND(D320/Frequency!$N$7&gt;10, D320/Frequency!$N$7&lt;=20),1,0)*E320</f>
        <v>0</v>
      </c>
      <c r="V320" s="35">
        <f t="shared" si="226"/>
        <v>0</v>
      </c>
      <c r="W320" s="35">
        <f>IF(AND(D320/Frequency!$N$7&gt;20, D320/Frequency!$N$7&lt;=30),1,0)*E320</f>
        <v>13</v>
      </c>
      <c r="X320" s="35">
        <f t="shared" si="227"/>
        <v>377</v>
      </c>
      <c r="Y320" s="35">
        <f>IF(AND(D320/Frequency!$N$7&gt;30, D320/Frequency!$N$7&lt;=50),1,0)*E320</f>
        <v>0</v>
      </c>
      <c r="Z320" s="35">
        <f t="shared" si="228"/>
        <v>0</v>
      </c>
      <c r="AA320" s="35">
        <f>IF(AND(D320/Frequency!$N$7&gt;50, D320/Frequency!$N$7&lt;=100),1,0)*E320</f>
        <v>0</v>
      </c>
      <c r="AB320" s="35">
        <f t="shared" si="229"/>
        <v>0</v>
      </c>
      <c r="AC320" s="35">
        <f>IF(D320/Frequency!$N$7&gt;100,1,0)*E320</f>
        <v>0</v>
      </c>
      <c r="AD320" s="35">
        <f t="shared" si="230"/>
        <v>0</v>
      </c>
      <c r="AE320" s="22">
        <f t="shared" si="231"/>
        <v>0</v>
      </c>
      <c r="AF320" s="22">
        <f t="shared" si="232"/>
        <v>13</v>
      </c>
      <c r="AG320" s="22">
        <f t="shared" si="233"/>
        <v>377</v>
      </c>
      <c r="AH320" s="22">
        <f t="shared" si="234"/>
        <v>0</v>
      </c>
      <c r="AI320" s="35">
        <f t="shared" si="235"/>
        <v>1</v>
      </c>
      <c r="AJ320" s="35">
        <f t="shared" si="236"/>
        <v>13</v>
      </c>
      <c r="AK320" s="35">
        <f t="shared" si="237"/>
        <v>377</v>
      </c>
      <c r="AL320">
        <f t="shared" si="238"/>
        <v>1</v>
      </c>
      <c r="AM320">
        <f t="shared" si="239"/>
        <v>13</v>
      </c>
      <c r="AN320">
        <f t="shared" si="240"/>
        <v>377</v>
      </c>
      <c r="AO320">
        <f t="shared" si="241"/>
        <v>1</v>
      </c>
      <c r="AP320">
        <f t="shared" si="242"/>
        <v>13</v>
      </c>
      <c r="AQ320">
        <f t="shared" si="243"/>
        <v>377</v>
      </c>
      <c r="AR320">
        <f t="shared" si="244"/>
        <v>0</v>
      </c>
      <c r="AS320">
        <f t="shared" si="245"/>
        <v>0</v>
      </c>
      <c r="AT320">
        <f t="shared" si="246"/>
        <v>0</v>
      </c>
      <c r="AU320">
        <f t="shared" si="247"/>
        <v>0</v>
      </c>
      <c r="AV320">
        <v>0</v>
      </c>
      <c r="AW320">
        <v>0</v>
      </c>
      <c r="AX320">
        <f t="shared" si="248"/>
        <v>0</v>
      </c>
      <c r="AY320">
        <f t="shared" si="249"/>
        <v>0</v>
      </c>
      <c r="AZ320">
        <f t="shared" si="250"/>
        <v>0</v>
      </c>
      <c r="BA320">
        <f t="shared" si="251"/>
        <v>1</v>
      </c>
      <c r="BB320">
        <f t="shared" si="252"/>
        <v>13</v>
      </c>
      <c r="BC320">
        <f t="shared" si="253"/>
        <v>377</v>
      </c>
      <c r="BD320">
        <f t="shared" si="254"/>
        <v>0</v>
      </c>
      <c r="BE320">
        <f t="shared" si="255"/>
        <v>0</v>
      </c>
      <c r="BF320">
        <f t="shared" si="256"/>
        <v>0</v>
      </c>
      <c r="BG320">
        <f t="shared" si="257"/>
        <v>0</v>
      </c>
      <c r="BH320">
        <f t="shared" si="258"/>
        <v>0</v>
      </c>
      <c r="BI320">
        <f t="shared" si="259"/>
        <v>0</v>
      </c>
      <c r="BJ320">
        <v>0</v>
      </c>
      <c r="BK320" t="str">
        <f t="shared" si="273"/>
        <v>Big Win</v>
      </c>
      <c r="BL320" s="40" t="str">
        <f t="shared" si="274"/>
        <v>Bonus Game B</v>
      </c>
      <c r="BM320">
        <f>(D320/Frequency!$N$7-Summary!$C$7)^2*E320</f>
        <v>10308.8128</v>
      </c>
      <c r="BN320">
        <f t="shared" si="260"/>
        <v>0</v>
      </c>
      <c r="BO320">
        <f t="shared" si="261"/>
        <v>0</v>
      </c>
      <c r="BP320">
        <f t="shared" si="262"/>
        <v>0</v>
      </c>
      <c r="BQ320">
        <f t="shared" si="263"/>
        <v>0</v>
      </c>
      <c r="BR320">
        <f t="shared" si="264"/>
        <v>0</v>
      </c>
      <c r="BS320">
        <f t="shared" si="265"/>
        <v>0</v>
      </c>
      <c r="BT320">
        <f t="shared" si="266"/>
        <v>0</v>
      </c>
      <c r="BU320">
        <f t="shared" si="267"/>
        <v>0</v>
      </c>
      <c r="BV320">
        <f t="shared" si="268"/>
        <v>0</v>
      </c>
      <c r="BW320">
        <f t="shared" si="269"/>
        <v>13</v>
      </c>
      <c r="BX320">
        <f t="shared" si="270"/>
        <v>377</v>
      </c>
    </row>
    <row r="321" spans="2:76">
      <c r="B321" s="19">
        <f>Tiers!B322</f>
        <v>319</v>
      </c>
      <c r="C321" s="20" t="str">
        <f>Tiers!X322</f>
        <v>main-3|main-20|main-4|bonusB-4||||||</v>
      </c>
      <c r="D321" s="21">
        <f>Tiers!C322</f>
        <v>25</v>
      </c>
      <c r="E321" s="22">
        <f>Frequency!E323</f>
        <v>9</v>
      </c>
      <c r="F321" s="22">
        <f t="shared" si="220"/>
        <v>225</v>
      </c>
      <c r="G321" s="20">
        <f>IF(AND(D321/Summary!$C$4&gt;0, D321/Summary!$C$4&lt;5),E321,0) * D321</f>
        <v>0</v>
      </c>
      <c r="H321" s="20">
        <f>IF(AND(D321/Summary!$C$4&gt;= 5, D321/Summary!$C$4&lt;10),E321,0) * D321</f>
        <v>0</v>
      </c>
      <c r="I321" s="20">
        <f>IF(AND(D321/Summary!$C$4&gt;=10, D321/Summary!$C$4&lt;25),E321,0)*D321</f>
        <v>0</v>
      </c>
      <c r="J321" s="20">
        <f>IF(D321/Summary!$C$4&gt;=25,E321,0)*D321</f>
        <v>225</v>
      </c>
      <c r="K321" s="35">
        <f>IF(AND(D321/Frequency!$N$7&gt;0, D321/Frequency!$N$7&lt;1),E321,0)</f>
        <v>0</v>
      </c>
      <c r="L321" s="35">
        <f t="shared" si="221"/>
        <v>0</v>
      </c>
      <c r="M321" s="35">
        <f>IF(D321/Frequency!$N$7=1,1,0)*E321</f>
        <v>0</v>
      </c>
      <c r="N321" s="35">
        <f t="shared" si="222"/>
        <v>0</v>
      </c>
      <c r="O321" s="35">
        <f>IF(AND(D321/Frequency!$N$7&gt;1, D321/Frequency!$N$7&lt;=2),1,0)*E321</f>
        <v>0</v>
      </c>
      <c r="P321" s="35">
        <f t="shared" si="223"/>
        <v>0</v>
      </c>
      <c r="Q321" s="35">
        <f>IF(AND(D321/Frequency!$N$7&gt;2,D321/Frequency!$N$7&lt;=5),1,0)*E321</f>
        <v>0</v>
      </c>
      <c r="R321" s="35">
        <f t="shared" si="224"/>
        <v>0</v>
      </c>
      <c r="S321" s="35">
        <f>IF(AND(D321/Frequency!$N$7&gt;5, D321/Frequency!$N$7&lt;=10),1,0)*E321</f>
        <v>0</v>
      </c>
      <c r="T321" s="35">
        <f t="shared" si="225"/>
        <v>0</v>
      </c>
      <c r="U321" s="35">
        <f>IF(AND(D321/Frequency!$N$7&gt;10, D321/Frequency!$N$7&lt;=20),1,0)*E321</f>
        <v>0</v>
      </c>
      <c r="V321" s="35">
        <f t="shared" si="226"/>
        <v>0</v>
      </c>
      <c r="W321" s="35">
        <f>IF(AND(D321/Frequency!$N$7&gt;20, D321/Frequency!$N$7&lt;=30),1,0)*E321</f>
        <v>9</v>
      </c>
      <c r="X321" s="35">
        <f t="shared" si="227"/>
        <v>225</v>
      </c>
      <c r="Y321" s="35">
        <f>IF(AND(D321/Frequency!$N$7&gt;30, D321/Frequency!$N$7&lt;=50),1,0)*E321</f>
        <v>0</v>
      </c>
      <c r="Z321" s="35">
        <f t="shared" si="228"/>
        <v>0</v>
      </c>
      <c r="AA321" s="35">
        <f>IF(AND(D321/Frequency!$N$7&gt;50, D321/Frequency!$N$7&lt;=100),1,0)*E321</f>
        <v>0</v>
      </c>
      <c r="AB321" s="35">
        <f t="shared" si="229"/>
        <v>0</v>
      </c>
      <c r="AC321" s="35">
        <f>IF(D321/Frequency!$N$7&gt;100,1,0)*E321</f>
        <v>0</v>
      </c>
      <c r="AD321" s="35">
        <f t="shared" si="230"/>
        <v>0</v>
      </c>
      <c r="AE321" s="22">
        <f t="shared" si="231"/>
        <v>0</v>
      </c>
      <c r="AF321" s="22">
        <f t="shared" si="232"/>
        <v>9</v>
      </c>
      <c r="AG321" s="22">
        <f t="shared" si="233"/>
        <v>225</v>
      </c>
      <c r="AH321" s="22">
        <f t="shared" si="234"/>
        <v>0</v>
      </c>
      <c r="AI321" s="35">
        <f t="shared" si="235"/>
        <v>1</v>
      </c>
      <c r="AJ321" s="35">
        <f t="shared" si="236"/>
        <v>9</v>
      </c>
      <c r="AK321" s="35">
        <f t="shared" si="237"/>
        <v>225</v>
      </c>
      <c r="AL321">
        <f t="shared" si="238"/>
        <v>0</v>
      </c>
      <c r="AM321">
        <f t="shared" si="239"/>
        <v>0</v>
      </c>
      <c r="AN321">
        <f t="shared" si="240"/>
        <v>0</v>
      </c>
      <c r="AO321">
        <f t="shared" si="241"/>
        <v>0</v>
      </c>
      <c r="AP321">
        <f t="shared" si="242"/>
        <v>0</v>
      </c>
      <c r="AQ321">
        <f t="shared" si="243"/>
        <v>0</v>
      </c>
      <c r="AR321">
        <f t="shared" si="244"/>
        <v>0</v>
      </c>
      <c r="AS321">
        <f t="shared" si="245"/>
        <v>0</v>
      </c>
      <c r="AT321">
        <f t="shared" si="246"/>
        <v>0</v>
      </c>
      <c r="AU321">
        <f t="shared" si="247"/>
        <v>0</v>
      </c>
      <c r="AV321">
        <v>0</v>
      </c>
      <c r="AW321">
        <v>0</v>
      </c>
      <c r="AX321">
        <f t="shared" si="248"/>
        <v>0</v>
      </c>
      <c r="AY321">
        <f t="shared" si="249"/>
        <v>0</v>
      </c>
      <c r="AZ321">
        <f t="shared" si="250"/>
        <v>0</v>
      </c>
      <c r="BA321">
        <f t="shared" si="251"/>
        <v>1</v>
      </c>
      <c r="BB321">
        <f t="shared" si="252"/>
        <v>9</v>
      </c>
      <c r="BC321">
        <f t="shared" si="253"/>
        <v>225</v>
      </c>
      <c r="BD321">
        <f t="shared" si="254"/>
        <v>0</v>
      </c>
      <c r="BE321">
        <f t="shared" si="255"/>
        <v>0</v>
      </c>
      <c r="BF321">
        <f t="shared" si="256"/>
        <v>0</v>
      </c>
      <c r="BG321">
        <f t="shared" si="257"/>
        <v>0</v>
      </c>
      <c r="BH321">
        <f t="shared" si="258"/>
        <v>0</v>
      </c>
      <c r="BI321">
        <f t="shared" si="259"/>
        <v>0</v>
      </c>
      <c r="BJ321">
        <v>0</v>
      </c>
      <c r="BK321" t="str">
        <f t="shared" si="273"/>
        <v>Big Win</v>
      </c>
      <c r="BL321" s="40" t="str">
        <f t="shared" si="274"/>
        <v>Bonus Game B</v>
      </c>
      <c r="BM321">
        <f>(D321/Frequency!$N$7-Summary!$C$7)^2*E321</f>
        <v>5253.3504000000003</v>
      </c>
      <c r="BN321">
        <f t="shared" si="260"/>
        <v>0</v>
      </c>
      <c r="BO321">
        <f t="shared" si="261"/>
        <v>0</v>
      </c>
      <c r="BP321">
        <f t="shared" si="262"/>
        <v>0</v>
      </c>
      <c r="BQ321">
        <f t="shared" si="263"/>
        <v>0</v>
      </c>
      <c r="BR321">
        <f t="shared" si="264"/>
        <v>0</v>
      </c>
      <c r="BS321">
        <f t="shared" si="265"/>
        <v>0</v>
      </c>
      <c r="BT321">
        <f t="shared" si="266"/>
        <v>0</v>
      </c>
      <c r="BU321">
        <f t="shared" si="267"/>
        <v>0</v>
      </c>
      <c r="BV321">
        <f t="shared" si="268"/>
        <v>0</v>
      </c>
      <c r="BW321">
        <f t="shared" si="269"/>
        <v>9</v>
      </c>
      <c r="BX321">
        <f t="shared" si="270"/>
        <v>225</v>
      </c>
    </row>
    <row r="322" spans="2:76">
      <c r="B322" s="19">
        <f>Tiers!B323</f>
        <v>320</v>
      </c>
      <c r="C322" s="20" t="str">
        <f>Tiers!X323</f>
        <v>main-3|main-20|wild-11|bonusB-5||||||</v>
      </c>
      <c r="D322" s="21">
        <f>Tiers!C323</f>
        <v>28</v>
      </c>
      <c r="E322" s="22">
        <f>Frequency!E324</f>
        <v>9</v>
      </c>
      <c r="F322" s="22">
        <f t="shared" ref="F322:F385" si="275">E322*D322</f>
        <v>252</v>
      </c>
      <c r="G322" s="20">
        <f>IF(AND(D322/Summary!$C$4&gt;0, D322/Summary!$C$4&lt;5),E322,0) * D322</f>
        <v>0</v>
      </c>
      <c r="H322" s="20">
        <f>IF(AND(D322/Summary!$C$4&gt;= 5, D322/Summary!$C$4&lt;10),E322,0) * D322</f>
        <v>0</v>
      </c>
      <c r="I322" s="20">
        <f>IF(AND(D322/Summary!$C$4&gt;=10, D322/Summary!$C$4&lt;25),E322,0)*D322</f>
        <v>0</v>
      </c>
      <c r="J322" s="20">
        <f>IF(D322/Summary!$C$4&gt;=25,E322,0)*D322</f>
        <v>252</v>
      </c>
      <c r="K322" s="35">
        <f>IF(AND(D322/Frequency!$N$7&gt;0, D322/Frequency!$N$7&lt;1),E322,0)</f>
        <v>0</v>
      </c>
      <c r="L322" s="35">
        <f t="shared" ref="L322:L385" si="276">IF(K322&gt;0,D322*E322,0)</f>
        <v>0</v>
      </c>
      <c r="M322" s="35">
        <f>IF(D322/Frequency!$N$7=1,1,0)*E322</f>
        <v>0</v>
      </c>
      <c r="N322" s="35">
        <f t="shared" ref="N322:N385" si="277">IF(M322&gt;0,D322*E322,0)</f>
        <v>0</v>
      </c>
      <c r="O322" s="35">
        <f>IF(AND(D322/Frequency!$N$7&gt;1, D322/Frequency!$N$7&lt;=2),1,0)*E322</f>
        <v>0</v>
      </c>
      <c r="P322" s="35">
        <f t="shared" ref="P322:P385" si="278">IF(O322&gt;0,D322*E322,0)</f>
        <v>0</v>
      </c>
      <c r="Q322" s="35">
        <f>IF(AND(D322/Frequency!$N$7&gt;2,D322/Frequency!$N$7&lt;=5),1,0)*E322</f>
        <v>0</v>
      </c>
      <c r="R322" s="35">
        <f t="shared" ref="R322:R385" si="279">IF(Q322&gt;0,D322*E322,0)</f>
        <v>0</v>
      </c>
      <c r="S322" s="35">
        <f>IF(AND(D322/Frequency!$N$7&gt;5, D322/Frequency!$N$7&lt;=10),1,0)*E322</f>
        <v>0</v>
      </c>
      <c r="T322" s="35">
        <f t="shared" ref="T322:T385" si="280">IF(S322&gt;0,D322*E322,0)</f>
        <v>0</v>
      </c>
      <c r="U322" s="35">
        <f>IF(AND(D322/Frequency!$N$7&gt;10, D322/Frequency!$N$7&lt;=20),1,0)*E322</f>
        <v>0</v>
      </c>
      <c r="V322" s="35">
        <f t="shared" ref="V322:V385" si="281">IF(U322&gt;0,D322*E322,0)</f>
        <v>0</v>
      </c>
      <c r="W322" s="35">
        <f>IF(AND(D322/Frequency!$N$7&gt;20, D322/Frequency!$N$7&lt;=30),1,0)*E322</f>
        <v>9</v>
      </c>
      <c r="X322" s="35">
        <f t="shared" ref="X322:X385" si="282">IF(W322&gt;0,D322*E322,0)</f>
        <v>252</v>
      </c>
      <c r="Y322" s="35">
        <f>IF(AND(D322/Frequency!$N$7&gt;30, D322/Frequency!$N$7&lt;=50),1,0)*E322</f>
        <v>0</v>
      </c>
      <c r="Z322" s="35">
        <f t="shared" ref="Z322:Z385" si="283">IF(Y322&gt;0,D322*E322,0)</f>
        <v>0</v>
      </c>
      <c r="AA322" s="35">
        <f>IF(AND(D322/Frequency!$N$7&gt;50, D322/Frequency!$N$7&lt;=100),1,0)*E322</f>
        <v>0</v>
      </c>
      <c r="AB322" s="35">
        <f t="shared" ref="AB322:AB385" si="284">IF(AA322&gt;0,D322*E322,0)</f>
        <v>0</v>
      </c>
      <c r="AC322" s="35">
        <f>IF(D322/Frequency!$N$7&gt;100,1,0)*E322</f>
        <v>0</v>
      </c>
      <c r="AD322" s="35">
        <f t="shared" ref="AD322:AD385" si="285">IF(AC322&gt;0,D322*E322,0)</f>
        <v>0</v>
      </c>
      <c r="AE322" s="22">
        <f t="shared" ref="AE322:AE385" si="286">IF(AU322&gt;0,E322,0)</f>
        <v>0</v>
      </c>
      <c r="AF322" s="22">
        <f t="shared" ref="AF322:AF385" si="287">IF(AX322+BA322&gt;0,E322,0)</f>
        <v>9</v>
      </c>
      <c r="AG322" s="22">
        <f t="shared" ref="AG322:AG385" si="288">AF322*D322</f>
        <v>252</v>
      </c>
      <c r="AH322" s="22">
        <f t="shared" ref="AH322:AH385" si="289">IF(BG322&gt;0,E322,0)</f>
        <v>0</v>
      </c>
      <c r="AI322" s="35">
        <f t="shared" ref="AI322:AI385" si="290">IF(ISNUMBER(SEARCH("|||||||||",C322)),0,1)</f>
        <v>1</v>
      </c>
      <c r="AJ322" s="35">
        <f t="shared" ref="AJ322:AJ385" si="291">IF(AI322=1, E322,0)</f>
        <v>9</v>
      </c>
      <c r="AK322" s="35">
        <f t="shared" ref="AK322:AK385" si="292">IF(AJ322&gt;0,D322*E322,0)</f>
        <v>252</v>
      </c>
      <c r="AL322">
        <f t="shared" ref="AL322:AL385" si="293">IF(ISNUMBER(SEARCH("wild",C322)),1,0)</f>
        <v>1</v>
      </c>
      <c r="AM322">
        <f t="shared" ref="AM322:AM385" si="294">IF(AL322=1, E322,0)</f>
        <v>9</v>
      </c>
      <c r="AN322">
        <f t="shared" ref="AN322:AN385" si="295">IF(AM322&gt;0,D322*E322,0)</f>
        <v>252</v>
      </c>
      <c r="AO322">
        <f t="shared" ref="AO322:AO385" si="296">IF(ISNUMBER(SEARCH("wild-",C322)),1,0)</f>
        <v>1</v>
      </c>
      <c r="AP322">
        <f t="shared" ref="AP322:AP385" si="297">IF(AO322=1, E322,0)</f>
        <v>9</v>
      </c>
      <c r="AQ322">
        <f t="shared" ref="AQ322:AQ385" si="298">IF(AP322&gt;0,D322*E322,0)</f>
        <v>252</v>
      </c>
      <c r="AR322">
        <f t="shared" ref="AR322:AR385" si="299">IF(ISNUMBER(SEARCH("wildX",C322)),1,0)</f>
        <v>0</v>
      </c>
      <c r="AS322">
        <f t="shared" ref="AS322:AS385" si="300">IF(AR322=1, E322,0)</f>
        <v>0</v>
      </c>
      <c r="AT322">
        <f t="shared" ref="AT322:AT385" si="301">IF(AS322&gt;0,D322*E322,0)</f>
        <v>0</v>
      </c>
      <c r="AU322">
        <f t="shared" ref="AU322:AU385" si="302">IF(ISNUMBER(SEARCH("FreePlay",C322)),1,0)</f>
        <v>0</v>
      </c>
      <c r="AV322">
        <v>0</v>
      </c>
      <c r="AW322">
        <v>0</v>
      </c>
      <c r="AX322">
        <f t="shared" ref="AX322:AX385" si="303">IF(ISNUMBER(SEARCH("bonusA",C322)),1,0)</f>
        <v>0</v>
      </c>
      <c r="AY322">
        <f t="shared" ref="AY322:AY385" si="304">AX322*E322</f>
        <v>0</v>
      </c>
      <c r="AZ322">
        <f t="shared" ref="AZ322:AZ385" si="305">AY322*D322</f>
        <v>0</v>
      </c>
      <c r="BA322">
        <f t="shared" ref="BA322:BA385" si="306">IF(ISNUMBER(SEARCH("bonusB",C322)),1,0)</f>
        <v>1</v>
      </c>
      <c r="BB322">
        <f t="shared" ref="BB322:BB385" si="307">BA322*E322</f>
        <v>9</v>
      </c>
      <c r="BC322">
        <f t="shared" ref="BC322:BC385" si="308">BB322*D322</f>
        <v>252</v>
      </c>
      <c r="BD322">
        <f t="shared" ref="BD322:BD385" si="309">IF(ISNUMBER(SEARCH("bonusC",C322)),1,0)</f>
        <v>0</v>
      </c>
      <c r="BE322">
        <f t="shared" ref="BE322:BE385" si="310">BD322*E322</f>
        <v>0</v>
      </c>
      <c r="BF322">
        <f t="shared" ref="BF322:BF385" si="311">BE322*D322</f>
        <v>0</v>
      </c>
      <c r="BG322">
        <f t="shared" ref="BG322:BG385" si="312">IF(ISNUMBER(SEARCH("Instant",C322)),1,0)</f>
        <v>0</v>
      </c>
      <c r="BH322">
        <f t="shared" ref="BH322:BH385" si="313">BG322*E322</f>
        <v>0</v>
      </c>
      <c r="BI322">
        <f t="shared" ref="BI322:BI385" si="314">BH322*D322</f>
        <v>0</v>
      </c>
      <c r="BJ322">
        <v>0</v>
      </c>
      <c r="BK322" t="str">
        <f>IF(D322 &lt; $D$417, $C$417,
      IF(D322 = $D$418, $C$418,
          IF(D322 &lt; $D$419, $C$419,
              IF(D322 &lt; $D$420, $C$420,
                 IF(D322 &lt; $D$421, $C$421, $C$422)))))</f>
        <v>Big Win</v>
      </c>
      <c r="BL322" s="40" t="str">
        <f>IF(AU322 = 1,$C$426,
      IF(AV322 = 1,$C$427,
          IF(AW322 = 1,$C$428,
              IF(AX322 = 1,$C$429,
                  IF(BA322 = 1,$C$430,
                     IF(BD322 = 1,$C$431,
                        IF(BG322 = 1,$C$432,
                           IF(ISNUMBER(SEARCH("|||||||||",C322)), $C$433,$C$434))))))))</f>
        <v>Bonus Game B</v>
      </c>
      <c r="BM322">
        <f>(D322/Frequency!$N$7-Summary!$C$7)^2*E322</f>
        <v>6638.9904000000006</v>
      </c>
      <c r="BN322">
        <f t="shared" ref="BN322:BN385" si="315">IF(AU322=1, E322*D322,0)</f>
        <v>0</v>
      </c>
      <c r="BO322">
        <f t="shared" ref="BO322:BO385" si="316">IF(BG322=1, D322*E322,0)</f>
        <v>0</v>
      </c>
      <c r="BP322">
        <f t="shared" ref="BP322:BP385" si="317">IF(BJ322&gt;0,BJ322*E322,0)</f>
        <v>0</v>
      </c>
      <c r="BQ322">
        <f t="shared" ref="BQ322:BQ385" si="318">IF(AND(AU322=1, AI322=0),E322,0)</f>
        <v>0</v>
      </c>
      <c r="BR322">
        <f t="shared" ref="BR322:BR385" si="319">IF(BQ322&gt;0,E322*D322,0)</f>
        <v>0</v>
      </c>
      <c r="BS322">
        <f t="shared" ref="BS322:BS385" si="320">IF(AND(AU322=1, AI322=1),E322,0)</f>
        <v>0</v>
      </c>
      <c r="BT322">
        <f t="shared" ref="BT322:BT385" si="321">IF(BS322&gt;0,E322*D322,0)</f>
        <v>0</v>
      </c>
      <c r="BU322">
        <f t="shared" ref="BU322:BU385" si="322">IF(AND(AX322+BA322=1, AI322=0),E322,0)</f>
        <v>0</v>
      </c>
      <c r="BV322">
        <f t="shared" ref="BV322:BV385" si="323">IF(BU322&gt;0,E322*D322,0)</f>
        <v>0</v>
      </c>
      <c r="BW322">
        <f t="shared" ref="BW322:BW385" si="324">IF(AND(AX322+BA322=1, AI322=1),E322,0)</f>
        <v>9</v>
      </c>
      <c r="BX322">
        <f t="shared" ref="BX322:BX385" si="325">IF(BW322&gt;0,E322*D322,0)</f>
        <v>252</v>
      </c>
    </row>
    <row r="323" spans="2:76">
      <c r="B323" s="19">
        <f>Tiers!B324</f>
        <v>321</v>
      </c>
      <c r="C323" s="20" t="str">
        <f>Tiers!X324</f>
        <v>main-4|main-5|wild-12|bonusB-5||||||</v>
      </c>
      <c r="D323" s="21">
        <f>Tiers!C324</f>
        <v>25</v>
      </c>
      <c r="E323" s="22">
        <f>Frequency!E325</f>
        <v>9</v>
      </c>
      <c r="F323" s="22">
        <f t="shared" si="275"/>
        <v>225</v>
      </c>
      <c r="G323" s="20">
        <f>IF(AND(D323/Summary!$C$4&gt;0, D323/Summary!$C$4&lt;5),E323,0) * D323</f>
        <v>0</v>
      </c>
      <c r="H323" s="20">
        <f>IF(AND(D323/Summary!$C$4&gt;= 5, D323/Summary!$C$4&lt;10),E323,0) * D323</f>
        <v>0</v>
      </c>
      <c r="I323" s="20">
        <f>IF(AND(D323/Summary!$C$4&gt;=10, D323/Summary!$C$4&lt;25),E323,0)*D323</f>
        <v>0</v>
      </c>
      <c r="J323" s="20">
        <f>IF(D323/Summary!$C$4&gt;=25,E323,0)*D323</f>
        <v>225</v>
      </c>
      <c r="K323" s="35">
        <f>IF(AND(D323/Frequency!$N$7&gt;0, D323/Frequency!$N$7&lt;1),E323,0)</f>
        <v>0</v>
      </c>
      <c r="L323" s="35">
        <f t="shared" si="276"/>
        <v>0</v>
      </c>
      <c r="M323" s="35">
        <f>IF(D323/Frequency!$N$7=1,1,0)*E323</f>
        <v>0</v>
      </c>
      <c r="N323" s="35">
        <f t="shared" si="277"/>
        <v>0</v>
      </c>
      <c r="O323" s="35">
        <f>IF(AND(D323/Frequency!$N$7&gt;1, D323/Frequency!$N$7&lt;=2),1,0)*E323</f>
        <v>0</v>
      </c>
      <c r="P323" s="35">
        <f t="shared" si="278"/>
        <v>0</v>
      </c>
      <c r="Q323" s="35">
        <f>IF(AND(D323/Frequency!$N$7&gt;2,D323/Frequency!$N$7&lt;=5),1,0)*E323</f>
        <v>0</v>
      </c>
      <c r="R323" s="35">
        <f t="shared" si="279"/>
        <v>0</v>
      </c>
      <c r="S323" s="35">
        <f>IF(AND(D323/Frequency!$N$7&gt;5, D323/Frequency!$N$7&lt;=10),1,0)*E323</f>
        <v>0</v>
      </c>
      <c r="T323" s="35">
        <f t="shared" si="280"/>
        <v>0</v>
      </c>
      <c r="U323" s="35">
        <f>IF(AND(D323/Frequency!$N$7&gt;10, D323/Frequency!$N$7&lt;=20),1,0)*E323</f>
        <v>0</v>
      </c>
      <c r="V323" s="35">
        <f t="shared" si="281"/>
        <v>0</v>
      </c>
      <c r="W323" s="35">
        <f>IF(AND(D323/Frequency!$N$7&gt;20, D323/Frequency!$N$7&lt;=30),1,0)*E323</f>
        <v>9</v>
      </c>
      <c r="X323" s="35">
        <f t="shared" si="282"/>
        <v>225</v>
      </c>
      <c r="Y323" s="35">
        <f>IF(AND(D323/Frequency!$N$7&gt;30, D323/Frequency!$N$7&lt;=50),1,0)*E323</f>
        <v>0</v>
      </c>
      <c r="Z323" s="35">
        <f t="shared" si="283"/>
        <v>0</v>
      </c>
      <c r="AA323" s="35">
        <f>IF(AND(D323/Frequency!$N$7&gt;50, D323/Frequency!$N$7&lt;=100),1,0)*E323</f>
        <v>0</v>
      </c>
      <c r="AB323" s="35">
        <f t="shared" si="284"/>
        <v>0</v>
      </c>
      <c r="AC323" s="35">
        <f>IF(D323/Frequency!$N$7&gt;100,1,0)*E323</f>
        <v>0</v>
      </c>
      <c r="AD323" s="35">
        <f t="shared" si="285"/>
        <v>0</v>
      </c>
      <c r="AE323" s="22">
        <f t="shared" si="286"/>
        <v>0</v>
      </c>
      <c r="AF323" s="22">
        <f t="shared" si="287"/>
        <v>9</v>
      </c>
      <c r="AG323" s="22">
        <f t="shared" si="288"/>
        <v>225</v>
      </c>
      <c r="AH323" s="22">
        <f t="shared" si="289"/>
        <v>0</v>
      </c>
      <c r="AI323" s="35">
        <f t="shared" si="290"/>
        <v>1</v>
      </c>
      <c r="AJ323" s="35">
        <f t="shared" si="291"/>
        <v>9</v>
      </c>
      <c r="AK323" s="35">
        <f t="shared" si="292"/>
        <v>225</v>
      </c>
      <c r="AL323">
        <f t="shared" si="293"/>
        <v>1</v>
      </c>
      <c r="AM323">
        <f t="shared" si="294"/>
        <v>9</v>
      </c>
      <c r="AN323">
        <f t="shared" si="295"/>
        <v>225</v>
      </c>
      <c r="AO323">
        <f t="shared" si="296"/>
        <v>1</v>
      </c>
      <c r="AP323">
        <f t="shared" si="297"/>
        <v>9</v>
      </c>
      <c r="AQ323">
        <f t="shared" si="298"/>
        <v>225</v>
      </c>
      <c r="AR323">
        <f t="shared" si="299"/>
        <v>0</v>
      </c>
      <c r="AS323">
        <f t="shared" si="300"/>
        <v>0</v>
      </c>
      <c r="AT323">
        <f t="shared" si="301"/>
        <v>0</v>
      </c>
      <c r="AU323">
        <f t="shared" si="302"/>
        <v>0</v>
      </c>
      <c r="AV323">
        <v>0</v>
      </c>
      <c r="AW323">
        <v>0</v>
      </c>
      <c r="AX323">
        <f t="shared" si="303"/>
        <v>0</v>
      </c>
      <c r="AY323">
        <f t="shared" si="304"/>
        <v>0</v>
      </c>
      <c r="AZ323">
        <f t="shared" si="305"/>
        <v>0</v>
      </c>
      <c r="BA323">
        <f t="shared" si="306"/>
        <v>1</v>
      </c>
      <c r="BB323">
        <f t="shared" si="307"/>
        <v>9</v>
      </c>
      <c r="BC323">
        <f t="shared" si="308"/>
        <v>225</v>
      </c>
      <c r="BD323">
        <f t="shared" si="309"/>
        <v>0</v>
      </c>
      <c r="BE323">
        <f t="shared" si="310"/>
        <v>0</v>
      </c>
      <c r="BF323">
        <f t="shared" si="311"/>
        <v>0</v>
      </c>
      <c r="BG323">
        <f t="shared" si="312"/>
        <v>0</v>
      </c>
      <c r="BH323">
        <f t="shared" si="313"/>
        <v>0</v>
      </c>
      <c r="BI323">
        <f t="shared" si="314"/>
        <v>0</v>
      </c>
      <c r="BJ323">
        <v>0</v>
      </c>
      <c r="BK323" t="str">
        <f t="shared" ref="BK323:BK354" si="326">IF(D323 &lt; $D$417, $C$417,
IF(D323 = $D$418, $C$418,
IF(D323 &lt; $D$419, $C$419,
IF(D323 &lt; $D$420, $C$420,
IF(D323 &lt; $D$421, $C$421, $C$422)))))</f>
        <v>Big Win</v>
      </c>
      <c r="BL323" s="40" t="str">
        <f t="shared" ref="BL323:BL354" si="327">IF(AU323 = 1,$C$426,
IF(AV323 = 1,$C$427,
IF(AW323 = 1,$C$428,
IF(AX323 = 1,$C$429,
IF(BA323 = 1,$C$430,
IF(BD323 = 1,$C$431,
IF(BG323 = 1,$C$432,
IF(ISNUMBER(SEARCH("|||||||||",C323)), $C$433,$C$434))))))))</f>
        <v>Bonus Game B</v>
      </c>
      <c r="BM323">
        <f>(D323/Frequency!$N$7-Summary!$C$7)^2*E323</f>
        <v>5253.3504000000003</v>
      </c>
      <c r="BN323">
        <f t="shared" si="315"/>
        <v>0</v>
      </c>
      <c r="BO323">
        <f t="shared" si="316"/>
        <v>0</v>
      </c>
      <c r="BP323">
        <f t="shared" si="317"/>
        <v>0</v>
      </c>
      <c r="BQ323">
        <f t="shared" si="318"/>
        <v>0</v>
      </c>
      <c r="BR323">
        <f t="shared" si="319"/>
        <v>0</v>
      </c>
      <c r="BS323">
        <f t="shared" si="320"/>
        <v>0</v>
      </c>
      <c r="BT323">
        <f t="shared" si="321"/>
        <v>0</v>
      </c>
      <c r="BU323">
        <f t="shared" si="322"/>
        <v>0</v>
      </c>
      <c r="BV323">
        <f t="shared" si="323"/>
        <v>0</v>
      </c>
      <c r="BW323">
        <f t="shared" si="324"/>
        <v>9</v>
      </c>
      <c r="BX323">
        <f t="shared" si="325"/>
        <v>225</v>
      </c>
    </row>
    <row r="324" spans="2:76">
      <c r="B324" s="19">
        <f>Tiers!B325</f>
        <v>322</v>
      </c>
      <c r="C324" s="20" t="str">
        <f>Tiers!X325</f>
        <v>main-5|main-25|wild-13|bonusB-3||||||</v>
      </c>
      <c r="D324" s="21">
        <f>Tiers!C325</f>
        <v>25</v>
      </c>
      <c r="E324" s="22">
        <f>Frequency!E326</f>
        <v>9</v>
      </c>
      <c r="F324" s="22">
        <f t="shared" si="275"/>
        <v>225</v>
      </c>
      <c r="G324" s="20">
        <f>IF(AND(D324/Summary!$C$4&gt;0, D324/Summary!$C$4&lt;5),E324,0) * D324</f>
        <v>0</v>
      </c>
      <c r="H324" s="20">
        <f>IF(AND(D324/Summary!$C$4&gt;= 5, D324/Summary!$C$4&lt;10),E324,0) * D324</f>
        <v>0</v>
      </c>
      <c r="I324" s="20">
        <f>IF(AND(D324/Summary!$C$4&gt;=10, D324/Summary!$C$4&lt;25),E324,0)*D324</f>
        <v>0</v>
      </c>
      <c r="J324" s="20">
        <f>IF(D324/Summary!$C$4&gt;=25,E324,0)*D324</f>
        <v>225</v>
      </c>
      <c r="K324" s="35">
        <f>IF(AND(D324/Frequency!$N$7&gt;0, D324/Frequency!$N$7&lt;1),E324,0)</f>
        <v>0</v>
      </c>
      <c r="L324" s="35">
        <f t="shared" si="276"/>
        <v>0</v>
      </c>
      <c r="M324" s="35">
        <f>IF(D324/Frequency!$N$7=1,1,0)*E324</f>
        <v>0</v>
      </c>
      <c r="N324" s="35">
        <f t="shared" si="277"/>
        <v>0</v>
      </c>
      <c r="O324" s="35">
        <f>IF(AND(D324/Frequency!$N$7&gt;1, D324/Frequency!$N$7&lt;=2),1,0)*E324</f>
        <v>0</v>
      </c>
      <c r="P324" s="35">
        <f t="shared" si="278"/>
        <v>0</v>
      </c>
      <c r="Q324" s="35">
        <f>IF(AND(D324/Frequency!$N$7&gt;2,D324/Frequency!$N$7&lt;=5),1,0)*E324</f>
        <v>0</v>
      </c>
      <c r="R324" s="35">
        <f t="shared" si="279"/>
        <v>0</v>
      </c>
      <c r="S324" s="35">
        <f>IF(AND(D324/Frequency!$N$7&gt;5, D324/Frequency!$N$7&lt;=10),1,0)*E324</f>
        <v>0</v>
      </c>
      <c r="T324" s="35">
        <f t="shared" si="280"/>
        <v>0</v>
      </c>
      <c r="U324" s="35">
        <f>IF(AND(D324/Frequency!$N$7&gt;10, D324/Frequency!$N$7&lt;=20),1,0)*E324</f>
        <v>0</v>
      </c>
      <c r="V324" s="35">
        <f t="shared" si="281"/>
        <v>0</v>
      </c>
      <c r="W324" s="35">
        <f>IF(AND(D324/Frequency!$N$7&gt;20, D324/Frequency!$N$7&lt;=30),1,0)*E324</f>
        <v>9</v>
      </c>
      <c r="X324" s="35">
        <f t="shared" si="282"/>
        <v>225</v>
      </c>
      <c r="Y324" s="35">
        <f>IF(AND(D324/Frequency!$N$7&gt;30, D324/Frequency!$N$7&lt;=50),1,0)*E324</f>
        <v>0</v>
      </c>
      <c r="Z324" s="35">
        <f t="shared" si="283"/>
        <v>0</v>
      </c>
      <c r="AA324" s="35">
        <f>IF(AND(D324/Frequency!$N$7&gt;50, D324/Frequency!$N$7&lt;=100),1,0)*E324</f>
        <v>0</v>
      </c>
      <c r="AB324" s="35">
        <f t="shared" si="284"/>
        <v>0</v>
      </c>
      <c r="AC324" s="35">
        <f>IF(D324/Frequency!$N$7&gt;100,1,0)*E324</f>
        <v>0</v>
      </c>
      <c r="AD324" s="35">
        <f t="shared" si="285"/>
        <v>0</v>
      </c>
      <c r="AE324" s="22">
        <f t="shared" si="286"/>
        <v>0</v>
      </c>
      <c r="AF324" s="22">
        <f t="shared" si="287"/>
        <v>9</v>
      </c>
      <c r="AG324" s="22">
        <f t="shared" si="288"/>
        <v>225</v>
      </c>
      <c r="AH324" s="22">
        <f t="shared" si="289"/>
        <v>0</v>
      </c>
      <c r="AI324" s="35">
        <f t="shared" si="290"/>
        <v>1</v>
      </c>
      <c r="AJ324" s="35">
        <f t="shared" si="291"/>
        <v>9</v>
      </c>
      <c r="AK324" s="35">
        <f t="shared" si="292"/>
        <v>225</v>
      </c>
      <c r="AL324">
        <f t="shared" si="293"/>
        <v>1</v>
      </c>
      <c r="AM324">
        <f t="shared" si="294"/>
        <v>9</v>
      </c>
      <c r="AN324">
        <f t="shared" si="295"/>
        <v>225</v>
      </c>
      <c r="AO324">
        <f t="shared" si="296"/>
        <v>1</v>
      </c>
      <c r="AP324">
        <f t="shared" si="297"/>
        <v>9</v>
      </c>
      <c r="AQ324">
        <f t="shared" si="298"/>
        <v>225</v>
      </c>
      <c r="AR324">
        <f t="shared" si="299"/>
        <v>0</v>
      </c>
      <c r="AS324">
        <f t="shared" si="300"/>
        <v>0</v>
      </c>
      <c r="AT324">
        <f t="shared" si="301"/>
        <v>0</v>
      </c>
      <c r="AU324">
        <f t="shared" si="302"/>
        <v>0</v>
      </c>
      <c r="AV324">
        <v>0</v>
      </c>
      <c r="AW324">
        <v>0</v>
      </c>
      <c r="AX324">
        <f t="shared" si="303"/>
        <v>0</v>
      </c>
      <c r="AY324">
        <f t="shared" si="304"/>
        <v>0</v>
      </c>
      <c r="AZ324">
        <f t="shared" si="305"/>
        <v>0</v>
      </c>
      <c r="BA324">
        <f t="shared" si="306"/>
        <v>1</v>
      </c>
      <c r="BB324">
        <f t="shared" si="307"/>
        <v>9</v>
      </c>
      <c r="BC324">
        <f t="shared" si="308"/>
        <v>225</v>
      </c>
      <c r="BD324">
        <f t="shared" si="309"/>
        <v>0</v>
      </c>
      <c r="BE324">
        <f t="shared" si="310"/>
        <v>0</v>
      </c>
      <c r="BF324">
        <f t="shared" si="311"/>
        <v>0</v>
      </c>
      <c r="BG324">
        <f t="shared" si="312"/>
        <v>0</v>
      </c>
      <c r="BH324">
        <f t="shared" si="313"/>
        <v>0</v>
      </c>
      <c r="BI324">
        <f t="shared" si="314"/>
        <v>0</v>
      </c>
      <c r="BJ324">
        <v>0</v>
      </c>
      <c r="BK324" t="str">
        <f t="shared" si="326"/>
        <v>Big Win</v>
      </c>
      <c r="BL324" s="40" t="str">
        <f t="shared" si="327"/>
        <v>Bonus Game B</v>
      </c>
      <c r="BM324">
        <f>(D324/Frequency!$N$7-Summary!$C$7)^2*E324</f>
        <v>5253.3504000000003</v>
      </c>
      <c r="BN324">
        <f t="shared" si="315"/>
        <v>0</v>
      </c>
      <c r="BO324">
        <f t="shared" si="316"/>
        <v>0</v>
      </c>
      <c r="BP324">
        <f t="shared" si="317"/>
        <v>0</v>
      </c>
      <c r="BQ324">
        <f t="shared" si="318"/>
        <v>0</v>
      </c>
      <c r="BR324">
        <f t="shared" si="319"/>
        <v>0</v>
      </c>
      <c r="BS324">
        <f t="shared" si="320"/>
        <v>0</v>
      </c>
      <c r="BT324">
        <f t="shared" si="321"/>
        <v>0</v>
      </c>
      <c r="BU324">
        <f t="shared" si="322"/>
        <v>0</v>
      </c>
      <c r="BV324">
        <f t="shared" si="323"/>
        <v>0</v>
      </c>
      <c r="BW324">
        <f t="shared" si="324"/>
        <v>9</v>
      </c>
      <c r="BX324">
        <f t="shared" si="325"/>
        <v>225</v>
      </c>
    </row>
    <row r="325" spans="2:76">
      <c r="B325" s="19">
        <f>Tiers!B326</f>
        <v>323</v>
      </c>
      <c r="C325" s="20" t="str">
        <f>Tiers!X326</f>
        <v>main-5|main-26|wild-14|bonusB-4||||||</v>
      </c>
      <c r="D325" s="21">
        <f>Tiers!C326</f>
        <v>29</v>
      </c>
      <c r="E325" s="22">
        <f>Frequency!E327</f>
        <v>12</v>
      </c>
      <c r="F325" s="22">
        <f t="shared" si="275"/>
        <v>348</v>
      </c>
      <c r="G325" s="20">
        <f>IF(AND(D325/Summary!$C$4&gt;0, D325/Summary!$C$4&lt;5),E325,0) * D325</f>
        <v>0</v>
      </c>
      <c r="H325" s="20">
        <f>IF(AND(D325/Summary!$C$4&gt;= 5, D325/Summary!$C$4&lt;10),E325,0) * D325</f>
        <v>0</v>
      </c>
      <c r="I325" s="20">
        <f>IF(AND(D325/Summary!$C$4&gt;=10, D325/Summary!$C$4&lt;25),E325,0)*D325</f>
        <v>0</v>
      </c>
      <c r="J325" s="20">
        <f>IF(D325/Summary!$C$4&gt;=25,E325,0)*D325</f>
        <v>348</v>
      </c>
      <c r="K325" s="35">
        <f>IF(AND(D325/Frequency!$N$7&gt;0, D325/Frequency!$N$7&lt;1),E325,0)</f>
        <v>0</v>
      </c>
      <c r="L325" s="35">
        <f t="shared" si="276"/>
        <v>0</v>
      </c>
      <c r="M325" s="35">
        <f>IF(D325/Frequency!$N$7=1,1,0)*E325</f>
        <v>0</v>
      </c>
      <c r="N325" s="35">
        <f t="shared" si="277"/>
        <v>0</v>
      </c>
      <c r="O325" s="35">
        <f>IF(AND(D325/Frequency!$N$7&gt;1, D325/Frequency!$N$7&lt;=2),1,0)*E325</f>
        <v>0</v>
      </c>
      <c r="P325" s="35">
        <f t="shared" si="278"/>
        <v>0</v>
      </c>
      <c r="Q325" s="35">
        <f>IF(AND(D325/Frequency!$N$7&gt;2,D325/Frequency!$N$7&lt;=5),1,0)*E325</f>
        <v>0</v>
      </c>
      <c r="R325" s="35">
        <f t="shared" si="279"/>
        <v>0</v>
      </c>
      <c r="S325" s="35">
        <f>IF(AND(D325/Frequency!$N$7&gt;5, D325/Frequency!$N$7&lt;=10),1,0)*E325</f>
        <v>0</v>
      </c>
      <c r="T325" s="35">
        <f t="shared" si="280"/>
        <v>0</v>
      </c>
      <c r="U325" s="35">
        <f>IF(AND(D325/Frequency!$N$7&gt;10, D325/Frequency!$N$7&lt;=20),1,0)*E325</f>
        <v>0</v>
      </c>
      <c r="V325" s="35">
        <f t="shared" si="281"/>
        <v>0</v>
      </c>
      <c r="W325" s="35">
        <f>IF(AND(D325/Frequency!$N$7&gt;20, D325/Frequency!$N$7&lt;=30),1,0)*E325</f>
        <v>12</v>
      </c>
      <c r="X325" s="35">
        <f t="shared" si="282"/>
        <v>348</v>
      </c>
      <c r="Y325" s="35">
        <f>IF(AND(D325/Frequency!$N$7&gt;30, D325/Frequency!$N$7&lt;=50),1,0)*E325</f>
        <v>0</v>
      </c>
      <c r="Z325" s="35">
        <f t="shared" si="283"/>
        <v>0</v>
      </c>
      <c r="AA325" s="35">
        <f>IF(AND(D325/Frequency!$N$7&gt;50, D325/Frequency!$N$7&lt;=100),1,0)*E325</f>
        <v>0</v>
      </c>
      <c r="AB325" s="35">
        <f t="shared" si="284"/>
        <v>0</v>
      </c>
      <c r="AC325" s="35">
        <f>IF(D325/Frequency!$N$7&gt;100,1,0)*E325</f>
        <v>0</v>
      </c>
      <c r="AD325" s="35">
        <f t="shared" si="285"/>
        <v>0</v>
      </c>
      <c r="AE325" s="22">
        <f t="shared" si="286"/>
        <v>0</v>
      </c>
      <c r="AF325" s="22">
        <f t="shared" si="287"/>
        <v>12</v>
      </c>
      <c r="AG325" s="22">
        <f t="shared" si="288"/>
        <v>348</v>
      </c>
      <c r="AH325" s="22">
        <f t="shared" si="289"/>
        <v>0</v>
      </c>
      <c r="AI325" s="35">
        <f t="shared" si="290"/>
        <v>1</v>
      </c>
      <c r="AJ325" s="35">
        <f t="shared" si="291"/>
        <v>12</v>
      </c>
      <c r="AK325" s="35">
        <f t="shared" si="292"/>
        <v>348</v>
      </c>
      <c r="AL325">
        <f t="shared" si="293"/>
        <v>1</v>
      </c>
      <c r="AM325">
        <f t="shared" si="294"/>
        <v>12</v>
      </c>
      <c r="AN325">
        <f t="shared" si="295"/>
        <v>348</v>
      </c>
      <c r="AO325">
        <f t="shared" si="296"/>
        <v>1</v>
      </c>
      <c r="AP325">
        <f t="shared" si="297"/>
        <v>12</v>
      </c>
      <c r="AQ325">
        <f t="shared" si="298"/>
        <v>348</v>
      </c>
      <c r="AR325">
        <f t="shared" si="299"/>
        <v>0</v>
      </c>
      <c r="AS325">
        <f t="shared" si="300"/>
        <v>0</v>
      </c>
      <c r="AT325">
        <f t="shared" si="301"/>
        <v>0</v>
      </c>
      <c r="AU325">
        <f t="shared" si="302"/>
        <v>0</v>
      </c>
      <c r="AV325">
        <v>0</v>
      </c>
      <c r="AW325">
        <v>0</v>
      </c>
      <c r="AX325">
        <f t="shared" si="303"/>
        <v>0</v>
      </c>
      <c r="AY325">
        <f t="shared" si="304"/>
        <v>0</v>
      </c>
      <c r="AZ325">
        <f t="shared" si="305"/>
        <v>0</v>
      </c>
      <c r="BA325">
        <f t="shared" si="306"/>
        <v>1</v>
      </c>
      <c r="BB325">
        <f t="shared" si="307"/>
        <v>12</v>
      </c>
      <c r="BC325">
        <f t="shared" si="308"/>
        <v>348</v>
      </c>
      <c r="BD325">
        <f t="shared" si="309"/>
        <v>0</v>
      </c>
      <c r="BE325">
        <f t="shared" si="310"/>
        <v>0</v>
      </c>
      <c r="BF325">
        <f t="shared" si="311"/>
        <v>0</v>
      </c>
      <c r="BG325">
        <f t="shared" si="312"/>
        <v>0</v>
      </c>
      <c r="BH325">
        <f t="shared" si="313"/>
        <v>0</v>
      </c>
      <c r="BI325">
        <f t="shared" si="314"/>
        <v>0</v>
      </c>
      <c r="BJ325">
        <v>0</v>
      </c>
      <c r="BK325" t="str">
        <f t="shared" si="326"/>
        <v>Big Win</v>
      </c>
      <c r="BL325" s="40" t="str">
        <f t="shared" si="327"/>
        <v>Bonus Game B</v>
      </c>
      <c r="BM325">
        <f>(D325/Frequency!$N$7-Summary!$C$7)^2*E325</f>
        <v>9515.8271999999997</v>
      </c>
      <c r="BN325">
        <f t="shared" si="315"/>
        <v>0</v>
      </c>
      <c r="BO325">
        <f t="shared" si="316"/>
        <v>0</v>
      </c>
      <c r="BP325">
        <f t="shared" si="317"/>
        <v>0</v>
      </c>
      <c r="BQ325">
        <f t="shared" si="318"/>
        <v>0</v>
      </c>
      <c r="BR325">
        <f t="shared" si="319"/>
        <v>0</v>
      </c>
      <c r="BS325">
        <f t="shared" si="320"/>
        <v>0</v>
      </c>
      <c r="BT325">
        <f t="shared" si="321"/>
        <v>0</v>
      </c>
      <c r="BU325">
        <f t="shared" si="322"/>
        <v>0</v>
      </c>
      <c r="BV325">
        <f t="shared" si="323"/>
        <v>0</v>
      </c>
      <c r="BW325">
        <f t="shared" si="324"/>
        <v>12</v>
      </c>
      <c r="BX325">
        <f t="shared" si="325"/>
        <v>348</v>
      </c>
    </row>
    <row r="326" spans="2:76">
      <c r="B326" s="19">
        <f>Tiers!B327</f>
        <v>324</v>
      </c>
      <c r="C326" s="20" t="str">
        <f>Tiers!X327</f>
        <v>main-4|main-0|main-20|bonusB-5||||||</v>
      </c>
      <c r="D326" s="21">
        <f>Tiers!C327</f>
        <v>27.1</v>
      </c>
      <c r="E326" s="22">
        <f>Frequency!E328</f>
        <v>7</v>
      </c>
      <c r="F326" s="22">
        <f t="shared" si="275"/>
        <v>189.70000000000002</v>
      </c>
      <c r="G326" s="20">
        <f>IF(AND(D326/Summary!$C$4&gt;0, D326/Summary!$C$4&lt;5),E326,0) * D326</f>
        <v>0</v>
      </c>
      <c r="H326" s="20">
        <f>IF(AND(D326/Summary!$C$4&gt;= 5, D326/Summary!$C$4&lt;10),E326,0) * D326</f>
        <v>0</v>
      </c>
      <c r="I326" s="20">
        <f>IF(AND(D326/Summary!$C$4&gt;=10, D326/Summary!$C$4&lt;25),E326,0)*D326</f>
        <v>0</v>
      </c>
      <c r="J326" s="20">
        <f>IF(D326/Summary!$C$4&gt;=25,E326,0)*D326</f>
        <v>189.70000000000002</v>
      </c>
      <c r="K326" s="35">
        <f>IF(AND(D326/Frequency!$N$7&gt;0, D326/Frequency!$N$7&lt;1),E326,0)</f>
        <v>0</v>
      </c>
      <c r="L326" s="35">
        <f t="shared" si="276"/>
        <v>0</v>
      </c>
      <c r="M326" s="35">
        <f>IF(D326/Frequency!$N$7=1,1,0)*E326</f>
        <v>0</v>
      </c>
      <c r="N326" s="35">
        <f t="shared" si="277"/>
        <v>0</v>
      </c>
      <c r="O326" s="35">
        <f>IF(AND(D326/Frequency!$N$7&gt;1, D326/Frequency!$N$7&lt;=2),1,0)*E326</f>
        <v>0</v>
      </c>
      <c r="P326" s="35">
        <f t="shared" si="278"/>
        <v>0</v>
      </c>
      <c r="Q326" s="35">
        <f>IF(AND(D326/Frequency!$N$7&gt;2,D326/Frequency!$N$7&lt;=5),1,0)*E326</f>
        <v>0</v>
      </c>
      <c r="R326" s="35">
        <f t="shared" si="279"/>
        <v>0</v>
      </c>
      <c r="S326" s="35">
        <f>IF(AND(D326/Frequency!$N$7&gt;5, D326/Frequency!$N$7&lt;=10),1,0)*E326</f>
        <v>0</v>
      </c>
      <c r="T326" s="35">
        <f t="shared" si="280"/>
        <v>0</v>
      </c>
      <c r="U326" s="35">
        <f>IF(AND(D326/Frequency!$N$7&gt;10, D326/Frequency!$N$7&lt;=20),1,0)*E326</f>
        <v>0</v>
      </c>
      <c r="V326" s="35">
        <f t="shared" si="281"/>
        <v>0</v>
      </c>
      <c r="W326" s="35">
        <f>IF(AND(D326/Frequency!$N$7&gt;20, D326/Frequency!$N$7&lt;=30),1,0)*E326</f>
        <v>7</v>
      </c>
      <c r="X326" s="35">
        <f t="shared" si="282"/>
        <v>189.70000000000002</v>
      </c>
      <c r="Y326" s="35">
        <f>IF(AND(D326/Frequency!$N$7&gt;30, D326/Frequency!$N$7&lt;=50),1,0)*E326</f>
        <v>0</v>
      </c>
      <c r="Z326" s="35">
        <f t="shared" si="283"/>
        <v>0</v>
      </c>
      <c r="AA326" s="35">
        <f>IF(AND(D326/Frequency!$N$7&gt;50, D326/Frequency!$N$7&lt;=100),1,0)*E326</f>
        <v>0</v>
      </c>
      <c r="AB326" s="35">
        <f t="shared" si="284"/>
        <v>0</v>
      </c>
      <c r="AC326" s="35">
        <f>IF(D326/Frequency!$N$7&gt;100,1,0)*E326</f>
        <v>0</v>
      </c>
      <c r="AD326" s="35">
        <f t="shared" si="285"/>
        <v>0</v>
      </c>
      <c r="AE326" s="22">
        <f t="shared" si="286"/>
        <v>0</v>
      </c>
      <c r="AF326" s="22">
        <f t="shared" si="287"/>
        <v>7</v>
      </c>
      <c r="AG326" s="22">
        <f t="shared" si="288"/>
        <v>189.70000000000002</v>
      </c>
      <c r="AH326" s="22">
        <f t="shared" si="289"/>
        <v>0</v>
      </c>
      <c r="AI326" s="35">
        <f t="shared" si="290"/>
        <v>1</v>
      </c>
      <c r="AJ326" s="35">
        <f t="shared" si="291"/>
        <v>7</v>
      </c>
      <c r="AK326" s="35">
        <f t="shared" si="292"/>
        <v>189.70000000000002</v>
      </c>
      <c r="AL326">
        <f t="shared" si="293"/>
        <v>0</v>
      </c>
      <c r="AM326">
        <f t="shared" si="294"/>
        <v>0</v>
      </c>
      <c r="AN326">
        <f t="shared" si="295"/>
        <v>0</v>
      </c>
      <c r="AO326">
        <f t="shared" si="296"/>
        <v>0</v>
      </c>
      <c r="AP326">
        <f t="shared" si="297"/>
        <v>0</v>
      </c>
      <c r="AQ326">
        <f t="shared" si="298"/>
        <v>0</v>
      </c>
      <c r="AR326">
        <f t="shared" si="299"/>
        <v>0</v>
      </c>
      <c r="AS326">
        <f t="shared" si="300"/>
        <v>0</v>
      </c>
      <c r="AT326">
        <f t="shared" si="301"/>
        <v>0</v>
      </c>
      <c r="AU326">
        <f t="shared" si="302"/>
        <v>0</v>
      </c>
      <c r="AV326">
        <v>0</v>
      </c>
      <c r="AW326">
        <v>0</v>
      </c>
      <c r="AX326">
        <f t="shared" si="303"/>
        <v>0</v>
      </c>
      <c r="AY326">
        <f t="shared" si="304"/>
        <v>0</v>
      </c>
      <c r="AZ326">
        <f t="shared" si="305"/>
        <v>0</v>
      </c>
      <c r="BA326">
        <f t="shared" si="306"/>
        <v>1</v>
      </c>
      <c r="BB326">
        <f t="shared" si="307"/>
        <v>7</v>
      </c>
      <c r="BC326">
        <f t="shared" si="308"/>
        <v>189.70000000000002</v>
      </c>
      <c r="BD326">
        <f t="shared" si="309"/>
        <v>0</v>
      </c>
      <c r="BE326">
        <f t="shared" si="310"/>
        <v>0</v>
      </c>
      <c r="BF326">
        <f t="shared" si="311"/>
        <v>0</v>
      </c>
      <c r="BG326">
        <f t="shared" si="312"/>
        <v>0</v>
      </c>
      <c r="BH326">
        <f t="shared" si="313"/>
        <v>0</v>
      </c>
      <c r="BI326">
        <f t="shared" si="314"/>
        <v>0</v>
      </c>
      <c r="BJ326">
        <v>0</v>
      </c>
      <c r="BK326" t="str">
        <f t="shared" si="326"/>
        <v>Big Win</v>
      </c>
      <c r="BL326" s="40" t="str">
        <f t="shared" si="327"/>
        <v>Bonus Game B</v>
      </c>
      <c r="BM326">
        <f>(D326/Frequency!$N$7-Summary!$C$7)^2*E326</f>
        <v>4827.1132000000007</v>
      </c>
      <c r="BN326">
        <f t="shared" si="315"/>
        <v>0</v>
      </c>
      <c r="BO326">
        <f t="shared" si="316"/>
        <v>0</v>
      </c>
      <c r="BP326">
        <f t="shared" si="317"/>
        <v>0</v>
      </c>
      <c r="BQ326">
        <f t="shared" si="318"/>
        <v>0</v>
      </c>
      <c r="BR326">
        <f t="shared" si="319"/>
        <v>0</v>
      </c>
      <c r="BS326">
        <f t="shared" si="320"/>
        <v>0</v>
      </c>
      <c r="BT326">
        <f t="shared" si="321"/>
        <v>0</v>
      </c>
      <c r="BU326">
        <f t="shared" si="322"/>
        <v>0</v>
      </c>
      <c r="BV326">
        <f t="shared" si="323"/>
        <v>0</v>
      </c>
      <c r="BW326">
        <f t="shared" si="324"/>
        <v>7</v>
      </c>
      <c r="BX326">
        <f t="shared" si="325"/>
        <v>189.70000000000002</v>
      </c>
    </row>
    <row r="327" spans="2:76">
      <c r="B327" s="19">
        <f>Tiers!B328</f>
        <v>325</v>
      </c>
      <c r="C327" s="20" t="str">
        <f>Tiers!X328</f>
        <v>main-11|main-25|main-5|bonusB-4||||||</v>
      </c>
      <c r="D327" s="21">
        <f>Tiers!C328</f>
        <v>24</v>
      </c>
      <c r="E327" s="22">
        <f>Frequency!E329</f>
        <v>9</v>
      </c>
      <c r="F327" s="22">
        <f t="shared" si="275"/>
        <v>216</v>
      </c>
      <c r="G327" s="20">
        <f>IF(AND(D327/Summary!$C$4&gt;0, D327/Summary!$C$4&lt;5),E327,0) * D327</f>
        <v>0</v>
      </c>
      <c r="H327" s="20">
        <f>IF(AND(D327/Summary!$C$4&gt;= 5, D327/Summary!$C$4&lt;10),E327,0) * D327</f>
        <v>0</v>
      </c>
      <c r="I327" s="20">
        <f>IF(AND(D327/Summary!$C$4&gt;=10, D327/Summary!$C$4&lt;25),E327,0)*D327</f>
        <v>216</v>
      </c>
      <c r="J327" s="20">
        <f>IF(D327/Summary!$C$4&gt;=25,E327,0)*D327</f>
        <v>0</v>
      </c>
      <c r="K327" s="35">
        <f>IF(AND(D327/Frequency!$N$7&gt;0, D327/Frequency!$N$7&lt;1),E327,0)</f>
        <v>0</v>
      </c>
      <c r="L327" s="35">
        <f t="shared" si="276"/>
        <v>0</v>
      </c>
      <c r="M327" s="35">
        <f>IF(D327/Frequency!$N$7=1,1,0)*E327</f>
        <v>0</v>
      </c>
      <c r="N327" s="35">
        <f t="shared" si="277"/>
        <v>0</v>
      </c>
      <c r="O327" s="35">
        <f>IF(AND(D327/Frequency!$N$7&gt;1, D327/Frequency!$N$7&lt;=2),1,0)*E327</f>
        <v>0</v>
      </c>
      <c r="P327" s="35">
        <f t="shared" si="278"/>
        <v>0</v>
      </c>
      <c r="Q327" s="35">
        <f>IF(AND(D327/Frequency!$N$7&gt;2,D327/Frequency!$N$7&lt;=5),1,0)*E327</f>
        <v>0</v>
      </c>
      <c r="R327" s="35">
        <f t="shared" si="279"/>
        <v>0</v>
      </c>
      <c r="S327" s="35">
        <f>IF(AND(D327/Frequency!$N$7&gt;5, D327/Frequency!$N$7&lt;=10),1,0)*E327</f>
        <v>0</v>
      </c>
      <c r="T327" s="35">
        <f t="shared" si="280"/>
        <v>0</v>
      </c>
      <c r="U327" s="35">
        <f>IF(AND(D327/Frequency!$N$7&gt;10, D327/Frequency!$N$7&lt;=20),1,0)*E327</f>
        <v>0</v>
      </c>
      <c r="V327" s="35">
        <f t="shared" si="281"/>
        <v>0</v>
      </c>
      <c r="W327" s="35">
        <f>IF(AND(D327/Frequency!$N$7&gt;20, D327/Frequency!$N$7&lt;=30),1,0)*E327</f>
        <v>9</v>
      </c>
      <c r="X327" s="35">
        <f t="shared" si="282"/>
        <v>216</v>
      </c>
      <c r="Y327" s="35">
        <f>IF(AND(D327/Frequency!$N$7&gt;30, D327/Frequency!$N$7&lt;=50),1,0)*E327</f>
        <v>0</v>
      </c>
      <c r="Z327" s="35">
        <f t="shared" si="283"/>
        <v>0</v>
      </c>
      <c r="AA327" s="35">
        <f>IF(AND(D327/Frequency!$N$7&gt;50, D327/Frequency!$N$7&lt;=100),1,0)*E327</f>
        <v>0</v>
      </c>
      <c r="AB327" s="35">
        <f t="shared" si="284"/>
        <v>0</v>
      </c>
      <c r="AC327" s="35">
        <f>IF(D327/Frequency!$N$7&gt;100,1,0)*E327</f>
        <v>0</v>
      </c>
      <c r="AD327" s="35">
        <f t="shared" si="285"/>
        <v>0</v>
      </c>
      <c r="AE327" s="22">
        <f t="shared" si="286"/>
        <v>0</v>
      </c>
      <c r="AF327" s="22">
        <f t="shared" si="287"/>
        <v>9</v>
      </c>
      <c r="AG327" s="22">
        <f t="shared" si="288"/>
        <v>216</v>
      </c>
      <c r="AH327" s="22">
        <f t="shared" si="289"/>
        <v>0</v>
      </c>
      <c r="AI327" s="35">
        <f t="shared" si="290"/>
        <v>1</v>
      </c>
      <c r="AJ327" s="35">
        <f t="shared" si="291"/>
        <v>9</v>
      </c>
      <c r="AK327" s="35">
        <f t="shared" si="292"/>
        <v>216</v>
      </c>
      <c r="AL327">
        <f t="shared" si="293"/>
        <v>0</v>
      </c>
      <c r="AM327">
        <f t="shared" si="294"/>
        <v>0</v>
      </c>
      <c r="AN327">
        <f t="shared" si="295"/>
        <v>0</v>
      </c>
      <c r="AO327">
        <f t="shared" si="296"/>
        <v>0</v>
      </c>
      <c r="AP327">
        <f t="shared" si="297"/>
        <v>0</v>
      </c>
      <c r="AQ327">
        <f t="shared" si="298"/>
        <v>0</v>
      </c>
      <c r="AR327">
        <f t="shared" si="299"/>
        <v>0</v>
      </c>
      <c r="AS327">
        <f t="shared" si="300"/>
        <v>0</v>
      </c>
      <c r="AT327">
        <f t="shared" si="301"/>
        <v>0</v>
      </c>
      <c r="AU327">
        <f t="shared" si="302"/>
        <v>0</v>
      </c>
      <c r="AV327">
        <v>0</v>
      </c>
      <c r="AW327">
        <v>0</v>
      </c>
      <c r="AX327">
        <f t="shared" si="303"/>
        <v>0</v>
      </c>
      <c r="AY327">
        <f t="shared" si="304"/>
        <v>0</v>
      </c>
      <c r="AZ327">
        <f t="shared" si="305"/>
        <v>0</v>
      </c>
      <c r="BA327">
        <f t="shared" si="306"/>
        <v>1</v>
      </c>
      <c r="BB327">
        <f t="shared" si="307"/>
        <v>9</v>
      </c>
      <c r="BC327">
        <f t="shared" si="308"/>
        <v>216</v>
      </c>
      <c r="BD327">
        <f t="shared" si="309"/>
        <v>0</v>
      </c>
      <c r="BE327">
        <f t="shared" si="310"/>
        <v>0</v>
      </c>
      <c r="BF327">
        <f t="shared" si="311"/>
        <v>0</v>
      </c>
      <c r="BG327">
        <f t="shared" si="312"/>
        <v>0</v>
      </c>
      <c r="BH327">
        <f t="shared" si="313"/>
        <v>0</v>
      </c>
      <c r="BI327">
        <f t="shared" si="314"/>
        <v>0</v>
      </c>
      <c r="BJ327">
        <v>0</v>
      </c>
      <c r="BK327" t="str">
        <f t="shared" si="326"/>
        <v>Big Win</v>
      </c>
      <c r="BL327" s="40" t="str">
        <f t="shared" si="327"/>
        <v>Bonus Game B</v>
      </c>
      <c r="BM327">
        <f>(D327/Frequency!$N$7-Summary!$C$7)^2*E327</f>
        <v>4827.4703999999992</v>
      </c>
      <c r="BN327">
        <f t="shared" si="315"/>
        <v>0</v>
      </c>
      <c r="BO327">
        <f t="shared" si="316"/>
        <v>0</v>
      </c>
      <c r="BP327">
        <f t="shared" si="317"/>
        <v>0</v>
      </c>
      <c r="BQ327">
        <f t="shared" si="318"/>
        <v>0</v>
      </c>
      <c r="BR327">
        <f t="shared" si="319"/>
        <v>0</v>
      </c>
      <c r="BS327">
        <f t="shared" si="320"/>
        <v>0</v>
      </c>
      <c r="BT327">
        <f t="shared" si="321"/>
        <v>0</v>
      </c>
      <c r="BU327">
        <f t="shared" si="322"/>
        <v>0</v>
      </c>
      <c r="BV327">
        <f t="shared" si="323"/>
        <v>0</v>
      </c>
      <c r="BW327">
        <f t="shared" si="324"/>
        <v>9</v>
      </c>
      <c r="BX327">
        <f t="shared" si="325"/>
        <v>216</v>
      </c>
    </row>
    <row r="328" spans="2:76">
      <c r="B328" s="19">
        <f>Tiers!B329</f>
        <v>326</v>
      </c>
      <c r="C328" s="20" t="str">
        <f>Tiers!X329</f>
        <v>main-18|main-19|main-5|bonusB-3||||||</v>
      </c>
      <c r="D328" s="21">
        <f>Tiers!C329</f>
        <v>23</v>
      </c>
      <c r="E328" s="22">
        <f>Frequency!E330</f>
        <v>23</v>
      </c>
      <c r="F328" s="22">
        <f t="shared" si="275"/>
        <v>529</v>
      </c>
      <c r="G328" s="20">
        <f>IF(AND(D328/Summary!$C$4&gt;0, D328/Summary!$C$4&lt;5),E328,0) * D328</f>
        <v>0</v>
      </c>
      <c r="H328" s="20">
        <f>IF(AND(D328/Summary!$C$4&gt;= 5, D328/Summary!$C$4&lt;10),E328,0) * D328</f>
        <v>0</v>
      </c>
      <c r="I328" s="20">
        <f>IF(AND(D328/Summary!$C$4&gt;=10, D328/Summary!$C$4&lt;25),E328,0)*D328</f>
        <v>529</v>
      </c>
      <c r="J328" s="20">
        <f>IF(D328/Summary!$C$4&gt;=25,E328,0)*D328</f>
        <v>0</v>
      </c>
      <c r="K328" s="35">
        <f>IF(AND(D328/Frequency!$N$7&gt;0, D328/Frequency!$N$7&lt;1),E328,0)</f>
        <v>0</v>
      </c>
      <c r="L328" s="35">
        <f t="shared" si="276"/>
        <v>0</v>
      </c>
      <c r="M328" s="35">
        <f>IF(D328/Frequency!$N$7=1,1,0)*E328</f>
        <v>0</v>
      </c>
      <c r="N328" s="35">
        <f t="shared" si="277"/>
        <v>0</v>
      </c>
      <c r="O328" s="35">
        <f>IF(AND(D328/Frequency!$N$7&gt;1, D328/Frequency!$N$7&lt;=2),1,0)*E328</f>
        <v>0</v>
      </c>
      <c r="P328" s="35">
        <f t="shared" si="278"/>
        <v>0</v>
      </c>
      <c r="Q328" s="35">
        <f>IF(AND(D328/Frequency!$N$7&gt;2,D328/Frequency!$N$7&lt;=5),1,0)*E328</f>
        <v>0</v>
      </c>
      <c r="R328" s="35">
        <f t="shared" si="279"/>
        <v>0</v>
      </c>
      <c r="S328" s="35">
        <f>IF(AND(D328/Frequency!$N$7&gt;5, D328/Frequency!$N$7&lt;=10),1,0)*E328</f>
        <v>0</v>
      </c>
      <c r="T328" s="35">
        <f t="shared" si="280"/>
        <v>0</v>
      </c>
      <c r="U328" s="35">
        <f>IF(AND(D328/Frequency!$N$7&gt;10, D328/Frequency!$N$7&lt;=20),1,0)*E328</f>
        <v>0</v>
      </c>
      <c r="V328" s="35">
        <f t="shared" si="281"/>
        <v>0</v>
      </c>
      <c r="W328" s="35">
        <f>IF(AND(D328/Frequency!$N$7&gt;20, D328/Frequency!$N$7&lt;=30),1,0)*E328</f>
        <v>23</v>
      </c>
      <c r="X328" s="35">
        <f t="shared" si="282"/>
        <v>529</v>
      </c>
      <c r="Y328" s="35">
        <f>IF(AND(D328/Frequency!$N$7&gt;30, D328/Frequency!$N$7&lt;=50),1,0)*E328</f>
        <v>0</v>
      </c>
      <c r="Z328" s="35">
        <f t="shared" si="283"/>
        <v>0</v>
      </c>
      <c r="AA328" s="35">
        <f>IF(AND(D328/Frequency!$N$7&gt;50, D328/Frequency!$N$7&lt;=100),1,0)*E328</f>
        <v>0</v>
      </c>
      <c r="AB328" s="35">
        <f t="shared" si="284"/>
        <v>0</v>
      </c>
      <c r="AC328" s="35">
        <f>IF(D328/Frequency!$N$7&gt;100,1,0)*E328</f>
        <v>0</v>
      </c>
      <c r="AD328" s="35">
        <f t="shared" si="285"/>
        <v>0</v>
      </c>
      <c r="AE328" s="22">
        <f t="shared" si="286"/>
        <v>0</v>
      </c>
      <c r="AF328" s="22">
        <f t="shared" si="287"/>
        <v>23</v>
      </c>
      <c r="AG328" s="22">
        <f t="shared" si="288"/>
        <v>529</v>
      </c>
      <c r="AH328" s="22">
        <f t="shared" si="289"/>
        <v>0</v>
      </c>
      <c r="AI328" s="35">
        <f t="shared" si="290"/>
        <v>1</v>
      </c>
      <c r="AJ328" s="35">
        <f t="shared" si="291"/>
        <v>23</v>
      </c>
      <c r="AK328" s="35">
        <f t="shared" si="292"/>
        <v>529</v>
      </c>
      <c r="AL328">
        <f t="shared" si="293"/>
        <v>0</v>
      </c>
      <c r="AM328">
        <f t="shared" si="294"/>
        <v>0</v>
      </c>
      <c r="AN328">
        <f t="shared" si="295"/>
        <v>0</v>
      </c>
      <c r="AO328">
        <f t="shared" si="296"/>
        <v>0</v>
      </c>
      <c r="AP328">
        <f t="shared" si="297"/>
        <v>0</v>
      </c>
      <c r="AQ328">
        <f t="shared" si="298"/>
        <v>0</v>
      </c>
      <c r="AR328">
        <f t="shared" si="299"/>
        <v>0</v>
      </c>
      <c r="AS328">
        <f t="shared" si="300"/>
        <v>0</v>
      </c>
      <c r="AT328">
        <f t="shared" si="301"/>
        <v>0</v>
      </c>
      <c r="AU328">
        <f t="shared" si="302"/>
        <v>0</v>
      </c>
      <c r="AV328">
        <v>0</v>
      </c>
      <c r="AW328">
        <v>0</v>
      </c>
      <c r="AX328">
        <f t="shared" si="303"/>
        <v>0</v>
      </c>
      <c r="AY328">
        <f t="shared" si="304"/>
        <v>0</v>
      </c>
      <c r="AZ328">
        <f t="shared" si="305"/>
        <v>0</v>
      </c>
      <c r="BA328">
        <f t="shared" si="306"/>
        <v>1</v>
      </c>
      <c r="BB328">
        <f t="shared" si="307"/>
        <v>23</v>
      </c>
      <c r="BC328">
        <f t="shared" si="308"/>
        <v>529</v>
      </c>
      <c r="BD328">
        <f t="shared" si="309"/>
        <v>0</v>
      </c>
      <c r="BE328">
        <f t="shared" si="310"/>
        <v>0</v>
      </c>
      <c r="BF328">
        <f t="shared" si="311"/>
        <v>0</v>
      </c>
      <c r="BG328">
        <f t="shared" si="312"/>
        <v>0</v>
      </c>
      <c r="BH328">
        <f t="shared" si="313"/>
        <v>0</v>
      </c>
      <c r="BI328">
        <f t="shared" si="314"/>
        <v>0</v>
      </c>
      <c r="BJ328">
        <v>0</v>
      </c>
      <c r="BK328" t="str">
        <f t="shared" si="326"/>
        <v>Big Win</v>
      </c>
      <c r="BL328" s="40" t="str">
        <f t="shared" si="327"/>
        <v>Bonus Game B</v>
      </c>
      <c r="BM328">
        <f>(D328/Frequency!$N$7-Summary!$C$7)^2*E328</f>
        <v>11294.5088</v>
      </c>
      <c r="BN328">
        <f t="shared" si="315"/>
        <v>0</v>
      </c>
      <c r="BO328">
        <f t="shared" si="316"/>
        <v>0</v>
      </c>
      <c r="BP328">
        <f t="shared" si="317"/>
        <v>0</v>
      </c>
      <c r="BQ328">
        <f t="shared" si="318"/>
        <v>0</v>
      </c>
      <c r="BR328">
        <f t="shared" si="319"/>
        <v>0</v>
      </c>
      <c r="BS328">
        <f t="shared" si="320"/>
        <v>0</v>
      </c>
      <c r="BT328">
        <f t="shared" si="321"/>
        <v>0</v>
      </c>
      <c r="BU328">
        <f t="shared" si="322"/>
        <v>0</v>
      </c>
      <c r="BV328">
        <f t="shared" si="323"/>
        <v>0</v>
      </c>
      <c r="BW328">
        <f t="shared" si="324"/>
        <v>23</v>
      </c>
      <c r="BX328">
        <f t="shared" si="325"/>
        <v>529</v>
      </c>
    </row>
    <row r="329" spans="2:76">
      <c r="B329" s="19">
        <f>Tiers!B330</f>
        <v>327</v>
      </c>
      <c r="C329" s="20" t="str">
        <f>Tiers!X330</f>
        <v>main-2|main-19|main-3|bonusB-4||||||</v>
      </c>
      <c r="D329" s="21">
        <f>Tiers!C330</f>
        <v>18.5</v>
      </c>
      <c r="E329" s="22">
        <f>Frequency!E331</f>
        <v>20</v>
      </c>
      <c r="F329" s="22">
        <f t="shared" si="275"/>
        <v>370</v>
      </c>
      <c r="G329" s="20">
        <f>IF(AND(D329/Summary!$C$4&gt;0, D329/Summary!$C$4&lt;5),E329,0) * D329</f>
        <v>0</v>
      </c>
      <c r="H329" s="20">
        <f>IF(AND(D329/Summary!$C$4&gt;= 5, D329/Summary!$C$4&lt;10),E329,0) * D329</f>
        <v>0</v>
      </c>
      <c r="I329" s="20">
        <f>IF(AND(D329/Summary!$C$4&gt;=10, D329/Summary!$C$4&lt;25),E329,0)*D329</f>
        <v>370</v>
      </c>
      <c r="J329" s="20">
        <f>IF(D329/Summary!$C$4&gt;=25,E329,0)*D329</f>
        <v>0</v>
      </c>
      <c r="K329" s="35">
        <f>IF(AND(D329/Frequency!$N$7&gt;0, D329/Frequency!$N$7&lt;1),E329,0)</f>
        <v>0</v>
      </c>
      <c r="L329" s="35">
        <f t="shared" si="276"/>
        <v>0</v>
      </c>
      <c r="M329" s="35">
        <f>IF(D329/Frequency!$N$7=1,1,0)*E329</f>
        <v>0</v>
      </c>
      <c r="N329" s="35">
        <f t="shared" si="277"/>
        <v>0</v>
      </c>
      <c r="O329" s="35">
        <f>IF(AND(D329/Frequency!$N$7&gt;1, D329/Frequency!$N$7&lt;=2),1,0)*E329</f>
        <v>0</v>
      </c>
      <c r="P329" s="35">
        <f t="shared" si="278"/>
        <v>0</v>
      </c>
      <c r="Q329" s="35">
        <f>IF(AND(D329/Frequency!$N$7&gt;2,D329/Frequency!$N$7&lt;=5),1,0)*E329</f>
        <v>0</v>
      </c>
      <c r="R329" s="35">
        <f t="shared" si="279"/>
        <v>0</v>
      </c>
      <c r="S329" s="35">
        <f>IF(AND(D329/Frequency!$N$7&gt;5, D329/Frequency!$N$7&lt;=10),1,0)*E329</f>
        <v>0</v>
      </c>
      <c r="T329" s="35">
        <f t="shared" si="280"/>
        <v>0</v>
      </c>
      <c r="U329" s="35">
        <f>IF(AND(D329/Frequency!$N$7&gt;10, D329/Frequency!$N$7&lt;=20),1,0)*E329</f>
        <v>20</v>
      </c>
      <c r="V329" s="35">
        <f t="shared" si="281"/>
        <v>370</v>
      </c>
      <c r="W329" s="35">
        <f>IF(AND(D329/Frequency!$N$7&gt;20, D329/Frequency!$N$7&lt;=30),1,0)*E329</f>
        <v>0</v>
      </c>
      <c r="X329" s="35">
        <f t="shared" si="282"/>
        <v>0</v>
      </c>
      <c r="Y329" s="35">
        <f>IF(AND(D329/Frequency!$N$7&gt;30, D329/Frequency!$N$7&lt;=50),1,0)*E329</f>
        <v>0</v>
      </c>
      <c r="Z329" s="35">
        <f t="shared" si="283"/>
        <v>0</v>
      </c>
      <c r="AA329" s="35">
        <f>IF(AND(D329/Frequency!$N$7&gt;50, D329/Frequency!$N$7&lt;=100),1,0)*E329</f>
        <v>0</v>
      </c>
      <c r="AB329" s="35">
        <f t="shared" si="284"/>
        <v>0</v>
      </c>
      <c r="AC329" s="35">
        <f>IF(D329/Frequency!$N$7&gt;100,1,0)*E329</f>
        <v>0</v>
      </c>
      <c r="AD329" s="35">
        <f t="shared" si="285"/>
        <v>0</v>
      </c>
      <c r="AE329" s="22">
        <f t="shared" si="286"/>
        <v>0</v>
      </c>
      <c r="AF329" s="22">
        <f t="shared" si="287"/>
        <v>20</v>
      </c>
      <c r="AG329" s="22">
        <f t="shared" si="288"/>
        <v>370</v>
      </c>
      <c r="AH329" s="22">
        <f t="shared" si="289"/>
        <v>0</v>
      </c>
      <c r="AI329" s="35">
        <f t="shared" si="290"/>
        <v>1</v>
      </c>
      <c r="AJ329" s="35">
        <f t="shared" si="291"/>
        <v>20</v>
      </c>
      <c r="AK329" s="35">
        <f t="shared" si="292"/>
        <v>370</v>
      </c>
      <c r="AL329">
        <f t="shared" si="293"/>
        <v>0</v>
      </c>
      <c r="AM329">
        <f t="shared" si="294"/>
        <v>0</v>
      </c>
      <c r="AN329">
        <f t="shared" si="295"/>
        <v>0</v>
      </c>
      <c r="AO329">
        <f t="shared" si="296"/>
        <v>0</v>
      </c>
      <c r="AP329">
        <f t="shared" si="297"/>
        <v>0</v>
      </c>
      <c r="AQ329">
        <f t="shared" si="298"/>
        <v>0</v>
      </c>
      <c r="AR329">
        <f t="shared" si="299"/>
        <v>0</v>
      </c>
      <c r="AS329">
        <f t="shared" si="300"/>
        <v>0</v>
      </c>
      <c r="AT329">
        <f t="shared" si="301"/>
        <v>0</v>
      </c>
      <c r="AU329">
        <f t="shared" si="302"/>
        <v>0</v>
      </c>
      <c r="AV329">
        <v>0</v>
      </c>
      <c r="AW329">
        <v>0</v>
      </c>
      <c r="AX329">
        <f t="shared" si="303"/>
        <v>0</v>
      </c>
      <c r="AY329">
        <f t="shared" si="304"/>
        <v>0</v>
      </c>
      <c r="AZ329">
        <f t="shared" si="305"/>
        <v>0</v>
      </c>
      <c r="BA329">
        <f t="shared" si="306"/>
        <v>1</v>
      </c>
      <c r="BB329">
        <f t="shared" si="307"/>
        <v>20</v>
      </c>
      <c r="BC329">
        <f t="shared" si="308"/>
        <v>370</v>
      </c>
      <c r="BD329">
        <f t="shared" si="309"/>
        <v>0</v>
      </c>
      <c r="BE329">
        <f t="shared" si="310"/>
        <v>0</v>
      </c>
      <c r="BF329">
        <f t="shared" si="311"/>
        <v>0</v>
      </c>
      <c r="BG329">
        <f t="shared" si="312"/>
        <v>0</v>
      </c>
      <c r="BH329">
        <f t="shared" si="313"/>
        <v>0</v>
      </c>
      <c r="BI329">
        <f t="shared" si="314"/>
        <v>0</v>
      </c>
      <c r="BJ329">
        <v>0</v>
      </c>
      <c r="BK329" t="str">
        <f t="shared" si="326"/>
        <v>Big Win</v>
      </c>
      <c r="BL329" s="40" t="str">
        <f t="shared" si="327"/>
        <v>Bonus Game B</v>
      </c>
      <c r="BM329">
        <f>(D329/Frequency!$N$7-Summary!$C$7)^2*E329</f>
        <v>6237.5120000000006</v>
      </c>
      <c r="BN329">
        <f t="shared" si="315"/>
        <v>0</v>
      </c>
      <c r="BO329">
        <f t="shared" si="316"/>
        <v>0</v>
      </c>
      <c r="BP329">
        <f t="shared" si="317"/>
        <v>0</v>
      </c>
      <c r="BQ329">
        <f t="shared" si="318"/>
        <v>0</v>
      </c>
      <c r="BR329">
        <f t="shared" si="319"/>
        <v>0</v>
      </c>
      <c r="BS329">
        <f t="shared" si="320"/>
        <v>0</v>
      </c>
      <c r="BT329">
        <f t="shared" si="321"/>
        <v>0</v>
      </c>
      <c r="BU329">
        <f t="shared" si="322"/>
        <v>0</v>
      </c>
      <c r="BV329">
        <f t="shared" si="323"/>
        <v>0</v>
      </c>
      <c r="BW329">
        <f t="shared" si="324"/>
        <v>20</v>
      </c>
      <c r="BX329">
        <f t="shared" si="325"/>
        <v>370</v>
      </c>
    </row>
    <row r="330" spans="2:76">
      <c r="B330" s="19">
        <f>Tiers!B331</f>
        <v>328</v>
      </c>
      <c r="C330" s="20" t="str">
        <f>Tiers!X331</f>
        <v>main-18|main-19|main-5|wild-13|bonusB-3|||||</v>
      </c>
      <c r="D330" s="21">
        <f>Tiers!C331</f>
        <v>28</v>
      </c>
      <c r="E330" s="22">
        <f>Frequency!E332</f>
        <v>20</v>
      </c>
      <c r="F330" s="22">
        <f t="shared" si="275"/>
        <v>560</v>
      </c>
      <c r="G330" s="20">
        <f>IF(AND(D330/Summary!$C$4&gt;0, D330/Summary!$C$4&lt;5),E330,0) * D330</f>
        <v>0</v>
      </c>
      <c r="H330" s="20">
        <f>IF(AND(D330/Summary!$C$4&gt;= 5, D330/Summary!$C$4&lt;10),E330,0) * D330</f>
        <v>0</v>
      </c>
      <c r="I330" s="20">
        <f>IF(AND(D330/Summary!$C$4&gt;=10, D330/Summary!$C$4&lt;25),E330,0)*D330</f>
        <v>0</v>
      </c>
      <c r="J330" s="20">
        <f>IF(D330/Summary!$C$4&gt;=25,E330,0)*D330</f>
        <v>560</v>
      </c>
      <c r="K330" s="35">
        <f>IF(AND(D330/Frequency!$N$7&gt;0, D330/Frequency!$N$7&lt;1),E330,0)</f>
        <v>0</v>
      </c>
      <c r="L330" s="35">
        <f t="shared" si="276"/>
        <v>0</v>
      </c>
      <c r="M330" s="35">
        <f>IF(D330/Frequency!$N$7=1,1,0)*E330</f>
        <v>0</v>
      </c>
      <c r="N330" s="35">
        <f t="shared" si="277"/>
        <v>0</v>
      </c>
      <c r="O330" s="35">
        <f>IF(AND(D330/Frequency!$N$7&gt;1, D330/Frequency!$N$7&lt;=2),1,0)*E330</f>
        <v>0</v>
      </c>
      <c r="P330" s="35">
        <f t="shared" si="278"/>
        <v>0</v>
      </c>
      <c r="Q330" s="35">
        <f>IF(AND(D330/Frequency!$N$7&gt;2,D330/Frequency!$N$7&lt;=5),1,0)*E330</f>
        <v>0</v>
      </c>
      <c r="R330" s="35">
        <f t="shared" si="279"/>
        <v>0</v>
      </c>
      <c r="S330" s="35">
        <f>IF(AND(D330/Frequency!$N$7&gt;5, D330/Frequency!$N$7&lt;=10),1,0)*E330</f>
        <v>0</v>
      </c>
      <c r="T330" s="35">
        <f t="shared" si="280"/>
        <v>0</v>
      </c>
      <c r="U330" s="35">
        <f>IF(AND(D330/Frequency!$N$7&gt;10, D330/Frequency!$N$7&lt;=20),1,0)*E330</f>
        <v>0</v>
      </c>
      <c r="V330" s="35">
        <f t="shared" si="281"/>
        <v>0</v>
      </c>
      <c r="W330" s="35">
        <f>IF(AND(D330/Frequency!$N$7&gt;20, D330/Frequency!$N$7&lt;=30),1,0)*E330</f>
        <v>20</v>
      </c>
      <c r="X330" s="35">
        <f t="shared" si="282"/>
        <v>560</v>
      </c>
      <c r="Y330" s="35">
        <f>IF(AND(D330/Frequency!$N$7&gt;30, D330/Frequency!$N$7&lt;=50),1,0)*E330</f>
        <v>0</v>
      </c>
      <c r="Z330" s="35">
        <f t="shared" si="283"/>
        <v>0</v>
      </c>
      <c r="AA330" s="35">
        <f>IF(AND(D330/Frequency!$N$7&gt;50, D330/Frequency!$N$7&lt;=100),1,0)*E330</f>
        <v>0</v>
      </c>
      <c r="AB330" s="35">
        <f t="shared" si="284"/>
        <v>0</v>
      </c>
      <c r="AC330" s="35">
        <f>IF(D330/Frequency!$N$7&gt;100,1,0)*E330</f>
        <v>0</v>
      </c>
      <c r="AD330" s="35">
        <f t="shared" si="285"/>
        <v>0</v>
      </c>
      <c r="AE330" s="22">
        <f t="shared" si="286"/>
        <v>0</v>
      </c>
      <c r="AF330" s="22">
        <f t="shared" si="287"/>
        <v>20</v>
      </c>
      <c r="AG330" s="22">
        <f t="shared" si="288"/>
        <v>560</v>
      </c>
      <c r="AH330" s="22">
        <f t="shared" si="289"/>
        <v>0</v>
      </c>
      <c r="AI330" s="35">
        <f t="shared" si="290"/>
        <v>1</v>
      </c>
      <c r="AJ330" s="35">
        <f t="shared" si="291"/>
        <v>20</v>
      </c>
      <c r="AK330" s="35">
        <f t="shared" si="292"/>
        <v>560</v>
      </c>
      <c r="AL330">
        <f t="shared" si="293"/>
        <v>1</v>
      </c>
      <c r="AM330">
        <f t="shared" si="294"/>
        <v>20</v>
      </c>
      <c r="AN330">
        <f t="shared" si="295"/>
        <v>560</v>
      </c>
      <c r="AO330">
        <f t="shared" si="296"/>
        <v>1</v>
      </c>
      <c r="AP330">
        <f t="shared" si="297"/>
        <v>20</v>
      </c>
      <c r="AQ330">
        <f t="shared" si="298"/>
        <v>560</v>
      </c>
      <c r="AR330">
        <f t="shared" si="299"/>
        <v>0</v>
      </c>
      <c r="AS330">
        <f t="shared" si="300"/>
        <v>0</v>
      </c>
      <c r="AT330">
        <f t="shared" si="301"/>
        <v>0</v>
      </c>
      <c r="AU330">
        <f t="shared" si="302"/>
        <v>0</v>
      </c>
      <c r="AV330">
        <v>0</v>
      </c>
      <c r="AW330">
        <v>0</v>
      </c>
      <c r="AX330">
        <f t="shared" si="303"/>
        <v>0</v>
      </c>
      <c r="AY330">
        <f t="shared" si="304"/>
        <v>0</v>
      </c>
      <c r="AZ330">
        <f t="shared" si="305"/>
        <v>0</v>
      </c>
      <c r="BA330">
        <f t="shared" si="306"/>
        <v>1</v>
      </c>
      <c r="BB330">
        <f t="shared" si="307"/>
        <v>20</v>
      </c>
      <c r="BC330">
        <f t="shared" si="308"/>
        <v>560</v>
      </c>
      <c r="BD330">
        <f t="shared" si="309"/>
        <v>0</v>
      </c>
      <c r="BE330">
        <f t="shared" si="310"/>
        <v>0</v>
      </c>
      <c r="BF330">
        <f t="shared" si="311"/>
        <v>0</v>
      </c>
      <c r="BG330">
        <f t="shared" si="312"/>
        <v>0</v>
      </c>
      <c r="BH330">
        <f t="shared" si="313"/>
        <v>0</v>
      </c>
      <c r="BI330">
        <f t="shared" si="314"/>
        <v>0</v>
      </c>
      <c r="BJ330">
        <v>0</v>
      </c>
      <c r="BK330" t="str">
        <f t="shared" si="326"/>
        <v>Big Win</v>
      </c>
      <c r="BL330" s="40" t="str">
        <f t="shared" si="327"/>
        <v>Bonus Game B</v>
      </c>
      <c r="BM330">
        <f>(D330/Frequency!$N$7-Summary!$C$7)^2*E330</f>
        <v>14753.312000000002</v>
      </c>
      <c r="BN330">
        <f t="shared" si="315"/>
        <v>0</v>
      </c>
      <c r="BO330">
        <f t="shared" si="316"/>
        <v>0</v>
      </c>
      <c r="BP330">
        <f t="shared" si="317"/>
        <v>0</v>
      </c>
      <c r="BQ330">
        <f t="shared" si="318"/>
        <v>0</v>
      </c>
      <c r="BR330">
        <f t="shared" si="319"/>
        <v>0</v>
      </c>
      <c r="BS330">
        <f t="shared" si="320"/>
        <v>0</v>
      </c>
      <c r="BT330">
        <f t="shared" si="321"/>
        <v>0</v>
      </c>
      <c r="BU330">
        <f t="shared" si="322"/>
        <v>0</v>
      </c>
      <c r="BV330">
        <f t="shared" si="323"/>
        <v>0</v>
      </c>
      <c r="BW330">
        <f t="shared" si="324"/>
        <v>20</v>
      </c>
      <c r="BX330">
        <f t="shared" si="325"/>
        <v>560</v>
      </c>
    </row>
    <row r="331" spans="2:76">
      <c r="B331" s="19">
        <f>Tiers!B332</f>
        <v>329</v>
      </c>
      <c r="C331" s="20" t="str">
        <f>Tiers!X332</f>
        <v>main-3|main-20|main-4|wild-15|bonusB-4|||||</v>
      </c>
      <c r="D331" s="21">
        <f>Tiers!C332</f>
        <v>28</v>
      </c>
      <c r="E331" s="22">
        <f>Frequency!E333</f>
        <v>5</v>
      </c>
      <c r="F331" s="22">
        <f t="shared" si="275"/>
        <v>140</v>
      </c>
      <c r="G331" s="20">
        <f>IF(AND(D331/Summary!$C$4&gt;0, D331/Summary!$C$4&lt;5),E331,0) * D331</f>
        <v>0</v>
      </c>
      <c r="H331" s="20">
        <f>IF(AND(D331/Summary!$C$4&gt;= 5, D331/Summary!$C$4&lt;10),E331,0) * D331</f>
        <v>0</v>
      </c>
      <c r="I331" s="20">
        <f>IF(AND(D331/Summary!$C$4&gt;=10, D331/Summary!$C$4&lt;25),E331,0)*D331</f>
        <v>0</v>
      </c>
      <c r="J331" s="20">
        <f>IF(D331/Summary!$C$4&gt;=25,E331,0)*D331</f>
        <v>140</v>
      </c>
      <c r="K331" s="35">
        <f>IF(AND(D331/Frequency!$N$7&gt;0, D331/Frequency!$N$7&lt;1),E331,0)</f>
        <v>0</v>
      </c>
      <c r="L331" s="35">
        <f t="shared" si="276"/>
        <v>0</v>
      </c>
      <c r="M331" s="35">
        <f>IF(D331/Frequency!$N$7=1,1,0)*E331</f>
        <v>0</v>
      </c>
      <c r="N331" s="35">
        <f t="shared" si="277"/>
        <v>0</v>
      </c>
      <c r="O331" s="35">
        <f>IF(AND(D331/Frequency!$N$7&gt;1, D331/Frequency!$N$7&lt;=2),1,0)*E331</f>
        <v>0</v>
      </c>
      <c r="P331" s="35">
        <f t="shared" si="278"/>
        <v>0</v>
      </c>
      <c r="Q331" s="35">
        <f>IF(AND(D331/Frequency!$N$7&gt;2,D331/Frequency!$N$7&lt;=5),1,0)*E331</f>
        <v>0</v>
      </c>
      <c r="R331" s="35">
        <f t="shared" si="279"/>
        <v>0</v>
      </c>
      <c r="S331" s="35">
        <f>IF(AND(D331/Frequency!$N$7&gt;5, D331/Frequency!$N$7&lt;=10),1,0)*E331</f>
        <v>0</v>
      </c>
      <c r="T331" s="35">
        <f t="shared" si="280"/>
        <v>0</v>
      </c>
      <c r="U331" s="35">
        <f>IF(AND(D331/Frequency!$N$7&gt;10, D331/Frequency!$N$7&lt;=20),1,0)*E331</f>
        <v>0</v>
      </c>
      <c r="V331" s="35">
        <f t="shared" si="281"/>
        <v>0</v>
      </c>
      <c r="W331" s="35">
        <f>IF(AND(D331/Frequency!$N$7&gt;20, D331/Frequency!$N$7&lt;=30),1,0)*E331</f>
        <v>5</v>
      </c>
      <c r="X331" s="35">
        <f t="shared" si="282"/>
        <v>140</v>
      </c>
      <c r="Y331" s="35">
        <f>IF(AND(D331/Frequency!$N$7&gt;30, D331/Frequency!$N$7&lt;=50),1,0)*E331</f>
        <v>0</v>
      </c>
      <c r="Z331" s="35">
        <f t="shared" si="283"/>
        <v>0</v>
      </c>
      <c r="AA331" s="35">
        <f>IF(AND(D331/Frequency!$N$7&gt;50, D331/Frequency!$N$7&lt;=100),1,0)*E331</f>
        <v>0</v>
      </c>
      <c r="AB331" s="35">
        <f t="shared" si="284"/>
        <v>0</v>
      </c>
      <c r="AC331" s="35">
        <f>IF(D331/Frequency!$N$7&gt;100,1,0)*E331</f>
        <v>0</v>
      </c>
      <c r="AD331" s="35">
        <f t="shared" si="285"/>
        <v>0</v>
      </c>
      <c r="AE331" s="22">
        <f t="shared" si="286"/>
        <v>0</v>
      </c>
      <c r="AF331" s="22">
        <f t="shared" si="287"/>
        <v>5</v>
      </c>
      <c r="AG331" s="22">
        <f t="shared" si="288"/>
        <v>140</v>
      </c>
      <c r="AH331" s="22">
        <f t="shared" si="289"/>
        <v>0</v>
      </c>
      <c r="AI331" s="35">
        <f t="shared" si="290"/>
        <v>1</v>
      </c>
      <c r="AJ331" s="35">
        <f t="shared" si="291"/>
        <v>5</v>
      </c>
      <c r="AK331" s="35">
        <f t="shared" si="292"/>
        <v>140</v>
      </c>
      <c r="AL331">
        <f t="shared" si="293"/>
        <v>1</v>
      </c>
      <c r="AM331">
        <f t="shared" si="294"/>
        <v>5</v>
      </c>
      <c r="AN331">
        <f t="shared" si="295"/>
        <v>140</v>
      </c>
      <c r="AO331">
        <f t="shared" si="296"/>
        <v>1</v>
      </c>
      <c r="AP331">
        <f t="shared" si="297"/>
        <v>5</v>
      </c>
      <c r="AQ331">
        <f t="shared" si="298"/>
        <v>140</v>
      </c>
      <c r="AR331">
        <f t="shared" si="299"/>
        <v>0</v>
      </c>
      <c r="AS331">
        <f t="shared" si="300"/>
        <v>0</v>
      </c>
      <c r="AT331">
        <f t="shared" si="301"/>
        <v>0</v>
      </c>
      <c r="AU331">
        <f t="shared" si="302"/>
        <v>0</v>
      </c>
      <c r="AV331">
        <v>0</v>
      </c>
      <c r="AW331">
        <v>0</v>
      </c>
      <c r="AX331">
        <f t="shared" si="303"/>
        <v>0</v>
      </c>
      <c r="AY331">
        <f t="shared" si="304"/>
        <v>0</v>
      </c>
      <c r="AZ331">
        <f t="shared" si="305"/>
        <v>0</v>
      </c>
      <c r="BA331">
        <f t="shared" si="306"/>
        <v>1</v>
      </c>
      <c r="BB331">
        <f t="shared" si="307"/>
        <v>5</v>
      </c>
      <c r="BC331">
        <f t="shared" si="308"/>
        <v>140</v>
      </c>
      <c r="BD331">
        <f t="shared" si="309"/>
        <v>0</v>
      </c>
      <c r="BE331">
        <f t="shared" si="310"/>
        <v>0</v>
      </c>
      <c r="BF331">
        <f t="shared" si="311"/>
        <v>0</v>
      </c>
      <c r="BG331">
        <f t="shared" si="312"/>
        <v>0</v>
      </c>
      <c r="BH331">
        <f t="shared" si="313"/>
        <v>0</v>
      </c>
      <c r="BI331">
        <f t="shared" si="314"/>
        <v>0</v>
      </c>
      <c r="BJ331">
        <v>0</v>
      </c>
      <c r="BK331" t="str">
        <f t="shared" si="326"/>
        <v>Big Win</v>
      </c>
      <c r="BL331" s="40" t="str">
        <f t="shared" si="327"/>
        <v>Bonus Game B</v>
      </c>
      <c r="BM331">
        <f>(D331/Frequency!$N$7-Summary!$C$7)^2*E331</f>
        <v>3688.3280000000004</v>
      </c>
      <c r="BN331">
        <f t="shared" si="315"/>
        <v>0</v>
      </c>
      <c r="BO331">
        <f t="shared" si="316"/>
        <v>0</v>
      </c>
      <c r="BP331">
        <f t="shared" si="317"/>
        <v>0</v>
      </c>
      <c r="BQ331">
        <f t="shared" si="318"/>
        <v>0</v>
      </c>
      <c r="BR331">
        <f t="shared" si="319"/>
        <v>0</v>
      </c>
      <c r="BS331">
        <f t="shared" si="320"/>
        <v>0</v>
      </c>
      <c r="BT331">
        <f t="shared" si="321"/>
        <v>0</v>
      </c>
      <c r="BU331">
        <f t="shared" si="322"/>
        <v>0</v>
      </c>
      <c r="BV331">
        <f t="shared" si="323"/>
        <v>0</v>
      </c>
      <c r="BW331">
        <f t="shared" si="324"/>
        <v>5</v>
      </c>
      <c r="BX331">
        <f t="shared" si="325"/>
        <v>140</v>
      </c>
    </row>
    <row r="332" spans="2:76">
      <c r="B332" s="19">
        <f>Tiers!B333</f>
        <v>330</v>
      </c>
      <c r="C332" s="20" t="str">
        <f>Tiers!X333</f>
        <v>main-4|main-0|main-1|main-18|bonusB-5|||||</v>
      </c>
      <c r="D332" s="21">
        <f>Tiers!C333</f>
        <v>20.3</v>
      </c>
      <c r="E332" s="22">
        <f>Frequency!E334</f>
        <v>8</v>
      </c>
      <c r="F332" s="22">
        <f t="shared" si="275"/>
        <v>162.4</v>
      </c>
      <c r="G332" s="20">
        <f>IF(AND(D332/Summary!$C$4&gt;0, D332/Summary!$C$4&lt;5),E332,0) * D332</f>
        <v>0</v>
      </c>
      <c r="H332" s="20">
        <f>IF(AND(D332/Summary!$C$4&gt;= 5, D332/Summary!$C$4&lt;10),E332,0) * D332</f>
        <v>0</v>
      </c>
      <c r="I332" s="20">
        <f>IF(AND(D332/Summary!$C$4&gt;=10, D332/Summary!$C$4&lt;25),E332,0)*D332</f>
        <v>162.4</v>
      </c>
      <c r="J332" s="20">
        <f>IF(D332/Summary!$C$4&gt;=25,E332,0)*D332</f>
        <v>0</v>
      </c>
      <c r="K332" s="35">
        <f>IF(AND(D332/Frequency!$N$7&gt;0, D332/Frequency!$N$7&lt;1),E332,0)</f>
        <v>0</v>
      </c>
      <c r="L332" s="35">
        <f t="shared" si="276"/>
        <v>0</v>
      </c>
      <c r="M332" s="35">
        <f>IF(D332/Frequency!$N$7=1,1,0)*E332</f>
        <v>0</v>
      </c>
      <c r="N332" s="35">
        <f t="shared" si="277"/>
        <v>0</v>
      </c>
      <c r="O332" s="35">
        <f>IF(AND(D332/Frequency!$N$7&gt;1, D332/Frequency!$N$7&lt;=2),1,0)*E332</f>
        <v>0</v>
      </c>
      <c r="P332" s="35">
        <f t="shared" si="278"/>
        <v>0</v>
      </c>
      <c r="Q332" s="35">
        <f>IF(AND(D332/Frequency!$N$7&gt;2,D332/Frequency!$N$7&lt;=5),1,0)*E332</f>
        <v>0</v>
      </c>
      <c r="R332" s="35">
        <f t="shared" si="279"/>
        <v>0</v>
      </c>
      <c r="S332" s="35">
        <f>IF(AND(D332/Frequency!$N$7&gt;5, D332/Frequency!$N$7&lt;=10),1,0)*E332</f>
        <v>0</v>
      </c>
      <c r="T332" s="35">
        <f t="shared" si="280"/>
        <v>0</v>
      </c>
      <c r="U332" s="35">
        <f>IF(AND(D332/Frequency!$N$7&gt;10, D332/Frequency!$N$7&lt;=20),1,0)*E332</f>
        <v>0</v>
      </c>
      <c r="V332" s="35">
        <f t="shared" si="281"/>
        <v>0</v>
      </c>
      <c r="W332" s="35">
        <f>IF(AND(D332/Frequency!$N$7&gt;20, D332/Frequency!$N$7&lt;=30),1,0)*E332</f>
        <v>8</v>
      </c>
      <c r="X332" s="35">
        <f t="shared" si="282"/>
        <v>162.4</v>
      </c>
      <c r="Y332" s="35">
        <f>IF(AND(D332/Frequency!$N$7&gt;30, D332/Frequency!$N$7&lt;=50),1,0)*E332</f>
        <v>0</v>
      </c>
      <c r="Z332" s="35">
        <f t="shared" si="283"/>
        <v>0</v>
      </c>
      <c r="AA332" s="35">
        <f>IF(AND(D332/Frequency!$N$7&gt;50, D332/Frequency!$N$7&lt;=100),1,0)*E332</f>
        <v>0</v>
      </c>
      <c r="AB332" s="35">
        <f t="shared" si="284"/>
        <v>0</v>
      </c>
      <c r="AC332" s="35">
        <f>IF(D332/Frequency!$N$7&gt;100,1,0)*E332</f>
        <v>0</v>
      </c>
      <c r="AD332" s="35">
        <f t="shared" si="285"/>
        <v>0</v>
      </c>
      <c r="AE332" s="22">
        <f t="shared" si="286"/>
        <v>0</v>
      </c>
      <c r="AF332" s="22">
        <f t="shared" si="287"/>
        <v>8</v>
      </c>
      <c r="AG332" s="22">
        <f t="shared" si="288"/>
        <v>162.4</v>
      </c>
      <c r="AH332" s="22">
        <f t="shared" si="289"/>
        <v>0</v>
      </c>
      <c r="AI332" s="35">
        <f t="shared" si="290"/>
        <v>1</v>
      </c>
      <c r="AJ332" s="35">
        <f t="shared" si="291"/>
        <v>8</v>
      </c>
      <c r="AK332" s="35">
        <f t="shared" si="292"/>
        <v>162.4</v>
      </c>
      <c r="AL332">
        <f t="shared" si="293"/>
        <v>0</v>
      </c>
      <c r="AM332">
        <f t="shared" si="294"/>
        <v>0</v>
      </c>
      <c r="AN332">
        <f t="shared" si="295"/>
        <v>0</v>
      </c>
      <c r="AO332">
        <f t="shared" si="296"/>
        <v>0</v>
      </c>
      <c r="AP332">
        <f t="shared" si="297"/>
        <v>0</v>
      </c>
      <c r="AQ332">
        <f t="shared" si="298"/>
        <v>0</v>
      </c>
      <c r="AR332">
        <f t="shared" si="299"/>
        <v>0</v>
      </c>
      <c r="AS332">
        <f t="shared" si="300"/>
        <v>0</v>
      </c>
      <c r="AT332">
        <f t="shared" si="301"/>
        <v>0</v>
      </c>
      <c r="AU332">
        <f t="shared" si="302"/>
        <v>0</v>
      </c>
      <c r="AV332">
        <v>0</v>
      </c>
      <c r="AW332">
        <v>0</v>
      </c>
      <c r="AX332">
        <f t="shared" si="303"/>
        <v>0</v>
      </c>
      <c r="AY332">
        <f t="shared" si="304"/>
        <v>0</v>
      </c>
      <c r="AZ332">
        <f t="shared" si="305"/>
        <v>0</v>
      </c>
      <c r="BA332">
        <f t="shared" si="306"/>
        <v>1</v>
      </c>
      <c r="BB332">
        <f t="shared" si="307"/>
        <v>8</v>
      </c>
      <c r="BC332">
        <f t="shared" si="308"/>
        <v>162.4</v>
      </c>
      <c r="BD332">
        <f t="shared" si="309"/>
        <v>0</v>
      </c>
      <c r="BE332">
        <f t="shared" si="310"/>
        <v>0</v>
      </c>
      <c r="BF332">
        <f t="shared" si="311"/>
        <v>0</v>
      </c>
      <c r="BG332">
        <f t="shared" si="312"/>
        <v>0</v>
      </c>
      <c r="BH332">
        <f t="shared" si="313"/>
        <v>0</v>
      </c>
      <c r="BI332">
        <f t="shared" si="314"/>
        <v>0</v>
      </c>
      <c r="BJ332">
        <v>0</v>
      </c>
      <c r="BK332" t="str">
        <f t="shared" si="326"/>
        <v>Big Win</v>
      </c>
      <c r="BL332" s="40" t="str">
        <f t="shared" si="327"/>
        <v>Bonus Game B</v>
      </c>
      <c r="BM332">
        <f>(D332/Frequency!$N$7-Summary!$C$7)^2*E332</f>
        <v>3029.5328000000004</v>
      </c>
      <c r="BN332">
        <f t="shared" si="315"/>
        <v>0</v>
      </c>
      <c r="BO332">
        <f t="shared" si="316"/>
        <v>0</v>
      </c>
      <c r="BP332">
        <f t="shared" si="317"/>
        <v>0</v>
      </c>
      <c r="BQ332">
        <f t="shared" si="318"/>
        <v>0</v>
      </c>
      <c r="BR332">
        <f t="shared" si="319"/>
        <v>0</v>
      </c>
      <c r="BS332">
        <f t="shared" si="320"/>
        <v>0</v>
      </c>
      <c r="BT332">
        <f t="shared" si="321"/>
        <v>0</v>
      </c>
      <c r="BU332">
        <f t="shared" si="322"/>
        <v>0</v>
      </c>
      <c r="BV332">
        <f t="shared" si="323"/>
        <v>0</v>
      </c>
      <c r="BW332">
        <f t="shared" si="324"/>
        <v>8</v>
      </c>
      <c r="BX332">
        <f t="shared" si="325"/>
        <v>162.4</v>
      </c>
    </row>
    <row r="333" spans="2:76">
      <c r="B333" s="19">
        <f>Tiers!B334</f>
        <v>331</v>
      </c>
      <c r="C333" s="20" t="str">
        <f>Tiers!X334</f>
        <v>main-0|main-4|main-0|main-19|bonusB-4|||||</v>
      </c>
      <c r="D333" s="21">
        <f>Tiers!C334</f>
        <v>19.2</v>
      </c>
      <c r="E333" s="22">
        <f>Frequency!E335</f>
        <v>8</v>
      </c>
      <c r="F333" s="22">
        <f t="shared" si="275"/>
        <v>153.6</v>
      </c>
      <c r="G333" s="20">
        <f>IF(AND(D333/Summary!$C$4&gt;0, D333/Summary!$C$4&lt;5),E333,0) * D333</f>
        <v>0</v>
      </c>
      <c r="H333" s="20">
        <f>IF(AND(D333/Summary!$C$4&gt;= 5, D333/Summary!$C$4&lt;10),E333,0) * D333</f>
        <v>0</v>
      </c>
      <c r="I333" s="20">
        <f>IF(AND(D333/Summary!$C$4&gt;=10, D333/Summary!$C$4&lt;25),E333,0)*D333</f>
        <v>153.6</v>
      </c>
      <c r="J333" s="20">
        <f>IF(D333/Summary!$C$4&gt;=25,E333,0)*D333</f>
        <v>0</v>
      </c>
      <c r="K333" s="35">
        <f>IF(AND(D333/Frequency!$N$7&gt;0, D333/Frequency!$N$7&lt;1),E333,0)</f>
        <v>0</v>
      </c>
      <c r="L333" s="35">
        <f t="shared" si="276"/>
        <v>0</v>
      </c>
      <c r="M333" s="35">
        <f>IF(D333/Frequency!$N$7=1,1,0)*E333</f>
        <v>0</v>
      </c>
      <c r="N333" s="35">
        <f t="shared" si="277"/>
        <v>0</v>
      </c>
      <c r="O333" s="35">
        <f>IF(AND(D333/Frequency!$N$7&gt;1, D333/Frequency!$N$7&lt;=2),1,0)*E333</f>
        <v>0</v>
      </c>
      <c r="P333" s="35">
        <f t="shared" si="278"/>
        <v>0</v>
      </c>
      <c r="Q333" s="35">
        <f>IF(AND(D333/Frequency!$N$7&gt;2,D333/Frequency!$N$7&lt;=5),1,0)*E333</f>
        <v>0</v>
      </c>
      <c r="R333" s="35">
        <f t="shared" si="279"/>
        <v>0</v>
      </c>
      <c r="S333" s="35">
        <f>IF(AND(D333/Frequency!$N$7&gt;5, D333/Frequency!$N$7&lt;=10),1,0)*E333</f>
        <v>0</v>
      </c>
      <c r="T333" s="35">
        <f t="shared" si="280"/>
        <v>0</v>
      </c>
      <c r="U333" s="35">
        <f>IF(AND(D333/Frequency!$N$7&gt;10, D333/Frequency!$N$7&lt;=20),1,0)*E333</f>
        <v>8</v>
      </c>
      <c r="V333" s="35">
        <f t="shared" si="281"/>
        <v>153.6</v>
      </c>
      <c r="W333" s="35">
        <f>IF(AND(D333/Frequency!$N$7&gt;20, D333/Frequency!$N$7&lt;=30),1,0)*E333</f>
        <v>0</v>
      </c>
      <c r="X333" s="35">
        <f t="shared" si="282"/>
        <v>0</v>
      </c>
      <c r="Y333" s="35">
        <f>IF(AND(D333/Frequency!$N$7&gt;30, D333/Frequency!$N$7&lt;=50),1,0)*E333</f>
        <v>0</v>
      </c>
      <c r="Z333" s="35">
        <f t="shared" si="283"/>
        <v>0</v>
      </c>
      <c r="AA333" s="35">
        <f>IF(AND(D333/Frequency!$N$7&gt;50, D333/Frequency!$N$7&lt;=100),1,0)*E333</f>
        <v>0</v>
      </c>
      <c r="AB333" s="35">
        <f t="shared" si="284"/>
        <v>0</v>
      </c>
      <c r="AC333" s="35">
        <f>IF(D333/Frequency!$N$7&gt;100,1,0)*E333</f>
        <v>0</v>
      </c>
      <c r="AD333" s="35">
        <f t="shared" si="285"/>
        <v>0</v>
      </c>
      <c r="AE333" s="22">
        <f t="shared" si="286"/>
        <v>0</v>
      </c>
      <c r="AF333" s="22">
        <f t="shared" si="287"/>
        <v>8</v>
      </c>
      <c r="AG333" s="22">
        <f t="shared" si="288"/>
        <v>153.6</v>
      </c>
      <c r="AH333" s="22">
        <f t="shared" si="289"/>
        <v>0</v>
      </c>
      <c r="AI333" s="35">
        <f t="shared" si="290"/>
        <v>1</v>
      </c>
      <c r="AJ333" s="35">
        <f t="shared" si="291"/>
        <v>8</v>
      </c>
      <c r="AK333" s="35">
        <f t="shared" si="292"/>
        <v>153.6</v>
      </c>
      <c r="AL333">
        <f t="shared" si="293"/>
        <v>0</v>
      </c>
      <c r="AM333">
        <f t="shared" si="294"/>
        <v>0</v>
      </c>
      <c r="AN333">
        <f t="shared" si="295"/>
        <v>0</v>
      </c>
      <c r="AO333">
        <f t="shared" si="296"/>
        <v>0</v>
      </c>
      <c r="AP333">
        <f t="shared" si="297"/>
        <v>0</v>
      </c>
      <c r="AQ333">
        <f t="shared" si="298"/>
        <v>0</v>
      </c>
      <c r="AR333">
        <f t="shared" si="299"/>
        <v>0</v>
      </c>
      <c r="AS333">
        <f t="shared" si="300"/>
        <v>0</v>
      </c>
      <c r="AT333">
        <f t="shared" si="301"/>
        <v>0</v>
      </c>
      <c r="AU333">
        <f t="shared" si="302"/>
        <v>0</v>
      </c>
      <c r="AV333">
        <v>0</v>
      </c>
      <c r="AW333">
        <v>0</v>
      </c>
      <c r="AX333">
        <f t="shared" si="303"/>
        <v>0</v>
      </c>
      <c r="AY333">
        <f t="shared" si="304"/>
        <v>0</v>
      </c>
      <c r="AZ333">
        <f t="shared" si="305"/>
        <v>0</v>
      </c>
      <c r="BA333">
        <f t="shared" si="306"/>
        <v>1</v>
      </c>
      <c r="BB333">
        <f t="shared" si="307"/>
        <v>8</v>
      </c>
      <c r="BC333">
        <f t="shared" si="308"/>
        <v>153.6</v>
      </c>
      <c r="BD333">
        <f t="shared" si="309"/>
        <v>0</v>
      </c>
      <c r="BE333">
        <f t="shared" si="310"/>
        <v>0</v>
      </c>
      <c r="BF333">
        <f t="shared" si="311"/>
        <v>0</v>
      </c>
      <c r="BG333">
        <f t="shared" si="312"/>
        <v>0</v>
      </c>
      <c r="BH333">
        <f t="shared" si="313"/>
        <v>0</v>
      </c>
      <c r="BI333">
        <f t="shared" si="314"/>
        <v>0</v>
      </c>
      <c r="BJ333">
        <v>0</v>
      </c>
      <c r="BK333" t="str">
        <f t="shared" si="326"/>
        <v>Big Win</v>
      </c>
      <c r="BL333" s="40" t="str">
        <f t="shared" si="327"/>
        <v>Bonus Game B</v>
      </c>
      <c r="BM333">
        <f>(D333/Frequency!$N$7-Summary!$C$7)^2*E333</f>
        <v>2696.7167999999997</v>
      </c>
      <c r="BN333">
        <f t="shared" si="315"/>
        <v>0</v>
      </c>
      <c r="BO333">
        <f t="shared" si="316"/>
        <v>0</v>
      </c>
      <c r="BP333">
        <f t="shared" si="317"/>
        <v>0</v>
      </c>
      <c r="BQ333">
        <f t="shared" si="318"/>
        <v>0</v>
      </c>
      <c r="BR333">
        <f t="shared" si="319"/>
        <v>0</v>
      </c>
      <c r="BS333">
        <f t="shared" si="320"/>
        <v>0</v>
      </c>
      <c r="BT333">
        <f t="shared" si="321"/>
        <v>0</v>
      </c>
      <c r="BU333">
        <f t="shared" si="322"/>
        <v>0</v>
      </c>
      <c r="BV333">
        <f t="shared" si="323"/>
        <v>0</v>
      </c>
      <c r="BW333">
        <f t="shared" si="324"/>
        <v>8</v>
      </c>
      <c r="BX333">
        <f t="shared" si="325"/>
        <v>153.6</v>
      </c>
    </row>
    <row r="334" spans="2:76">
      <c r="B334" s="19">
        <f>Tiers!B335</f>
        <v>332</v>
      </c>
      <c r="C334" s="20" t="str">
        <f>Tiers!X335</f>
        <v>main-0|main-13|main-26|main-18|bonusB-4|||||</v>
      </c>
      <c r="D334" s="21">
        <f>Tiers!C335</f>
        <v>30.1</v>
      </c>
      <c r="E334" s="22">
        <f>Frequency!E336</f>
        <v>9</v>
      </c>
      <c r="F334" s="22">
        <f t="shared" si="275"/>
        <v>270.90000000000003</v>
      </c>
      <c r="G334" s="20">
        <f>IF(AND(D334/Summary!$C$4&gt;0, D334/Summary!$C$4&lt;5),E334,0) * D334</f>
        <v>0</v>
      </c>
      <c r="H334" s="20">
        <f>IF(AND(D334/Summary!$C$4&gt;= 5, D334/Summary!$C$4&lt;10),E334,0) * D334</f>
        <v>0</v>
      </c>
      <c r="I334" s="20">
        <f>IF(AND(D334/Summary!$C$4&gt;=10, D334/Summary!$C$4&lt;25),E334,0)*D334</f>
        <v>0</v>
      </c>
      <c r="J334" s="20">
        <f>IF(D334/Summary!$C$4&gt;=25,E334,0)*D334</f>
        <v>270.90000000000003</v>
      </c>
      <c r="K334" s="35">
        <f>IF(AND(D334/Frequency!$N$7&gt;0, D334/Frequency!$N$7&lt;1),E334,0)</f>
        <v>0</v>
      </c>
      <c r="L334" s="35">
        <f t="shared" si="276"/>
        <v>0</v>
      </c>
      <c r="M334" s="35">
        <f>IF(D334/Frequency!$N$7=1,1,0)*E334</f>
        <v>0</v>
      </c>
      <c r="N334" s="35">
        <f t="shared" si="277"/>
        <v>0</v>
      </c>
      <c r="O334" s="35">
        <f>IF(AND(D334/Frequency!$N$7&gt;1, D334/Frequency!$N$7&lt;=2),1,0)*E334</f>
        <v>0</v>
      </c>
      <c r="P334" s="35">
        <f t="shared" si="278"/>
        <v>0</v>
      </c>
      <c r="Q334" s="35">
        <f>IF(AND(D334/Frequency!$N$7&gt;2,D334/Frequency!$N$7&lt;=5),1,0)*E334</f>
        <v>0</v>
      </c>
      <c r="R334" s="35">
        <f t="shared" si="279"/>
        <v>0</v>
      </c>
      <c r="S334" s="35">
        <f>IF(AND(D334/Frequency!$N$7&gt;5, D334/Frequency!$N$7&lt;=10),1,0)*E334</f>
        <v>0</v>
      </c>
      <c r="T334" s="35">
        <f t="shared" si="280"/>
        <v>0</v>
      </c>
      <c r="U334" s="35">
        <f>IF(AND(D334/Frequency!$N$7&gt;10, D334/Frequency!$N$7&lt;=20),1,0)*E334</f>
        <v>0</v>
      </c>
      <c r="V334" s="35">
        <f t="shared" si="281"/>
        <v>0</v>
      </c>
      <c r="W334" s="35">
        <f>IF(AND(D334/Frequency!$N$7&gt;20, D334/Frequency!$N$7&lt;=30),1,0)*E334</f>
        <v>0</v>
      </c>
      <c r="X334" s="35">
        <f t="shared" si="282"/>
        <v>0</v>
      </c>
      <c r="Y334" s="35">
        <f>IF(AND(D334/Frequency!$N$7&gt;30, D334/Frequency!$N$7&lt;=50),1,0)*E334</f>
        <v>9</v>
      </c>
      <c r="Z334" s="35">
        <f t="shared" si="283"/>
        <v>270.90000000000003</v>
      </c>
      <c r="AA334" s="35">
        <f>IF(AND(D334/Frequency!$N$7&gt;50, D334/Frequency!$N$7&lt;=100),1,0)*E334</f>
        <v>0</v>
      </c>
      <c r="AB334" s="35">
        <f t="shared" si="284"/>
        <v>0</v>
      </c>
      <c r="AC334" s="35">
        <f>IF(D334/Frequency!$N$7&gt;100,1,0)*E334</f>
        <v>0</v>
      </c>
      <c r="AD334" s="35">
        <f t="shared" si="285"/>
        <v>0</v>
      </c>
      <c r="AE334" s="22">
        <f t="shared" si="286"/>
        <v>0</v>
      </c>
      <c r="AF334" s="22">
        <f t="shared" si="287"/>
        <v>9</v>
      </c>
      <c r="AG334" s="22">
        <f t="shared" si="288"/>
        <v>270.90000000000003</v>
      </c>
      <c r="AH334" s="22">
        <f t="shared" si="289"/>
        <v>0</v>
      </c>
      <c r="AI334" s="35">
        <f t="shared" si="290"/>
        <v>1</v>
      </c>
      <c r="AJ334" s="35">
        <f t="shared" si="291"/>
        <v>9</v>
      </c>
      <c r="AK334" s="35">
        <f t="shared" si="292"/>
        <v>270.90000000000003</v>
      </c>
      <c r="AL334">
        <f t="shared" si="293"/>
        <v>0</v>
      </c>
      <c r="AM334">
        <f t="shared" si="294"/>
        <v>0</v>
      </c>
      <c r="AN334">
        <f t="shared" si="295"/>
        <v>0</v>
      </c>
      <c r="AO334">
        <f t="shared" si="296"/>
        <v>0</v>
      </c>
      <c r="AP334">
        <f t="shared" si="297"/>
        <v>0</v>
      </c>
      <c r="AQ334">
        <f t="shared" si="298"/>
        <v>0</v>
      </c>
      <c r="AR334">
        <f t="shared" si="299"/>
        <v>0</v>
      </c>
      <c r="AS334">
        <f t="shared" si="300"/>
        <v>0</v>
      </c>
      <c r="AT334">
        <f t="shared" si="301"/>
        <v>0</v>
      </c>
      <c r="AU334">
        <f t="shared" si="302"/>
        <v>0</v>
      </c>
      <c r="AV334">
        <v>0</v>
      </c>
      <c r="AW334">
        <v>0</v>
      </c>
      <c r="AX334">
        <f t="shared" si="303"/>
        <v>0</v>
      </c>
      <c r="AY334">
        <f t="shared" si="304"/>
        <v>0</v>
      </c>
      <c r="AZ334">
        <f t="shared" si="305"/>
        <v>0</v>
      </c>
      <c r="BA334">
        <f t="shared" si="306"/>
        <v>1</v>
      </c>
      <c r="BB334">
        <f t="shared" si="307"/>
        <v>9</v>
      </c>
      <c r="BC334">
        <f t="shared" si="308"/>
        <v>270.90000000000003</v>
      </c>
      <c r="BD334">
        <f t="shared" si="309"/>
        <v>0</v>
      </c>
      <c r="BE334">
        <f t="shared" si="310"/>
        <v>0</v>
      </c>
      <c r="BF334">
        <f t="shared" si="311"/>
        <v>0</v>
      </c>
      <c r="BG334">
        <f t="shared" si="312"/>
        <v>0</v>
      </c>
      <c r="BH334">
        <f t="shared" si="313"/>
        <v>0</v>
      </c>
      <c r="BI334">
        <f t="shared" si="314"/>
        <v>0</v>
      </c>
      <c r="BJ334">
        <v>0</v>
      </c>
      <c r="BK334" t="str">
        <f t="shared" si="326"/>
        <v>Big Win</v>
      </c>
      <c r="BL334" s="40" t="str">
        <f t="shared" si="327"/>
        <v>Bonus Game B</v>
      </c>
      <c r="BM334">
        <f>(D334/Frequency!$N$7-Summary!$C$7)^2*E334</f>
        <v>7705.3284000000012</v>
      </c>
      <c r="BN334">
        <f t="shared" si="315"/>
        <v>0</v>
      </c>
      <c r="BO334">
        <f t="shared" si="316"/>
        <v>0</v>
      </c>
      <c r="BP334">
        <f t="shared" si="317"/>
        <v>0</v>
      </c>
      <c r="BQ334">
        <f t="shared" si="318"/>
        <v>0</v>
      </c>
      <c r="BR334">
        <f t="shared" si="319"/>
        <v>0</v>
      </c>
      <c r="BS334">
        <f t="shared" si="320"/>
        <v>0</v>
      </c>
      <c r="BT334">
        <f t="shared" si="321"/>
        <v>0</v>
      </c>
      <c r="BU334">
        <f t="shared" si="322"/>
        <v>0</v>
      </c>
      <c r="BV334">
        <f t="shared" si="323"/>
        <v>0</v>
      </c>
      <c r="BW334">
        <f t="shared" si="324"/>
        <v>9</v>
      </c>
      <c r="BX334">
        <f t="shared" si="325"/>
        <v>270.90000000000003</v>
      </c>
    </row>
    <row r="335" spans="2:76">
      <c r="B335" s="19">
        <f>Tiers!B336</f>
        <v>333</v>
      </c>
      <c r="C335" s="20" t="str">
        <f>Tiers!X336</f>
        <v>main-5|main-13|main-25|main-0|bonusB-5|||||</v>
      </c>
      <c r="D335" s="21">
        <f>Tiers!C336</f>
        <v>30.1</v>
      </c>
      <c r="E335" s="22">
        <f>Frequency!E337</f>
        <v>9</v>
      </c>
      <c r="F335" s="22">
        <f t="shared" si="275"/>
        <v>270.90000000000003</v>
      </c>
      <c r="G335" s="20">
        <f>IF(AND(D335/Summary!$C$4&gt;0, D335/Summary!$C$4&lt;5),E335,0) * D335</f>
        <v>0</v>
      </c>
      <c r="H335" s="20">
        <f>IF(AND(D335/Summary!$C$4&gt;= 5, D335/Summary!$C$4&lt;10),E335,0) * D335</f>
        <v>0</v>
      </c>
      <c r="I335" s="20">
        <f>IF(AND(D335/Summary!$C$4&gt;=10, D335/Summary!$C$4&lt;25),E335,0)*D335</f>
        <v>0</v>
      </c>
      <c r="J335" s="20">
        <f>IF(D335/Summary!$C$4&gt;=25,E335,0)*D335</f>
        <v>270.90000000000003</v>
      </c>
      <c r="K335" s="35">
        <f>IF(AND(D335/Frequency!$N$7&gt;0, D335/Frequency!$N$7&lt;1),E335,0)</f>
        <v>0</v>
      </c>
      <c r="L335" s="35">
        <f t="shared" si="276"/>
        <v>0</v>
      </c>
      <c r="M335" s="35">
        <f>IF(D335/Frequency!$N$7=1,1,0)*E335</f>
        <v>0</v>
      </c>
      <c r="N335" s="35">
        <f t="shared" si="277"/>
        <v>0</v>
      </c>
      <c r="O335" s="35">
        <f>IF(AND(D335/Frequency!$N$7&gt;1, D335/Frequency!$N$7&lt;=2),1,0)*E335</f>
        <v>0</v>
      </c>
      <c r="P335" s="35">
        <f t="shared" si="278"/>
        <v>0</v>
      </c>
      <c r="Q335" s="35">
        <f>IF(AND(D335/Frequency!$N$7&gt;2,D335/Frequency!$N$7&lt;=5),1,0)*E335</f>
        <v>0</v>
      </c>
      <c r="R335" s="35">
        <f t="shared" si="279"/>
        <v>0</v>
      </c>
      <c r="S335" s="35">
        <f>IF(AND(D335/Frequency!$N$7&gt;5, D335/Frequency!$N$7&lt;=10),1,0)*E335</f>
        <v>0</v>
      </c>
      <c r="T335" s="35">
        <f t="shared" si="280"/>
        <v>0</v>
      </c>
      <c r="U335" s="35">
        <f>IF(AND(D335/Frequency!$N$7&gt;10, D335/Frequency!$N$7&lt;=20),1,0)*E335</f>
        <v>0</v>
      </c>
      <c r="V335" s="35">
        <f t="shared" si="281"/>
        <v>0</v>
      </c>
      <c r="W335" s="35">
        <f>IF(AND(D335/Frequency!$N$7&gt;20, D335/Frequency!$N$7&lt;=30),1,0)*E335</f>
        <v>0</v>
      </c>
      <c r="X335" s="35">
        <f t="shared" si="282"/>
        <v>0</v>
      </c>
      <c r="Y335" s="35">
        <f>IF(AND(D335/Frequency!$N$7&gt;30, D335/Frequency!$N$7&lt;=50),1,0)*E335</f>
        <v>9</v>
      </c>
      <c r="Z335" s="35">
        <f t="shared" si="283"/>
        <v>270.90000000000003</v>
      </c>
      <c r="AA335" s="35">
        <f>IF(AND(D335/Frequency!$N$7&gt;50, D335/Frequency!$N$7&lt;=100),1,0)*E335</f>
        <v>0</v>
      </c>
      <c r="AB335" s="35">
        <f t="shared" si="284"/>
        <v>0</v>
      </c>
      <c r="AC335" s="35">
        <f>IF(D335/Frequency!$N$7&gt;100,1,0)*E335</f>
        <v>0</v>
      </c>
      <c r="AD335" s="35">
        <f t="shared" si="285"/>
        <v>0</v>
      </c>
      <c r="AE335" s="22">
        <f t="shared" si="286"/>
        <v>0</v>
      </c>
      <c r="AF335" s="22">
        <f t="shared" si="287"/>
        <v>9</v>
      </c>
      <c r="AG335" s="22">
        <f t="shared" si="288"/>
        <v>270.90000000000003</v>
      </c>
      <c r="AH335" s="22">
        <f t="shared" si="289"/>
        <v>0</v>
      </c>
      <c r="AI335" s="35">
        <f t="shared" si="290"/>
        <v>1</v>
      </c>
      <c r="AJ335" s="35">
        <f t="shared" si="291"/>
        <v>9</v>
      </c>
      <c r="AK335" s="35">
        <f t="shared" si="292"/>
        <v>270.90000000000003</v>
      </c>
      <c r="AL335">
        <f t="shared" si="293"/>
        <v>0</v>
      </c>
      <c r="AM335">
        <f t="shared" si="294"/>
        <v>0</v>
      </c>
      <c r="AN335">
        <f t="shared" si="295"/>
        <v>0</v>
      </c>
      <c r="AO335">
        <f t="shared" si="296"/>
        <v>0</v>
      </c>
      <c r="AP335">
        <f t="shared" si="297"/>
        <v>0</v>
      </c>
      <c r="AQ335">
        <f t="shared" si="298"/>
        <v>0</v>
      </c>
      <c r="AR335">
        <f t="shared" si="299"/>
        <v>0</v>
      </c>
      <c r="AS335">
        <f t="shared" si="300"/>
        <v>0</v>
      </c>
      <c r="AT335">
        <f t="shared" si="301"/>
        <v>0</v>
      </c>
      <c r="AU335">
        <f t="shared" si="302"/>
        <v>0</v>
      </c>
      <c r="AV335">
        <v>0</v>
      </c>
      <c r="AW335">
        <v>0</v>
      </c>
      <c r="AX335">
        <f t="shared" si="303"/>
        <v>0</v>
      </c>
      <c r="AY335">
        <f t="shared" si="304"/>
        <v>0</v>
      </c>
      <c r="AZ335">
        <f t="shared" si="305"/>
        <v>0</v>
      </c>
      <c r="BA335">
        <f t="shared" si="306"/>
        <v>1</v>
      </c>
      <c r="BB335">
        <f t="shared" si="307"/>
        <v>9</v>
      </c>
      <c r="BC335">
        <f t="shared" si="308"/>
        <v>270.90000000000003</v>
      </c>
      <c r="BD335">
        <f t="shared" si="309"/>
        <v>0</v>
      </c>
      <c r="BE335">
        <f t="shared" si="310"/>
        <v>0</v>
      </c>
      <c r="BF335">
        <f t="shared" si="311"/>
        <v>0</v>
      </c>
      <c r="BG335">
        <f t="shared" si="312"/>
        <v>0</v>
      </c>
      <c r="BH335">
        <f t="shared" si="313"/>
        <v>0</v>
      </c>
      <c r="BI335">
        <f t="shared" si="314"/>
        <v>0</v>
      </c>
      <c r="BJ335">
        <v>0</v>
      </c>
      <c r="BK335" t="str">
        <f t="shared" si="326"/>
        <v>Big Win</v>
      </c>
      <c r="BL335" s="40" t="str">
        <f t="shared" si="327"/>
        <v>Bonus Game B</v>
      </c>
      <c r="BM335">
        <f>(D335/Frequency!$N$7-Summary!$C$7)^2*E335</f>
        <v>7705.3284000000012</v>
      </c>
      <c r="BN335">
        <f t="shared" si="315"/>
        <v>0</v>
      </c>
      <c r="BO335">
        <f t="shared" si="316"/>
        <v>0</v>
      </c>
      <c r="BP335">
        <f t="shared" si="317"/>
        <v>0</v>
      </c>
      <c r="BQ335">
        <f t="shared" si="318"/>
        <v>0</v>
      </c>
      <c r="BR335">
        <f t="shared" si="319"/>
        <v>0</v>
      </c>
      <c r="BS335">
        <f t="shared" si="320"/>
        <v>0</v>
      </c>
      <c r="BT335">
        <f t="shared" si="321"/>
        <v>0</v>
      </c>
      <c r="BU335">
        <f t="shared" si="322"/>
        <v>0</v>
      </c>
      <c r="BV335">
        <f t="shared" si="323"/>
        <v>0</v>
      </c>
      <c r="BW335">
        <f t="shared" si="324"/>
        <v>9</v>
      </c>
      <c r="BX335">
        <f t="shared" si="325"/>
        <v>270.90000000000003</v>
      </c>
    </row>
    <row r="336" spans="2:76">
      <c r="B336" s="19">
        <f>Tiers!B337</f>
        <v>334</v>
      </c>
      <c r="C336" s="20" t="str">
        <f>Tiers!X337</f>
        <v>main-5|main-25|main-19|wild-11|bonusB-6|||||</v>
      </c>
      <c r="D336" s="21">
        <f>Tiers!C337</f>
        <v>37</v>
      </c>
      <c r="E336" s="22">
        <f>Frequency!E338</f>
        <v>10</v>
      </c>
      <c r="F336" s="22">
        <f t="shared" si="275"/>
        <v>370</v>
      </c>
      <c r="G336" s="20">
        <f>IF(AND(D336/Summary!$C$4&gt;0, D336/Summary!$C$4&lt;5),E336,0) * D336</f>
        <v>0</v>
      </c>
      <c r="H336" s="20">
        <f>IF(AND(D336/Summary!$C$4&gt;= 5, D336/Summary!$C$4&lt;10),E336,0) * D336</f>
        <v>0</v>
      </c>
      <c r="I336" s="20">
        <f>IF(AND(D336/Summary!$C$4&gt;=10, D336/Summary!$C$4&lt;25),E336,0)*D336</f>
        <v>0</v>
      </c>
      <c r="J336" s="20">
        <f>IF(D336/Summary!$C$4&gt;=25,E336,0)*D336</f>
        <v>370</v>
      </c>
      <c r="K336" s="35">
        <f>IF(AND(D336/Frequency!$N$7&gt;0, D336/Frequency!$N$7&lt;1),E336,0)</f>
        <v>0</v>
      </c>
      <c r="L336" s="35">
        <f t="shared" si="276"/>
        <v>0</v>
      </c>
      <c r="M336" s="35">
        <f>IF(D336/Frequency!$N$7=1,1,0)*E336</f>
        <v>0</v>
      </c>
      <c r="N336" s="35">
        <f t="shared" si="277"/>
        <v>0</v>
      </c>
      <c r="O336" s="35">
        <f>IF(AND(D336/Frequency!$N$7&gt;1, D336/Frequency!$N$7&lt;=2),1,0)*E336</f>
        <v>0</v>
      </c>
      <c r="P336" s="35">
        <f t="shared" si="278"/>
        <v>0</v>
      </c>
      <c r="Q336" s="35">
        <f>IF(AND(D336/Frequency!$N$7&gt;2,D336/Frequency!$N$7&lt;=5),1,0)*E336</f>
        <v>0</v>
      </c>
      <c r="R336" s="35">
        <f t="shared" si="279"/>
        <v>0</v>
      </c>
      <c r="S336" s="35">
        <f>IF(AND(D336/Frequency!$N$7&gt;5, D336/Frequency!$N$7&lt;=10),1,0)*E336</f>
        <v>0</v>
      </c>
      <c r="T336" s="35">
        <f t="shared" si="280"/>
        <v>0</v>
      </c>
      <c r="U336" s="35">
        <f>IF(AND(D336/Frequency!$N$7&gt;10, D336/Frequency!$N$7&lt;=20),1,0)*E336</f>
        <v>0</v>
      </c>
      <c r="V336" s="35">
        <f t="shared" si="281"/>
        <v>0</v>
      </c>
      <c r="W336" s="35">
        <f>IF(AND(D336/Frequency!$N$7&gt;20, D336/Frequency!$N$7&lt;=30),1,0)*E336</f>
        <v>0</v>
      </c>
      <c r="X336" s="35">
        <f t="shared" si="282"/>
        <v>0</v>
      </c>
      <c r="Y336" s="35">
        <f>IF(AND(D336/Frequency!$N$7&gt;30, D336/Frequency!$N$7&lt;=50),1,0)*E336</f>
        <v>10</v>
      </c>
      <c r="Z336" s="35">
        <f t="shared" si="283"/>
        <v>370</v>
      </c>
      <c r="AA336" s="35">
        <f>IF(AND(D336/Frequency!$N$7&gt;50, D336/Frequency!$N$7&lt;=100),1,0)*E336</f>
        <v>0</v>
      </c>
      <c r="AB336" s="35">
        <f t="shared" si="284"/>
        <v>0</v>
      </c>
      <c r="AC336" s="35">
        <f>IF(D336/Frequency!$N$7&gt;100,1,0)*E336</f>
        <v>0</v>
      </c>
      <c r="AD336" s="35">
        <f t="shared" si="285"/>
        <v>0</v>
      </c>
      <c r="AE336" s="22">
        <f t="shared" si="286"/>
        <v>0</v>
      </c>
      <c r="AF336" s="22">
        <f t="shared" si="287"/>
        <v>10</v>
      </c>
      <c r="AG336" s="22">
        <f t="shared" si="288"/>
        <v>370</v>
      </c>
      <c r="AH336" s="22">
        <f t="shared" si="289"/>
        <v>0</v>
      </c>
      <c r="AI336" s="35">
        <f t="shared" si="290"/>
        <v>1</v>
      </c>
      <c r="AJ336" s="35">
        <f t="shared" si="291"/>
        <v>10</v>
      </c>
      <c r="AK336" s="35">
        <f t="shared" si="292"/>
        <v>370</v>
      </c>
      <c r="AL336">
        <f t="shared" si="293"/>
        <v>1</v>
      </c>
      <c r="AM336">
        <f t="shared" si="294"/>
        <v>10</v>
      </c>
      <c r="AN336">
        <f t="shared" si="295"/>
        <v>370</v>
      </c>
      <c r="AO336">
        <f t="shared" si="296"/>
        <v>1</v>
      </c>
      <c r="AP336">
        <f t="shared" si="297"/>
        <v>10</v>
      </c>
      <c r="AQ336">
        <f t="shared" si="298"/>
        <v>370</v>
      </c>
      <c r="AR336">
        <f t="shared" si="299"/>
        <v>0</v>
      </c>
      <c r="AS336">
        <f t="shared" si="300"/>
        <v>0</v>
      </c>
      <c r="AT336">
        <f t="shared" si="301"/>
        <v>0</v>
      </c>
      <c r="AU336">
        <f t="shared" si="302"/>
        <v>0</v>
      </c>
      <c r="AV336">
        <v>0</v>
      </c>
      <c r="AW336">
        <v>0</v>
      </c>
      <c r="AX336">
        <f t="shared" si="303"/>
        <v>0</v>
      </c>
      <c r="AY336">
        <f t="shared" si="304"/>
        <v>0</v>
      </c>
      <c r="AZ336">
        <f t="shared" si="305"/>
        <v>0</v>
      </c>
      <c r="BA336">
        <f t="shared" si="306"/>
        <v>1</v>
      </c>
      <c r="BB336">
        <f t="shared" si="307"/>
        <v>10</v>
      </c>
      <c r="BC336">
        <f t="shared" si="308"/>
        <v>370</v>
      </c>
      <c r="BD336">
        <f t="shared" si="309"/>
        <v>0</v>
      </c>
      <c r="BE336">
        <f t="shared" si="310"/>
        <v>0</v>
      </c>
      <c r="BF336">
        <f t="shared" si="311"/>
        <v>0</v>
      </c>
      <c r="BG336">
        <f t="shared" si="312"/>
        <v>0</v>
      </c>
      <c r="BH336">
        <f t="shared" si="313"/>
        <v>0</v>
      </c>
      <c r="BI336">
        <f t="shared" si="314"/>
        <v>0</v>
      </c>
      <c r="BJ336">
        <v>0</v>
      </c>
      <c r="BK336" t="str">
        <f t="shared" si="326"/>
        <v>Big Win</v>
      </c>
      <c r="BL336" s="40" t="str">
        <f t="shared" si="327"/>
        <v>Bonus Game B</v>
      </c>
      <c r="BM336">
        <f>(D336/Frequency!$N$7-Summary!$C$7)^2*E336</f>
        <v>13075.455999999996</v>
      </c>
      <c r="BN336">
        <f t="shared" si="315"/>
        <v>0</v>
      </c>
      <c r="BO336">
        <f t="shared" si="316"/>
        <v>0</v>
      </c>
      <c r="BP336">
        <f t="shared" si="317"/>
        <v>0</v>
      </c>
      <c r="BQ336">
        <f t="shared" si="318"/>
        <v>0</v>
      </c>
      <c r="BR336">
        <f t="shared" si="319"/>
        <v>0</v>
      </c>
      <c r="BS336">
        <f t="shared" si="320"/>
        <v>0</v>
      </c>
      <c r="BT336">
        <f t="shared" si="321"/>
        <v>0</v>
      </c>
      <c r="BU336">
        <f t="shared" si="322"/>
        <v>0</v>
      </c>
      <c r="BV336">
        <f t="shared" si="323"/>
        <v>0</v>
      </c>
      <c r="BW336">
        <f t="shared" si="324"/>
        <v>10</v>
      </c>
      <c r="BX336">
        <f t="shared" si="325"/>
        <v>370</v>
      </c>
    </row>
    <row r="337" spans="2:76">
      <c r="B337" s="19">
        <f>Tiers!B338</f>
        <v>335</v>
      </c>
      <c r="C337" s="20" t="str">
        <f>Tiers!X338</f>
        <v>main-4|main-19|main-5|wild-2|bonusB-3|||||</v>
      </c>
      <c r="D337" s="21">
        <f>Tiers!C338</f>
        <v>22.5</v>
      </c>
      <c r="E337" s="22">
        <f>Frequency!E339</f>
        <v>10</v>
      </c>
      <c r="F337" s="22">
        <f t="shared" si="275"/>
        <v>225</v>
      </c>
      <c r="G337" s="20">
        <f>IF(AND(D337/Summary!$C$4&gt;0, D337/Summary!$C$4&lt;5),E337,0) * D337</f>
        <v>0</v>
      </c>
      <c r="H337" s="20">
        <f>IF(AND(D337/Summary!$C$4&gt;= 5, D337/Summary!$C$4&lt;10),E337,0) * D337</f>
        <v>0</v>
      </c>
      <c r="I337" s="20">
        <f>IF(AND(D337/Summary!$C$4&gt;=10, D337/Summary!$C$4&lt;25),E337,0)*D337</f>
        <v>225</v>
      </c>
      <c r="J337" s="20">
        <f>IF(D337/Summary!$C$4&gt;=25,E337,0)*D337</f>
        <v>0</v>
      </c>
      <c r="K337" s="35">
        <f>IF(AND(D337/Frequency!$N$7&gt;0, D337/Frequency!$N$7&lt;1),E337,0)</f>
        <v>0</v>
      </c>
      <c r="L337" s="35">
        <f t="shared" si="276"/>
        <v>0</v>
      </c>
      <c r="M337" s="35">
        <f>IF(D337/Frequency!$N$7=1,1,0)*E337</f>
        <v>0</v>
      </c>
      <c r="N337" s="35">
        <f t="shared" si="277"/>
        <v>0</v>
      </c>
      <c r="O337" s="35">
        <f>IF(AND(D337/Frequency!$N$7&gt;1, D337/Frequency!$N$7&lt;=2),1,0)*E337</f>
        <v>0</v>
      </c>
      <c r="P337" s="35">
        <f t="shared" si="278"/>
        <v>0</v>
      </c>
      <c r="Q337" s="35">
        <f>IF(AND(D337/Frequency!$N$7&gt;2,D337/Frequency!$N$7&lt;=5),1,0)*E337</f>
        <v>0</v>
      </c>
      <c r="R337" s="35">
        <f t="shared" si="279"/>
        <v>0</v>
      </c>
      <c r="S337" s="35">
        <f>IF(AND(D337/Frequency!$N$7&gt;5, D337/Frequency!$N$7&lt;=10),1,0)*E337</f>
        <v>0</v>
      </c>
      <c r="T337" s="35">
        <f t="shared" si="280"/>
        <v>0</v>
      </c>
      <c r="U337" s="35">
        <f>IF(AND(D337/Frequency!$N$7&gt;10, D337/Frequency!$N$7&lt;=20),1,0)*E337</f>
        <v>0</v>
      </c>
      <c r="V337" s="35">
        <f t="shared" si="281"/>
        <v>0</v>
      </c>
      <c r="W337" s="35">
        <f>IF(AND(D337/Frequency!$N$7&gt;20, D337/Frequency!$N$7&lt;=30),1,0)*E337</f>
        <v>10</v>
      </c>
      <c r="X337" s="35">
        <f t="shared" si="282"/>
        <v>225</v>
      </c>
      <c r="Y337" s="35">
        <f>IF(AND(D337/Frequency!$N$7&gt;30, D337/Frequency!$N$7&lt;=50),1,0)*E337</f>
        <v>0</v>
      </c>
      <c r="Z337" s="35">
        <f t="shared" si="283"/>
        <v>0</v>
      </c>
      <c r="AA337" s="35">
        <f>IF(AND(D337/Frequency!$N$7&gt;50, D337/Frequency!$N$7&lt;=100),1,0)*E337</f>
        <v>0</v>
      </c>
      <c r="AB337" s="35">
        <f t="shared" si="284"/>
        <v>0</v>
      </c>
      <c r="AC337" s="35">
        <f>IF(D337/Frequency!$N$7&gt;100,1,0)*E337</f>
        <v>0</v>
      </c>
      <c r="AD337" s="35">
        <f t="shared" si="285"/>
        <v>0</v>
      </c>
      <c r="AE337" s="22">
        <f t="shared" si="286"/>
        <v>0</v>
      </c>
      <c r="AF337" s="22">
        <f t="shared" si="287"/>
        <v>10</v>
      </c>
      <c r="AG337" s="22">
        <f t="shared" si="288"/>
        <v>225</v>
      </c>
      <c r="AH337" s="22">
        <f t="shared" si="289"/>
        <v>0</v>
      </c>
      <c r="AI337" s="35">
        <f t="shared" si="290"/>
        <v>1</v>
      </c>
      <c r="AJ337" s="35">
        <f t="shared" si="291"/>
        <v>10</v>
      </c>
      <c r="AK337" s="35">
        <f t="shared" si="292"/>
        <v>225</v>
      </c>
      <c r="AL337">
        <f t="shared" si="293"/>
        <v>1</v>
      </c>
      <c r="AM337">
        <f t="shared" si="294"/>
        <v>10</v>
      </c>
      <c r="AN337">
        <f t="shared" si="295"/>
        <v>225</v>
      </c>
      <c r="AO337">
        <f t="shared" si="296"/>
        <v>1</v>
      </c>
      <c r="AP337">
        <f t="shared" si="297"/>
        <v>10</v>
      </c>
      <c r="AQ337">
        <f t="shared" si="298"/>
        <v>225</v>
      </c>
      <c r="AR337">
        <f t="shared" si="299"/>
        <v>0</v>
      </c>
      <c r="AS337">
        <f t="shared" si="300"/>
        <v>0</v>
      </c>
      <c r="AT337">
        <f t="shared" si="301"/>
        <v>0</v>
      </c>
      <c r="AU337">
        <f t="shared" si="302"/>
        <v>0</v>
      </c>
      <c r="AV337">
        <v>0</v>
      </c>
      <c r="AW337">
        <v>0</v>
      </c>
      <c r="AX337">
        <f t="shared" si="303"/>
        <v>0</v>
      </c>
      <c r="AY337">
        <f t="shared" si="304"/>
        <v>0</v>
      </c>
      <c r="AZ337">
        <f t="shared" si="305"/>
        <v>0</v>
      </c>
      <c r="BA337">
        <f t="shared" si="306"/>
        <v>1</v>
      </c>
      <c r="BB337">
        <f t="shared" si="307"/>
        <v>10</v>
      </c>
      <c r="BC337">
        <f t="shared" si="308"/>
        <v>225</v>
      </c>
      <c r="BD337">
        <f t="shared" si="309"/>
        <v>0</v>
      </c>
      <c r="BE337">
        <f t="shared" si="310"/>
        <v>0</v>
      </c>
      <c r="BF337">
        <f t="shared" si="311"/>
        <v>0</v>
      </c>
      <c r="BG337">
        <f t="shared" si="312"/>
        <v>0</v>
      </c>
      <c r="BH337">
        <f t="shared" si="313"/>
        <v>0</v>
      </c>
      <c r="BI337">
        <f t="shared" si="314"/>
        <v>0</v>
      </c>
      <c r="BJ337">
        <v>0</v>
      </c>
      <c r="BK337" t="str">
        <f t="shared" si="326"/>
        <v>Big Win</v>
      </c>
      <c r="BL337" s="40" t="str">
        <f t="shared" si="327"/>
        <v>Bonus Game B</v>
      </c>
      <c r="BM337">
        <f>(D337/Frequency!$N$7-Summary!$C$7)^2*E337</f>
        <v>4691.5559999999996</v>
      </c>
      <c r="BN337">
        <f t="shared" si="315"/>
        <v>0</v>
      </c>
      <c r="BO337">
        <f t="shared" si="316"/>
        <v>0</v>
      </c>
      <c r="BP337">
        <f t="shared" si="317"/>
        <v>0</v>
      </c>
      <c r="BQ337">
        <f t="shared" si="318"/>
        <v>0</v>
      </c>
      <c r="BR337">
        <f t="shared" si="319"/>
        <v>0</v>
      </c>
      <c r="BS337">
        <f t="shared" si="320"/>
        <v>0</v>
      </c>
      <c r="BT337">
        <f t="shared" si="321"/>
        <v>0</v>
      </c>
      <c r="BU337">
        <f t="shared" si="322"/>
        <v>0</v>
      </c>
      <c r="BV337">
        <f t="shared" si="323"/>
        <v>0</v>
      </c>
      <c r="BW337">
        <f t="shared" si="324"/>
        <v>10</v>
      </c>
      <c r="BX337">
        <f t="shared" si="325"/>
        <v>225</v>
      </c>
    </row>
    <row r="338" spans="2:76">
      <c r="B338" s="19">
        <f>Tiers!B339</f>
        <v>336</v>
      </c>
      <c r="C338" s="20" t="str">
        <f>Tiers!X339</f>
        <v>main-26|bonusC-3||||||||</v>
      </c>
      <c r="D338" s="21">
        <f>Tiers!C339</f>
        <v>20</v>
      </c>
      <c r="E338" s="22">
        <f>Frequency!E340</f>
        <v>5</v>
      </c>
      <c r="F338" s="22">
        <f t="shared" si="275"/>
        <v>100</v>
      </c>
      <c r="G338" s="20">
        <f>IF(AND(D338/Summary!$C$4&gt;0, D338/Summary!$C$4&lt;5),E338,0) * D338</f>
        <v>0</v>
      </c>
      <c r="H338" s="20">
        <f>IF(AND(D338/Summary!$C$4&gt;= 5, D338/Summary!$C$4&lt;10),E338,0) * D338</f>
        <v>0</v>
      </c>
      <c r="I338" s="20">
        <f>IF(AND(D338/Summary!$C$4&gt;=10, D338/Summary!$C$4&lt;25),E338,0)*D338</f>
        <v>100</v>
      </c>
      <c r="J338" s="20">
        <f>IF(D338/Summary!$C$4&gt;=25,E338,0)*D338</f>
        <v>0</v>
      </c>
      <c r="K338" s="35">
        <f>IF(AND(D338/Frequency!$N$7&gt;0, D338/Frequency!$N$7&lt;1),E338,0)</f>
        <v>0</v>
      </c>
      <c r="L338" s="35">
        <f t="shared" si="276"/>
        <v>0</v>
      </c>
      <c r="M338" s="35">
        <f>IF(D338/Frequency!$N$7=1,1,0)*E338</f>
        <v>0</v>
      </c>
      <c r="N338" s="35">
        <f t="shared" si="277"/>
        <v>0</v>
      </c>
      <c r="O338" s="35">
        <f>IF(AND(D338/Frequency!$N$7&gt;1, D338/Frequency!$N$7&lt;=2),1,0)*E338</f>
        <v>0</v>
      </c>
      <c r="P338" s="35">
        <f t="shared" si="278"/>
        <v>0</v>
      </c>
      <c r="Q338" s="35">
        <f>IF(AND(D338/Frequency!$N$7&gt;2,D338/Frequency!$N$7&lt;=5),1,0)*E338</f>
        <v>0</v>
      </c>
      <c r="R338" s="35">
        <f t="shared" si="279"/>
        <v>0</v>
      </c>
      <c r="S338" s="35">
        <f>IF(AND(D338/Frequency!$N$7&gt;5, D338/Frequency!$N$7&lt;=10),1,0)*E338</f>
        <v>0</v>
      </c>
      <c r="T338" s="35">
        <f t="shared" si="280"/>
        <v>0</v>
      </c>
      <c r="U338" s="35">
        <f>IF(AND(D338/Frequency!$N$7&gt;10, D338/Frequency!$N$7&lt;=20),1,0)*E338</f>
        <v>5</v>
      </c>
      <c r="V338" s="35">
        <f t="shared" si="281"/>
        <v>100</v>
      </c>
      <c r="W338" s="35">
        <f>IF(AND(D338/Frequency!$N$7&gt;20, D338/Frequency!$N$7&lt;=30),1,0)*E338</f>
        <v>0</v>
      </c>
      <c r="X338" s="35">
        <f t="shared" si="282"/>
        <v>0</v>
      </c>
      <c r="Y338" s="35">
        <f>IF(AND(D338/Frequency!$N$7&gt;30, D338/Frequency!$N$7&lt;=50),1,0)*E338</f>
        <v>0</v>
      </c>
      <c r="Z338" s="35">
        <f t="shared" si="283"/>
        <v>0</v>
      </c>
      <c r="AA338" s="35">
        <f>IF(AND(D338/Frequency!$N$7&gt;50, D338/Frequency!$N$7&lt;=100),1,0)*E338</f>
        <v>0</v>
      </c>
      <c r="AB338" s="35">
        <f t="shared" si="284"/>
        <v>0</v>
      </c>
      <c r="AC338" s="35">
        <f>IF(D338/Frequency!$N$7&gt;100,1,0)*E338</f>
        <v>0</v>
      </c>
      <c r="AD338" s="35">
        <f t="shared" si="285"/>
        <v>0</v>
      </c>
      <c r="AE338" s="22">
        <f t="shared" si="286"/>
        <v>0</v>
      </c>
      <c r="AF338" s="22">
        <f t="shared" si="287"/>
        <v>0</v>
      </c>
      <c r="AG338" s="22">
        <f t="shared" si="288"/>
        <v>0</v>
      </c>
      <c r="AH338" s="22">
        <f t="shared" si="289"/>
        <v>0</v>
      </c>
      <c r="AI338" s="35">
        <f t="shared" si="290"/>
        <v>1</v>
      </c>
      <c r="AJ338" s="35">
        <f t="shared" si="291"/>
        <v>5</v>
      </c>
      <c r="AK338" s="35">
        <f t="shared" si="292"/>
        <v>100</v>
      </c>
      <c r="AL338">
        <f t="shared" si="293"/>
        <v>0</v>
      </c>
      <c r="AM338">
        <f t="shared" si="294"/>
        <v>0</v>
      </c>
      <c r="AN338">
        <f t="shared" si="295"/>
        <v>0</v>
      </c>
      <c r="AO338">
        <f t="shared" si="296"/>
        <v>0</v>
      </c>
      <c r="AP338">
        <f t="shared" si="297"/>
        <v>0</v>
      </c>
      <c r="AQ338">
        <f t="shared" si="298"/>
        <v>0</v>
      </c>
      <c r="AR338">
        <f t="shared" si="299"/>
        <v>0</v>
      </c>
      <c r="AS338">
        <f t="shared" si="300"/>
        <v>0</v>
      </c>
      <c r="AT338">
        <f t="shared" si="301"/>
        <v>0</v>
      </c>
      <c r="AU338">
        <f t="shared" si="302"/>
        <v>0</v>
      </c>
      <c r="AV338">
        <v>0</v>
      </c>
      <c r="AW338">
        <v>0</v>
      </c>
      <c r="AX338">
        <f t="shared" si="303"/>
        <v>0</v>
      </c>
      <c r="AY338">
        <f t="shared" si="304"/>
        <v>0</v>
      </c>
      <c r="AZ338">
        <f t="shared" si="305"/>
        <v>0</v>
      </c>
      <c r="BA338">
        <f t="shared" si="306"/>
        <v>0</v>
      </c>
      <c r="BB338">
        <f t="shared" si="307"/>
        <v>0</v>
      </c>
      <c r="BC338">
        <f t="shared" si="308"/>
        <v>0</v>
      </c>
      <c r="BD338">
        <f t="shared" si="309"/>
        <v>1</v>
      </c>
      <c r="BE338">
        <f t="shared" si="310"/>
        <v>5</v>
      </c>
      <c r="BF338">
        <f t="shared" si="311"/>
        <v>100</v>
      </c>
      <c r="BG338">
        <f t="shared" si="312"/>
        <v>0</v>
      </c>
      <c r="BH338">
        <f t="shared" si="313"/>
        <v>0</v>
      </c>
      <c r="BI338">
        <f t="shared" si="314"/>
        <v>0</v>
      </c>
      <c r="BJ338">
        <v>0</v>
      </c>
      <c r="BK338" t="str">
        <f t="shared" si="326"/>
        <v>Big Win</v>
      </c>
      <c r="BL338" s="40" t="str">
        <f t="shared" si="327"/>
        <v>Bonus Game C</v>
      </c>
      <c r="BM338">
        <f>(D338/Frequency!$N$7-Summary!$C$7)^2*E338</f>
        <v>1835.5279999999998</v>
      </c>
      <c r="BN338">
        <f t="shared" si="315"/>
        <v>0</v>
      </c>
      <c r="BO338">
        <f t="shared" si="316"/>
        <v>0</v>
      </c>
      <c r="BP338">
        <f t="shared" si="317"/>
        <v>0</v>
      </c>
      <c r="BQ338">
        <f t="shared" si="318"/>
        <v>0</v>
      </c>
      <c r="BR338">
        <f t="shared" si="319"/>
        <v>0</v>
      </c>
      <c r="BS338">
        <f t="shared" si="320"/>
        <v>0</v>
      </c>
      <c r="BT338">
        <f t="shared" si="321"/>
        <v>0</v>
      </c>
      <c r="BU338">
        <f t="shared" si="322"/>
        <v>0</v>
      </c>
      <c r="BV338">
        <f t="shared" si="323"/>
        <v>0</v>
      </c>
      <c r="BW338">
        <f t="shared" si="324"/>
        <v>0</v>
      </c>
      <c r="BX338">
        <f t="shared" si="325"/>
        <v>0</v>
      </c>
    </row>
    <row r="339" spans="2:76">
      <c r="B339" s="19">
        <f>Tiers!B340</f>
        <v>337</v>
      </c>
      <c r="C339" s="20" t="str">
        <f>Tiers!X340</f>
        <v>main-25|bonusC-4||||||||</v>
      </c>
      <c r="D339" s="21">
        <f>Tiers!C340</f>
        <v>17</v>
      </c>
      <c r="E339" s="22">
        <f>Frequency!E341</f>
        <v>5</v>
      </c>
      <c r="F339" s="22">
        <f t="shared" si="275"/>
        <v>85</v>
      </c>
      <c r="G339" s="20">
        <f>IF(AND(D339/Summary!$C$4&gt;0, D339/Summary!$C$4&lt;5),E339,0) * D339</f>
        <v>0</v>
      </c>
      <c r="H339" s="20">
        <f>IF(AND(D339/Summary!$C$4&gt;= 5, D339/Summary!$C$4&lt;10),E339,0) * D339</f>
        <v>0</v>
      </c>
      <c r="I339" s="20">
        <f>IF(AND(D339/Summary!$C$4&gt;=10, D339/Summary!$C$4&lt;25),E339,0)*D339</f>
        <v>85</v>
      </c>
      <c r="J339" s="20">
        <f>IF(D339/Summary!$C$4&gt;=25,E339,0)*D339</f>
        <v>0</v>
      </c>
      <c r="K339" s="35">
        <f>IF(AND(D339/Frequency!$N$7&gt;0, D339/Frequency!$N$7&lt;1),E339,0)</f>
        <v>0</v>
      </c>
      <c r="L339" s="35">
        <f t="shared" si="276"/>
        <v>0</v>
      </c>
      <c r="M339" s="35">
        <f>IF(D339/Frequency!$N$7=1,1,0)*E339</f>
        <v>0</v>
      </c>
      <c r="N339" s="35">
        <f t="shared" si="277"/>
        <v>0</v>
      </c>
      <c r="O339" s="35">
        <f>IF(AND(D339/Frequency!$N$7&gt;1, D339/Frequency!$N$7&lt;=2),1,0)*E339</f>
        <v>0</v>
      </c>
      <c r="P339" s="35">
        <f t="shared" si="278"/>
        <v>0</v>
      </c>
      <c r="Q339" s="35">
        <f>IF(AND(D339/Frequency!$N$7&gt;2,D339/Frequency!$N$7&lt;=5),1,0)*E339</f>
        <v>0</v>
      </c>
      <c r="R339" s="35">
        <f t="shared" si="279"/>
        <v>0</v>
      </c>
      <c r="S339" s="35">
        <f>IF(AND(D339/Frequency!$N$7&gt;5, D339/Frequency!$N$7&lt;=10),1,0)*E339</f>
        <v>0</v>
      </c>
      <c r="T339" s="35">
        <f t="shared" si="280"/>
        <v>0</v>
      </c>
      <c r="U339" s="35">
        <f>IF(AND(D339/Frequency!$N$7&gt;10, D339/Frequency!$N$7&lt;=20),1,0)*E339</f>
        <v>5</v>
      </c>
      <c r="V339" s="35">
        <f t="shared" si="281"/>
        <v>85</v>
      </c>
      <c r="W339" s="35">
        <f>IF(AND(D339/Frequency!$N$7&gt;20, D339/Frequency!$N$7&lt;=30),1,0)*E339</f>
        <v>0</v>
      </c>
      <c r="X339" s="35">
        <f t="shared" si="282"/>
        <v>0</v>
      </c>
      <c r="Y339" s="35">
        <f>IF(AND(D339/Frequency!$N$7&gt;30, D339/Frequency!$N$7&lt;=50),1,0)*E339</f>
        <v>0</v>
      </c>
      <c r="Z339" s="35">
        <f t="shared" si="283"/>
        <v>0</v>
      </c>
      <c r="AA339" s="35">
        <f>IF(AND(D339/Frequency!$N$7&gt;50, D339/Frequency!$N$7&lt;=100),1,0)*E339</f>
        <v>0</v>
      </c>
      <c r="AB339" s="35">
        <f t="shared" si="284"/>
        <v>0</v>
      </c>
      <c r="AC339" s="35">
        <f>IF(D339/Frequency!$N$7&gt;100,1,0)*E339</f>
        <v>0</v>
      </c>
      <c r="AD339" s="35">
        <f t="shared" si="285"/>
        <v>0</v>
      </c>
      <c r="AE339" s="22">
        <f t="shared" si="286"/>
        <v>0</v>
      </c>
      <c r="AF339" s="22">
        <f t="shared" si="287"/>
        <v>0</v>
      </c>
      <c r="AG339" s="22">
        <f t="shared" si="288"/>
        <v>0</v>
      </c>
      <c r="AH339" s="22">
        <f t="shared" si="289"/>
        <v>0</v>
      </c>
      <c r="AI339" s="35">
        <f t="shared" si="290"/>
        <v>1</v>
      </c>
      <c r="AJ339" s="35">
        <f t="shared" si="291"/>
        <v>5</v>
      </c>
      <c r="AK339" s="35">
        <f t="shared" si="292"/>
        <v>85</v>
      </c>
      <c r="AL339">
        <f t="shared" si="293"/>
        <v>0</v>
      </c>
      <c r="AM339">
        <f t="shared" si="294"/>
        <v>0</v>
      </c>
      <c r="AN339">
        <f t="shared" si="295"/>
        <v>0</v>
      </c>
      <c r="AO339">
        <f t="shared" si="296"/>
        <v>0</v>
      </c>
      <c r="AP339">
        <f t="shared" si="297"/>
        <v>0</v>
      </c>
      <c r="AQ339">
        <f t="shared" si="298"/>
        <v>0</v>
      </c>
      <c r="AR339">
        <f t="shared" si="299"/>
        <v>0</v>
      </c>
      <c r="AS339">
        <f t="shared" si="300"/>
        <v>0</v>
      </c>
      <c r="AT339">
        <f t="shared" si="301"/>
        <v>0</v>
      </c>
      <c r="AU339">
        <f t="shared" si="302"/>
        <v>0</v>
      </c>
      <c r="AV339">
        <v>0</v>
      </c>
      <c r="AW339">
        <v>0</v>
      </c>
      <c r="AX339">
        <f t="shared" si="303"/>
        <v>0</v>
      </c>
      <c r="AY339">
        <f t="shared" si="304"/>
        <v>0</v>
      </c>
      <c r="AZ339">
        <f t="shared" si="305"/>
        <v>0</v>
      </c>
      <c r="BA339">
        <f t="shared" si="306"/>
        <v>0</v>
      </c>
      <c r="BB339">
        <f t="shared" si="307"/>
        <v>0</v>
      </c>
      <c r="BC339">
        <f t="shared" si="308"/>
        <v>0</v>
      </c>
      <c r="BD339">
        <f t="shared" si="309"/>
        <v>1</v>
      </c>
      <c r="BE339">
        <f t="shared" si="310"/>
        <v>5</v>
      </c>
      <c r="BF339">
        <f t="shared" si="311"/>
        <v>85</v>
      </c>
      <c r="BG339">
        <f t="shared" si="312"/>
        <v>0</v>
      </c>
      <c r="BH339">
        <f t="shared" si="313"/>
        <v>0</v>
      </c>
      <c r="BI339">
        <f t="shared" si="314"/>
        <v>0</v>
      </c>
      <c r="BJ339">
        <v>0</v>
      </c>
      <c r="BK339" t="str">
        <f t="shared" si="326"/>
        <v>Big Win</v>
      </c>
      <c r="BL339" s="40" t="str">
        <f t="shared" si="327"/>
        <v>Bonus Game C</v>
      </c>
      <c r="BM339">
        <f>(D339/Frequency!$N$7-Summary!$C$7)^2*E339</f>
        <v>1305.7280000000001</v>
      </c>
      <c r="BN339">
        <f t="shared" si="315"/>
        <v>0</v>
      </c>
      <c r="BO339">
        <f t="shared" si="316"/>
        <v>0</v>
      </c>
      <c r="BP339">
        <f t="shared" si="317"/>
        <v>0</v>
      </c>
      <c r="BQ339">
        <f t="shared" si="318"/>
        <v>0</v>
      </c>
      <c r="BR339">
        <f t="shared" si="319"/>
        <v>0</v>
      </c>
      <c r="BS339">
        <f t="shared" si="320"/>
        <v>0</v>
      </c>
      <c r="BT339">
        <f t="shared" si="321"/>
        <v>0</v>
      </c>
      <c r="BU339">
        <f t="shared" si="322"/>
        <v>0</v>
      </c>
      <c r="BV339">
        <f t="shared" si="323"/>
        <v>0</v>
      </c>
      <c r="BW339">
        <f t="shared" si="324"/>
        <v>0</v>
      </c>
      <c r="BX339">
        <f t="shared" si="325"/>
        <v>0</v>
      </c>
    </row>
    <row r="340" spans="2:76">
      <c r="B340" s="19">
        <f>Tiers!B341</f>
        <v>338</v>
      </c>
      <c r="C340" s="20" t="str">
        <f>Tiers!X341</f>
        <v>main-19|bonusC-5||||||||</v>
      </c>
      <c r="D340" s="21">
        <f>Tiers!C341</f>
        <v>20</v>
      </c>
      <c r="E340" s="22">
        <f>Frequency!E342</f>
        <v>10</v>
      </c>
      <c r="F340" s="22">
        <f t="shared" si="275"/>
        <v>200</v>
      </c>
      <c r="G340" s="20">
        <f>IF(AND(D340/Summary!$C$4&gt;0, D340/Summary!$C$4&lt;5),E340,0) * D340</f>
        <v>0</v>
      </c>
      <c r="H340" s="20">
        <f>IF(AND(D340/Summary!$C$4&gt;= 5, D340/Summary!$C$4&lt;10),E340,0) * D340</f>
        <v>0</v>
      </c>
      <c r="I340" s="20">
        <f>IF(AND(D340/Summary!$C$4&gt;=10, D340/Summary!$C$4&lt;25),E340,0)*D340</f>
        <v>200</v>
      </c>
      <c r="J340" s="20">
        <f>IF(D340/Summary!$C$4&gt;=25,E340,0)*D340</f>
        <v>0</v>
      </c>
      <c r="K340" s="35">
        <f>IF(AND(D340/Frequency!$N$7&gt;0, D340/Frequency!$N$7&lt;1),E340,0)</f>
        <v>0</v>
      </c>
      <c r="L340" s="35">
        <f t="shared" si="276"/>
        <v>0</v>
      </c>
      <c r="M340" s="35">
        <f>IF(D340/Frequency!$N$7=1,1,0)*E340</f>
        <v>0</v>
      </c>
      <c r="N340" s="35">
        <f t="shared" si="277"/>
        <v>0</v>
      </c>
      <c r="O340" s="35">
        <f>IF(AND(D340/Frequency!$N$7&gt;1, D340/Frequency!$N$7&lt;=2),1,0)*E340</f>
        <v>0</v>
      </c>
      <c r="P340" s="35">
        <f t="shared" si="278"/>
        <v>0</v>
      </c>
      <c r="Q340" s="35">
        <f>IF(AND(D340/Frequency!$N$7&gt;2,D340/Frequency!$N$7&lt;=5),1,0)*E340</f>
        <v>0</v>
      </c>
      <c r="R340" s="35">
        <f t="shared" si="279"/>
        <v>0</v>
      </c>
      <c r="S340" s="35">
        <f>IF(AND(D340/Frequency!$N$7&gt;5, D340/Frequency!$N$7&lt;=10),1,0)*E340</f>
        <v>0</v>
      </c>
      <c r="T340" s="35">
        <f t="shared" si="280"/>
        <v>0</v>
      </c>
      <c r="U340" s="35">
        <f>IF(AND(D340/Frequency!$N$7&gt;10, D340/Frequency!$N$7&lt;=20),1,0)*E340</f>
        <v>10</v>
      </c>
      <c r="V340" s="35">
        <f t="shared" si="281"/>
        <v>200</v>
      </c>
      <c r="W340" s="35">
        <f>IF(AND(D340/Frequency!$N$7&gt;20, D340/Frequency!$N$7&lt;=30),1,0)*E340</f>
        <v>0</v>
      </c>
      <c r="X340" s="35">
        <f t="shared" si="282"/>
        <v>0</v>
      </c>
      <c r="Y340" s="35">
        <f>IF(AND(D340/Frequency!$N$7&gt;30, D340/Frequency!$N$7&lt;=50),1,0)*E340</f>
        <v>0</v>
      </c>
      <c r="Z340" s="35">
        <f t="shared" si="283"/>
        <v>0</v>
      </c>
      <c r="AA340" s="35">
        <f>IF(AND(D340/Frequency!$N$7&gt;50, D340/Frequency!$N$7&lt;=100),1,0)*E340</f>
        <v>0</v>
      </c>
      <c r="AB340" s="35">
        <f t="shared" si="284"/>
        <v>0</v>
      </c>
      <c r="AC340" s="35">
        <f>IF(D340/Frequency!$N$7&gt;100,1,0)*E340</f>
        <v>0</v>
      </c>
      <c r="AD340" s="35">
        <f t="shared" si="285"/>
        <v>0</v>
      </c>
      <c r="AE340" s="22">
        <f t="shared" si="286"/>
        <v>0</v>
      </c>
      <c r="AF340" s="22">
        <f t="shared" si="287"/>
        <v>0</v>
      </c>
      <c r="AG340" s="22">
        <f t="shared" si="288"/>
        <v>0</v>
      </c>
      <c r="AH340" s="22">
        <f t="shared" si="289"/>
        <v>0</v>
      </c>
      <c r="AI340" s="35">
        <f t="shared" si="290"/>
        <v>1</v>
      </c>
      <c r="AJ340" s="35">
        <f t="shared" si="291"/>
        <v>10</v>
      </c>
      <c r="AK340" s="35">
        <f t="shared" si="292"/>
        <v>200</v>
      </c>
      <c r="AL340">
        <f t="shared" si="293"/>
        <v>0</v>
      </c>
      <c r="AM340">
        <f t="shared" si="294"/>
        <v>0</v>
      </c>
      <c r="AN340">
        <f t="shared" si="295"/>
        <v>0</v>
      </c>
      <c r="AO340">
        <f t="shared" si="296"/>
        <v>0</v>
      </c>
      <c r="AP340">
        <f t="shared" si="297"/>
        <v>0</v>
      </c>
      <c r="AQ340">
        <f t="shared" si="298"/>
        <v>0</v>
      </c>
      <c r="AR340">
        <f t="shared" si="299"/>
        <v>0</v>
      </c>
      <c r="AS340">
        <f t="shared" si="300"/>
        <v>0</v>
      </c>
      <c r="AT340">
        <f t="shared" si="301"/>
        <v>0</v>
      </c>
      <c r="AU340">
        <f t="shared" si="302"/>
        <v>0</v>
      </c>
      <c r="AV340">
        <v>0</v>
      </c>
      <c r="AW340">
        <v>0</v>
      </c>
      <c r="AX340">
        <f t="shared" si="303"/>
        <v>0</v>
      </c>
      <c r="AY340">
        <f t="shared" si="304"/>
        <v>0</v>
      </c>
      <c r="AZ340">
        <f t="shared" si="305"/>
        <v>0</v>
      </c>
      <c r="BA340">
        <f t="shared" si="306"/>
        <v>0</v>
      </c>
      <c r="BB340">
        <f t="shared" si="307"/>
        <v>0</v>
      </c>
      <c r="BC340">
        <f t="shared" si="308"/>
        <v>0</v>
      </c>
      <c r="BD340">
        <f t="shared" si="309"/>
        <v>1</v>
      </c>
      <c r="BE340">
        <f t="shared" si="310"/>
        <v>10</v>
      </c>
      <c r="BF340">
        <f t="shared" si="311"/>
        <v>200</v>
      </c>
      <c r="BG340">
        <f t="shared" si="312"/>
        <v>0</v>
      </c>
      <c r="BH340">
        <f t="shared" si="313"/>
        <v>0</v>
      </c>
      <c r="BI340">
        <f t="shared" si="314"/>
        <v>0</v>
      </c>
      <c r="BJ340">
        <v>0</v>
      </c>
      <c r="BK340" t="str">
        <f t="shared" si="326"/>
        <v>Big Win</v>
      </c>
      <c r="BL340" s="40" t="str">
        <f t="shared" si="327"/>
        <v>Bonus Game C</v>
      </c>
      <c r="BM340">
        <f>(D340/Frequency!$N$7-Summary!$C$7)^2*E340</f>
        <v>3671.0559999999996</v>
      </c>
      <c r="BN340">
        <f t="shared" si="315"/>
        <v>0</v>
      </c>
      <c r="BO340">
        <f t="shared" si="316"/>
        <v>0</v>
      </c>
      <c r="BP340">
        <f t="shared" si="317"/>
        <v>0</v>
      </c>
      <c r="BQ340">
        <f t="shared" si="318"/>
        <v>0</v>
      </c>
      <c r="BR340">
        <f t="shared" si="319"/>
        <v>0</v>
      </c>
      <c r="BS340">
        <f t="shared" si="320"/>
        <v>0</v>
      </c>
      <c r="BT340">
        <f t="shared" si="321"/>
        <v>0</v>
      </c>
      <c r="BU340">
        <f t="shared" si="322"/>
        <v>0</v>
      </c>
      <c r="BV340">
        <f t="shared" si="323"/>
        <v>0</v>
      </c>
      <c r="BW340">
        <f t="shared" si="324"/>
        <v>0</v>
      </c>
      <c r="BX340">
        <f t="shared" si="325"/>
        <v>0</v>
      </c>
    </row>
    <row r="341" spans="2:76">
      <c r="B341" s="19">
        <f>Tiers!B342</f>
        <v>339</v>
      </c>
      <c r="C341" s="20" t="str">
        <f>Tiers!X342</f>
        <v>main-27|bonusC-4||||||||</v>
      </c>
      <c r="D341" s="21">
        <f>Tiers!C342</f>
        <v>32</v>
      </c>
      <c r="E341" s="22">
        <f>Frequency!E343</f>
        <v>5</v>
      </c>
      <c r="F341" s="22">
        <f t="shared" si="275"/>
        <v>160</v>
      </c>
      <c r="G341" s="20">
        <f>IF(AND(D341/Summary!$C$4&gt;0, D341/Summary!$C$4&lt;5),E341,0) * D341</f>
        <v>0</v>
      </c>
      <c r="H341" s="20">
        <f>IF(AND(D341/Summary!$C$4&gt;= 5, D341/Summary!$C$4&lt;10),E341,0) * D341</f>
        <v>0</v>
      </c>
      <c r="I341" s="20">
        <f>IF(AND(D341/Summary!$C$4&gt;=10, D341/Summary!$C$4&lt;25),E341,0)*D341</f>
        <v>0</v>
      </c>
      <c r="J341" s="20">
        <f>IF(D341/Summary!$C$4&gt;=25,E341,0)*D341</f>
        <v>160</v>
      </c>
      <c r="K341" s="35">
        <f>IF(AND(D341/Frequency!$N$7&gt;0, D341/Frequency!$N$7&lt;1),E341,0)</f>
        <v>0</v>
      </c>
      <c r="L341" s="35">
        <f t="shared" si="276"/>
        <v>0</v>
      </c>
      <c r="M341" s="35">
        <f>IF(D341/Frequency!$N$7=1,1,0)*E341</f>
        <v>0</v>
      </c>
      <c r="N341" s="35">
        <f t="shared" si="277"/>
        <v>0</v>
      </c>
      <c r="O341" s="35">
        <f>IF(AND(D341/Frequency!$N$7&gt;1, D341/Frequency!$N$7&lt;=2),1,0)*E341</f>
        <v>0</v>
      </c>
      <c r="P341" s="35">
        <f t="shared" si="278"/>
        <v>0</v>
      </c>
      <c r="Q341" s="35">
        <f>IF(AND(D341/Frequency!$N$7&gt;2,D341/Frequency!$N$7&lt;=5),1,0)*E341</f>
        <v>0</v>
      </c>
      <c r="R341" s="35">
        <f t="shared" si="279"/>
        <v>0</v>
      </c>
      <c r="S341" s="35">
        <f>IF(AND(D341/Frequency!$N$7&gt;5, D341/Frequency!$N$7&lt;=10),1,0)*E341</f>
        <v>0</v>
      </c>
      <c r="T341" s="35">
        <f t="shared" si="280"/>
        <v>0</v>
      </c>
      <c r="U341" s="35">
        <f>IF(AND(D341/Frequency!$N$7&gt;10, D341/Frequency!$N$7&lt;=20),1,0)*E341</f>
        <v>0</v>
      </c>
      <c r="V341" s="35">
        <f t="shared" si="281"/>
        <v>0</v>
      </c>
      <c r="W341" s="35">
        <f>IF(AND(D341/Frequency!$N$7&gt;20, D341/Frequency!$N$7&lt;=30),1,0)*E341</f>
        <v>0</v>
      </c>
      <c r="X341" s="35">
        <f t="shared" si="282"/>
        <v>0</v>
      </c>
      <c r="Y341" s="35">
        <f>IF(AND(D341/Frequency!$N$7&gt;30, D341/Frequency!$N$7&lt;=50),1,0)*E341</f>
        <v>5</v>
      </c>
      <c r="Z341" s="35">
        <f t="shared" si="283"/>
        <v>160</v>
      </c>
      <c r="AA341" s="35">
        <f>IF(AND(D341/Frequency!$N$7&gt;50, D341/Frequency!$N$7&lt;=100),1,0)*E341</f>
        <v>0</v>
      </c>
      <c r="AB341" s="35">
        <f t="shared" si="284"/>
        <v>0</v>
      </c>
      <c r="AC341" s="35">
        <f>IF(D341/Frequency!$N$7&gt;100,1,0)*E341</f>
        <v>0</v>
      </c>
      <c r="AD341" s="35">
        <f t="shared" si="285"/>
        <v>0</v>
      </c>
      <c r="AE341" s="22">
        <f t="shared" si="286"/>
        <v>0</v>
      </c>
      <c r="AF341" s="22">
        <f t="shared" si="287"/>
        <v>0</v>
      </c>
      <c r="AG341" s="22">
        <f t="shared" si="288"/>
        <v>0</v>
      </c>
      <c r="AH341" s="22">
        <f t="shared" si="289"/>
        <v>0</v>
      </c>
      <c r="AI341" s="35">
        <f t="shared" si="290"/>
        <v>1</v>
      </c>
      <c r="AJ341" s="35">
        <f t="shared" si="291"/>
        <v>5</v>
      </c>
      <c r="AK341" s="35">
        <f t="shared" si="292"/>
        <v>160</v>
      </c>
      <c r="AL341">
        <f t="shared" si="293"/>
        <v>0</v>
      </c>
      <c r="AM341">
        <f t="shared" si="294"/>
        <v>0</v>
      </c>
      <c r="AN341">
        <f t="shared" si="295"/>
        <v>0</v>
      </c>
      <c r="AO341">
        <f t="shared" si="296"/>
        <v>0</v>
      </c>
      <c r="AP341">
        <f t="shared" si="297"/>
        <v>0</v>
      </c>
      <c r="AQ341">
        <f t="shared" si="298"/>
        <v>0</v>
      </c>
      <c r="AR341">
        <f t="shared" si="299"/>
        <v>0</v>
      </c>
      <c r="AS341">
        <f t="shared" si="300"/>
        <v>0</v>
      </c>
      <c r="AT341">
        <f t="shared" si="301"/>
        <v>0</v>
      </c>
      <c r="AU341">
        <f t="shared" si="302"/>
        <v>0</v>
      </c>
      <c r="AV341">
        <v>0</v>
      </c>
      <c r="AW341">
        <v>0</v>
      </c>
      <c r="AX341">
        <f t="shared" si="303"/>
        <v>0</v>
      </c>
      <c r="AY341">
        <f t="shared" si="304"/>
        <v>0</v>
      </c>
      <c r="AZ341">
        <f t="shared" si="305"/>
        <v>0</v>
      </c>
      <c r="BA341">
        <f t="shared" si="306"/>
        <v>0</v>
      </c>
      <c r="BB341">
        <f t="shared" si="307"/>
        <v>0</v>
      </c>
      <c r="BC341">
        <f t="shared" si="308"/>
        <v>0</v>
      </c>
      <c r="BD341">
        <f t="shared" si="309"/>
        <v>1</v>
      </c>
      <c r="BE341">
        <f t="shared" si="310"/>
        <v>5</v>
      </c>
      <c r="BF341">
        <f t="shared" si="311"/>
        <v>160</v>
      </c>
      <c r="BG341">
        <f t="shared" si="312"/>
        <v>0</v>
      </c>
      <c r="BH341">
        <f t="shared" si="313"/>
        <v>0</v>
      </c>
      <c r="BI341">
        <f t="shared" si="314"/>
        <v>0</v>
      </c>
      <c r="BJ341">
        <v>0</v>
      </c>
      <c r="BK341" t="str">
        <f t="shared" si="326"/>
        <v>Big Win</v>
      </c>
      <c r="BL341" s="40" t="str">
        <f t="shared" si="327"/>
        <v>Bonus Game C</v>
      </c>
      <c r="BM341">
        <f>(D341/Frequency!$N$7-Summary!$C$7)^2*E341</f>
        <v>4854.7280000000001</v>
      </c>
      <c r="BN341">
        <f t="shared" si="315"/>
        <v>0</v>
      </c>
      <c r="BO341">
        <f t="shared" si="316"/>
        <v>0</v>
      </c>
      <c r="BP341">
        <f t="shared" si="317"/>
        <v>0</v>
      </c>
      <c r="BQ341">
        <f t="shared" si="318"/>
        <v>0</v>
      </c>
      <c r="BR341">
        <f t="shared" si="319"/>
        <v>0</v>
      </c>
      <c r="BS341">
        <f t="shared" si="320"/>
        <v>0</v>
      </c>
      <c r="BT341">
        <f t="shared" si="321"/>
        <v>0</v>
      </c>
      <c r="BU341">
        <f t="shared" si="322"/>
        <v>0</v>
      </c>
      <c r="BV341">
        <f t="shared" si="323"/>
        <v>0</v>
      </c>
      <c r="BW341">
        <f t="shared" si="324"/>
        <v>0</v>
      </c>
      <c r="BX341">
        <f t="shared" si="325"/>
        <v>0</v>
      </c>
    </row>
    <row r="342" spans="2:76">
      <c r="B342" s="19">
        <f>Tiers!B343</f>
        <v>340</v>
      </c>
      <c r="C342" s="20" t="str">
        <f>Tiers!X343</f>
        <v>main-14|bonusC-4||||||||</v>
      </c>
      <c r="D342" s="21">
        <f>Tiers!C343</f>
        <v>22</v>
      </c>
      <c r="E342" s="22">
        <f>Frequency!E344</f>
        <v>12</v>
      </c>
      <c r="F342" s="22">
        <f t="shared" si="275"/>
        <v>264</v>
      </c>
      <c r="G342" s="20">
        <f>IF(AND(D342/Summary!$C$4&gt;0, D342/Summary!$C$4&lt;5),E342,0) * D342</f>
        <v>0</v>
      </c>
      <c r="H342" s="20">
        <f>IF(AND(D342/Summary!$C$4&gt;= 5, D342/Summary!$C$4&lt;10),E342,0) * D342</f>
        <v>0</v>
      </c>
      <c r="I342" s="20">
        <f>IF(AND(D342/Summary!$C$4&gt;=10, D342/Summary!$C$4&lt;25),E342,0)*D342</f>
        <v>264</v>
      </c>
      <c r="J342" s="20">
        <f>IF(D342/Summary!$C$4&gt;=25,E342,0)*D342</f>
        <v>0</v>
      </c>
      <c r="K342" s="35">
        <f>IF(AND(D342/Frequency!$N$7&gt;0, D342/Frequency!$N$7&lt;1),E342,0)</f>
        <v>0</v>
      </c>
      <c r="L342" s="35">
        <f t="shared" si="276"/>
        <v>0</v>
      </c>
      <c r="M342" s="35">
        <f>IF(D342/Frequency!$N$7=1,1,0)*E342</f>
        <v>0</v>
      </c>
      <c r="N342" s="35">
        <f t="shared" si="277"/>
        <v>0</v>
      </c>
      <c r="O342" s="35">
        <f>IF(AND(D342/Frequency!$N$7&gt;1, D342/Frequency!$N$7&lt;=2),1,0)*E342</f>
        <v>0</v>
      </c>
      <c r="P342" s="35">
        <f t="shared" si="278"/>
        <v>0</v>
      </c>
      <c r="Q342" s="35">
        <f>IF(AND(D342/Frequency!$N$7&gt;2,D342/Frequency!$N$7&lt;=5),1,0)*E342</f>
        <v>0</v>
      </c>
      <c r="R342" s="35">
        <f t="shared" si="279"/>
        <v>0</v>
      </c>
      <c r="S342" s="35">
        <f>IF(AND(D342/Frequency!$N$7&gt;5, D342/Frequency!$N$7&lt;=10),1,0)*E342</f>
        <v>0</v>
      </c>
      <c r="T342" s="35">
        <f t="shared" si="280"/>
        <v>0</v>
      </c>
      <c r="U342" s="35">
        <f>IF(AND(D342/Frequency!$N$7&gt;10, D342/Frequency!$N$7&lt;=20),1,0)*E342</f>
        <v>0</v>
      </c>
      <c r="V342" s="35">
        <f t="shared" si="281"/>
        <v>0</v>
      </c>
      <c r="W342" s="35">
        <f>IF(AND(D342/Frequency!$N$7&gt;20, D342/Frequency!$N$7&lt;=30),1,0)*E342</f>
        <v>12</v>
      </c>
      <c r="X342" s="35">
        <f t="shared" si="282"/>
        <v>264</v>
      </c>
      <c r="Y342" s="35">
        <f>IF(AND(D342/Frequency!$N$7&gt;30, D342/Frequency!$N$7&lt;=50),1,0)*E342</f>
        <v>0</v>
      </c>
      <c r="Z342" s="35">
        <f t="shared" si="283"/>
        <v>0</v>
      </c>
      <c r="AA342" s="35">
        <f>IF(AND(D342/Frequency!$N$7&gt;50, D342/Frequency!$N$7&lt;=100),1,0)*E342</f>
        <v>0</v>
      </c>
      <c r="AB342" s="35">
        <f t="shared" si="284"/>
        <v>0</v>
      </c>
      <c r="AC342" s="35">
        <f>IF(D342/Frequency!$N$7&gt;100,1,0)*E342</f>
        <v>0</v>
      </c>
      <c r="AD342" s="35">
        <f t="shared" si="285"/>
        <v>0</v>
      </c>
      <c r="AE342" s="22">
        <f t="shared" si="286"/>
        <v>0</v>
      </c>
      <c r="AF342" s="22">
        <f t="shared" si="287"/>
        <v>0</v>
      </c>
      <c r="AG342" s="22">
        <f t="shared" si="288"/>
        <v>0</v>
      </c>
      <c r="AH342" s="22">
        <f t="shared" si="289"/>
        <v>0</v>
      </c>
      <c r="AI342" s="35">
        <f t="shared" si="290"/>
        <v>1</v>
      </c>
      <c r="AJ342" s="35">
        <f t="shared" si="291"/>
        <v>12</v>
      </c>
      <c r="AK342" s="35">
        <f t="shared" si="292"/>
        <v>264</v>
      </c>
      <c r="AL342">
        <f t="shared" si="293"/>
        <v>0</v>
      </c>
      <c r="AM342">
        <f t="shared" si="294"/>
        <v>0</v>
      </c>
      <c r="AN342">
        <f t="shared" si="295"/>
        <v>0</v>
      </c>
      <c r="AO342">
        <f t="shared" si="296"/>
        <v>0</v>
      </c>
      <c r="AP342">
        <f t="shared" si="297"/>
        <v>0</v>
      </c>
      <c r="AQ342">
        <f t="shared" si="298"/>
        <v>0</v>
      </c>
      <c r="AR342">
        <f t="shared" si="299"/>
        <v>0</v>
      </c>
      <c r="AS342">
        <f t="shared" si="300"/>
        <v>0</v>
      </c>
      <c r="AT342">
        <f t="shared" si="301"/>
        <v>0</v>
      </c>
      <c r="AU342">
        <f t="shared" si="302"/>
        <v>0</v>
      </c>
      <c r="AV342">
        <v>0</v>
      </c>
      <c r="AW342">
        <v>0</v>
      </c>
      <c r="AX342">
        <f t="shared" si="303"/>
        <v>0</v>
      </c>
      <c r="AY342">
        <f t="shared" si="304"/>
        <v>0</v>
      </c>
      <c r="AZ342">
        <f t="shared" si="305"/>
        <v>0</v>
      </c>
      <c r="BA342">
        <f t="shared" si="306"/>
        <v>0</v>
      </c>
      <c r="BB342">
        <f t="shared" si="307"/>
        <v>0</v>
      </c>
      <c r="BC342">
        <f t="shared" si="308"/>
        <v>0</v>
      </c>
      <c r="BD342">
        <f t="shared" si="309"/>
        <v>1</v>
      </c>
      <c r="BE342">
        <f t="shared" si="310"/>
        <v>12</v>
      </c>
      <c r="BF342">
        <f t="shared" si="311"/>
        <v>264</v>
      </c>
      <c r="BG342">
        <f t="shared" si="312"/>
        <v>0</v>
      </c>
      <c r="BH342">
        <f t="shared" si="313"/>
        <v>0</v>
      </c>
      <c r="BI342">
        <f t="shared" si="314"/>
        <v>0</v>
      </c>
      <c r="BJ342">
        <v>0</v>
      </c>
      <c r="BK342" t="str">
        <f t="shared" si="326"/>
        <v>Big Win</v>
      </c>
      <c r="BL342" s="40" t="str">
        <f t="shared" si="327"/>
        <v>Bonus Game C</v>
      </c>
      <c r="BM342">
        <f>(D342/Frequency!$N$7-Summary!$C$7)^2*E342</f>
        <v>5372.9472000000005</v>
      </c>
      <c r="BN342">
        <f t="shared" si="315"/>
        <v>0</v>
      </c>
      <c r="BO342">
        <f t="shared" si="316"/>
        <v>0</v>
      </c>
      <c r="BP342">
        <f t="shared" si="317"/>
        <v>0</v>
      </c>
      <c r="BQ342">
        <f t="shared" si="318"/>
        <v>0</v>
      </c>
      <c r="BR342">
        <f t="shared" si="319"/>
        <v>0</v>
      </c>
      <c r="BS342">
        <f t="shared" si="320"/>
        <v>0</v>
      </c>
      <c r="BT342">
        <f t="shared" si="321"/>
        <v>0</v>
      </c>
      <c r="BU342">
        <f t="shared" si="322"/>
        <v>0</v>
      </c>
      <c r="BV342">
        <f t="shared" si="323"/>
        <v>0</v>
      </c>
      <c r="BW342">
        <f t="shared" si="324"/>
        <v>0</v>
      </c>
      <c r="BX342">
        <f t="shared" si="325"/>
        <v>0</v>
      </c>
    </row>
    <row r="343" spans="2:76">
      <c r="B343" s="19">
        <f>Tiers!B344</f>
        <v>341</v>
      </c>
      <c r="C343" s="20" t="str">
        <f>Tiers!X344</f>
        <v>main-28|bonusC-5||||||||</v>
      </c>
      <c r="D343" s="21">
        <f>Tiers!C344</f>
        <v>115</v>
      </c>
      <c r="E343" s="22">
        <f>Frequency!E345</f>
        <v>5</v>
      </c>
      <c r="F343" s="22">
        <f t="shared" si="275"/>
        <v>575</v>
      </c>
      <c r="G343" s="20">
        <f>IF(AND(D343/Summary!$C$4&gt;0, D343/Summary!$C$4&lt;5),E343,0) * D343</f>
        <v>0</v>
      </c>
      <c r="H343" s="20">
        <f>IF(AND(D343/Summary!$C$4&gt;= 5, D343/Summary!$C$4&lt;10),E343,0) * D343</f>
        <v>0</v>
      </c>
      <c r="I343" s="20">
        <f>IF(AND(D343/Summary!$C$4&gt;=10, D343/Summary!$C$4&lt;25),E343,0)*D343</f>
        <v>0</v>
      </c>
      <c r="J343" s="20">
        <f>IF(D343/Summary!$C$4&gt;=25,E343,0)*D343</f>
        <v>575</v>
      </c>
      <c r="K343" s="35">
        <f>IF(AND(D343/Frequency!$N$7&gt;0, D343/Frequency!$N$7&lt;1),E343,0)</f>
        <v>0</v>
      </c>
      <c r="L343" s="35">
        <f t="shared" si="276"/>
        <v>0</v>
      </c>
      <c r="M343" s="35">
        <f>IF(D343/Frequency!$N$7=1,1,0)*E343</f>
        <v>0</v>
      </c>
      <c r="N343" s="35">
        <f t="shared" si="277"/>
        <v>0</v>
      </c>
      <c r="O343" s="35">
        <f>IF(AND(D343/Frequency!$N$7&gt;1, D343/Frequency!$N$7&lt;=2),1,0)*E343</f>
        <v>0</v>
      </c>
      <c r="P343" s="35">
        <f t="shared" si="278"/>
        <v>0</v>
      </c>
      <c r="Q343" s="35">
        <f>IF(AND(D343/Frequency!$N$7&gt;2,D343/Frequency!$N$7&lt;=5),1,0)*E343</f>
        <v>0</v>
      </c>
      <c r="R343" s="35">
        <f t="shared" si="279"/>
        <v>0</v>
      </c>
      <c r="S343" s="35">
        <f>IF(AND(D343/Frequency!$N$7&gt;5, D343/Frequency!$N$7&lt;=10),1,0)*E343</f>
        <v>0</v>
      </c>
      <c r="T343" s="35">
        <f t="shared" si="280"/>
        <v>0</v>
      </c>
      <c r="U343" s="35">
        <f>IF(AND(D343/Frequency!$N$7&gt;10, D343/Frequency!$N$7&lt;=20),1,0)*E343</f>
        <v>0</v>
      </c>
      <c r="V343" s="35">
        <f t="shared" si="281"/>
        <v>0</v>
      </c>
      <c r="W343" s="35">
        <f>IF(AND(D343/Frequency!$N$7&gt;20, D343/Frequency!$N$7&lt;=30),1,0)*E343</f>
        <v>0</v>
      </c>
      <c r="X343" s="35">
        <f t="shared" si="282"/>
        <v>0</v>
      </c>
      <c r="Y343" s="35">
        <f>IF(AND(D343/Frequency!$N$7&gt;30, D343/Frequency!$N$7&lt;=50),1,0)*E343</f>
        <v>0</v>
      </c>
      <c r="Z343" s="35">
        <f t="shared" si="283"/>
        <v>0</v>
      </c>
      <c r="AA343" s="35">
        <f>IF(AND(D343/Frequency!$N$7&gt;50, D343/Frequency!$N$7&lt;=100),1,0)*E343</f>
        <v>0</v>
      </c>
      <c r="AB343" s="35">
        <f t="shared" si="284"/>
        <v>0</v>
      </c>
      <c r="AC343" s="35">
        <f>IF(D343/Frequency!$N$7&gt;100,1,0)*E343</f>
        <v>5</v>
      </c>
      <c r="AD343" s="35">
        <f t="shared" si="285"/>
        <v>575</v>
      </c>
      <c r="AE343" s="22">
        <f t="shared" si="286"/>
        <v>0</v>
      </c>
      <c r="AF343" s="22">
        <f t="shared" si="287"/>
        <v>0</v>
      </c>
      <c r="AG343" s="22">
        <f t="shared" si="288"/>
        <v>0</v>
      </c>
      <c r="AH343" s="22">
        <f t="shared" si="289"/>
        <v>0</v>
      </c>
      <c r="AI343" s="35">
        <f t="shared" si="290"/>
        <v>1</v>
      </c>
      <c r="AJ343" s="35">
        <f t="shared" si="291"/>
        <v>5</v>
      </c>
      <c r="AK343" s="35">
        <f t="shared" si="292"/>
        <v>575</v>
      </c>
      <c r="AL343">
        <f t="shared" si="293"/>
        <v>0</v>
      </c>
      <c r="AM343">
        <f t="shared" si="294"/>
        <v>0</v>
      </c>
      <c r="AN343">
        <f t="shared" si="295"/>
        <v>0</v>
      </c>
      <c r="AO343">
        <f t="shared" si="296"/>
        <v>0</v>
      </c>
      <c r="AP343">
        <f t="shared" si="297"/>
        <v>0</v>
      </c>
      <c r="AQ343">
        <f t="shared" si="298"/>
        <v>0</v>
      </c>
      <c r="AR343">
        <f t="shared" si="299"/>
        <v>0</v>
      </c>
      <c r="AS343">
        <f t="shared" si="300"/>
        <v>0</v>
      </c>
      <c r="AT343">
        <f t="shared" si="301"/>
        <v>0</v>
      </c>
      <c r="AU343">
        <f t="shared" si="302"/>
        <v>0</v>
      </c>
      <c r="AV343">
        <v>0</v>
      </c>
      <c r="AW343">
        <v>0</v>
      </c>
      <c r="AX343">
        <f t="shared" si="303"/>
        <v>0</v>
      </c>
      <c r="AY343">
        <f t="shared" si="304"/>
        <v>0</v>
      </c>
      <c r="AZ343">
        <f t="shared" si="305"/>
        <v>0</v>
      </c>
      <c r="BA343">
        <f t="shared" si="306"/>
        <v>0</v>
      </c>
      <c r="BB343">
        <f t="shared" si="307"/>
        <v>0</v>
      </c>
      <c r="BC343">
        <f t="shared" si="308"/>
        <v>0</v>
      </c>
      <c r="BD343">
        <f t="shared" si="309"/>
        <v>1</v>
      </c>
      <c r="BE343">
        <f t="shared" si="310"/>
        <v>5</v>
      </c>
      <c r="BF343">
        <f t="shared" si="311"/>
        <v>575</v>
      </c>
      <c r="BG343">
        <f t="shared" si="312"/>
        <v>0</v>
      </c>
      <c r="BH343">
        <f t="shared" si="313"/>
        <v>0</v>
      </c>
      <c r="BI343">
        <f t="shared" si="314"/>
        <v>0</v>
      </c>
      <c r="BJ343">
        <v>0</v>
      </c>
      <c r="BK343" t="str">
        <f t="shared" si="326"/>
        <v>Huge Win</v>
      </c>
      <c r="BL343" s="40" t="str">
        <f t="shared" si="327"/>
        <v>Bonus Game C</v>
      </c>
      <c r="BM343">
        <f>(D343/Frequency!$N$7-Summary!$C$7)^2*E343</f>
        <v>65162.527999999991</v>
      </c>
      <c r="BN343">
        <f t="shared" si="315"/>
        <v>0</v>
      </c>
      <c r="BO343">
        <f t="shared" si="316"/>
        <v>0</v>
      </c>
      <c r="BP343">
        <f t="shared" si="317"/>
        <v>0</v>
      </c>
      <c r="BQ343">
        <f t="shared" si="318"/>
        <v>0</v>
      </c>
      <c r="BR343">
        <f t="shared" si="319"/>
        <v>0</v>
      </c>
      <c r="BS343">
        <f t="shared" si="320"/>
        <v>0</v>
      </c>
      <c r="BT343">
        <f t="shared" si="321"/>
        <v>0</v>
      </c>
      <c r="BU343">
        <f t="shared" si="322"/>
        <v>0</v>
      </c>
      <c r="BV343">
        <f t="shared" si="323"/>
        <v>0</v>
      </c>
      <c r="BW343">
        <f t="shared" si="324"/>
        <v>0</v>
      </c>
      <c r="BX343">
        <f t="shared" si="325"/>
        <v>0</v>
      </c>
    </row>
    <row r="344" spans="2:76">
      <c r="B344" s="19">
        <f>Tiers!B345</f>
        <v>342</v>
      </c>
      <c r="C344" s="20" t="str">
        <f>Tiers!X345</f>
        <v>main-25|bonusC-6||||||||</v>
      </c>
      <c r="D344" s="21">
        <f>Tiers!C345</f>
        <v>25</v>
      </c>
      <c r="E344" s="22">
        <f>Frequency!E346</f>
        <v>5</v>
      </c>
      <c r="F344" s="22">
        <f t="shared" si="275"/>
        <v>125</v>
      </c>
      <c r="G344" s="20">
        <f>IF(AND(D344/Summary!$C$4&gt;0, D344/Summary!$C$4&lt;5),E344,0) * D344</f>
        <v>0</v>
      </c>
      <c r="H344" s="20">
        <f>IF(AND(D344/Summary!$C$4&gt;= 5, D344/Summary!$C$4&lt;10),E344,0) * D344</f>
        <v>0</v>
      </c>
      <c r="I344" s="20">
        <f>IF(AND(D344/Summary!$C$4&gt;=10, D344/Summary!$C$4&lt;25),E344,0)*D344</f>
        <v>0</v>
      </c>
      <c r="J344" s="20">
        <f>IF(D344/Summary!$C$4&gt;=25,E344,0)*D344</f>
        <v>125</v>
      </c>
      <c r="K344" s="35">
        <f>IF(AND(D344/Frequency!$N$7&gt;0, D344/Frequency!$N$7&lt;1),E344,0)</f>
        <v>0</v>
      </c>
      <c r="L344" s="35">
        <f t="shared" si="276"/>
        <v>0</v>
      </c>
      <c r="M344" s="35">
        <f>IF(D344/Frequency!$N$7=1,1,0)*E344</f>
        <v>0</v>
      </c>
      <c r="N344" s="35">
        <f t="shared" si="277"/>
        <v>0</v>
      </c>
      <c r="O344" s="35">
        <f>IF(AND(D344/Frequency!$N$7&gt;1, D344/Frequency!$N$7&lt;=2),1,0)*E344</f>
        <v>0</v>
      </c>
      <c r="P344" s="35">
        <f t="shared" si="278"/>
        <v>0</v>
      </c>
      <c r="Q344" s="35">
        <f>IF(AND(D344/Frequency!$N$7&gt;2,D344/Frequency!$N$7&lt;=5),1,0)*E344</f>
        <v>0</v>
      </c>
      <c r="R344" s="35">
        <f t="shared" si="279"/>
        <v>0</v>
      </c>
      <c r="S344" s="35">
        <f>IF(AND(D344/Frequency!$N$7&gt;5, D344/Frequency!$N$7&lt;=10),1,0)*E344</f>
        <v>0</v>
      </c>
      <c r="T344" s="35">
        <f t="shared" si="280"/>
        <v>0</v>
      </c>
      <c r="U344" s="35">
        <f>IF(AND(D344/Frequency!$N$7&gt;10, D344/Frequency!$N$7&lt;=20),1,0)*E344</f>
        <v>0</v>
      </c>
      <c r="V344" s="35">
        <f t="shared" si="281"/>
        <v>0</v>
      </c>
      <c r="W344" s="35">
        <f>IF(AND(D344/Frequency!$N$7&gt;20, D344/Frequency!$N$7&lt;=30),1,0)*E344</f>
        <v>5</v>
      </c>
      <c r="X344" s="35">
        <f t="shared" si="282"/>
        <v>125</v>
      </c>
      <c r="Y344" s="35">
        <f>IF(AND(D344/Frequency!$N$7&gt;30, D344/Frequency!$N$7&lt;=50),1,0)*E344</f>
        <v>0</v>
      </c>
      <c r="Z344" s="35">
        <f t="shared" si="283"/>
        <v>0</v>
      </c>
      <c r="AA344" s="35">
        <f>IF(AND(D344/Frequency!$N$7&gt;50, D344/Frequency!$N$7&lt;=100),1,0)*E344</f>
        <v>0</v>
      </c>
      <c r="AB344" s="35">
        <f t="shared" si="284"/>
        <v>0</v>
      </c>
      <c r="AC344" s="35">
        <f>IF(D344/Frequency!$N$7&gt;100,1,0)*E344</f>
        <v>0</v>
      </c>
      <c r="AD344" s="35">
        <f t="shared" si="285"/>
        <v>0</v>
      </c>
      <c r="AE344" s="22">
        <f t="shared" si="286"/>
        <v>0</v>
      </c>
      <c r="AF344" s="22">
        <f t="shared" si="287"/>
        <v>0</v>
      </c>
      <c r="AG344" s="22">
        <f t="shared" si="288"/>
        <v>0</v>
      </c>
      <c r="AH344" s="22">
        <f t="shared" si="289"/>
        <v>0</v>
      </c>
      <c r="AI344" s="35">
        <f t="shared" si="290"/>
        <v>1</v>
      </c>
      <c r="AJ344" s="35">
        <f t="shared" si="291"/>
        <v>5</v>
      </c>
      <c r="AK344" s="35">
        <f t="shared" si="292"/>
        <v>125</v>
      </c>
      <c r="AL344">
        <f t="shared" si="293"/>
        <v>0</v>
      </c>
      <c r="AM344">
        <f t="shared" si="294"/>
        <v>0</v>
      </c>
      <c r="AN344">
        <f t="shared" si="295"/>
        <v>0</v>
      </c>
      <c r="AO344">
        <f t="shared" si="296"/>
        <v>0</v>
      </c>
      <c r="AP344">
        <f t="shared" si="297"/>
        <v>0</v>
      </c>
      <c r="AQ344">
        <f t="shared" si="298"/>
        <v>0</v>
      </c>
      <c r="AR344">
        <f t="shared" si="299"/>
        <v>0</v>
      </c>
      <c r="AS344">
        <f t="shared" si="300"/>
        <v>0</v>
      </c>
      <c r="AT344">
        <f t="shared" si="301"/>
        <v>0</v>
      </c>
      <c r="AU344">
        <f t="shared" si="302"/>
        <v>0</v>
      </c>
      <c r="AV344">
        <v>0</v>
      </c>
      <c r="AW344">
        <v>0</v>
      </c>
      <c r="AX344">
        <f t="shared" si="303"/>
        <v>0</v>
      </c>
      <c r="AY344">
        <f t="shared" si="304"/>
        <v>0</v>
      </c>
      <c r="AZ344">
        <f t="shared" si="305"/>
        <v>0</v>
      </c>
      <c r="BA344">
        <f t="shared" si="306"/>
        <v>0</v>
      </c>
      <c r="BB344">
        <f t="shared" si="307"/>
        <v>0</v>
      </c>
      <c r="BC344">
        <f t="shared" si="308"/>
        <v>0</v>
      </c>
      <c r="BD344">
        <f t="shared" si="309"/>
        <v>1</v>
      </c>
      <c r="BE344">
        <f t="shared" si="310"/>
        <v>5</v>
      </c>
      <c r="BF344">
        <f t="shared" si="311"/>
        <v>125</v>
      </c>
      <c r="BG344">
        <f t="shared" si="312"/>
        <v>0</v>
      </c>
      <c r="BH344">
        <f t="shared" si="313"/>
        <v>0</v>
      </c>
      <c r="BI344">
        <f t="shared" si="314"/>
        <v>0</v>
      </c>
      <c r="BJ344">
        <v>0</v>
      </c>
      <c r="BK344" t="str">
        <f t="shared" si="326"/>
        <v>Big Win</v>
      </c>
      <c r="BL344" s="40" t="str">
        <f t="shared" si="327"/>
        <v>Bonus Game C</v>
      </c>
      <c r="BM344">
        <f>(D344/Frequency!$N$7-Summary!$C$7)^2*E344</f>
        <v>2918.5280000000002</v>
      </c>
      <c r="BN344">
        <f t="shared" si="315"/>
        <v>0</v>
      </c>
      <c r="BO344">
        <f t="shared" si="316"/>
        <v>0</v>
      </c>
      <c r="BP344">
        <f t="shared" si="317"/>
        <v>0</v>
      </c>
      <c r="BQ344">
        <f t="shared" si="318"/>
        <v>0</v>
      </c>
      <c r="BR344">
        <f t="shared" si="319"/>
        <v>0</v>
      </c>
      <c r="BS344">
        <f t="shared" si="320"/>
        <v>0</v>
      </c>
      <c r="BT344">
        <f t="shared" si="321"/>
        <v>0</v>
      </c>
      <c r="BU344">
        <f t="shared" si="322"/>
        <v>0</v>
      </c>
      <c r="BV344">
        <f t="shared" si="323"/>
        <v>0</v>
      </c>
      <c r="BW344">
        <f t="shared" si="324"/>
        <v>0</v>
      </c>
      <c r="BX344">
        <f t="shared" si="325"/>
        <v>0</v>
      </c>
    </row>
    <row r="345" spans="2:76">
      <c r="B345" s="19">
        <f>Tiers!B346</f>
        <v>343</v>
      </c>
      <c r="C345" s="20" t="str">
        <f>Tiers!X346</f>
        <v>main-13|bonusC-3||||||||</v>
      </c>
      <c r="D345" s="21">
        <f>Tiers!C346</f>
        <v>15</v>
      </c>
      <c r="E345" s="22">
        <f>Frequency!E347</f>
        <v>13</v>
      </c>
      <c r="F345" s="22">
        <f t="shared" si="275"/>
        <v>195</v>
      </c>
      <c r="G345" s="20">
        <f>IF(AND(D345/Summary!$C$4&gt;0, D345/Summary!$C$4&lt;5),E345,0) * D345</f>
        <v>0</v>
      </c>
      <c r="H345" s="20">
        <f>IF(AND(D345/Summary!$C$4&gt;= 5, D345/Summary!$C$4&lt;10),E345,0) * D345</f>
        <v>0</v>
      </c>
      <c r="I345" s="20">
        <f>IF(AND(D345/Summary!$C$4&gt;=10, D345/Summary!$C$4&lt;25),E345,0)*D345</f>
        <v>195</v>
      </c>
      <c r="J345" s="20">
        <f>IF(D345/Summary!$C$4&gt;=25,E345,0)*D345</f>
        <v>0</v>
      </c>
      <c r="K345" s="35">
        <f>IF(AND(D345/Frequency!$N$7&gt;0, D345/Frequency!$N$7&lt;1),E345,0)</f>
        <v>0</v>
      </c>
      <c r="L345" s="35">
        <f t="shared" si="276"/>
        <v>0</v>
      </c>
      <c r="M345" s="35">
        <f>IF(D345/Frequency!$N$7=1,1,0)*E345</f>
        <v>0</v>
      </c>
      <c r="N345" s="35">
        <f t="shared" si="277"/>
        <v>0</v>
      </c>
      <c r="O345" s="35">
        <f>IF(AND(D345/Frequency!$N$7&gt;1, D345/Frequency!$N$7&lt;=2),1,0)*E345</f>
        <v>0</v>
      </c>
      <c r="P345" s="35">
        <f t="shared" si="278"/>
        <v>0</v>
      </c>
      <c r="Q345" s="35">
        <f>IF(AND(D345/Frequency!$N$7&gt;2,D345/Frequency!$N$7&lt;=5),1,0)*E345</f>
        <v>0</v>
      </c>
      <c r="R345" s="35">
        <f t="shared" si="279"/>
        <v>0</v>
      </c>
      <c r="S345" s="35">
        <f>IF(AND(D345/Frequency!$N$7&gt;5, D345/Frequency!$N$7&lt;=10),1,0)*E345</f>
        <v>0</v>
      </c>
      <c r="T345" s="35">
        <f t="shared" si="280"/>
        <v>0</v>
      </c>
      <c r="U345" s="35">
        <f>IF(AND(D345/Frequency!$N$7&gt;10, D345/Frequency!$N$7&lt;=20),1,0)*E345</f>
        <v>13</v>
      </c>
      <c r="V345" s="35">
        <f t="shared" si="281"/>
        <v>195</v>
      </c>
      <c r="W345" s="35">
        <f>IF(AND(D345/Frequency!$N$7&gt;20, D345/Frequency!$N$7&lt;=30),1,0)*E345</f>
        <v>0</v>
      </c>
      <c r="X345" s="35">
        <f t="shared" si="282"/>
        <v>0</v>
      </c>
      <c r="Y345" s="35">
        <f>IF(AND(D345/Frequency!$N$7&gt;30, D345/Frequency!$N$7&lt;=50),1,0)*E345</f>
        <v>0</v>
      </c>
      <c r="Z345" s="35">
        <f t="shared" si="283"/>
        <v>0</v>
      </c>
      <c r="AA345" s="35">
        <f>IF(AND(D345/Frequency!$N$7&gt;50, D345/Frequency!$N$7&lt;=100),1,0)*E345</f>
        <v>0</v>
      </c>
      <c r="AB345" s="35">
        <f t="shared" si="284"/>
        <v>0</v>
      </c>
      <c r="AC345" s="35">
        <f>IF(D345/Frequency!$N$7&gt;100,1,0)*E345</f>
        <v>0</v>
      </c>
      <c r="AD345" s="35">
        <f t="shared" si="285"/>
        <v>0</v>
      </c>
      <c r="AE345" s="22">
        <f t="shared" si="286"/>
        <v>0</v>
      </c>
      <c r="AF345" s="22">
        <f t="shared" si="287"/>
        <v>0</v>
      </c>
      <c r="AG345" s="22">
        <f t="shared" si="288"/>
        <v>0</v>
      </c>
      <c r="AH345" s="22">
        <f t="shared" si="289"/>
        <v>0</v>
      </c>
      <c r="AI345" s="35">
        <f t="shared" si="290"/>
        <v>1</v>
      </c>
      <c r="AJ345" s="35">
        <f t="shared" si="291"/>
        <v>13</v>
      </c>
      <c r="AK345" s="35">
        <f t="shared" si="292"/>
        <v>195</v>
      </c>
      <c r="AL345">
        <f t="shared" si="293"/>
        <v>0</v>
      </c>
      <c r="AM345">
        <f t="shared" si="294"/>
        <v>0</v>
      </c>
      <c r="AN345">
        <f t="shared" si="295"/>
        <v>0</v>
      </c>
      <c r="AO345">
        <f t="shared" si="296"/>
        <v>0</v>
      </c>
      <c r="AP345">
        <f t="shared" si="297"/>
        <v>0</v>
      </c>
      <c r="AQ345">
        <f t="shared" si="298"/>
        <v>0</v>
      </c>
      <c r="AR345">
        <f t="shared" si="299"/>
        <v>0</v>
      </c>
      <c r="AS345">
        <f t="shared" si="300"/>
        <v>0</v>
      </c>
      <c r="AT345">
        <f t="shared" si="301"/>
        <v>0</v>
      </c>
      <c r="AU345">
        <f t="shared" si="302"/>
        <v>0</v>
      </c>
      <c r="AV345">
        <v>0</v>
      </c>
      <c r="AW345">
        <v>0</v>
      </c>
      <c r="AX345">
        <f t="shared" si="303"/>
        <v>0</v>
      </c>
      <c r="AY345">
        <f t="shared" si="304"/>
        <v>0</v>
      </c>
      <c r="AZ345">
        <f t="shared" si="305"/>
        <v>0</v>
      </c>
      <c r="BA345">
        <f t="shared" si="306"/>
        <v>0</v>
      </c>
      <c r="BB345">
        <f t="shared" si="307"/>
        <v>0</v>
      </c>
      <c r="BC345">
        <f t="shared" si="308"/>
        <v>0</v>
      </c>
      <c r="BD345">
        <f t="shared" si="309"/>
        <v>1</v>
      </c>
      <c r="BE345">
        <f t="shared" si="310"/>
        <v>13</v>
      </c>
      <c r="BF345">
        <f t="shared" si="311"/>
        <v>195</v>
      </c>
      <c r="BG345">
        <f t="shared" si="312"/>
        <v>0</v>
      </c>
      <c r="BH345">
        <f t="shared" si="313"/>
        <v>0</v>
      </c>
      <c r="BI345">
        <f t="shared" si="314"/>
        <v>0</v>
      </c>
      <c r="BJ345">
        <v>0</v>
      </c>
      <c r="BK345" t="str">
        <f t="shared" si="326"/>
        <v>Big Win</v>
      </c>
      <c r="BL345" s="40" t="str">
        <f t="shared" si="327"/>
        <v>Bonus Game C</v>
      </c>
      <c r="BM345">
        <f>(D345/Frequency!$N$7-Summary!$C$7)^2*E345</f>
        <v>2606.5728000000004</v>
      </c>
      <c r="BN345">
        <f t="shared" si="315"/>
        <v>0</v>
      </c>
      <c r="BO345">
        <f t="shared" si="316"/>
        <v>0</v>
      </c>
      <c r="BP345">
        <f t="shared" si="317"/>
        <v>0</v>
      </c>
      <c r="BQ345">
        <f t="shared" si="318"/>
        <v>0</v>
      </c>
      <c r="BR345">
        <f t="shared" si="319"/>
        <v>0</v>
      </c>
      <c r="BS345">
        <f t="shared" si="320"/>
        <v>0</v>
      </c>
      <c r="BT345">
        <f t="shared" si="321"/>
        <v>0</v>
      </c>
      <c r="BU345">
        <f t="shared" si="322"/>
        <v>0</v>
      </c>
      <c r="BV345">
        <f t="shared" si="323"/>
        <v>0</v>
      </c>
      <c r="BW345">
        <f t="shared" si="324"/>
        <v>0</v>
      </c>
      <c r="BX345">
        <f t="shared" si="325"/>
        <v>0</v>
      </c>
    </row>
    <row r="346" spans="2:76">
      <c r="B346" s="19">
        <f>Tiers!B347</f>
        <v>344</v>
      </c>
      <c r="C346" s="20" t="str">
        <f>Tiers!X347</f>
        <v>main-0|wild-12|bonusC-5|||||||</v>
      </c>
      <c r="D346" s="21">
        <f>Tiers!C347</f>
        <v>18.100000000000001</v>
      </c>
      <c r="E346" s="22">
        <f>Frequency!E348</f>
        <v>7</v>
      </c>
      <c r="F346" s="22">
        <f t="shared" si="275"/>
        <v>126.70000000000002</v>
      </c>
      <c r="G346" s="20">
        <f>IF(AND(D346/Summary!$C$4&gt;0, D346/Summary!$C$4&lt;5),E346,0) * D346</f>
        <v>0</v>
      </c>
      <c r="H346" s="20">
        <f>IF(AND(D346/Summary!$C$4&gt;= 5, D346/Summary!$C$4&lt;10),E346,0) * D346</f>
        <v>0</v>
      </c>
      <c r="I346" s="20">
        <f>IF(AND(D346/Summary!$C$4&gt;=10, D346/Summary!$C$4&lt;25),E346,0)*D346</f>
        <v>126.70000000000002</v>
      </c>
      <c r="J346" s="20">
        <f>IF(D346/Summary!$C$4&gt;=25,E346,0)*D346</f>
        <v>0</v>
      </c>
      <c r="K346" s="35">
        <f>IF(AND(D346/Frequency!$N$7&gt;0, D346/Frequency!$N$7&lt;1),E346,0)</f>
        <v>0</v>
      </c>
      <c r="L346" s="35">
        <f t="shared" si="276"/>
        <v>0</v>
      </c>
      <c r="M346" s="35">
        <f>IF(D346/Frequency!$N$7=1,1,0)*E346</f>
        <v>0</v>
      </c>
      <c r="N346" s="35">
        <f t="shared" si="277"/>
        <v>0</v>
      </c>
      <c r="O346" s="35">
        <f>IF(AND(D346/Frequency!$N$7&gt;1, D346/Frequency!$N$7&lt;=2),1,0)*E346</f>
        <v>0</v>
      </c>
      <c r="P346" s="35">
        <f t="shared" si="278"/>
        <v>0</v>
      </c>
      <c r="Q346" s="35">
        <f>IF(AND(D346/Frequency!$N$7&gt;2,D346/Frequency!$N$7&lt;=5),1,0)*E346</f>
        <v>0</v>
      </c>
      <c r="R346" s="35">
        <f t="shared" si="279"/>
        <v>0</v>
      </c>
      <c r="S346" s="35">
        <f>IF(AND(D346/Frequency!$N$7&gt;5, D346/Frequency!$N$7&lt;=10),1,0)*E346</f>
        <v>0</v>
      </c>
      <c r="T346" s="35">
        <f t="shared" si="280"/>
        <v>0</v>
      </c>
      <c r="U346" s="35">
        <f>IF(AND(D346/Frequency!$N$7&gt;10, D346/Frequency!$N$7&lt;=20),1,0)*E346</f>
        <v>7</v>
      </c>
      <c r="V346" s="35">
        <f t="shared" si="281"/>
        <v>126.70000000000002</v>
      </c>
      <c r="W346" s="35">
        <f>IF(AND(D346/Frequency!$N$7&gt;20, D346/Frequency!$N$7&lt;=30),1,0)*E346</f>
        <v>0</v>
      </c>
      <c r="X346" s="35">
        <f t="shared" si="282"/>
        <v>0</v>
      </c>
      <c r="Y346" s="35">
        <f>IF(AND(D346/Frequency!$N$7&gt;30, D346/Frequency!$N$7&lt;=50),1,0)*E346</f>
        <v>0</v>
      </c>
      <c r="Z346" s="35">
        <f t="shared" si="283"/>
        <v>0</v>
      </c>
      <c r="AA346" s="35">
        <f>IF(AND(D346/Frequency!$N$7&gt;50, D346/Frequency!$N$7&lt;=100),1,0)*E346</f>
        <v>0</v>
      </c>
      <c r="AB346" s="35">
        <f t="shared" si="284"/>
        <v>0</v>
      </c>
      <c r="AC346" s="35">
        <f>IF(D346/Frequency!$N$7&gt;100,1,0)*E346</f>
        <v>0</v>
      </c>
      <c r="AD346" s="35">
        <f t="shared" si="285"/>
        <v>0</v>
      </c>
      <c r="AE346" s="22">
        <f t="shared" si="286"/>
        <v>0</v>
      </c>
      <c r="AF346" s="22">
        <f t="shared" si="287"/>
        <v>0</v>
      </c>
      <c r="AG346" s="22">
        <f t="shared" si="288"/>
        <v>0</v>
      </c>
      <c r="AH346" s="22">
        <f t="shared" si="289"/>
        <v>0</v>
      </c>
      <c r="AI346" s="35">
        <f t="shared" si="290"/>
        <v>1</v>
      </c>
      <c r="AJ346" s="35">
        <f t="shared" si="291"/>
        <v>7</v>
      </c>
      <c r="AK346" s="35">
        <f t="shared" si="292"/>
        <v>126.70000000000002</v>
      </c>
      <c r="AL346">
        <f t="shared" si="293"/>
        <v>1</v>
      </c>
      <c r="AM346">
        <f t="shared" si="294"/>
        <v>7</v>
      </c>
      <c r="AN346">
        <f t="shared" si="295"/>
        <v>126.70000000000002</v>
      </c>
      <c r="AO346">
        <f t="shared" si="296"/>
        <v>1</v>
      </c>
      <c r="AP346">
        <f t="shared" si="297"/>
        <v>7</v>
      </c>
      <c r="AQ346">
        <f t="shared" si="298"/>
        <v>126.70000000000002</v>
      </c>
      <c r="AR346">
        <f t="shared" si="299"/>
        <v>0</v>
      </c>
      <c r="AS346">
        <f t="shared" si="300"/>
        <v>0</v>
      </c>
      <c r="AT346">
        <f t="shared" si="301"/>
        <v>0</v>
      </c>
      <c r="AU346">
        <f t="shared" si="302"/>
        <v>0</v>
      </c>
      <c r="AV346">
        <v>0</v>
      </c>
      <c r="AW346">
        <v>0</v>
      </c>
      <c r="AX346">
        <f t="shared" si="303"/>
        <v>0</v>
      </c>
      <c r="AY346">
        <f t="shared" si="304"/>
        <v>0</v>
      </c>
      <c r="AZ346">
        <f t="shared" si="305"/>
        <v>0</v>
      </c>
      <c r="BA346">
        <f t="shared" si="306"/>
        <v>0</v>
      </c>
      <c r="BB346">
        <f t="shared" si="307"/>
        <v>0</v>
      </c>
      <c r="BC346">
        <f t="shared" si="308"/>
        <v>0</v>
      </c>
      <c r="BD346">
        <f t="shared" si="309"/>
        <v>1</v>
      </c>
      <c r="BE346">
        <f t="shared" si="310"/>
        <v>7</v>
      </c>
      <c r="BF346">
        <f t="shared" si="311"/>
        <v>126.70000000000002</v>
      </c>
      <c r="BG346">
        <f t="shared" si="312"/>
        <v>0</v>
      </c>
      <c r="BH346">
        <f t="shared" si="313"/>
        <v>0</v>
      </c>
      <c r="BI346">
        <f t="shared" si="314"/>
        <v>0</v>
      </c>
      <c r="BJ346">
        <v>0</v>
      </c>
      <c r="BK346" t="str">
        <f t="shared" si="326"/>
        <v>Big Win</v>
      </c>
      <c r="BL346" s="40" t="str">
        <f t="shared" si="327"/>
        <v>Bonus Game C</v>
      </c>
      <c r="BM346">
        <f>(D346/Frequency!$N$7-Summary!$C$7)^2*E346</f>
        <v>2085.3532000000005</v>
      </c>
      <c r="BN346">
        <f t="shared" si="315"/>
        <v>0</v>
      </c>
      <c r="BO346">
        <f t="shared" si="316"/>
        <v>0</v>
      </c>
      <c r="BP346">
        <f t="shared" si="317"/>
        <v>0</v>
      </c>
      <c r="BQ346">
        <f t="shared" si="318"/>
        <v>0</v>
      </c>
      <c r="BR346">
        <f t="shared" si="319"/>
        <v>0</v>
      </c>
      <c r="BS346">
        <f t="shared" si="320"/>
        <v>0</v>
      </c>
      <c r="BT346">
        <f t="shared" si="321"/>
        <v>0</v>
      </c>
      <c r="BU346">
        <f t="shared" si="322"/>
        <v>0</v>
      </c>
      <c r="BV346">
        <f t="shared" si="323"/>
        <v>0</v>
      </c>
      <c r="BW346">
        <f t="shared" si="324"/>
        <v>0</v>
      </c>
      <c r="BX346">
        <f t="shared" si="325"/>
        <v>0</v>
      </c>
    </row>
    <row r="347" spans="2:76">
      <c r="B347" s="19">
        <f>Tiers!B348</f>
        <v>345</v>
      </c>
      <c r="C347" s="20" t="str">
        <f>Tiers!X348</f>
        <v>main-4|wild-13|bonusC-6|||||||</v>
      </c>
      <c r="D347" s="21">
        <f>Tiers!C348</f>
        <v>27</v>
      </c>
      <c r="E347" s="22">
        <f>Frequency!E349</f>
        <v>20</v>
      </c>
      <c r="F347" s="22">
        <f t="shared" si="275"/>
        <v>540</v>
      </c>
      <c r="G347" s="20">
        <f>IF(AND(D347/Summary!$C$4&gt;0, D347/Summary!$C$4&lt;5),E347,0) * D347</f>
        <v>0</v>
      </c>
      <c r="H347" s="20">
        <f>IF(AND(D347/Summary!$C$4&gt;= 5, D347/Summary!$C$4&lt;10),E347,0) * D347</f>
        <v>0</v>
      </c>
      <c r="I347" s="20">
        <f>IF(AND(D347/Summary!$C$4&gt;=10, D347/Summary!$C$4&lt;25),E347,0)*D347</f>
        <v>0</v>
      </c>
      <c r="J347" s="20">
        <f>IF(D347/Summary!$C$4&gt;=25,E347,0)*D347</f>
        <v>540</v>
      </c>
      <c r="K347" s="35">
        <f>IF(AND(D347/Frequency!$N$7&gt;0, D347/Frequency!$N$7&lt;1),E347,0)</f>
        <v>0</v>
      </c>
      <c r="L347" s="35">
        <f t="shared" si="276"/>
        <v>0</v>
      </c>
      <c r="M347" s="35">
        <f>IF(D347/Frequency!$N$7=1,1,0)*E347</f>
        <v>0</v>
      </c>
      <c r="N347" s="35">
        <f t="shared" si="277"/>
        <v>0</v>
      </c>
      <c r="O347" s="35">
        <f>IF(AND(D347/Frequency!$N$7&gt;1, D347/Frequency!$N$7&lt;=2),1,0)*E347</f>
        <v>0</v>
      </c>
      <c r="P347" s="35">
        <f t="shared" si="278"/>
        <v>0</v>
      </c>
      <c r="Q347" s="35">
        <f>IF(AND(D347/Frequency!$N$7&gt;2,D347/Frequency!$N$7&lt;=5),1,0)*E347</f>
        <v>0</v>
      </c>
      <c r="R347" s="35">
        <f t="shared" si="279"/>
        <v>0</v>
      </c>
      <c r="S347" s="35">
        <f>IF(AND(D347/Frequency!$N$7&gt;5, D347/Frequency!$N$7&lt;=10),1,0)*E347</f>
        <v>0</v>
      </c>
      <c r="T347" s="35">
        <f t="shared" si="280"/>
        <v>0</v>
      </c>
      <c r="U347" s="35">
        <f>IF(AND(D347/Frequency!$N$7&gt;10, D347/Frequency!$N$7&lt;=20),1,0)*E347</f>
        <v>0</v>
      </c>
      <c r="V347" s="35">
        <f t="shared" si="281"/>
        <v>0</v>
      </c>
      <c r="W347" s="35">
        <f>IF(AND(D347/Frequency!$N$7&gt;20, D347/Frequency!$N$7&lt;=30),1,0)*E347</f>
        <v>20</v>
      </c>
      <c r="X347" s="35">
        <f t="shared" si="282"/>
        <v>540</v>
      </c>
      <c r="Y347" s="35">
        <f>IF(AND(D347/Frequency!$N$7&gt;30, D347/Frequency!$N$7&lt;=50),1,0)*E347</f>
        <v>0</v>
      </c>
      <c r="Z347" s="35">
        <f t="shared" si="283"/>
        <v>0</v>
      </c>
      <c r="AA347" s="35">
        <f>IF(AND(D347/Frequency!$N$7&gt;50, D347/Frequency!$N$7&lt;=100),1,0)*E347</f>
        <v>0</v>
      </c>
      <c r="AB347" s="35">
        <f t="shared" si="284"/>
        <v>0</v>
      </c>
      <c r="AC347" s="35">
        <f>IF(D347/Frequency!$N$7&gt;100,1,0)*E347</f>
        <v>0</v>
      </c>
      <c r="AD347" s="35">
        <f t="shared" si="285"/>
        <v>0</v>
      </c>
      <c r="AE347" s="22">
        <f t="shared" si="286"/>
        <v>0</v>
      </c>
      <c r="AF347" s="22">
        <f t="shared" si="287"/>
        <v>0</v>
      </c>
      <c r="AG347" s="22">
        <f t="shared" si="288"/>
        <v>0</v>
      </c>
      <c r="AH347" s="22">
        <f t="shared" si="289"/>
        <v>0</v>
      </c>
      <c r="AI347" s="35">
        <f t="shared" si="290"/>
        <v>1</v>
      </c>
      <c r="AJ347" s="35">
        <f t="shared" si="291"/>
        <v>20</v>
      </c>
      <c r="AK347" s="35">
        <f t="shared" si="292"/>
        <v>540</v>
      </c>
      <c r="AL347">
        <f t="shared" si="293"/>
        <v>1</v>
      </c>
      <c r="AM347">
        <f t="shared" si="294"/>
        <v>20</v>
      </c>
      <c r="AN347">
        <f t="shared" si="295"/>
        <v>540</v>
      </c>
      <c r="AO347">
        <f t="shared" si="296"/>
        <v>1</v>
      </c>
      <c r="AP347">
        <f t="shared" si="297"/>
        <v>20</v>
      </c>
      <c r="AQ347">
        <f t="shared" si="298"/>
        <v>540</v>
      </c>
      <c r="AR347">
        <f t="shared" si="299"/>
        <v>0</v>
      </c>
      <c r="AS347">
        <f t="shared" si="300"/>
        <v>0</v>
      </c>
      <c r="AT347">
        <f t="shared" si="301"/>
        <v>0</v>
      </c>
      <c r="AU347">
        <f t="shared" si="302"/>
        <v>0</v>
      </c>
      <c r="AV347">
        <v>0</v>
      </c>
      <c r="AW347">
        <v>0</v>
      </c>
      <c r="AX347">
        <f t="shared" si="303"/>
        <v>0</v>
      </c>
      <c r="AY347">
        <f t="shared" si="304"/>
        <v>0</v>
      </c>
      <c r="AZ347">
        <f t="shared" si="305"/>
        <v>0</v>
      </c>
      <c r="BA347">
        <f t="shared" si="306"/>
        <v>0</v>
      </c>
      <c r="BB347">
        <f t="shared" si="307"/>
        <v>0</v>
      </c>
      <c r="BC347">
        <f t="shared" si="308"/>
        <v>0</v>
      </c>
      <c r="BD347">
        <f t="shared" si="309"/>
        <v>1</v>
      </c>
      <c r="BE347">
        <f t="shared" si="310"/>
        <v>20</v>
      </c>
      <c r="BF347">
        <f t="shared" si="311"/>
        <v>540</v>
      </c>
      <c r="BG347">
        <f t="shared" si="312"/>
        <v>0</v>
      </c>
      <c r="BH347">
        <f t="shared" si="313"/>
        <v>0</v>
      </c>
      <c r="BI347">
        <f t="shared" si="314"/>
        <v>0</v>
      </c>
      <c r="BJ347">
        <v>0</v>
      </c>
      <c r="BK347" t="str">
        <f t="shared" si="326"/>
        <v>Big Win</v>
      </c>
      <c r="BL347" s="40" t="str">
        <f t="shared" si="327"/>
        <v>Bonus Game C</v>
      </c>
      <c r="BM347">
        <f>(D347/Frequency!$N$7-Summary!$C$7)^2*E347</f>
        <v>13686.912</v>
      </c>
      <c r="BN347">
        <f t="shared" si="315"/>
        <v>0</v>
      </c>
      <c r="BO347">
        <f t="shared" si="316"/>
        <v>0</v>
      </c>
      <c r="BP347">
        <f t="shared" si="317"/>
        <v>0</v>
      </c>
      <c r="BQ347">
        <f t="shared" si="318"/>
        <v>0</v>
      </c>
      <c r="BR347">
        <f t="shared" si="319"/>
        <v>0</v>
      </c>
      <c r="BS347">
        <f t="shared" si="320"/>
        <v>0</v>
      </c>
      <c r="BT347">
        <f t="shared" si="321"/>
        <v>0</v>
      </c>
      <c r="BU347">
        <f t="shared" si="322"/>
        <v>0</v>
      </c>
      <c r="BV347">
        <f t="shared" si="323"/>
        <v>0</v>
      </c>
      <c r="BW347">
        <f t="shared" si="324"/>
        <v>0</v>
      </c>
      <c r="BX347">
        <f t="shared" si="325"/>
        <v>0</v>
      </c>
    </row>
    <row r="348" spans="2:76">
      <c r="B348" s="19">
        <f>Tiers!B349</f>
        <v>346</v>
      </c>
      <c r="C348" s="20" t="str">
        <f>Tiers!X349</f>
        <v>main-3|main-20|bonusC-4|||||||</v>
      </c>
      <c r="D348" s="21">
        <f>Tiers!C349</f>
        <v>23</v>
      </c>
      <c r="E348" s="22">
        <f>Frequency!E350</f>
        <v>9</v>
      </c>
      <c r="F348" s="22">
        <f t="shared" si="275"/>
        <v>207</v>
      </c>
      <c r="G348" s="20">
        <f>IF(AND(D348/Summary!$C$4&gt;0, D348/Summary!$C$4&lt;5),E348,0) * D348</f>
        <v>0</v>
      </c>
      <c r="H348" s="20">
        <f>IF(AND(D348/Summary!$C$4&gt;= 5, D348/Summary!$C$4&lt;10),E348,0) * D348</f>
        <v>0</v>
      </c>
      <c r="I348" s="20">
        <f>IF(AND(D348/Summary!$C$4&gt;=10, D348/Summary!$C$4&lt;25),E348,0)*D348</f>
        <v>207</v>
      </c>
      <c r="J348" s="20">
        <f>IF(D348/Summary!$C$4&gt;=25,E348,0)*D348</f>
        <v>0</v>
      </c>
      <c r="K348" s="35">
        <f>IF(AND(D348/Frequency!$N$7&gt;0, D348/Frequency!$N$7&lt;1),E348,0)</f>
        <v>0</v>
      </c>
      <c r="L348" s="35">
        <f t="shared" si="276"/>
        <v>0</v>
      </c>
      <c r="M348" s="35">
        <f>IF(D348/Frequency!$N$7=1,1,0)*E348</f>
        <v>0</v>
      </c>
      <c r="N348" s="35">
        <f t="shared" si="277"/>
        <v>0</v>
      </c>
      <c r="O348" s="35">
        <f>IF(AND(D348/Frequency!$N$7&gt;1, D348/Frequency!$N$7&lt;=2),1,0)*E348</f>
        <v>0</v>
      </c>
      <c r="P348" s="35">
        <f t="shared" si="278"/>
        <v>0</v>
      </c>
      <c r="Q348" s="35">
        <f>IF(AND(D348/Frequency!$N$7&gt;2,D348/Frequency!$N$7&lt;=5),1,0)*E348</f>
        <v>0</v>
      </c>
      <c r="R348" s="35">
        <f t="shared" si="279"/>
        <v>0</v>
      </c>
      <c r="S348" s="35">
        <f>IF(AND(D348/Frequency!$N$7&gt;5, D348/Frequency!$N$7&lt;=10),1,0)*E348</f>
        <v>0</v>
      </c>
      <c r="T348" s="35">
        <f t="shared" si="280"/>
        <v>0</v>
      </c>
      <c r="U348" s="35">
        <f>IF(AND(D348/Frequency!$N$7&gt;10, D348/Frequency!$N$7&lt;=20),1,0)*E348</f>
        <v>0</v>
      </c>
      <c r="V348" s="35">
        <f t="shared" si="281"/>
        <v>0</v>
      </c>
      <c r="W348" s="35">
        <f>IF(AND(D348/Frequency!$N$7&gt;20, D348/Frequency!$N$7&lt;=30),1,0)*E348</f>
        <v>9</v>
      </c>
      <c r="X348" s="35">
        <f t="shared" si="282"/>
        <v>207</v>
      </c>
      <c r="Y348" s="35">
        <f>IF(AND(D348/Frequency!$N$7&gt;30, D348/Frequency!$N$7&lt;=50),1,0)*E348</f>
        <v>0</v>
      </c>
      <c r="Z348" s="35">
        <f t="shared" si="283"/>
        <v>0</v>
      </c>
      <c r="AA348" s="35">
        <f>IF(AND(D348/Frequency!$N$7&gt;50, D348/Frequency!$N$7&lt;=100),1,0)*E348</f>
        <v>0</v>
      </c>
      <c r="AB348" s="35">
        <f t="shared" si="284"/>
        <v>0</v>
      </c>
      <c r="AC348" s="35">
        <f>IF(D348/Frequency!$N$7&gt;100,1,0)*E348</f>
        <v>0</v>
      </c>
      <c r="AD348" s="35">
        <f t="shared" si="285"/>
        <v>0</v>
      </c>
      <c r="AE348" s="22">
        <f t="shared" si="286"/>
        <v>0</v>
      </c>
      <c r="AF348" s="22">
        <f t="shared" si="287"/>
        <v>0</v>
      </c>
      <c r="AG348" s="22">
        <f t="shared" si="288"/>
        <v>0</v>
      </c>
      <c r="AH348" s="22">
        <f t="shared" si="289"/>
        <v>0</v>
      </c>
      <c r="AI348" s="35">
        <f t="shared" si="290"/>
        <v>1</v>
      </c>
      <c r="AJ348" s="35">
        <f t="shared" si="291"/>
        <v>9</v>
      </c>
      <c r="AK348" s="35">
        <f t="shared" si="292"/>
        <v>207</v>
      </c>
      <c r="AL348">
        <f t="shared" si="293"/>
        <v>0</v>
      </c>
      <c r="AM348">
        <f t="shared" si="294"/>
        <v>0</v>
      </c>
      <c r="AN348">
        <f t="shared" si="295"/>
        <v>0</v>
      </c>
      <c r="AO348">
        <f t="shared" si="296"/>
        <v>0</v>
      </c>
      <c r="AP348">
        <f t="shared" si="297"/>
        <v>0</v>
      </c>
      <c r="AQ348">
        <f t="shared" si="298"/>
        <v>0</v>
      </c>
      <c r="AR348">
        <f t="shared" si="299"/>
        <v>0</v>
      </c>
      <c r="AS348">
        <f t="shared" si="300"/>
        <v>0</v>
      </c>
      <c r="AT348">
        <f t="shared" si="301"/>
        <v>0</v>
      </c>
      <c r="AU348">
        <f t="shared" si="302"/>
        <v>0</v>
      </c>
      <c r="AV348">
        <v>0</v>
      </c>
      <c r="AW348">
        <v>0</v>
      </c>
      <c r="AX348">
        <f t="shared" si="303"/>
        <v>0</v>
      </c>
      <c r="AY348">
        <f t="shared" si="304"/>
        <v>0</v>
      </c>
      <c r="AZ348">
        <f t="shared" si="305"/>
        <v>0</v>
      </c>
      <c r="BA348">
        <f t="shared" si="306"/>
        <v>0</v>
      </c>
      <c r="BB348">
        <f t="shared" si="307"/>
        <v>0</v>
      </c>
      <c r="BC348">
        <f t="shared" si="308"/>
        <v>0</v>
      </c>
      <c r="BD348">
        <f t="shared" si="309"/>
        <v>1</v>
      </c>
      <c r="BE348">
        <f t="shared" si="310"/>
        <v>9</v>
      </c>
      <c r="BF348">
        <f t="shared" si="311"/>
        <v>207</v>
      </c>
      <c r="BG348">
        <f t="shared" si="312"/>
        <v>0</v>
      </c>
      <c r="BH348">
        <f t="shared" si="313"/>
        <v>0</v>
      </c>
      <c r="BI348">
        <f t="shared" si="314"/>
        <v>0</v>
      </c>
      <c r="BJ348">
        <v>0</v>
      </c>
      <c r="BK348" t="str">
        <f t="shared" si="326"/>
        <v>Big Win</v>
      </c>
      <c r="BL348" s="40" t="str">
        <f t="shared" si="327"/>
        <v>Bonus Game C</v>
      </c>
      <c r="BM348">
        <f>(D348/Frequency!$N$7-Summary!$C$7)^2*E348</f>
        <v>4419.5904</v>
      </c>
      <c r="BN348">
        <f t="shared" si="315"/>
        <v>0</v>
      </c>
      <c r="BO348">
        <f t="shared" si="316"/>
        <v>0</v>
      </c>
      <c r="BP348">
        <f t="shared" si="317"/>
        <v>0</v>
      </c>
      <c r="BQ348">
        <f t="shared" si="318"/>
        <v>0</v>
      </c>
      <c r="BR348">
        <f t="shared" si="319"/>
        <v>0</v>
      </c>
      <c r="BS348">
        <f t="shared" si="320"/>
        <v>0</v>
      </c>
      <c r="BT348">
        <f t="shared" si="321"/>
        <v>0</v>
      </c>
      <c r="BU348">
        <f t="shared" si="322"/>
        <v>0</v>
      </c>
      <c r="BV348">
        <f t="shared" si="323"/>
        <v>0</v>
      </c>
      <c r="BW348">
        <f t="shared" si="324"/>
        <v>0</v>
      </c>
      <c r="BX348">
        <f t="shared" si="325"/>
        <v>0</v>
      </c>
    </row>
    <row r="349" spans="2:76">
      <c r="B349" s="19">
        <f>Tiers!B350</f>
        <v>347</v>
      </c>
      <c r="C349" s="20" t="str">
        <f>Tiers!X350</f>
        <v>main-4|main-5|bonusC-4|||||||</v>
      </c>
      <c r="D349" s="21">
        <f>Tiers!C350</f>
        <v>19</v>
      </c>
      <c r="E349" s="22">
        <f>Frequency!E351</f>
        <v>9</v>
      </c>
      <c r="F349" s="22">
        <f t="shared" si="275"/>
        <v>171</v>
      </c>
      <c r="G349" s="20">
        <f>IF(AND(D349/Summary!$C$4&gt;0, D349/Summary!$C$4&lt;5),E349,0) * D349</f>
        <v>0</v>
      </c>
      <c r="H349" s="20">
        <f>IF(AND(D349/Summary!$C$4&gt;= 5, D349/Summary!$C$4&lt;10),E349,0) * D349</f>
        <v>0</v>
      </c>
      <c r="I349" s="20">
        <f>IF(AND(D349/Summary!$C$4&gt;=10, D349/Summary!$C$4&lt;25),E349,0)*D349</f>
        <v>171</v>
      </c>
      <c r="J349" s="20">
        <f>IF(D349/Summary!$C$4&gt;=25,E349,0)*D349</f>
        <v>0</v>
      </c>
      <c r="K349" s="35">
        <f>IF(AND(D349/Frequency!$N$7&gt;0, D349/Frequency!$N$7&lt;1),E349,0)</f>
        <v>0</v>
      </c>
      <c r="L349" s="35">
        <f t="shared" si="276"/>
        <v>0</v>
      </c>
      <c r="M349" s="35">
        <f>IF(D349/Frequency!$N$7=1,1,0)*E349</f>
        <v>0</v>
      </c>
      <c r="N349" s="35">
        <f t="shared" si="277"/>
        <v>0</v>
      </c>
      <c r="O349" s="35">
        <f>IF(AND(D349/Frequency!$N$7&gt;1, D349/Frequency!$N$7&lt;=2),1,0)*E349</f>
        <v>0</v>
      </c>
      <c r="P349" s="35">
        <f t="shared" si="278"/>
        <v>0</v>
      </c>
      <c r="Q349" s="35">
        <f>IF(AND(D349/Frequency!$N$7&gt;2,D349/Frequency!$N$7&lt;=5),1,0)*E349</f>
        <v>0</v>
      </c>
      <c r="R349" s="35">
        <f t="shared" si="279"/>
        <v>0</v>
      </c>
      <c r="S349" s="35">
        <f>IF(AND(D349/Frequency!$N$7&gt;5, D349/Frequency!$N$7&lt;=10),1,0)*E349</f>
        <v>0</v>
      </c>
      <c r="T349" s="35">
        <f t="shared" si="280"/>
        <v>0</v>
      </c>
      <c r="U349" s="35">
        <f>IF(AND(D349/Frequency!$N$7&gt;10, D349/Frequency!$N$7&lt;=20),1,0)*E349</f>
        <v>9</v>
      </c>
      <c r="V349" s="35">
        <f t="shared" si="281"/>
        <v>171</v>
      </c>
      <c r="W349" s="35">
        <f>IF(AND(D349/Frequency!$N$7&gt;20, D349/Frequency!$N$7&lt;=30),1,0)*E349</f>
        <v>0</v>
      </c>
      <c r="X349" s="35">
        <f t="shared" si="282"/>
        <v>0</v>
      </c>
      <c r="Y349" s="35">
        <f>IF(AND(D349/Frequency!$N$7&gt;30, D349/Frequency!$N$7&lt;=50),1,0)*E349</f>
        <v>0</v>
      </c>
      <c r="Z349" s="35">
        <f t="shared" si="283"/>
        <v>0</v>
      </c>
      <c r="AA349" s="35">
        <f>IF(AND(D349/Frequency!$N$7&gt;50, D349/Frequency!$N$7&lt;=100),1,0)*E349</f>
        <v>0</v>
      </c>
      <c r="AB349" s="35">
        <f t="shared" si="284"/>
        <v>0</v>
      </c>
      <c r="AC349" s="35">
        <f>IF(D349/Frequency!$N$7&gt;100,1,0)*E349</f>
        <v>0</v>
      </c>
      <c r="AD349" s="35">
        <f t="shared" si="285"/>
        <v>0</v>
      </c>
      <c r="AE349" s="22">
        <f t="shared" si="286"/>
        <v>0</v>
      </c>
      <c r="AF349" s="22">
        <f t="shared" si="287"/>
        <v>0</v>
      </c>
      <c r="AG349" s="22">
        <f t="shared" si="288"/>
        <v>0</v>
      </c>
      <c r="AH349" s="22">
        <f t="shared" si="289"/>
        <v>0</v>
      </c>
      <c r="AI349" s="35">
        <f t="shared" si="290"/>
        <v>1</v>
      </c>
      <c r="AJ349" s="35">
        <f t="shared" si="291"/>
        <v>9</v>
      </c>
      <c r="AK349" s="35">
        <f t="shared" si="292"/>
        <v>171</v>
      </c>
      <c r="AL349">
        <f t="shared" si="293"/>
        <v>0</v>
      </c>
      <c r="AM349">
        <f t="shared" si="294"/>
        <v>0</v>
      </c>
      <c r="AN349">
        <f t="shared" si="295"/>
        <v>0</v>
      </c>
      <c r="AO349">
        <f t="shared" si="296"/>
        <v>0</v>
      </c>
      <c r="AP349">
        <f t="shared" si="297"/>
        <v>0</v>
      </c>
      <c r="AQ349">
        <f t="shared" si="298"/>
        <v>0</v>
      </c>
      <c r="AR349">
        <f t="shared" si="299"/>
        <v>0</v>
      </c>
      <c r="AS349">
        <f t="shared" si="300"/>
        <v>0</v>
      </c>
      <c r="AT349">
        <f t="shared" si="301"/>
        <v>0</v>
      </c>
      <c r="AU349">
        <f t="shared" si="302"/>
        <v>0</v>
      </c>
      <c r="AV349">
        <v>0</v>
      </c>
      <c r="AW349">
        <v>0</v>
      </c>
      <c r="AX349">
        <f t="shared" si="303"/>
        <v>0</v>
      </c>
      <c r="AY349">
        <f t="shared" si="304"/>
        <v>0</v>
      </c>
      <c r="AZ349">
        <f t="shared" si="305"/>
        <v>0</v>
      </c>
      <c r="BA349">
        <f t="shared" si="306"/>
        <v>0</v>
      </c>
      <c r="BB349">
        <f t="shared" si="307"/>
        <v>0</v>
      </c>
      <c r="BC349">
        <f t="shared" si="308"/>
        <v>0</v>
      </c>
      <c r="BD349">
        <f t="shared" si="309"/>
        <v>1</v>
      </c>
      <c r="BE349">
        <f t="shared" si="310"/>
        <v>9</v>
      </c>
      <c r="BF349">
        <f t="shared" si="311"/>
        <v>171</v>
      </c>
      <c r="BG349">
        <f t="shared" si="312"/>
        <v>0</v>
      </c>
      <c r="BH349">
        <f t="shared" si="313"/>
        <v>0</v>
      </c>
      <c r="BI349">
        <f t="shared" si="314"/>
        <v>0</v>
      </c>
      <c r="BJ349">
        <v>0</v>
      </c>
      <c r="BK349" t="str">
        <f t="shared" si="326"/>
        <v>Big Win</v>
      </c>
      <c r="BL349" s="40" t="str">
        <f t="shared" si="327"/>
        <v>Bonus Game C</v>
      </c>
      <c r="BM349">
        <f>(D349/Frequency!$N$7-Summary!$C$7)^2*E349</f>
        <v>2968.0704000000001</v>
      </c>
      <c r="BN349">
        <f t="shared" si="315"/>
        <v>0</v>
      </c>
      <c r="BO349">
        <f t="shared" si="316"/>
        <v>0</v>
      </c>
      <c r="BP349">
        <f t="shared" si="317"/>
        <v>0</v>
      </c>
      <c r="BQ349">
        <f t="shared" si="318"/>
        <v>0</v>
      </c>
      <c r="BR349">
        <f t="shared" si="319"/>
        <v>0</v>
      </c>
      <c r="BS349">
        <f t="shared" si="320"/>
        <v>0</v>
      </c>
      <c r="BT349">
        <f t="shared" si="321"/>
        <v>0</v>
      </c>
      <c r="BU349">
        <f t="shared" si="322"/>
        <v>0</v>
      </c>
      <c r="BV349">
        <f t="shared" si="323"/>
        <v>0</v>
      </c>
      <c r="BW349">
        <f t="shared" si="324"/>
        <v>0</v>
      </c>
      <c r="BX349">
        <f t="shared" si="325"/>
        <v>0</v>
      </c>
    </row>
    <row r="350" spans="2:76">
      <c r="B350" s="19">
        <f>Tiers!B351</f>
        <v>348</v>
      </c>
      <c r="C350" s="20" t="str">
        <f>Tiers!X351</f>
        <v>main-4|wild-9|bonusC-5|||||||</v>
      </c>
      <c r="D350" s="21">
        <f>Tiers!C351</f>
        <v>57</v>
      </c>
      <c r="E350" s="22">
        <f>Frequency!E352</f>
        <v>2</v>
      </c>
      <c r="F350" s="22">
        <f t="shared" si="275"/>
        <v>114</v>
      </c>
      <c r="G350" s="20">
        <f>IF(AND(D350/Summary!$C$4&gt;0, D350/Summary!$C$4&lt;5),E350,0) * D350</f>
        <v>0</v>
      </c>
      <c r="H350" s="20">
        <f>IF(AND(D350/Summary!$C$4&gt;= 5, D350/Summary!$C$4&lt;10),E350,0) * D350</f>
        <v>0</v>
      </c>
      <c r="I350" s="20">
        <f>IF(AND(D350/Summary!$C$4&gt;=10, D350/Summary!$C$4&lt;25),E350,0)*D350</f>
        <v>0</v>
      </c>
      <c r="J350" s="20">
        <f>IF(D350/Summary!$C$4&gt;=25,E350,0)*D350</f>
        <v>114</v>
      </c>
      <c r="K350" s="35">
        <f>IF(AND(D350/Frequency!$N$7&gt;0, D350/Frequency!$N$7&lt;1),E350,0)</f>
        <v>0</v>
      </c>
      <c r="L350" s="35">
        <f t="shared" si="276"/>
        <v>0</v>
      </c>
      <c r="M350" s="35">
        <f>IF(D350/Frequency!$N$7=1,1,0)*E350</f>
        <v>0</v>
      </c>
      <c r="N350" s="35">
        <f t="shared" si="277"/>
        <v>0</v>
      </c>
      <c r="O350" s="35">
        <f>IF(AND(D350/Frequency!$N$7&gt;1, D350/Frequency!$N$7&lt;=2),1,0)*E350</f>
        <v>0</v>
      </c>
      <c r="P350" s="35">
        <f t="shared" si="278"/>
        <v>0</v>
      </c>
      <c r="Q350" s="35">
        <f>IF(AND(D350/Frequency!$N$7&gt;2,D350/Frequency!$N$7&lt;=5),1,0)*E350</f>
        <v>0</v>
      </c>
      <c r="R350" s="35">
        <f t="shared" si="279"/>
        <v>0</v>
      </c>
      <c r="S350" s="35">
        <f>IF(AND(D350/Frequency!$N$7&gt;5, D350/Frequency!$N$7&lt;=10),1,0)*E350</f>
        <v>0</v>
      </c>
      <c r="T350" s="35">
        <f t="shared" si="280"/>
        <v>0</v>
      </c>
      <c r="U350" s="35">
        <f>IF(AND(D350/Frequency!$N$7&gt;10, D350/Frequency!$N$7&lt;=20),1,0)*E350</f>
        <v>0</v>
      </c>
      <c r="V350" s="35">
        <f t="shared" si="281"/>
        <v>0</v>
      </c>
      <c r="W350" s="35">
        <f>IF(AND(D350/Frequency!$N$7&gt;20, D350/Frequency!$N$7&lt;=30),1,0)*E350</f>
        <v>0</v>
      </c>
      <c r="X350" s="35">
        <f t="shared" si="282"/>
        <v>0</v>
      </c>
      <c r="Y350" s="35">
        <f>IF(AND(D350/Frequency!$N$7&gt;30, D350/Frequency!$N$7&lt;=50),1,0)*E350</f>
        <v>0</v>
      </c>
      <c r="Z350" s="35">
        <f t="shared" si="283"/>
        <v>0</v>
      </c>
      <c r="AA350" s="35">
        <f>IF(AND(D350/Frequency!$N$7&gt;50, D350/Frequency!$N$7&lt;=100),1,0)*E350</f>
        <v>2</v>
      </c>
      <c r="AB350" s="35">
        <f t="shared" si="284"/>
        <v>114</v>
      </c>
      <c r="AC350" s="35">
        <f>IF(D350/Frequency!$N$7&gt;100,1,0)*E350</f>
        <v>0</v>
      </c>
      <c r="AD350" s="35">
        <f t="shared" si="285"/>
        <v>0</v>
      </c>
      <c r="AE350" s="22">
        <f t="shared" si="286"/>
        <v>0</v>
      </c>
      <c r="AF350" s="22">
        <f t="shared" si="287"/>
        <v>0</v>
      </c>
      <c r="AG350" s="22">
        <f t="shared" si="288"/>
        <v>0</v>
      </c>
      <c r="AH350" s="22">
        <f t="shared" si="289"/>
        <v>0</v>
      </c>
      <c r="AI350" s="35">
        <f t="shared" si="290"/>
        <v>1</v>
      </c>
      <c r="AJ350" s="35">
        <f t="shared" si="291"/>
        <v>2</v>
      </c>
      <c r="AK350" s="35">
        <f t="shared" si="292"/>
        <v>114</v>
      </c>
      <c r="AL350">
        <f t="shared" si="293"/>
        <v>1</v>
      </c>
      <c r="AM350">
        <f t="shared" si="294"/>
        <v>2</v>
      </c>
      <c r="AN350">
        <f t="shared" si="295"/>
        <v>114</v>
      </c>
      <c r="AO350">
        <f t="shared" si="296"/>
        <v>1</v>
      </c>
      <c r="AP350">
        <f t="shared" si="297"/>
        <v>2</v>
      </c>
      <c r="AQ350">
        <f t="shared" si="298"/>
        <v>114</v>
      </c>
      <c r="AR350">
        <f t="shared" si="299"/>
        <v>0</v>
      </c>
      <c r="AS350">
        <f t="shared" si="300"/>
        <v>0</v>
      </c>
      <c r="AT350">
        <f t="shared" si="301"/>
        <v>0</v>
      </c>
      <c r="AU350">
        <f t="shared" si="302"/>
        <v>0</v>
      </c>
      <c r="AV350">
        <v>0</v>
      </c>
      <c r="AW350">
        <v>0</v>
      </c>
      <c r="AX350">
        <f t="shared" si="303"/>
        <v>0</v>
      </c>
      <c r="AY350">
        <f t="shared" si="304"/>
        <v>0</v>
      </c>
      <c r="AZ350">
        <f t="shared" si="305"/>
        <v>0</v>
      </c>
      <c r="BA350">
        <f t="shared" si="306"/>
        <v>0</v>
      </c>
      <c r="BB350">
        <f t="shared" si="307"/>
        <v>0</v>
      </c>
      <c r="BC350">
        <f t="shared" si="308"/>
        <v>0</v>
      </c>
      <c r="BD350">
        <f t="shared" si="309"/>
        <v>1</v>
      </c>
      <c r="BE350">
        <f t="shared" si="310"/>
        <v>2</v>
      </c>
      <c r="BF350">
        <f t="shared" si="311"/>
        <v>114</v>
      </c>
      <c r="BG350">
        <f t="shared" si="312"/>
        <v>0</v>
      </c>
      <c r="BH350">
        <f t="shared" si="313"/>
        <v>0</v>
      </c>
      <c r="BI350">
        <f t="shared" si="314"/>
        <v>0</v>
      </c>
      <c r="BJ350">
        <v>0</v>
      </c>
      <c r="BK350" t="str">
        <f t="shared" si="326"/>
        <v>Huge Win</v>
      </c>
      <c r="BL350" s="40" t="str">
        <f t="shared" si="327"/>
        <v>Bonus Game C</v>
      </c>
      <c r="BM350">
        <f>(D350/Frequency!$N$7-Summary!$C$7)^2*E350</f>
        <v>6307.8911999999991</v>
      </c>
      <c r="BN350">
        <f t="shared" si="315"/>
        <v>0</v>
      </c>
      <c r="BO350">
        <f t="shared" si="316"/>
        <v>0</v>
      </c>
      <c r="BP350">
        <f t="shared" si="317"/>
        <v>0</v>
      </c>
      <c r="BQ350">
        <f t="shared" si="318"/>
        <v>0</v>
      </c>
      <c r="BR350">
        <f t="shared" si="319"/>
        <v>0</v>
      </c>
      <c r="BS350">
        <f t="shared" si="320"/>
        <v>0</v>
      </c>
      <c r="BT350">
        <f t="shared" si="321"/>
        <v>0</v>
      </c>
      <c r="BU350">
        <f t="shared" si="322"/>
        <v>0</v>
      </c>
      <c r="BV350">
        <f t="shared" si="323"/>
        <v>0</v>
      </c>
      <c r="BW350">
        <f t="shared" si="324"/>
        <v>0</v>
      </c>
      <c r="BX350">
        <f t="shared" si="325"/>
        <v>0</v>
      </c>
    </row>
    <row r="351" spans="2:76">
      <c r="B351" s="19">
        <f>Tiers!B352</f>
        <v>349</v>
      </c>
      <c r="C351" s="20" t="str">
        <f>Tiers!X352</f>
        <v>main-5|wild-2|bonusC-6|||||||</v>
      </c>
      <c r="D351" s="21">
        <f>Tiers!C352</f>
        <v>25.5</v>
      </c>
      <c r="E351" s="22">
        <f>Frequency!E353</f>
        <v>10</v>
      </c>
      <c r="F351" s="22">
        <f t="shared" si="275"/>
        <v>255</v>
      </c>
      <c r="G351" s="20">
        <f>IF(AND(D351/Summary!$C$4&gt;0, D351/Summary!$C$4&lt;5),E351,0) * D351</f>
        <v>0</v>
      </c>
      <c r="H351" s="20">
        <f>IF(AND(D351/Summary!$C$4&gt;= 5, D351/Summary!$C$4&lt;10),E351,0) * D351</f>
        <v>0</v>
      </c>
      <c r="I351" s="20">
        <f>IF(AND(D351/Summary!$C$4&gt;=10, D351/Summary!$C$4&lt;25),E351,0)*D351</f>
        <v>0</v>
      </c>
      <c r="J351" s="20">
        <f>IF(D351/Summary!$C$4&gt;=25,E351,0)*D351</f>
        <v>255</v>
      </c>
      <c r="K351" s="35">
        <f>IF(AND(D351/Frequency!$N$7&gt;0, D351/Frequency!$N$7&lt;1),E351,0)</f>
        <v>0</v>
      </c>
      <c r="L351" s="35">
        <f t="shared" si="276"/>
        <v>0</v>
      </c>
      <c r="M351" s="35">
        <f>IF(D351/Frequency!$N$7=1,1,0)*E351</f>
        <v>0</v>
      </c>
      <c r="N351" s="35">
        <f t="shared" si="277"/>
        <v>0</v>
      </c>
      <c r="O351" s="35">
        <f>IF(AND(D351/Frequency!$N$7&gt;1, D351/Frequency!$N$7&lt;=2),1,0)*E351</f>
        <v>0</v>
      </c>
      <c r="P351" s="35">
        <f t="shared" si="278"/>
        <v>0</v>
      </c>
      <c r="Q351" s="35">
        <f>IF(AND(D351/Frequency!$N$7&gt;2,D351/Frequency!$N$7&lt;=5),1,0)*E351</f>
        <v>0</v>
      </c>
      <c r="R351" s="35">
        <f t="shared" si="279"/>
        <v>0</v>
      </c>
      <c r="S351" s="35">
        <f>IF(AND(D351/Frequency!$N$7&gt;5, D351/Frequency!$N$7&lt;=10),1,0)*E351</f>
        <v>0</v>
      </c>
      <c r="T351" s="35">
        <f t="shared" si="280"/>
        <v>0</v>
      </c>
      <c r="U351" s="35">
        <f>IF(AND(D351/Frequency!$N$7&gt;10, D351/Frequency!$N$7&lt;=20),1,0)*E351</f>
        <v>0</v>
      </c>
      <c r="V351" s="35">
        <f t="shared" si="281"/>
        <v>0</v>
      </c>
      <c r="W351" s="35">
        <f>IF(AND(D351/Frequency!$N$7&gt;20, D351/Frequency!$N$7&lt;=30),1,0)*E351</f>
        <v>10</v>
      </c>
      <c r="X351" s="35">
        <f t="shared" si="282"/>
        <v>255</v>
      </c>
      <c r="Y351" s="35">
        <f>IF(AND(D351/Frequency!$N$7&gt;30, D351/Frequency!$N$7&lt;=50),1,0)*E351</f>
        <v>0</v>
      </c>
      <c r="Z351" s="35">
        <f t="shared" si="283"/>
        <v>0</v>
      </c>
      <c r="AA351" s="35">
        <f>IF(AND(D351/Frequency!$N$7&gt;50, D351/Frequency!$N$7&lt;=100),1,0)*E351</f>
        <v>0</v>
      </c>
      <c r="AB351" s="35">
        <f t="shared" si="284"/>
        <v>0</v>
      </c>
      <c r="AC351" s="35">
        <f>IF(D351/Frequency!$N$7&gt;100,1,0)*E351</f>
        <v>0</v>
      </c>
      <c r="AD351" s="35">
        <f t="shared" si="285"/>
        <v>0</v>
      </c>
      <c r="AE351" s="22">
        <f t="shared" si="286"/>
        <v>0</v>
      </c>
      <c r="AF351" s="22">
        <f t="shared" si="287"/>
        <v>0</v>
      </c>
      <c r="AG351" s="22">
        <f t="shared" si="288"/>
        <v>0</v>
      </c>
      <c r="AH351" s="22">
        <f t="shared" si="289"/>
        <v>0</v>
      </c>
      <c r="AI351" s="35">
        <f t="shared" si="290"/>
        <v>1</v>
      </c>
      <c r="AJ351" s="35">
        <f t="shared" si="291"/>
        <v>10</v>
      </c>
      <c r="AK351" s="35">
        <f t="shared" si="292"/>
        <v>255</v>
      </c>
      <c r="AL351">
        <f t="shared" si="293"/>
        <v>1</v>
      </c>
      <c r="AM351">
        <f t="shared" si="294"/>
        <v>10</v>
      </c>
      <c r="AN351">
        <f t="shared" si="295"/>
        <v>255</v>
      </c>
      <c r="AO351">
        <f t="shared" si="296"/>
        <v>1</v>
      </c>
      <c r="AP351">
        <f t="shared" si="297"/>
        <v>10</v>
      </c>
      <c r="AQ351">
        <f t="shared" si="298"/>
        <v>255</v>
      </c>
      <c r="AR351">
        <f t="shared" si="299"/>
        <v>0</v>
      </c>
      <c r="AS351">
        <f t="shared" si="300"/>
        <v>0</v>
      </c>
      <c r="AT351">
        <f t="shared" si="301"/>
        <v>0</v>
      </c>
      <c r="AU351">
        <f t="shared" si="302"/>
        <v>0</v>
      </c>
      <c r="AV351">
        <v>0</v>
      </c>
      <c r="AW351">
        <v>0</v>
      </c>
      <c r="AX351">
        <f t="shared" si="303"/>
        <v>0</v>
      </c>
      <c r="AY351">
        <f t="shared" si="304"/>
        <v>0</v>
      </c>
      <c r="AZ351">
        <f t="shared" si="305"/>
        <v>0</v>
      </c>
      <c r="BA351">
        <f t="shared" si="306"/>
        <v>0</v>
      </c>
      <c r="BB351">
        <f t="shared" si="307"/>
        <v>0</v>
      </c>
      <c r="BC351">
        <f t="shared" si="308"/>
        <v>0</v>
      </c>
      <c r="BD351">
        <f t="shared" si="309"/>
        <v>1</v>
      </c>
      <c r="BE351">
        <f t="shared" si="310"/>
        <v>10</v>
      </c>
      <c r="BF351">
        <f t="shared" si="311"/>
        <v>255</v>
      </c>
      <c r="BG351">
        <f t="shared" si="312"/>
        <v>0</v>
      </c>
      <c r="BH351">
        <f t="shared" si="313"/>
        <v>0</v>
      </c>
      <c r="BI351">
        <f t="shared" si="314"/>
        <v>0</v>
      </c>
      <c r="BJ351">
        <v>0</v>
      </c>
      <c r="BK351" t="str">
        <f t="shared" si="326"/>
        <v>Big Win</v>
      </c>
      <c r="BL351" s="40" t="str">
        <f t="shared" si="327"/>
        <v>Bonus Game C</v>
      </c>
      <c r="BM351">
        <f>(D351/Frequency!$N$7-Summary!$C$7)^2*E351</f>
        <v>6081.1559999999999</v>
      </c>
      <c r="BN351">
        <f t="shared" si="315"/>
        <v>0</v>
      </c>
      <c r="BO351">
        <f t="shared" si="316"/>
        <v>0</v>
      </c>
      <c r="BP351">
        <f t="shared" si="317"/>
        <v>0</v>
      </c>
      <c r="BQ351">
        <f t="shared" si="318"/>
        <v>0</v>
      </c>
      <c r="BR351">
        <f t="shared" si="319"/>
        <v>0</v>
      </c>
      <c r="BS351">
        <f t="shared" si="320"/>
        <v>0</v>
      </c>
      <c r="BT351">
        <f t="shared" si="321"/>
        <v>0</v>
      </c>
      <c r="BU351">
        <f t="shared" si="322"/>
        <v>0</v>
      </c>
      <c r="BV351">
        <f t="shared" si="323"/>
        <v>0</v>
      </c>
      <c r="BW351">
        <f t="shared" si="324"/>
        <v>0</v>
      </c>
      <c r="BX351">
        <f t="shared" si="325"/>
        <v>0</v>
      </c>
    </row>
    <row r="352" spans="2:76">
      <c r="B352" s="19">
        <f>Tiers!B353</f>
        <v>350</v>
      </c>
      <c r="C352" s="20" t="str">
        <f>Tiers!X353</f>
        <v>main-3|main-0|wild-13|bonusC-2||||||</v>
      </c>
      <c r="D352" s="21">
        <f>Tiers!C353</f>
        <v>14.1</v>
      </c>
      <c r="E352" s="22">
        <f>Frequency!E354</f>
        <v>10</v>
      </c>
      <c r="F352" s="22">
        <f t="shared" si="275"/>
        <v>141</v>
      </c>
      <c r="G352" s="20">
        <f>IF(AND(D352/Summary!$C$4&gt;0, D352/Summary!$C$4&lt;5),E352,0) * D352</f>
        <v>0</v>
      </c>
      <c r="H352" s="20">
        <f>IF(AND(D352/Summary!$C$4&gt;= 5, D352/Summary!$C$4&lt;10),E352,0) * D352</f>
        <v>0</v>
      </c>
      <c r="I352" s="20">
        <f>IF(AND(D352/Summary!$C$4&gt;=10, D352/Summary!$C$4&lt;25),E352,0)*D352</f>
        <v>141</v>
      </c>
      <c r="J352" s="20">
        <f>IF(D352/Summary!$C$4&gt;=25,E352,0)*D352</f>
        <v>0</v>
      </c>
      <c r="K352" s="35">
        <f>IF(AND(D352/Frequency!$N$7&gt;0, D352/Frequency!$N$7&lt;1),E352,0)</f>
        <v>0</v>
      </c>
      <c r="L352" s="35">
        <f t="shared" si="276"/>
        <v>0</v>
      </c>
      <c r="M352" s="35">
        <f>IF(D352/Frequency!$N$7=1,1,0)*E352</f>
        <v>0</v>
      </c>
      <c r="N352" s="35">
        <f t="shared" si="277"/>
        <v>0</v>
      </c>
      <c r="O352" s="35">
        <f>IF(AND(D352/Frequency!$N$7&gt;1, D352/Frequency!$N$7&lt;=2),1,0)*E352</f>
        <v>0</v>
      </c>
      <c r="P352" s="35">
        <f t="shared" si="278"/>
        <v>0</v>
      </c>
      <c r="Q352" s="35">
        <f>IF(AND(D352/Frequency!$N$7&gt;2,D352/Frequency!$N$7&lt;=5),1,0)*E352</f>
        <v>0</v>
      </c>
      <c r="R352" s="35">
        <f t="shared" si="279"/>
        <v>0</v>
      </c>
      <c r="S352" s="35">
        <f>IF(AND(D352/Frequency!$N$7&gt;5, D352/Frequency!$N$7&lt;=10),1,0)*E352</f>
        <v>0</v>
      </c>
      <c r="T352" s="35">
        <f t="shared" si="280"/>
        <v>0</v>
      </c>
      <c r="U352" s="35">
        <f>IF(AND(D352/Frequency!$N$7&gt;10, D352/Frequency!$N$7&lt;=20),1,0)*E352</f>
        <v>10</v>
      </c>
      <c r="V352" s="35">
        <f t="shared" si="281"/>
        <v>141</v>
      </c>
      <c r="W352" s="35">
        <f>IF(AND(D352/Frequency!$N$7&gt;20, D352/Frequency!$N$7&lt;=30),1,0)*E352</f>
        <v>0</v>
      </c>
      <c r="X352" s="35">
        <f t="shared" si="282"/>
        <v>0</v>
      </c>
      <c r="Y352" s="35">
        <f>IF(AND(D352/Frequency!$N$7&gt;30, D352/Frequency!$N$7&lt;=50),1,0)*E352</f>
        <v>0</v>
      </c>
      <c r="Z352" s="35">
        <f t="shared" si="283"/>
        <v>0</v>
      </c>
      <c r="AA352" s="35">
        <f>IF(AND(D352/Frequency!$N$7&gt;50, D352/Frequency!$N$7&lt;=100),1,0)*E352</f>
        <v>0</v>
      </c>
      <c r="AB352" s="35">
        <f t="shared" si="284"/>
        <v>0</v>
      </c>
      <c r="AC352" s="35">
        <f>IF(D352/Frequency!$N$7&gt;100,1,0)*E352</f>
        <v>0</v>
      </c>
      <c r="AD352" s="35">
        <f t="shared" si="285"/>
        <v>0</v>
      </c>
      <c r="AE352" s="22">
        <f t="shared" si="286"/>
        <v>0</v>
      </c>
      <c r="AF352" s="22">
        <f t="shared" si="287"/>
        <v>0</v>
      </c>
      <c r="AG352" s="22">
        <f t="shared" si="288"/>
        <v>0</v>
      </c>
      <c r="AH352" s="22">
        <f t="shared" si="289"/>
        <v>0</v>
      </c>
      <c r="AI352" s="35">
        <f t="shared" si="290"/>
        <v>1</v>
      </c>
      <c r="AJ352" s="35">
        <f t="shared" si="291"/>
        <v>10</v>
      </c>
      <c r="AK352" s="35">
        <f t="shared" si="292"/>
        <v>141</v>
      </c>
      <c r="AL352">
        <f t="shared" si="293"/>
        <v>1</v>
      </c>
      <c r="AM352">
        <f t="shared" si="294"/>
        <v>10</v>
      </c>
      <c r="AN352">
        <f t="shared" si="295"/>
        <v>141</v>
      </c>
      <c r="AO352">
        <f t="shared" si="296"/>
        <v>1</v>
      </c>
      <c r="AP352">
        <f t="shared" si="297"/>
        <v>10</v>
      </c>
      <c r="AQ352">
        <f t="shared" si="298"/>
        <v>141</v>
      </c>
      <c r="AR352">
        <f t="shared" si="299"/>
        <v>0</v>
      </c>
      <c r="AS352">
        <f t="shared" si="300"/>
        <v>0</v>
      </c>
      <c r="AT352">
        <f t="shared" si="301"/>
        <v>0</v>
      </c>
      <c r="AU352">
        <f t="shared" si="302"/>
        <v>0</v>
      </c>
      <c r="AV352">
        <v>0</v>
      </c>
      <c r="AW352">
        <v>0</v>
      </c>
      <c r="AX352">
        <f t="shared" si="303"/>
        <v>0</v>
      </c>
      <c r="AY352">
        <f t="shared" si="304"/>
        <v>0</v>
      </c>
      <c r="AZ352">
        <f t="shared" si="305"/>
        <v>0</v>
      </c>
      <c r="BA352">
        <f t="shared" si="306"/>
        <v>0</v>
      </c>
      <c r="BB352">
        <f t="shared" si="307"/>
        <v>0</v>
      </c>
      <c r="BC352">
        <f t="shared" si="308"/>
        <v>0</v>
      </c>
      <c r="BD352">
        <f t="shared" si="309"/>
        <v>1</v>
      </c>
      <c r="BE352">
        <f t="shared" si="310"/>
        <v>10</v>
      </c>
      <c r="BF352">
        <f t="shared" si="311"/>
        <v>141</v>
      </c>
      <c r="BG352">
        <f t="shared" si="312"/>
        <v>0</v>
      </c>
      <c r="BH352">
        <f t="shared" si="313"/>
        <v>0</v>
      </c>
      <c r="BI352">
        <f t="shared" si="314"/>
        <v>0</v>
      </c>
      <c r="BJ352">
        <v>0</v>
      </c>
      <c r="BK352" t="str">
        <f t="shared" si="326"/>
        <v>Big Win</v>
      </c>
      <c r="BL352" s="40" t="str">
        <f t="shared" si="327"/>
        <v>Bonus Game C</v>
      </c>
      <c r="BM352">
        <f>(D352/Frequency!$N$7-Summary!$C$7)^2*E352</f>
        <v>1758.2759999999998</v>
      </c>
      <c r="BN352">
        <f t="shared" si="315"/>
        <v>0</v>
      </c>
      <c r="BO352">
        <f t="shared" si="316"/>
        <v>0</v>
      </c>
      <c r="BP352">
        <f t="shared" si="317"/>
        <v>0</v>
      </c>
      <c r="BQ352">
        <f t="shared" si="318"/>
        <v>0</v>
      </c>
      <c r="BR352">
        <f t="shared" si="319"/>
        <v>0</v>
      </c>
      <c r="BS352">
        <f t="shared" si="320"/>
        <v>0</v>
      </c>
      <c r="BT352">
        <f t="shared" si="321"/>
        <v>0</v>
      </c>
      <c r="BU352">
        <f t="shared" si="322"/>
        <v>0</v>
      </c>
      <c r="BV352">
        <f t="shared" si="323"/>
        <v>0</v>
      </c>
      <c r="BW352">
        <f t="shared" si="324"/>
        <v>0</v>
      </c>
      <c r="BX352">
        <f t="shared" si="325"/>
        <v>0</v>
      </c>
    </row>
    <row r="353" spans="2:76">
      <c r="B353" s="19">
        <f>Tiers!B354</f>
        <v>351</v>
      </c>
      <c r="C353" s="20" t="str">
        <f>Tiers!X354</f>
        <v>main-3|main-1|wild-15|bonusC-5||||||</v>
      </c>
      <c r="D353" s="21">
        <f>Tiers!C354</f>
        <v>19.2</v>
      </c>
      <c r="E353" s="22">
        <f>Frequency!E355</f>
        <v>10</v>
      </c>
      <c r="F353" s="22">
        <f t="shared" si="275"/>
        <v>192</v>
      </c>
      <c r="G353" s="20">
        <f>IF(AND(D353/Summary!$C$4&gt;0, D353/Summary!$C$4&lt;5),E353,0) * D353</f>
        <v>0</v>
      </c>
      <c r="H353" s="20">
        <f>IF(AND(D353/Summary!$C$4&gt;= 5, D353/Summary!$C$4&lt;10),E353,0) * D353</f>
        <v>0</v>
      </c>
      <c r="I353" s="20">
        <f>IF(AND(D353/Summary!$C$4&gt;=10, D353/Summary!$C$4&lt;25),E353,0)*D353</f>
        <v>192</v>
      </c>
      <c r="J353" s="20">
        <f>IF(D353/Summary!$C$4&gt;=25,E353,0)*D353</f>
        <v>0</v>
      </c>
      <c r="K353" s="35">
        <f>IF(AND(D353/Frequency!$N$7&gt;0, D353/Frequency!$N$7&lt;1),E353,0)</f>
        <v>0</v>
      </c>
      <c r="L353" s="35">
        <f t="shared" si="276"/>
        <v>0</v>
      </c>
      <c r="M353" s="35">
        <f>IF(D353/Frequency!$N$7=1,1,0)*E353</f>
        <v>0</v>
      </c>
      <c r="N353" s="35">
        <f t="shared" si="277"/>
        <v>0</v>
      </c>
      <c r="O353" s="35">
        <f>IF(AND(D353/Frequency!$N$7&gt;1, D353/Frequency!$N$7&lt;=2),1,0)*E353</f>
        <v>0</v>
      </c>
      <c r="P353" s="35">
        <f t="shared" si="278"/>
        <v>0</v>
      </c>
      <c r="Q353" s="35">
        <f>IF(AND(D353/Frequency!$N$7&gt;2,D353/Frequency!$N$7&lt;=5),1,0)*E353</f>
        <v>0</v>
      </c>
      <c r="R353" s="35">
        <f t="shared" si="279"/>
        <v>0</v>
      </c>
      <c r="S353" s="35">
        <f>IF(AND(D353/Frequency!$N$7&gt;5, D353/Frequency!$N$7&lt;=10),1,0)*E353</f>
        <v>0</v>
      </c>
      <c r="T353" s="35">
        <f t="shared" si="280"/>
        <v>0</v>
      </c>
      <c r="U353" s="35">
        <f>IF(AND(D353/Frequency!$N$7&gt;10, D353/Frequency!$N$7&lt;=20),1,0)*E353</f>
        <v>10</v>
      </c>
      <c r="V353" s="35">
        <f t="shared" si="281"/>
        <v>192</v>
      </c>
      <c r="W353" s="35">
        <f>IF(AND(D353/Frequency!$N$7&gt;20, D353/Frequency!$N$7&lt;=30),1,0)*E353</f>
        <v>0</v>
      </c>
      <c r="X353" s="35">
        <f t="shared" si="282"/>
        <v>0</v>
      </c>
      <c r="Y353" s="35">
        <f>IF(AND(D353/Frequency!$N$7&gt;30, D353/Frequency!$N$7&lt;=50),1,0)*E353</f>
        <v>0</v>
      </c>
      <c r="Z353" s="35">
        <f t="shared" si="283"/>
        <v>0</v>
      </c>
      <c r="AA353" s="35">
        <f>IF(AND(D353/Frequency!$N$7&gt;50, D353/Frequency!$N$7&lt;=100),1,0)*E353</f>
        <v>0</v>
      </c>
      <c r="AB353" s="35">
        <f t="shared" si="284"/>
        <v>0</v>
      </c>
      <c r="AC353" s="35">
        <f>IF(D353/Frequency!$N$7&gt;100,1,0)*E353</f>
        <v>0</v>
      </c>
      <c r="AD353" s="35">
        <f t="shared" si="285"/>
        <v>0</v>
      </c>
      <c r="AE353" s="22">
        <f t="shared" si="286"/>
        <v>0</v>
      </c>
      <c r="AF353" s="22">
        <f t="shared" si="287"/>
        <v>0</v>
      </c>
      <c r="AG353" s="22">
        <f t="shared" si="288"/>
        <v>0</v>
      </c>
      <c r="AH353" s="22">
        <f t="shared" si="289"/>
        <v>0</v>
      </c>
      <c r="AI353" s="35">
        <f t="shared" si="290"/>
        <v>1</v>
      </c>
      <c r="AJ353" s="35">
        <f t="shared" si="291"/>
        <v>10</v>
      </c>
      <c r="AK353" s="35">
        <f t="shared" si="292"/>
        <v>192</v>
      </c>
      <c r="AL353">
        <f t="shared" si="293"/>
        <v>1</v>
      </c>
      <c r="AM353">
        <f t="shared" si="294"/>
        <v>10</v>
      </c>
      <c r="AN353">
        <f t="shared" si="295"/>
        <v>192</v>
      </c>
      <c r="AO353">
        <f t="shared" si="296"/>
        <v>1</v>
      </c>
      <c r="AP353">
        <f t="shared" si="297"/>
        <v>10</v>
      </c>
      <c r="AQ353">
        <f t="shared" si="298"/>
        <v>192</v>
      </c>
      <c r="AR353">
        <f t="shared" si="299"/>
        <v>0</v>
      </c>
      <c r="AS353">
        <f t="shared" si="300"/>
        <v>0</v>
      </c>
      <c r="AT353">
        <f t="shared" si="301"/>
        <v>0</v>
      </c>
      <c r="AU353">
        <f t="shared" si="302"/>
        <v>0</v>
      </c>
      <c r="AV353">
        <v>0</v>
      </c>
      <c r="AW353">
        <v>0</v>
      </c>
      <c r="AX353">
        <f t="shared" si="303"/>
        <v>0</v>
      </c>
      <c r="AY353">
        <f t="shared" si="304"/>
        <v>0</v>
      </c>
      <c r="AZ353">
        <f t="shared" si="305"/>
        <v>0</v>
      </c>
      <c r="BA353">
        <f t="shared" si="306"/>
        <v>0</v>
      </c>
      <c r="BB353">
        <f t="shared" si="307"/>
        <v>0</v>
      </c>
      <c r="BC353">
        <f t="shared" si="308"/>
        <v>0</v>
      </c>
      <c r="BD353">
        <f t="shared" si="309"/>
        <v>1</v>
      </c>
      <c r="BE353">
        <f t="shared" si="310"/>
        <v>10</v>
      </c>
      <c r="BF353">
        <f t="shared" si="311"/>
        <v>192</v>
      </c>
      <c r="BG353">
        <f t="shared" si="312"/>
        <v>0</v>
      </c>
      <c r="BH353">
        <f t="shared" si="313"/>
        <v>0</v>
      </c>
      <c r="BI353">
        <f t="shared" si="314"/>
        <v>0</v>
      </c>
      <c r="BJ353">
        <v>0</v>
      </c>
      <c r="BK353" t="str">
        <f t="shared" si="326"/>
        <v>Big Win</v>
      </c>
      <c r="BL353" s="40" t="str">
        <f t="shared" si="327"/>
        <v>Bonus Game C</v>
      </c>
      <c r="BM353">
        <f>(D353/Frequency!$N$7-Summary!$C$7)^2*E353</f>
        <v>3370.8959999999997</v>
      </c>
      <c r="BN353">
        <f t="shared" si="315"/>
        <v>0</v>
      </c>
      <c r="BO353">
        <f t="shared" si="316"/>
        <v>0</v>
      </c>
      <c r="BP353">
        <f t="shared" si="317"/>
        <v>0</v>
      </c>
      <c r="BQ353">
        <f t="shared" si="318"/>
        <v>0</v>
      </c>
      <c r="BR353">
        <f t="shared" si="319"/>
        <v>0</v>
      </c>
      <c r="BS353">
        <f t="shared" si="320"/>
        <v>0</v>
      </c>
      <c r="BT353">
        <f t="shared" si="321"/>
        <v>0</v>
      </c>
      <c r="BU353">
        <f t="shared" si="322"/>
        <v>0</v>
      </c>
      <c r="BV353">
        <f t="shared" si="323"/>
        <v>0</v>
      </c>
      <c r="BW353">
        <f t="shared" si="324"/>
        <v>0</v>
      </c>
      <c r="BX353">
        <f t="shared" si="325"/>
        <v>0</v>
      </c>
    </row>
    <row r="354" spans="2:76">
      <c r="B354" s="19">
        <f>Tiers!B355</f>
        <v>352</v>
      </c>
      <c r="C354" s="20" t="str">
        <f>Tiers!X355</f>
        <v>main-1|main-5|wild-16|bonusC-6||||||</v>
      </c>
      <c r="D354" s="21">
        <f>Tiers!C355</f>
        <v>30.2</v>
      </c>
      <c r="E354" s="22">
        <f>Frequency!E356</f>
        <v>9</v>
      </c>
      <c r="F354" s="22">
        <f t="shared" si="275"/>
        <v>271.8</v>
      </c>
      <c r="G354" s="20">
        <f>IF(AND(D354/Summary!$C$4&gt;0, D354/Summary!$C$4&lt;5),E354,0) * D354</f>
        <v>0</v>
      </c>
      <c r="H354" s="20">
        <f>IF(AND(D354/Summary!$C$4&gt;= 5, D354/Summary!$C$4&lt;10),E354,0) * D354</f>
        <v>0</v>
      </c>
      <c r="I354" s="20">
        <f>IF(AND(D354/Summary!$C$4&gt;=10, D354/Summary!$C$4&lt;25),E354,0)*D354</f>
        <v>0</v>
      </c>
      <c r="J354" s="20">
        <f>IF(D354/Summary!$C$4&gt;=25,E354,0)*D354</f>
        <v>271.8</v>
      </c>
      <c r="K354" s="35">
        <f>IF(AND(D354/Frequency!$N$7&gt;0, D354/Frequency!$N$7&lt;1),E354,0)</f>
        <v>0</v>
      </c>
      <c r="L354" s="35">
        <f t="shared" si="276"/>
        <v>0</v>
      </c>
      <c r="M354" s="35">
        <f>IF(D354/Frequency!$N$7=1,1,0)*E354</f>
        <v>0</v>
      </c>
      <c r="N354" s="35">
        <f t="shared" si="277"/>
        <v>0</v>
      </c>
      <c r="O354" s="35">
        <f>IF(AND(D354/Frequency!$N$7&gt;1, D354/Frequency!$N$7&lt;=2),1,0)*E354</f>
        <v>0</v>
      </c>
      <c r="P354" s="35">
        <f t="shared" si="278"/>
        <v>0</v>
      </c>
      <c r="Q354" s="35">
        <f>IF(AND(D354/Frequency!$N$7&gt;2,D354/Frequency!$N$7&lt;=5),1,0)*E354</f>
        <v>0</v>
      </c>
      <c r="R354" s="35">
        <f t="shared" si="279"/>
        <v>0</v>
      </c>
      <c r="S354" s="35">
        <f>IF(AND(D354/Frequency!$N$7&gt;5, D354/Frequency!$N$7&lt;=10),1,0)*E354</f>
        <v>0</v>
      </c>
      <c r="T354" s="35">
        <f t="shared" si="280"/>
        <v>0</v>
      </c>
      <c r="U354" s="35">
        <f>IF(AND(D354/Frequency!$N$7&gt;10, D354/Frequency!$N$7&lt;=20),1,0)*E354</f>
        <v>0</v>
      </c>
      <c r="V354" s="35">
        <f t="shared" si="281"/>
        <v>0</v>
      </c>
      <c r="W354" s="35">
        <f>IF(AND(D354/Frequency!$N$7&gt;20, D354/Frequency!$N$7&lt;=30),1,0)*E354</f>
        <v>0</v>
      </c>
      <c r="X354" s="35">
        <f t="shared" si="282"/>
        <v>0</v>
      </c>
      <c r="Y354" s="35">
        <f>IF(AND(D354/Frequency!$N$7&gt;30, D354/Frequency!$N$7&lt;=50),1,0)*E354</f>
        <v>9</v>
      </c>
      <c r="Z354" s="35">
        <f t="shared" si="283"/>
        <v>271.8</v>
      </c>
      <c r="AA354" s="35">
        <f>IF(AND(D354/Frequency!$N$7&gt;50, D354/Frequency!$N$7&lt;=100),1,0)*E354</f>
        <v>0</v>
      </c>
      <c r="AB354" s="35">
        <f t="shared" si="284"/>
        <v>0</v>
      </c>
      <c r="AC354" s="35">
        <f>IF(D354/Frequency!$N$7&gt;100,1,0)*E354</f>
        <v>0</v>
      </c>
      <c r="AD354" s="35">
        <f t="shared" si="285"/>
        <v>0</v>
      </c>
      <c r="AE354" s="22">
        <f t="shared" si="286"/>
        <v>0</v>
      </c>
      <c r="AF354" s="22">
        <f t="shared" si="287"/>
        <v>0</v>
      </c>
      <c r="AG354" s="22">
        <f t="shared" si="288"/>
        <v>0</v>
      </c>
      <c r="AH354" s="22">
        <f t="shared" si="289"/>
        <v>0</v>
      </c>
      <c r="AI354" s="35">
        <f t="shared" si="290"/>
        <v>1</v>
      </c>
      <c r="AJ354" s="35">
        <f t="shared" si="291"/>
        <v>9</v>
      </c>
      <c r="AK354" s="35">
        <f t="shared" si="292"/>
        <v>271.8</v>
      </c>
      <c r="AL354">
        <f t="shared" si="293"/>
        <v>1</v>
      </c>
      <c r="AM354">
        <f t="shared" si="294"/>
        <v>9</v>
      </c>
      <c r="AN354">
        <f t="shared" si="295"/>
        <v>271.8</v>
      </c>
      <c r="AO354">
        <f t="shared" si="296"/>
        <v>1</v>
      </c>
      <c r="AP354">
        <f t="shared" si="297"/>
        <v>9</v>
      </c>
      <c r="AQ354">
        <f t="shared" si="298"/>
        <v>271.8</v>
      </c>
      <c r="AR354">
        <f t="shared" si="299"/>
        <v>0</v>
      </c>
      <c r="AS354">
        <f t="shared" si="300"/>
        <v>0</v>
      </c>
      <c r="AT354">
        <f t="shared" si="301"/>
        <v>0</v>
      </c>
      <c r="AU354">
        <f t="shared" si="302"/>
        <v>0</v>
      </c>
      <c r="AV354">
        <v>0</v>
      </c>
      <c r="AW354">
        <v>0</v>
      </c>
      <c r="AX354">
        <f t="shared" si="303"/>
        <v>0</v>
      </c>
      <c r="AY354">
        <f t="shared" si="304"/>
        <v>0</v>
      </c>
      <c r="AZ354">
        <f t="shared" si="305"/>
        <v>0</v>
      </c>
      <c r="BA354">
        <f t="shared" si="306"/>
        <v>0</v>
      </c>
      <c r="BB354">
        <f t="shared" si="307"/>
        <v>0</v>
      </c>
      <c r="BC354">
        <f t="shared" si="308"/>
        <v>0</v>
      </c>
      <c r="BD354">
        <f t="shared" si="309"/>
        <v>1</v>
      </c>
      <c r="BE354">
        <f t="shared" si="310"/>
        <v>9</v>
      </c>
      <c r="BF354">
        <f t="shared" si="311"/>
        <v>271.8</v>
      </c>
      <c r="BG354">
        <f t="shared" si="312"/>
        <v>0</v>
      </c>
      <c r="BH354">
        <f t="shared" si="313"/>
        <v>0</v>
      </c>
      <c r="BI354">
        <f t="shared" si="314"/>
        <v>0</v>
      </c>
      <c r="BJ354">
        <v>0</v>
      </c>
      <c r="BK354" t="str">
        <f t="shared" si="326"/>
        <v>Big Win</v>
      </c>
      <c r="BL354" s="40" t="str">
        <f t="shared" si="327"/>
        <v>Bonus Game C</v>
      </c>
      <c r="BM354">
        <f>(D354/Frequency!$N$7-Summary!$C$7)^2*E354</f>
        <v>7758.0864000000001</v>
      </c>
      <c r="BN354">
        <f t="shared" si="315"/>
        <v>0</v>
      </c>
      <c r="BO354">
        <f t="shared" si="316"/>
        <v>0</v>
      </c>
      <c r="BP354">
        <f t="shared" si="317"/>
        <v>0</v>
      </c>
      <c r="BQ354">
        <f t="shared" si="318"/>
        <v>0</v>
      </c>
      <c r="BR354">
        <f t="shared" si="319"/>
        <v>0</v>
      </c>
      <c r="BS354">
        <f t="shared" si="320"/>
        <v>0</v>
      </c>
      <c r="BT354">
        <f t="shared" si="321"/>
        <v>0</v>
      </c>
      <c r="BU354">
        <f t="shared" si="322"/>
        <v>0</v>
      </c>
      <c r="BV354">
        <f t="shared" si="323"/>
        <v>0</v>
      </c>
      <c r="BW354">
        <f t="shared" si="324"/>
        <v>0</v>
      </c>
      <c r="BX354">
        <f t="shared" si="325"/>
        <v>0</v>
      </c>
    </row>
    <row r="355" spans="2:76">
      <c r="B355" s="19">
        <f>Tiers!B356</f>
        <v>353</v>
      </c>
      <c r="C355" s="20" t="str">
        <f>Tiers!X356</f>
        <v>main-4|main-19|wild-17|bonusC-4||||||</v>
      </c>
      <c r="D355" s="21">
        <f>Tiers!C356</f>
        <v>29</v>
      </c>
      <c r="E355" s="22">
        <f>Frequency!E357</f>
        <v>13</v>
      </c>
      <c r="F355" s="22">
        <f t="shared" si="275"/>
        <v>377</v>
      </c>
      <c r="G355" s="20">
        <f>IF(AND(D355/Summary!$C$4&gt;0, D355/Summary!$C$4&lt;5),E355,0) * D355</f>
        <v>0</v>
      </c>
      <c r="H355" s="20">
        <f>IF(AND(D355/Summary!$C$4&gt;= 5, D355/Summary!$C$4&lt;10),E355,0) * D355</f>
        <v>0</v>
      </c>
      <c r="I355" s="20">
        <f>IF(AND(D355/Summary!$C$4&gt;=10, D355/Summary!$C$4&lt;25),E355,0)*D355</f>
        <v>0</v>
      </c>
      <c r="J355" s="20">
        <f>IF(D355/Summary!$C$4&gt;=25,E355,0)*D355</f>
        <v>377</v>
      </c>
      <c r="K355" s="35">
        <f>IF(AND(D355/Frequency!$N$7&gt;0, D355/Frequency!$N$7&lt;1),E355,0)</f>
        <v>0</v>
      </c>
      <c r="L355" s="35">
        <f t="shared" si="276"/>
        <v>0</v>
      </c>
      <c r="M355" s="35">
        <f>IF(D355/Frequency!$N$7=1,1,0)*E355</f>
        <v>0</v>
      </c>
      <c r="N355" s="35">
        <f t="shared" si="277"/>
        <v>0</v>
      </c>
      <c r="O355" s="35">
        <f>IF(AND(D355/Frequency!$N$7&gt;1, D355/Frequency!$N$7&lt;=2),1,0)*E355</f>
        <v>0</v>
      </c>
      <c r="P355" s="35">
        <f t="shared" si="278"/>
        <v>0</v>
      </c>
      <c r="Q355" s="35">
        <f>IF(AND(D355/Frequency!$N$7&gt;2,D355/Frequency!$N$7&lt;=5),1,0)*E355</f>
        <v>0</v>
      </c>
      <c r="R355" s="35">
        <f t="shared" si="279"/>
        <v>0</v>
      </c>
      <c r="S355" s="35">
        <f>IF(AND(D355/Frequency!$N$7&gt;5, D355/Frequency!$N$7&lt;=10),1,0)*E355</f>
        <v>0</v>
      </c>
      <c r="T355" s="35">
        <f t="shared" si="280"/>
        <v>0</v>
      </c>
      <c r="U355" s="35">
        <f>IF(AND(D355/Frequency!$N$7&gt;10, D355/Frequency!$N$7&lt;=20),1,0)*E355</f>
        <v>0</v>
      </c>
      <c r="V355" s="35">
        <f t="shared" si="281"/>
        <v>0</v>
      </c>
      <c r="W355" s="35">
        <f>IF(AND(D355/Frequency!$N$7&gt;20, D355/Frequency!$N$7&lt;=30),1,0)*E355</f>
        <v>13</v>
      </c>
      <c r="X355" s="35">
        <f t="shared" si="282"/>
        <v>377</v>
      </c>
      <c r="Y355" s="35">
        <f>IF(AND(D355/Frequency!$N$7&gt;30, D355/Frequency!$N$7&lt;=50),1,0)*E355</f>
        <v>0</v>
      </c>
      <c r="Z355" s="35">
        <f t="shared" si="283"/>
        <v>0</v>
      </c>
      <c r="AA355" s="35">
        <f>IF(AND(D355/Frequency!$N$7&gt;50, D355/Frequency!$N$7&lt;=100),1,0)*E355</f>
        <v>0</v>
      </c>
      <c r="AB355" s="35">
        <f t="shared" si="284"/>
        <v>0</v>
      </c>
      <c r="AC355" s="35">
        <f>IF(D355/Frequency!$N$7&gt;100,1,0)*E355</f>
        <v>0</v>
      </c>
      <c r="AD355" s="35">
        <f t="shared" si="285"/>
        <v>0</v>
      </c>
      <c r="AE355" s="22">
        <f t="shared" si="286"/>
        <v>0</v>
      </c>
      <c r="AF355" s="22">
        <f t="shared" si="287"/>
        <v>0</v>
      </c>
      <c r="AG355" s="22">
        <f t="shared" si="288"/>
        <v>0</v>
      </c>
      <c r="AH355" s="22">
        <f t="shared" si="289"/>
        <v>0</v>
      </c>
      <c r="AI355" s="35">
        <f t="shared" si="290"/>
        <v>1</v>
      </c>
      <c r="AJ355" s="35">
        <f t="shared" si="291"/>
        <v>13</v>
      </c>
      <c r="AK355" s="35">
        <f t="shared" si="292"/>
        <v>377</v>
      </c>
      <c r="AL355">
        <f t="shared" si="293"/>
        <v>1</v>
      </c>
      <c r="AM355">
        <f t="shared" si="294"/>
        <v>13</v>
      </c>
      <c r="AN355">
        <f t="shared" si="295"/>
        <v>377</v>
      </c>
      <c r="AO355">
        <f t="shared" si="296"/>
        <v>1</v>
      </c>
      <c r="AP355">
        <f t="shared" si="297"/>
        <v>13</v>
      </c>
      <c r="AQ355">
        <f t="shared" si="298"/>
        <v>377</v>
      </c>
      <c r="AR355">
        <f t="shared" si="299"/>
        <v>0</v>
      </c>
      <c r="AS355">
        <f t="shared" si="300"/>
        <v>0</v>
      </c>
      <c r="AT355">
        <f t="shared" si="301"/>
        <v>0</v>
      </c>
      <c r="AU355">
        <f t="shared" si="302"/>
        <v>0</v>
      </c>
      <c r="AV355">
        <v>0</v>
      </c>
      <c r="AW355">
        <v>0</v>
      </c>
      <c r="AX355">
        <f t="shared" si="303"/>
        <v>0</v>
      </c>
      <c r="AY355">
        <f t="shared" si="304"/>
        <v>0</v>
      </c>
      <c r="AZ355">
        <f t="shared" si="305"/>
        <v>0</v>
      </c>
      <c r="BA355">
        <f t="shared" si="306"/>
        <v>0</v>
      </c>
      <c r="BB355">
        <f t="shared" si="307"/>
        <v>0</v>
      </c>
      <c r="BC355">
        <f t="shared" si="308"/>
        <v>0</v>
      </c>
      <c r="BD355">
        <f t="shared" si="309"/>
        <v>1</v>
      </c>
      <c r="BE355">
        <f t="shared" si="310"/>
        <v>13</v>
      </c>
      <c r="BF355">
        <f t="shared" si="311"/>
        <v>377</v>
      </c>
      <c r="BG355">
        <f t="shared" si="312"/>
        <v>0</v>
      </c>
      <c r="BH355">
        <f t="shared" si="313"/>
        <v>0</v>
      </c>
      <c r="BI355">
        <f t="shared" si="314"/>
        <v>0</v>
      </c>
      <c r="BJ355">
        <v>0</v>
      </c>
      <c r="BK355" t="str">
        <f t="shared" ref="BK355:BK385" si="328">IF(D355 &lt; $D$417, $C$417,
IF(D355 = $D$418, $C$418,
IF(D355 &lt; $D$419, $C$419,
IF(D355 &lt; $D$420, $C$420,
IF(D355 &lt; $D$421, $C$421, $C$422)))))</f>
        <v>Big Win</v>
      </c>
      <c r="BL355" s="40" t="str">
        <f t="shared" ref="BL355:BL385" si="329">IF(AU355 = 1,$C$426,
IF(AV355 = 1,$C$427,
IF(AW355 = 1,$C$428,
IF(AX355 = 1,$C$429,
IF(BA355 = 1,$C$430,
IF(BD355 = 1,$C$431,
IF(BG355 = 1,$C$432,
IF(ISNUMBER(SEARCH("|||||||||",C355)), $C$433,$C$434))))))))</f>
        <v>Bonus Game C</v>
      </c>
      <c r="BM355">
        <f>(D355/Frequency!$N$7-Summary!$C$7)^2*E355</f>
        <v>10308.8128</v>
      </c>
      <c r="BN355">
        <f t="shared" si="315"/>
        <v>0</v>
      </c>
      <c r="BO355">
        <f t="shared" si="316"/>
        <v>0</v>
      </c>
      <c r="BP355">
        <f t="shared" si="317"/>
        <v>0</v>
      </c>
      <c r="BQ355">
        <f t="shared" si="318"/>
        <v>0</v>
      </c>
      <c r="BR355">
        <f t="shared" si="319"/>
        <v>0</v>
      </c>
      <c r="BS355">
        <f t="shared" si="320"/>
        <v>0</v>
      </c>
      <c r="BT355">
        <f t="shared" si="321"/>
        <v>0</v>
      </c>
      <c r="BU355">
        <f t="shared" si="322"/>
        <v>0</v>
      </c>
      <c r="BV355">
        <f t="shared" si="323"/>
        <v>0</v>
      </c>
      <c r="BW355">
        <f t="shared" si="324"/>
        <v>0</v>
      </c>
      <c r="BX355">
        <f t="shared" si="325"/>
        <v>0</v>
      </c>
    </row>
    <row r="356" spans="2:76">
      <c r="B356" s="19">
        <f>Tiers!B357</f>
        <v>354</v>
      </c>
      <c r="C356" s="20" t="str">
        <f>Tiers!X357</f>
        <v>main-3|main-20|main-4|bonusC-4||||||</v>
      </c>
      <c r="D356" s="21">
        <f>Tiers!C357</f>
        <v>25</v>
      </c>
      <c r="E356" s="22">
        <f>Frequency!E358</f>
        <v>9</v>
      </c>
      <c r="F356" s="22">
        <f t="shared" si="275"/>
        <v>225</v>
      </c>
      <c r="G356" s="20">
        <f>IF(AND(D356/Summary!$C$4&gt;0, D356/Summary!$C$4&lt;5),E356,0) * D356</f>
        <v>0</v>
      </c>
      <c r="H356" s="20">
        <f>IF(AND(D356/Summary!$C$4&gt;= 5, D356/Summary!$C$4&lt;10),E356,0) * D356</f>
        <v>0</v>
      </c>
      <c r="I356" s="20">
        <f>IF(AND(D356/Summary!$C$4&gt;=10, D356/Summary!$C$4&lt;25),E356,0)*D356</f>
        <v>0</v>
      </c>
      <c r="J356" s="20">
        <f>IF(D356/Summary!$C$4&gt;=25,E356,0)*D356</f>
        <v>225</v>
      </c>
      <c r="K356" s="35">
        <f>IF(AND(D356/Frequency!$N$7&gt;0, D356/Frequency!$N$7&lt;1),E356,0)</f>
        <v>0</v>
      </c>
      <c r="L356" s="35">
        <f t="shared" si="276"/>
        <v>0</v>
      </c>
      <c r="M356" s="35">
        <f>IF(D356/Frequency!$N$7=1,1,0)*E356</f>
        <v>0</v>
      </c>
      <c r="N356" s="35">
        <f t="shared" si="277"/>
        <v>0</v>
      </c>
      <c r="O356" s="35">
        <f>IF(AND(D356/Frequency!$N$7&gt;1, D356/Frequency!$N$7&lt;=2),1,0)*E356</f>
        <v>0</v>
      </c>
      <c r="P356" s="35">
        <f t="shared" si="278"/>
        <v>0</v>
      </c>
      <c r="Q356" s="35">
        <f>IF(AND(D356/Frequency!$N$7&gt;2,D356/Frequency!$N$7&lt;=5),1,0)*E356</f>
        <v>0</v>
      </c>
      <c r="R356" s="35">
        <f t="shared" si="279"/>
        <v>0</v>
      </c>
      <c r="S356" s="35">
        <f>IF(AND(D356/Frequency!$N$7&gt;5, D356/Frequency!$N$7&lt;=10),1,0)*E356</f>
        <v>0</v>
      </c>
      <c r="T356" s="35">
        <f t="shared" si="280"/>
        <v>0</v>
      </c>
      <c r="U356" s="35">
        <f>IF(AND(D356/Frequency!$N$7&gt;10, D356/Frequency!$N$7&lt;=20),1,0)*E356</f>
        <v>0</v>
      </c>
      <c r="V356" s="35">
        <f t="shared" si="281"/>
        <v>0</v>
      </c>
      <c r="W356" s="35">
        <f>IF(AND(D356/Frequency!$N$7&gt;20, D356/Frequency!$N$7&lt;=30),1,0)*E356</f>
        <v>9</v>
      </c>
      <c r="X356" s="35">
        <f t="shared" si="282"/>
        <v>225</v>
      </c>
      <c r="Y356" s="35">
        <f>IF(AND(D356/Frequency!$N$7&gt;30, D356/Frequency!$N$7&lt;=50),1,0)*E356</f>
        <v>0</v>
      </c>
      <c r="Z356" s="35">
        <f t="shared" si="283"/>
        <v>0</v>
      </c>
      <c r="AA356" s="35">
        <f>IF(AND(D356/Frequency!$N$7&gt;50, D356/Frequency!$N$7&lt;=100),1,0)*E356</f>
        <v>0</v>
      </c>
      <c r="AB356" s="35">
        <f t="shared" si="284"/>
        <v>0</v>
      </c>
      <c r="AC356" s="35">
        <f>IF(D356/Frequency!$N$7&gt;100,1,0)*E356</f>
        <v>0</v>
      </c>
      <c r="AD356" s="35">
        <f t="shared" si="285"/>
        <v>0</v>
      </c>
      <c r="AE356" s="22">
        <f t="shared" si="286"/>
        <v>0</v>
      </c>
      <c r="AF356" s="22">
        <f t="shared" si="287"/>
        <v>0</v>
      </c>
      <c r="AG356" s="22">
        <f t="shared" si="288"/>
        <v>0</v>
      </c>
      <c r="AH356" s="22">
        <f t="shared" si="289"/>
        <v>0</v>
      </c>
      <c r="AI356" s="35">
        <f t="shared" si="290"/>
        <v>1</v>
      </c>
      <c r="AJ356" s="35">
        <f t="shared" si="291"/>
        <v>9</v>
      </c>
      <c r="AK356" s="35">
        <f t="shared" si="292"/>
        <v>225</v>
      </c>
      <c r="AL356">
        <f t="shared" si="293"/>
        <v>0</v>
      </c>
      <c r="AM356">
        <f t="shared" si="294"/>
        <v>0</v>
      </c>
      <c r="AN356">
        <f t="shared" si="295"/>
        <v>0</v>
      </c>
      <c r="AO356">
        <f t="shared" si="296"/>
        <v>0</v>
      </c>
      <c r="AP356">
        <f t="shared" si="297"/>
        <v>0</v>
      </c>
      <c r="AQ356">
        <f t="shared" si="298"/>
        <v>0</v>
      </c>
      <c r="AR356">
        <f t="shared" si="299"/>
        <v>0</v>
      </c>
      <c r="AS356">
        <f t="shared" si="300"/>
        <v>0</v>
      </c>
      <c r="AT356">
        <f t="shared" si="301"/>
        <v>0</v>
      </c>
      <c r="AU356">
        <f t="shared" si="302"/>
        <v>0</v>
      </c>
      <c r="AV356">
        <v>0</v>
      </c>
      <c r="AW356">
        <v>0</v>
      </c>
      <c r="AX356">
        <f t="shared" si="303"/>
        <v>0</v>
      </c>
      <c r="AY356">
        <f t="shared" si="304"/>
        <v>0</v>
      </c>
      <c r="AZ356">
        <f t="shared" si="305"/>
        <v>0</v>
      </c>
      <c r="BA356">
        <f t="shared" si="306"/>
        <v>0</v>
      </c>
      <c r="BB356">
        <f t="shared" si="307"/>
        <v>0</v>
      </c>
      <c r="BC356">
        <f t="shared" si="308"/>
        <v>0</v>
      </c>
      <c r="BD356">
        <f t="shared" si="309"/>
        <v>1</v>
      </c>
      <c r="BE356">
        <f t="shared" si="310"/>
        <v>9</v>
      </c>
      <c r="BF356">
        <f t="shared" si="311"/>
        <v>225</v>
      </c>
      <c r="BG356">
        <f t="shared" si="312"/>
        <v>0</v>
      </c>
      <c r="BH356">
        <f t="shared" si="313"/>
        <v>0</v>
      </c>
      <c r="BI356">
        <f t="shared" si="314"/>
        <v>0</v>
      </c>
      <c r="BJ356">
        <v>0</v>
      </c>
      <c r="BK356" t="str">
        <f t="shared" si="328"/>
        <v>Big Win</v>
      </c>
      <c r="BL356" s="40" t="str">
        <f t="shared" si="329"/>
        <v>Bonus Game C</v>
      </c>
      <c r="BM356">
        <f>(D356/Frequency!$N$7-Summary!$C$7)^2*E356</f>
        <v>5253.3504000000003</v>
      </c>
      <c r="BN356">
        <f t="shared" si="315"/>
        <v>0</v>
      </c>
      <c r="BO356">
        <f t="shared" si="316"/>
        <v>0</v>
      </c>
      <c r="BP356">
        <f t="shared" si="317"/>
        <v>0</v>
      </c>
      <c r="BQ356">
        <f t="shared" si="318"/>
        <v>0</v>
      </c>
      <c r="BR356">
        <f t="shared" si="319"/>
        <v>0</v>
      </c>
      <c r="BS356">
        <f t="shared" si="320"/>
        <v>0</v>
      </c>
      <c r="BT356">
        <f t="shared" si="321"/>
        <v>0</v>
      </c>
      <c r="BU356">
        <f t="shared" si="322"/>
        <v>0</v>
      </c>
      <c r="BV356">
        <f t="shared" si="323"/>
        <v>0</v>
      </c>
      <c r="BW356">
        <f t="shared" si="324"/>
        <v>0</v>
      </c>
      <c r="BX356">
        <f t="shared" si="325"/>
        <v>0</v>
      </c>
    </row>
    <row r="357" spans="2:76">
      <c r="B357" s="19">
        <f>Tiers!B358</f>
        <v>355</v>
      </c>
      <c r="C357" s="20" t="str">
        <f>Tiers!X358</f>
        <v>main-3|main-20|wild-11|bonusC-5||||||</v>
      </c>
      <c r="D357" s="21">
        <f>Tiers!C358</f>
        <v>28</v>
      </c>
      <c r="E357" s="22">
        <f>Frequency!E359</f>
        <v>9</v>
      </c>
      <c r="F357" s="22">
        <f t="shared" si="275"/>
        <v>252</v>
      </c>
      <c r="G357" s="20">
        <f>IF(AND(D357/Summary!$C$4&gt;0, D357/Summary!$C$4&lt;5),E357,0) * D357</f>
        <v>0</v>
      </c>
      <c r="H357" s="20">
        <f>IF(AND(D357/Summary!$C$4&gt;= 5, D357/Summary!$C$4&lt;10),E357,0) * D357</f>
        <v>0</v>
      </c>
      <c r="I357" s="20">
        <f>IF(AND(D357/Summary!$C$4&gt;=10, D357/Summary!$C$4&lt;25),E357,0)*D357</f>
        <v>0</v>
      </c>
      <c r="J357" s="20">
        <f>IF(D357/Summary!$C$4&gt;=25,E357,0)*D357</f>
        <v>252</v>
      </c>
      <c r="K357" s="35">
        <f>IF(AND(D357/Frequency!$N$7&gt;0, D357/Frequency!$N$7&lt;1),E357,0)</f>
        <v>0</v>
      </c>
      <c r="L357" s="35">
        <f t="shared" si="276"/>
        <v>0</v>
      </c>
      <c r="M357" s="35">
        <f>IF(D357/Frequency!$N$7=1,1,0)*E357</f>
        <v>0</v>
      </c>
      <c r="N357" s="35">
        <f t="shared" si="277"/>
        <v>0</v>
      </c>
      <c r="O357" s="35">
        <f>IF(AND(D357/Frequency!$N$7&gt;1, D357/Frequency!$N$7&lt;=2),1,0)*E357</f>
        <v>0</v>
      </c>
      <c r="P357" s="35">
        <f t="shared" si="278"/>
        <v>0</v>
      </c>
      <c r="Q357" s="35">
        <f>IF(AND(D357/Frequency!$N$7&gt;2,D357/Frequency!$N$7&lt;=5),1,0)*E357</f>
        <v>0</v>
      </c>
      <c r="R357" s="35">
        <f t="shared" si="279"/>
        <v>0</v>
      </c>
      <c r="S357" s="35">
        <f>IF(AND(D357/Frequency!$N$7&gt;5, D357/Frequency!$N$7&lt;=10),1,0)*E357</f>
        <v>0</v>
      </c>
      <c r="T357" s="35">
        <f t="shared" si="280"/>
        <v>0</v>
      </c>
      <c r="U357" s="35">
        <f>IF(AND(D357/Frequency!$N$7&gt;10, D357/Frequency!$N$7&lt;=20),1,0)*E357</f>
        <v>0</v>
      </c>
      <c r="V357" s="35">
        <f t="shared" si="281"/>
        <v>0</v>
      </c>
      <c r="W357" s="35">
        <f>IF(AND(D357/Frequency!$N$7&gt;20, D357/Frequency!$N$7&lt;=30),1,0)*E357</f>
        <v>9</v>
      </c>
      <c r="X357" s="35">
        <f t="shared" si="282"/>
        <v>252</v>
      </c>
      <c r="Y357" s="35">
        <f>IF(AND(D357/Frequency!$N$7&gt;30, D357/Frequency!$N$7&lt;=50),1,0)*E357</f>
        <v>0</v>
      </c>
      <c r="Z357" s="35">
        <f t="shared" si="283"/>
        <v>0</v>
      </c>
      <c r="AA357" s="35">
        <f>IF(AND(D357/Frequency!$N$7&gt;50, D357/Frequency!$N$7&lt;=100),1,0)*E357</f>
        <v>0</v>
      </c>
      <c r="AB357" s="35">
        <f t="shared" si="284"/>
        <v>0</v>
      </c>
      <c r="AC357" s="35">
        <f>IF(D357/Frequency!$N$7&gt;100,1,0)*E357</f>
        <v>0</v>
      </c>
      <c r="AD357" s="35">
        <f t="shared" si="285"/>
        <v>0</v>
      </c>
      <c r="AE357" s="22">
        <f t="shared" si="286"/>
        <v>0</v>
      </c>
      <c r="AF357" s="22">
        <f t="shared" si="287"/>
        <v>0</v>
      </c>
      <c r="AG357" s="22">
        <f t="shared" si="288"/>
        <v>0</v>
      </c>
      <c r="AH357" s="22">
        <f t="shared" si="289"/>
        <v>0</v>
      </c>
      <c r="AI357" s="35">
        <f t="shared" si="290"/>
        <v>1</v>
      </c>
      <c r="AJ357" s="35">
        <f t="shared" si="291"/>
        <v>9</v>
      </c>
      <c r="AK357" s="35">
        <f t="shared" si="292"/>
        <v>252</v>
      </c>
      <c r="AL357">
        <f t="shared" si="293"/>
        <v>1</v>
      </c>
      <c r="AM357">
        <f t="shared" si="294"/>
        <v>9</v>
      </c>
      <c r="AN357">
        <f t="shared" si="295"/>
        <v>252</v>
      </c>
      <c r="AO357">
        <f t="shared" si="296"/>
        <v>1</v>
      </c>
      <c r="AP357">
        <f t="shared" si="297"/>
        <v>9</v>
      </c>
      <c r="AQ357">
        <f t="shared" si="298"/>
        <v>252</v>
      </c>
      <c r="AR357">
        <f t="shared" si="299"/>
        <v>0</v>
      </c>
      <c r="AS357">
        <f t="shared" si="300"/>
        <v>0</v>
      </c>
      <c r="AT357">
        <f t="shared" si="301"/>
        <v>0</v>
      </c>
      <c r="AU357">
        <f t="shared" si="302"/>
        <v>0</v>
      </c>
      <c r="AV357">
        <v>0</v>
      </c>
      <c r="AW357">
        <v>0</v>
      </c>
      <c r="AX357">
        <f t="shared" si="303"/>
        <v>0</v>
      </c>
      <c r="AY357">
        <f t="shared" si="304"/>
        <v>0</v>
      </c>
      <c r="AZ357">
        <f t="shared" si="305"/>
        <v>0</v>
      </c>
      <c r="BA357">
        <f t="shared" si="306"/>
        <v>0</v>
      </c>
      <c r="BB357">
        <f t="shared" si="307"/>
        <v>0</v>
      </c>
      <c r="BC357">
        <f t="shared" si="308"/>
        <v>0</v>
      </c>
      <c r="BD357">
        <f t="shared" si="309"/>
        <v>1</v>
      </c>
      <c r="BE357">
        <f t="shared" si="310"/>
        <v>9</v>
      </c>
      <c r="BF357">
        <f t="shared" si="311"/>
        <v>252</v>
      </c>
      <c r="BG357">
        <f t="shared" si="312"/>
        <v>0</v>
      </c>
      <c r="BH357">
        <f t="shared" si="313"/>
        <v>0</v>
      </c>
      <c r="BI357">
        <f t="shared" si="314"/>
        <v>0</v>
      </c>
      <c r="BJ357">
        <v>0</v>
      </c>
      <c r="BK357" t="str">
        <f t="shared" si="328"/>
        <v>Big Win</v>
      </c>
      <c r="BL357" s="40" t="str">
        <f t="shared" si="329"/>
        <v>Bonus Game C</v>
      </c>
      <c r="BM357">
        <f>(D357/Frequency!$N$7-Summary!$C$7)^2*E357</f>
        <v>6638.9904000000006</v>
      </c>
      <c r="BN357">
        <f t="shared" si="315"/>
        <v>0</v>
      </c>
      <c r="BO357">
        <f t="shared" si="316"/>
        <v>0</v>
      </c>
      <c r="BP357">
        <f t="shared" si="317"/>
        <v>0</v>
      </c>
      <c r="BQ357">
        <f t="shared" si="318"/>
        <v>0</v>
      </c>
      <c r="BR357">
        <f t="shared" si="319"/>
        <v>0</v>
      </c>
      <c r="BS357">
        <f t="shared" si="320"/>
        <v>0</v>
      </c>
      <c r="BT357">
        <f t="shared" si="321"/>
        <v>0</v>
      </c>
      <c r="BU357">
        <f t="shared" si="322"/>
        <v>0</v>
      </c>
      <c r="BV357">
        <f t="shared" si="323"/>
        <v>0</v>
      </c>
      <c r="BW357">
        <f t="shared" si="324"/>
        <v>0</v>
      </c>
      <c r="BX357">
        <f t="shared" si="325"/>
        <v>0</v>
      </c>
    </row>
    <row r="358" spans="2:76">
      <c r="B358" s="19">
        <f>Tiers!B359</f>
        <v>356</v>
      </c>
      <c r="C358" s="20" t="str">
        <f>Tiers!X359</f>
        <v>main-4|main-5|wild-12|bonusC-5||||||</v>
      </c>
      <c r="D358" s="21">
        <f>Tiers!C359</f>
        <v>25</v>
      </c>
      <c r="E358" s="22">
        <f>Frequency!E360</f>
        <v>9</v>
      </c>
      <c r="F358" s="22">
        <f t="shared" si="275"/>
        <v>225</v>
      </c>
      <c r="G358" s="20">
        <f>IF(AND(D358/Summary!$C$4&gt;0, D358/Summary!$C$4&lt;5),E358,0) * D358</f>
        <v>0</v>
      </c>
      <c r="H358" s="20">
        <f>IF(AND(D358/Summary!$C$4&gt;= 5, D358/Summary!$C$4&lt;10),E358,0) * D358</f>
        <v>0</v>
      </c>
      <c r="I358" s="20">
        <f>IF(AND(D358/Summary!$C$4&gt;=10, D358/Summary!$C$4&lt;25),E358,0)*D358</f>
        <v>0</v>
      </c>
      <c r="J358" s="20">
        <f>IF(D358/Summary!$C$4&gt;=25,E358,0)*D358</f>
        <v>225</v>
      </c>
      <c r="K358" s="35">
        <f>IF(AND(D358/Frequency!$N$7&gt;0, D358/Frequency!$N$7&lt;1),E358,0)</f>
        <v>0</v>
      </c>
      <c r="L358" s="35">
        <f t="shared" si="276"/>
        <v>0</v>
      </c>
      <c r="M358" s="35">
        <f>IF(D358/Frequency!$N$7=1,1,0)*E358</f>
        <v>0</v>
      </c>
      <c r="N358" s="35">
        <f t="shared" si="277"/>
        <v>0</v>
      </c>
      <c r="O358" s="35">
        <f>IF(AND(D358/Frequency!$N$7&gt;1, D358/Frequency!$N$7&lt;=2),1,0)*E358</f>
        <v>0</v>
      </c>
      <c r="P358" s="35">
        <f t="shared" si="278"/>
        <v>0</v>
      </c>
      <c r="Q358" s="35">
        <f>IF(AND(D358/Frequency!$N$7&gt;2,D358/Frequency!$N$7&lt;=5),1,0)*E358</f>
        <v>0</v>
      </c>
      <c r="R358" s="35">
        <f t="shared" si="279"/>
        <v>0</v>
      </c>
      <c r="S358" s="35">
        <f>IF(AND(D358/Frequency!$N$7&gt;5, D358/Frequency!$N$7&lt;=10),1,0)*E358</f>
        <v>0</v>
      </c>
      <c r="T358" s="35">
        <f t="shared" si="280"/>
        <v>0</v>
      </c>
      <c r="U358" s="35">
        <f>IF(AND(D358/Frequency!$N$7&gt;10, D358/Frequency!$N$7&lt;=20),1,0)*E358</f>
        <v>0</v>
      </c>
      <c r="V358" s="35">
        <f t="shared" si="281"/>
        <v>0</v>
      </c>
      <c r="W358" s="35">
        <f>IF(AND(D358/Frequency!$N$7&gt;20, D358/Frequency!$N$7&lt;=30),1,0)*E358</f>
        <v>9</v>
      </c>
      <c r="X358" s="35">
        <f t="shared" si="282"/>
        <v>225</v>
      </c>
      <c r="Y358" s="35">
        <f>IF(AND(D358/Frequency!$N$7&gt;30, D358/Frequency!$N$7&lt;=50),1,0)*E358</f>
        <v>0</v>
      </c>
      <c r="Z358" s="35">
        <f t="shared" si="283"/>
        <v>0</v>
      </c>
      <c r="AA358" s="35">
        <f>IF(AND(D358/Frequency!$N$7&gt;50, D358/Frequency!$N$7&lt;=100),1,0)*E358</f>
        <v>0</v>
      </c>
      <c r="AB358" s="35">
        <f t="shared" si="284"/>
        <v>0</v>
      </c>
      <c r="AC358" s="35">
        <f>IF(D358/Frequency!$N$7&gt;100,1,0)*E358</f>
        <v>0</v>
      </c>
      <c r="AD358" s="35">
        <f t="shared" si="285"/>
        <v>0</v>
      </c>
      <c r="AE358" s="22">
        <f t="shared" si="286"/>
        <v>0</v>
      </c>
      <c r="AF358" s="22">
        <f t="shared" si="287"/>
        <v>0</v>
      </c>
      <c r="AG358" s="22">
        <f t="shared" si="288"/>
        <v>0</v>
      </c>
      <c r="AH358" s="22">
        <f t="shared" si="289"/>
        <v>0</v>
      </c>
      <c r="AI358" s="35">
        <f t="shared" si="290"/>
        <v>1</v>
      </c>
      <c r="AJ358" s="35">
        <f t="shared" si="291"/>
        <v>9</v>
      </c>
      <c r="AK358" s="35">
        <f t="shared" si="292"/>
        <v>225</v>
      </c>
      <c r="AL358">
        <f t="shared" si="293"/>
        <v>1</v>
      </c>
      <c r="AM358">
        <f t="shared" si="294"/>
        <v>9</v>
      </c>
      <c r="AN358">
        <f t="shared" si="295"/>
        <v>225</v>
      </c>
      <c r="AO358">
        <f t="shared" si="296"/>
        <v>1</v>
      </c>
      <c r="AP358">
        <f t="shared" si="297"/>
        <v>9</v>
      </c>
      <c r="AQ358">
        <f t="shared" si="298"/>
        <v>225</v>
      </c>
      <c r="AR358">
        <f t="shared" si="299"/>
        <v>0</v>
      </c>
      <c r="AS358">
        <f t="shared" si="300"/>
        <v>0</v>
      </c>
      <c r="AT358">
        <f t="shared" si="301"/>
        <v>0</v>
      </c>
      <c r="AU358">
        <f t="shared" si="302"/>
        <v>0</v>
      </c>
      <c r="AV358">
        <v>0</v>
      </c>
      <c r="AW358">
        <v>0</v>
      </c>
      <c r="AX358">
        <f t="shared" si="303"/>
        <v>0</v>
      </c>
      <c r="AY358">
        <f t="shared" si="304"/>
        <v>0</v>
      </c>
      <c r="AZ358">
        <f t="shared" si="305"/>
        <v>0</v>
      </c>
      <c r="BA358">
        <f t="shared" si="306"/>
        <v>0</v>
      </c>
      <c r="BB358">
        <f t="shared" si="307"/>
        <v>0</v>
      </c>
      <c r="BC358">
        <f t="shared" si="308"/>
        <v>0</v>
      </c>
      <c r="BD358">
        <f t="shared" si="309"/>
        <v>1</v>
      </c>
      <c r="BE358">
        <f t="shared" si="310"/>
        <v>9</v>
      </c>
      <c r="BF358">
        <f t="shared" si="311"/>
        <v>225</v>
      </c>
      <c r="BG358">
        <f t="shared" si="312"/>
        <v>0</v>
      </c>
      <c r="BH358">
        <f t="shared" si="313"/>
        <v>0</v>
      </c>
      <c r="BI358">
        <f t="shared" si="314"/>
        <v>0</v>
      </c>
      <c r="BJ358">
        <v>0</v>
      </c>
      <c r="BK358" t="str">
        <f t="shared" si="328"/>
        <v>Big Win</v>
      </c>
      <c r="BL358" s="40" t="str">
        <f t="shared" si="329"/>
        <v>Bonus Game C</v>
      </c>
      <c r="BM358">
        <f>(D358/Frequency!$N$7-Summary!$C$7)^2*E358</f>
        <v>5253.3504000000003</v>
      </c>
      <c r="BN358">
        <f t="shared" si="315"/>
        <v>0</v>
      </c>
      <c r="BO358">
        <f t="shared" si="316"/>
        <v>0</v>
      </c>
      <c r="BP358">
        <f t="shared" si="317"/>
        <v>0</v>
      </c>
      <c r="BQ358">
        <f t="shared" si="318"/>
        <v>0</v>
      </c>
      <c r="BR358">
        <f t="shared" si="319"/>
        <v>0</v>
      </c>
      <c r="BS358">
        <f t="shared" si="320"/>
        <v>0</v>
      </c>
      <c r="BT358">
        <f t="shared" si="321"/>
        <v>0</v>
      </c>
      <c r="BU358">
        <f t="shared" si="322"/>
        <v>0</v>
      </c>
      <c r="BV358">
        <f t="shared" si="323"/>
        <v>0</v>
      </c>
      <c r="BW358">
        <f t="shared" si="324"/>
        <v>0</v>
      </c>
      <c r="BX358">
        <f t="shared" si="325"/>
        <v>0</v>
      </c>
    </row>
    <row r="359" spans="2:76">
      <c r="B359" s="19">
        <f>Tiers!B360</f>
        <v>357</v>
      </c>
      <c r="C359" s="20" t="str">
        <f>Tiers!X360</f>
        <v>main-5|main-25|wild-13|bonusC-3||||||</v>
      </c>
      <c r="D359" s="21">
        <f>Tiers!C360</f>
        <v>25</v>
      </c>
      <c r="E359" s="22">
        <f>Frequency!E361</f>
        <v>9</v>
      </c>
      <c r="F359" s="22">
        <f t="shared" si="275"/>
        <v>225</v>
      </c>
      <c r="G359" s="20">
        <f>IF(AND(D359/Summary!$C$4&gt;0, D359/Summary!$C$4&lt;5),E359,0) * D359</f>
        <v>0</v>
      </c>
      <c r="H359" s="20">
        <f>IF(AND(D359/Summary!$C$4&gt;= 5, D359/Summary!$C$4&lt;10),E359,0) * D359</f>
        <v>0</v>
      </c>
      <c r="I359" s="20">
        <f>IF(AND(D359/Summary!$C$4&gt;=10, D359/Summary!$C$4&lt;25),E359,0)*D359</f>
        <v>0</v>
      </c>
      <c r="J359" s="20">
        <f>IF(D359/Summary!$C$4&gt;=25,E359,0)*D359</f>
        <v>225</v>
      </c>
      <c r="K359" s="35">
        <f>IF(AND(D359/Frequency!$N$7&gt;0, D359/Frequency!$N$7&lt;1),E359,0)</f>
        <v>0</v>
      </c>
      <c r="L359" s="35">
        <f t="shared" si="276"/>
        <v>0</v>
      </c>
      <c r="M359" s="35">
        <f>IF(D359/Frequency!$N$7=1,1,0)*E359</f>
        <v>0</v>
      </c>
      <c r="N359" s="35">
        <f t="shared" si="277"/>
        <v>0</v>
      </c>
      <c r="O359" s="35">
        <f>IF(AND(D359/Frequency!$N$7&gt;1, D359/Frequency!$N$7&lt;=2),1,0)*E359</f>
        <v>0</v>
      </c>
      <c r="P359" s="35">
        <f t="shared" si="278"/>
        <v>0</v>
      </c>
      <c r="Q359" s="35">
        <f>IF(AND(D359/Frequency!$N$7&gt;2,D359/Frequency!$N$7&lt;=5),1,0)*E359</f>
        <v>0</v>
      </c>
      <c r="R359" s="35">
        <f t="shared" si="279"/>
        <v>0</v>
      </c>
      <c r="S359" s="35">
        <f>IF(AND(D359/Frequency!$N$7&gt;5, D359/Frequency!$N$7&lt;=10),1,0)*E359</f>
        <v>0</v>
      </c>
      <c r="T359" s="35">
        <f t="shared" si="280"/>
        <v>0</v>
      </c>
      <c r="U359" s="35">
        <f>IF(AND(D359/Frequency!$N$7&gt;10, D359/Frequency!$N$7&lt;=20),1,0)*E359</f>
        <v>0</v>
      </c>
      <c r="V359" s="35">
        <f t="shared" si="281"/>
        <v>0</v>
      </c>
      <c r="W359" s="35">
        <f>IF(AND(D359/Frequency!$N$7&gt;20, D359/Frequency!$N$7&lt;=30),1,0)*E359</f>
        <v>9</v>
      </c>
      <c r="X359" s="35">
        <f t="shared" si="282"/>
        <v>225</v>
      </c>
      <c r="Y359" s="35">
        <f>IF(AND(D359/Frequency!$N$7&gt;30, D359/Frequency!$N$7&lt;=50),1,0)*E359</f>
        <v>0</v>
      </c>
      <c r="Z359" s="35">
        <f t="shared" si="283"/>
        <v>0</v>
      </c>
      <c r="AA359" s="35">
        <f>IF(AND(D359/Frequency!$N$7&gt;50, D359/Frequency!$N$7&lt;=100),1,0)*E359</f>
        <v>0</v>
      </c>
      <c r="AB359" s="35">
        <f t="shared" si="284"/>
        <v>0</v>
      </c>
      <c r="AC359" s="35">
        <f>IF(D359/Frequency!$N$7&gt;100,1,0)*E359</f>
        <v>0</v>
      </c>
      <c r="AD359" s="35">
        <f t="shared" si="285"/>
        <v>0</v>
      </c>
      <c r="AE359" s="22">
        <f t="shared" si="286"/>
        <v>0</v>
      </c>
      <c r="AF359" s="22">
        <f t="shared" si="287"/>
        <v>0</v>
      </c>
      <c r="AG359" s="22">
        <f t="shared" si="288"/>
        <v>0</v>
      </c>
      <c r="AH359" s="22">
        <f t="shared" si="289"/>
        <v>0</v>
      </c>
      <c r="AI359" s="35">
        <f t="shared" si="290"/>
        <v>1</v>
      </c>
      <c r="AJ359" s="35">
        <f t="shared" si="291"/>
        <v>9</v>
      </c>
      <c r="AK359" s="35">
        <f t="shared" si="292"/>
        <v>225</v>
      </c>
      <c r="AL359">
        <f t="shared" si="293"/>
        <v>1</v>
      </c>
      <c r="AM359">
        <f t="shared" si="294"/>
        <v>9</v>
      </c>
      <c r="AN359">
        <f t="shared" si="295"/>
        <v>225</v>
      </c>
      <c r="AO359">
        <f t="shared" si="296"/>
        <v>1</v>
      </c>
      <c r="AP359">
        <f t="shared" si="297"/>
        <v>9</v>
      </c>
      <c r="AQ359">
        <f t="shared" si="298"/>
        <v>225</v>
      </c>
      <c r="AR359">
        <f t="shared" si="299"/>
        <v>0</v>
      </c>
      <c r="AS359">
        <f t="shared" si="300"/>
        <v>0</v>
      </c>
      <c r="AT359">
        <f t="shared" si="301"/>
        <v>0</v>
      </c>
      <c r="AU359">
        <f t="shared" si="302"/>
        <v>0</v>
      </c>
      <c r="AV359">
        <v>0</v>
      </c>
      <c r="AW359">
        <v>0</v>
      </c>
      <c r="AX359">
        <f t="shared" si="303"/>
        <v>0</v>
      </c>
      <c r="AY359">
        <f t="shared" si="304"/>
        <v>0</v>
      </c>
      <c r="AZ359">
        <f t="shared" si="305"/>
        <v>0</v>
      </c>
      <c r="BA359">
        <f t="shared" si="306"/>
        <v>0</v>
      </c>
      <c r="BB359">
        <f t="shared" si="307"/>
        <v>0</v>
      </c>
      <c r="BC359">
        <f t="shared" si="308"/>
        <v>0</v>
      </c>
      <c r="BD359">
        <f t="shared" si="309"/>
        <v>1</v>
      </c>
      <c r="BE359">
        <f t="shared" si="310"/>
        <v>9</v>
      </c>
      <c r="BF359">
        <f t="shared" si="311"/>
        <v>225</v>
      </c>
      <c r="BG359">
        <f t="shared" si="312"/>
        <v>0</v>
      </c>
      <c r="BH359">
        <f t="shared" si="313"/>
        <v>0</v>
      </c>
      <c r="BI359">
        <f t="shared" si="314"/>
        <v>0</v>
      </c>
      <c r="BJ359">
        <v>0</v>
      </c>
      <c r="BK359" t="str">
        <f t="shared" si="328"/>
        <v>Big Win</v>
      </c>
      <c r="BL359" s="40" t="str">
        <f t="shared" si="329"/>
        <v>Bonus Game C</v>
      </c>
      <c r="BM359">
        <f>(D359/Frequency!$N$7-Summary!$C$7)^2*E359</f>
        <v>5253.3504000000003</v>
      </c>
      <c r="BN359">
        <f t="shared" si="315"/>
        <v>0</v>
      </c>
      <c r="BO359">
        <f t="shared" si="316"/>
        <v>0</v>
      </c>
      <c r="BP359">
        <f t="shared" si="317"/>
        <v>0</v>
      </c>
      <c r="BQ359">
        <f t="shared" si="318"/>
        <v>0</v>
      </c>
      <c r="BR359">
        <f t="shared" si="319"/>
        <v>0</v>
      </c>
      <c r="BS359">
        <f t="shared" si="320"/>
        <v>0</v>
      </c>
      <c r="BT359">
        <f t="shared" si="321"/>
        <v>0</v>
      </c>
      <c r="BU359">
        <f t="shared" si="322"/>
        <v>0</v>
      </c>
      <c r="BV359">
        <f t="shared" si="323"/>
        <v>0</v>
      </c>
      <c r="BW359">
        <f t="shared" si="324"/>
        <v>0</v>
      </c>
      <c r="BX359">
        <f t="shared" si="325"/>
        <v>0</v>
      </c>
    </row>
    <row r="360" spans="2:76">
      <c r="B360" s="19">
        <f>Tiers!B361</f>
        <v>358</v>
      </c>
      <c r="C360" s="20" t="str">
        <f>Tiers!X361</f>
        <v>main-5|main-26|wild-14|bonusC-4||||||</v>
      </c>
      <c r="D360" s="21">
        <f>Tiers!C361</f>
        <v>29</v>
      </c>
      <c r="E360" s="22">
        <f>Frequency!E362</f>
        <v>12</v>
      </c>
      <c r="F360" s="22">
        <f t="shared" si="275"/>
        <v>348</v>
      </c>
      <c r="G360" s="20">
        <f>IF(AND(D360/Summary!$C$4&gt;0, D360/Summary!$C$4&lt;5),E360,0) * D360</f>
        <v>0</v>
      </c>
      <c r="H360" s="20">
        <f>IF(AND(D360/Summary!$C$4&gt;= 5, D360/Summary!$C$4&lt;10),E360,0) * D360</f>
        <v>0</v>
      </c>
      <c r="I360" s="20">
        <f>IF(AND(D360/Summary!$C$4&gt;=10, D360/Summary!$C$4&lt;25),E360,0)*D360</f>
        <v>0</v>
      </c>
      <c r="J360" s="20">
        <f>IF(D360/Summary!$C$4&gt;=25,E360,0)*D360</f>
        <v>348</v>
      </c>
      <c r="K360" s="35">
        <f>IF(AND(D360/Frequency!$N$7&gt;0, D360/Frequency!$N$7&lt;1),E360,0)</f>
        <v>0</v>
      </c>
      <c r="L360" s="35">
        <f t="shared" si="276"/>
        <v>0</v>
      </c>
      <c r="M360" s="35">
        <f>IF(D360/Frequency!$N$7=1,1,0)*E360</f>
        <v>0</v>
      </c>
      <c r="N360" s="35">
        <f t="shared" si="277"/>
        <v>0</v>
      </c>
      <c r="O360" s="35">
        <f>IF(AND(D360/Frequency!$N$7&gt;1, D360/Frequency!$N$7&lt;=2),1,0)*E360</f>
        <v>0</v>
      </c>
      <c r="P360" s="35">
        <f t="shared" si="278"/>
        <v>0</v>
      </c>
      <c r="Q360" s="35">
        <f>IF(AND(D360/Frequency!$N$7&gt;2,D360/Frequency!$N$7&lt;=5),1,0)*E360</f>
        <v>0</v>
      </c>
      <c r="R360" s="35">
        <f t="shared" si="279"/>
        <v>0</v>
      </c>
      <c r="S360" s="35">
        <f>IF(AND(D360/Frequency!$N$7&gt;5, D360/Frequency!$N$7&lt;=10),1,0)*E360</f>
        <v>0</v>
      </c>
      <c r="T360" s="35">
        <f t="shared" si="280"/>
        <v>0</v>
      </c>
      <c r="U360" s="35">
        <f>IF(AND(D360/Frequency!$N$7&gt;10, D360/Frequency!$N$7&lt;=20),1,0)*E360</f>
        <v>0</v>
      </c>
      <c r="V360" s="35">
        <f t="shared" si="281"/>
        <v>0</v>
      </c>
      <c r="W360" s="35">
        <f>IF(AND(D360/Frequency!$N$7&gt;20, D360/Frequency!$N$7&lt;=30),1,0)*E360</f>
        <v>12</v>
      </c>
      <c r="X360" s="35">
        <f t="shared" si="282"/>
        <v>348</v>
      </c>
      <c r="Y360" s="35">
        <f>IF(AND(D360/Frequency!$N$7&gt;30, D360/Frequency!$N$7&lt;=50),1,0)*E360</f>
        <v>0</v>
      </c>
      <c r="Z360" s="35">
        <f t="shared" si="283"/>
        <v>0</v>
      </c>
      <c r="AA360" s="35">
        <f>IF(AND(D360/Frequency!$N$7&gt;50, D360/Frequency!$N$7&lt;=100),1,0)*E360</f>
        <v>0</v>
      </c>
      <c r="AB360" s="35">
        <f t="shared" si="284"/>
        <v>0</v>
      </c>
      <c r="AC360" s="35">
        <f>IF(D360/Frequency!$N$7&gt;100,1,0)*E360</f>
        <v>0</v>
      </c>
      <c r="AD360" s="35">
        <f t="shared" si="285"/>
        <v>0</v>
      </c>
      <c r="AE360" s="22">
        <f t="shared" si="286"/>
        <v>0</v>
      </c>
      <c r="AF360" s="22">
        <f t="shared" si="287"/>
        <v>0</v>
      </c>
      <c r="AG360" s="22">
        <f t="shared" si="288"/>
        <v>0</v>
      </c>
      <c r="AH360" s="22">
        <f t="shared" si="289"/>
        <v>0</v>
      </c>
      <c r="AI360" s="35">
        <f t="shared" si="290"/>
        <v>1</v>
      </c>
      <c r="AJ360" s="35">
        <f t="shared" si="291"/>
        <v>12</v>
      </c>
      <c r="AK360" s="35">
        <f t="shared" si="292"/>
        <v>348</v>
      </c>
      <c r="AL360">
        <f t="shared" si="293"/>
        <v>1</v>
      </c>
      <c r="AM360">
        <f t="shared" si="294"/>
        <v>12</v>
      </c>
      <c r="AN360">
        <f t="shared" si="295"/>
        <v>348</v>
      </c>
      <c r="AO360">
        <f t="shared" si="296"/>
        <v>1</v>
      </c>
      <c r="AP360">
        <f t="shared" si="297"/>
        <v>12</v>
      </c>
      <c r="AQ360">
        <f t="shared" si="298"/>
        <v>348</v>
      </c>
      <c r="AR360">
        <f t="shared" si="299"/>
        <v>0</v>
      </c>
      <c r="AS360">
        <f t="shared" si="300"/>
        <v>0</v>
      </c>
      <c r="AT360">
        <f t="shared" si="301"/>
        <v>0</v>
      </c>
      <c r="AU360">
        <f t="shared" si="302"/>
        <v>0</v>
      </c>
      <c r="AV360">
        <v>0</v>
      </c>
      <c r="AW360">
        <v>0</v>
      </c>
      <c r="AX360">
        <f t="shared" si="303"/>
        <v>0</v>
      </c>
      <c r="AY360">
        <f t="shared" si="304"/>
        <v>0</v>
      </c>
      <c r="AZ360">
        <f t="shared" si="305"/>
        <v>0</v>
      </c>
      <c r="BA360">
        <f t="shared" si="306"/>
        <v>0</v>
      </c>
      <c r="BB360">
        <f t="shared" si="307"/>
        <v>0</v>
      </c>
      <c r="BC360">
        <f t="shared" si="308"/>
        <v>0</v>
      </c>
      <c r="BD360">
        <f t="shared" si="309"/>
        <v>1</v>
      </c>
      <c r="BE360">
        <f t="shared" si="310"/>
        <v>12</v>
      </c>
      <c r="BF360">
        <f t="shared" si="311"/>
        <v>348</v>
      </c>
      <c r="BG360">
        <f t="shared" si="312"/>
        <v>0</v>
      </c>
      <c r="BH360">
        <f t="shared" si="313"/>
        <v>0</v>
      </c>
      <c r="BI360">
        <f t="shared" si="314"/>
        <v>0</v>
      </c>
      <c r="BJ360">
        <v>0</v>
      </c>
      <c r="BK360" t="str">
        <f t="shared" si="328"/>
        <v>Big Win</v>
      </c>
      <c r="BL360" s="40" t="str">
        <f t="shared" si="329"/>
        <v>Bonus Game C</v>
      </c>
      <c r="BM360">
        <f>(D360/Frequency!$N$7-Summary!$C$7)^2*E360</f>
        <v>9515.8271999999997</v>
      </c>
      <c r="BN360">
        <f t="shared" si="315"/>
        <v>0</v>
      </c>
      <c r="BO360">
        <f t="shared" si="316"/>
        <v>0</v>
      </c>
      <c r="BP360">
        <f t="shared" si="317"/>
        <v>0</v>
      </c>
      <c r="BQ360">
        <f t="shared" si="318"/>
        <v>0</v>
      </c>
      <c r="BR360">
        <f t="shared" si="319"/>
        <v>0</v>
      </c>
      <c r="BS360">
        <f t="shared" si="320"/>
        <v>0</v>
      </c>
      <c r="BT360">
        <f t="shared" si="321"/>
        <v>0</v>
      </c>
      <c r="BU360">
        <f t="shared" si="322"/>
        <v>0</v>
      </c>
      <c r="BV360">
        <f t="shared" si="323"/>
        <v>0</v>
      </c>
      <c r="BW360">
        <f t="shared" si="324"/>
        <v>0</v>
      </c>
      <c r="BX360">
        <f t="shared" si="325"/>
        <v>0</v>
      </c>
    </row>
    <row r="361" spans="2:76">
      <c r="B361" s="19">
        <f>Tiers!B362</f>
        <v>359</v>
      </c>
      <c r="C361" s="20" t="str">
        <f>Tiers!X362</f>
        <v>main-4|main-0|main-20|bonusC-5||||||</v>
      </c>
      <c r="D361" s="21">
        <f>Tiers!C362</f>
        <v>27.1</v>
      </c>
      <c r="E361" s="22">
        <f>Frequency!E363</f>
        <v>7</v>
      </c>
      <c r="F361" s="22">
        <f t="shared" si="275"/>
        <v>189.70000000000002</v>
      </c>
      <c r="G361" s="20">
        <f>IF(AND(D361/Summary!$C$4&gt;0, D361/Summary!$C$4&lt;5),E361,0) * D361</f>
        <v>0</v>
      </c>
      <c r="H361" s="20">
        <f>IF(AND(D361/Summary!$C$4&gt;= 5, D361/Summary!$C$4&lt;10),E361,0) * D361</f>
        <v>0</v>
      </c>
      <c r="I361" s="20">
        <f>IF(AND(D361/Summary!$C$4&gt;=10, D361/Summary!$C$4&lt;25),E361,0)*D361</f>
        <v>0</v>
      </c>
      <c r="J361" s="20">
        <f>IF(D361/Summary!$C$4&gt;=25,E361,0)*D361</f>
        <v>189.70000000000002</v>
      </c>
      <c r="K361" s="35">
        <f>IF(AND(D361/Frequency!$N$7&gt;0, D361/Frequency!$N$7&lt;1),E361,0)</f>
        <v>0</v>
      </c>
      <c r="L361" s="35">
        <f t="shared" si="276"/>
        <v>0</v>
      </c>
      <c r="M361" s="35">
        <f>IF(D361/Frequency!$N$7=1,1,0)*E361</f>
        <v>0</v>
      </c>
      <c r="N361" s="35">
        <f t="shared" si="277"/>
        <v>0</v>
      </c>
      <c r="O361" s="35">
        <f>IF(AND(D361/Frequency!$N$7&gt;1, D361/Frequency!$N$7&lt;=2),1,0)*E361</f>
        <v>0</v>
      </c>
      <c r="P361" s="35">
        <f t="shared" si="278"/>
        <v>0</v>
      </c>
      <c r="Q361" s="35">
        <f>IF(AND(D361/Frequency!$N$7&gt;2,D361/Frequency!$N$7&lt;=5),1,0)*E361</f>
        <v>0</v>
      </c>
      <c r="R361" s="35">
        <f t="shared" si="279"/>
        <v>0</v>
      </c>
      <c r="S361" s="35">
        <f>IF(AND(D361/Frequency!$N$7&gt;5, D361/Frequency!$N$7&lt;=10),1,0)*E361</f>
        <v>0</v>
      </c>
      <c r="T361" s="35">
        <f t="shared" si="280"/>
        <v>0</v>
      </c>
      <c r="U361" s="35">
        <f>IF(AND(D361/Frequency!$N$7&gt;10, D361/Frequency!$N$7&lt;=20),1,0)*E361</f>
        <v>0</v>
      </c>
      <c r="V361" s="35">
        <f t="shared" si="281"/>
        <v>0</v>
      </c>
      <c r="W361" s="35">
        <f>IF(AND(D361/Frequency!$N$7&gt;20, D361/Frequency!$N$7&lt;=30),1,0)*E361</f>
        <v>7</v>
      </c>
      <c r="X361" s="35">
        <f t="shared" si="282"/>
        <v>189.70000000000002</v>
      </c>
      <c r="Y361" s="35">
        <f>IF(AND(D361/Frequency!$N$7&gt;30, D361/Frequency!$N$7&lt;=50),1,0)*E361</f>
        <v>0</v>
      </c>
      <c r="Z361" s="35">
        <f t="shared" si="283"/>
        <v>0</v>
      </c>
      <c r="AA361" s="35">
        <f>IF(AND(D361/Frequency!$N$7&gt;50, D361/Frequency!$N$7&lt;=100),1,0)*E361</f>
        <v>0</v>
      </c>
      <c r="AB361" s="35">
        <f t="shared" si="284"/>
        <v>0</v>
      </c>
      <c r="AC361" s="35">
        <f>IF(D361/Frequency!$N$7&gt;100,1,0)*E361</f>
        <v>0</v>
      </c>
      <c r="AD361" s="35">
        <f t="shared" si="285"/>
        <v>0</v>
      </c>
      <c r="AE361" s="22">
        <f t="shared" si="286"/>
        <v>0</v>
      </c>
      <c r="AF361" s="22">
        <f t="shared" si="287"/>
        <v>0</v>
      </c>
      <c r="AG361" s="22">
        <f t="shared" si="288"/>
        <v>0</v>
      </c>
      <c r="AH361" s="22">
        <f t="shared" si="289"/>
        <v>0</v>
      </c>
      <c r="AI361" s="35">
        <f t="shared" si="290"/>
        <v>1</v>
      </c>
      <c r="AJ361" s="35">
        <f t="shared" si="291"/>
        <v>7</v>
      </c>
      <c r="AK361" s="35">
        <f t="shared" si="292"/>
        <v>189.70000000000002</v>
      </c>
      <c r="AL361">
        <f t="shared" si="293"/>
        <v>0</v>
      </c>
      <c r="AM361">
        <f t="shared" si="294"/>
        <v>0</v>
      </c>
      <c r="AN361">
        <f t="shared" si="295"/>
        <v>0</v>
      </c>
      <c r="AO361">
        <f t="shared" si="296"/>
        <v>0</v>
      </c>
      <c r="AP361">
        <f t="shared" si="297"/>
        <v>0</v>
      </c>
      <c r="AQ361">
        <f t="shared" si="298"/>
        <v>0</v>
      </c>
      <c r="AR361">
        <f t="shared" si="299"/>
        <v>0</v>
      </c>
      <c r="AS361">
        <f t="shared" si="300"/>
        <v>0</v>
      </c>
      <c r="AT361">
        <f t="shared" si="301"/>
        <v>0</v>
      </c>
      <c r="AU361">
        <f t="shared" si="302"/>
        <v>0</v>
      </c>
      <c r="AV361">
        <v>0</v>
      </c>
      <c r="AW361">
        <v>0</v>
      </c>
      <c r="AX361">
        <f t="shared" si="303"/>
        <v>0</v>
      </c>
      <c r="AY361">
        <f t="shared" si="304"/>
        <v>0</v>
      </c>
      <c r="AZ361">
        <f t="shared" si="305"/>
        <v>0</v>
      </c>
      <c r="BA361">
        <f t="shared" si="306"/>
        <v>0</v>
      </c>
      <c r="BB361">
        <f t="shared" si="307"/>
        <v>0</v>
      </c>
      <c r="BC361">
        <f t="shared" si="308"/>
        <v>0</v>
      </c>
      <c r="BD361">
        <f t="shared" si="309"/>
        <v>1</v>
      </c>
      <c r="BE361">
        <f t="shared" si="310"/>
        <v>7</v>
      </c>
      <c r="BF361">
        <f t="shared" si="311"/>
        <v>189.70000000000002</v>
      </c>
      <c r="BG361">
        <f t="shared" si="312"/>
        <v>0</v>
      </c>
      <c r="BH361">
        <f t="shared" si="313"/>
        <v>0</v>
      </c>
      <c r="BI361">
        <f t="shared" si="314"/>
        <v>0</v>
      </c>
      <c r="BJ361">
        <v>0</v>
      </c>
      <c r="BK361" t="str">
        <f t="shared" si="328"/>
        <v>Big Win</v>
      </c>
      <c r="BL361" s="40" t="str">
        <f t="shared" si="329"/>
        <v>Bonus Game C</v>
      </c>
      <c r="BM361">
        <f>(D361/Frequency!$N$7-Summary!$C$7)^2*E361</f>
        <v>4827.1132000000007</v>
      </c>
      <c r="BN361">
        <f t="shared" si="315"/>
        <v>0</v>
      </c>
      <c r="BO361">
        <f t="shared" si="316"/>
        <v>0</v>
      </c>
      <c r="BP361">
        <f t="shared" si="317"/>
        <v>0</v>
      </c>
      <c r="BQ361">
        <f t="shared" si="318"/>
        <v>0</v>
      </c>
      <c r="BR361">
        <f t="shared" si="319"/>
        <v>0</v>
      </c>
      <c r="BS361">
        <f t="shared" si="320"/>
        <v>0</v>
      </c>
      <c r="BT361">
        <f t="shared" si="321"/>
        <v>0</v>
      </c>
      <c r="BU361">
        <f t="shared" si="322"/>
        <v>0</v>
      </c>
      <c r="BV361">
        <f t="shared" si="323"/>
        <v>0</v>
      </c>
      <c r="BW361">
        <f t="shared" si="324"/>
        <v>0</v>
      </c>
      <c r="BX361">
        <f t="shared" si="325"/>
        <v>0</v>
      </c>
    </row>
    <row r="362" spans="2:76">
      <c r="B362" s="19">
        <f>Tiers!B363</f>
        <v>360</v>
      </c>
      <c r="C362" s="20" t="str">
        <f>Tiers!X363</f>
        <v>main-11|main-25|main-5|bonusC-4||||||</v>
      </c>
      <c r="D362" s="21">
        <f>Tiers!C363</f>
        <v>24</v>
      </c>
      <c r="E362" s="22">
        <f>Frequency!E364</f>
        <v>9</v>
      </c>
      <c r="F362" s="22">
        <f t="shared" si="275"/>
        <v>216</v>
      </c>
      <c r="G362" s="20">
        <f>IF(AND(D362/Summary!$C$4&gt;0, D362/Summary!$C$4&lt;5),E362,0) * D362</f>
        <v>0</v>
      </c>
      <c r="H362" s="20">
        <f>IF(AND(D362/Summary!$C$4&gt;= 5, D362/Summary!$C$4&lt;10),E362,0) * D362</f>
        <v>0</v>
      </c>
      <c r="I362" s="20">
        <f>IF(AND(D362/Summary!$C$4&gt;=10, D362/Summary!$C$4&lt;25),E362,0)*D362</f>
        <v>216</v>
      </c>
      <c r="J362" s="20">
        <f>IF(D362/Summary!$C$4&gt;=25,E362,0)*D362</f>
        <v>0</v>
      </c>
      <c r="K362" s="35">
        <f>IF(AND(D362/Frequency!$N$7&gt;0, D362/Frequency!$N$7&lt;1),E362,0)</f>
        <v>0</v>
      </c>
      <c r="L362" s="35">
        <f t="shared" si="276"/>
        <v>0</v>
      </c>
      <c r="M362" s="35">
        <f>IF(D362/Frequency!$N$7=1,1,0)*E362</f>
        <v>0</v>
      </c>
      <c r="N362" s="35">
        <f t="shared" si="277"/>
        <v>0</v>
      </c>
      <c r="O362" s="35">
        <f>IF(AND(D362/Frequency!$N$7&gt;1, D362/Frequency!$N$7&lt;=2),1,0)*E362</f>
        <v>0</v>
      </c>
      <c r="P362" s="35">
        <f t="shared" si="278"/>
        <v>0</v>
      </c>
      <c r="Q362" s="35">
        <f>IF(AND(D362/Frequency!$N$7&gt;2,D362/Frequency!$N$7&lt;=5),1,0)*E362</f>
        <v>0</v>
      </c>
      <c r="R362" s="35">
        <f t="shared" si="279"/>
        <v>0</v>
      </c>
      <c r="S362" s="35">
        <f>IF(AND(D362/Frequency!$N$7&gt;5, D362/Frequency!$N$7&lt;=10),1,0)*E362</f>
        <v>0</v>
      </c>
      <c r="T362" s="35">
        <f t="shared" si="280"/>
        <v>0</v>
      </c>
      <c r="U362" s="35">
        <f>IF(AND(D362/Frequency!$N$7&gt;10, D362/Frequency!$N$7&lt;=20),1,0)*E362</f>
        <v>0</v>
      </c>
      <c r="V362" s="35">
        <f t="shared" si="281"/>
        <v>0</v>
      </c>
      <c r="W362" s="35">
        <f>IF(AND(D362/Frequency!$N$7&gt;20, D362/Frequency!$N$7&lt;=30),1,0)*E362</f>
        <v>9</v>
      </c>
      <c r="X362" s="35">
        <f t="shared" si="282"/>
        <v>216</v>
      </c>
      <c r="Y362" s="35">
        <f>IF(AND(D362/Frequency!$N$7&gt;30, D362/Frequency!$N$7&lt;=50),1,0)*E362</f>
        <v>0</v>
      </c>
      <c r="Z362" s="35">
        <f t="shared" si="283"/>
        <v>0</v>
      </c>
      <c r="AA362" s="35">
        <f>IF(AND(D362/Frequency!$N$7&gt;50, D362/Frequency!$N$7&lt;=100),1,0)*E362</f>
        <v>0</v>
      </c>
      <c r="AB362" s="35">
        <f t="shared" si="284"/>
        <v>0</v>
      </c>
      <c r="AC362" s="35">
        <f>IF(D362/Frequency!$N$7&gt;100,1,0)*E362</f>
        <v>0</v>
      </c>
      <c r="AD362" s="35">
        <f t="shared" si="285"/>
        <v>0</v>
      </c>
      <c r="AE362" s="22">
        <f t="shared" si="286"/>
        <v>0</v>
      </c>
      <c r="AF362" s="22">
        <f t="shared" si="287"/>
        <v>0</v>
      </c>
      <c r="AG362" s="22">
        <f t="shared" si="288"/>
        <v>0</v>
      </c>
      <c r="AH362" s="22">
        <f t="shared" si="289"/>
        <v>0</v>
      </c>
      <c r="AI362" s="35">
        <f t="shared" si="290"/>
        <v>1</v>
      </c>
      <c r="AJ362" s="35">
        <f t="shared" si="291"/>
        <v>9</v>
      </c>
      <c r="AK362" s="35">
        <f t="shared" si="292"/>
        <v>216</v>
      </c>
      <c r="AL362">
        <f t="shared" si="293"/>
        <v>0</v>
      </c>
      <c r="AM362">
        <f t="shared" si="294"/>
        <v>0</v>
      </c>
      <c r="AN362">
        <f t="shared" si="295"/>
        <v>0</v>
      </c>
      <c r="AO362">
        <f t="shared" si="296"/>
        <v>0</v>
      </c>
      <c r="AP362">
        <f t="shared" si="297"/>
        <v>0</v>
      </c>
      <c r="AQ362">
        <f t="shared" si="298"/>
        <v>0</v>
      </c>
      <c r="AR362">
        <f t="shared" si="299"/>
        <v>0</v>
      </c>
      <c r="AS362">
        <f t="shared" si="300"/>
        <v>0</v>
      </c>
      <c r="AT362">
        <f t="shared" si="301"/>
        <v>0</v>
      </c>
      <c r="AU362">
        <f t="shared" si="302"/>
        <v>0</v>
      </c>
      <c r="AV362">
        <v>0</v>
      </c>
      <c r="AW362">
        <v>0</v>
      </c>
      <c r="AX362">
        <f t="shared" si="303"/>
        <v>0</v>
      </c>
      <c r="AY362">
        <f t="shared" si="304"/>
        <v>0</v>
      </c>
      <c r="AZ362">
        <f t="shared" si="305"/>
        <v>0</v>
      </c>
      <c r="BA362">
        <f t="shared" si="306"/>
        <v>0</v>
      </c>
      <c r="BB362">
        <f t="shared" si="307"/>
        <v>0</v>
      </c>
      <c r="BC362">
        <f t="shared" si="308"/>
        <v>0</v>
      </c>
      <c r="BD362">
        <f t="shared" si="309"/>
        <v>1</v>
      </c>
      <c r="BE362">
        <f t="shared" si="310"/>
        <v>9</v>
      </c>
      <c r="BF362">
        <f t="shared" si="311"/>
        <v>216</v>
      </c>
      <c r="BG362">
        <f t="shared" si="312"/>
        <v>0</v>
      </c>
      <c r="BH362">
        <f t="shared" si="313"/>
        <v>0</v>
      </c>
      <c r="BI362">
        <f t="shared" si="314"/>
        <v>0</v>
      </c>
      <c r="BJ362">
        <v>0</v>
      </c>
      <c r="BK362" t="str">
        <f t="shared" si="328"/>
        <v>Big Win</v>
      </c>
      <c r="BL362" s="40" t="str">
        <f t="shared" si="329"/>
        <v>Bonus Game C</v>
      </c>
      <c r="BM362">
        <f>(D362/Frequency!$N$7-Summary!$C$7)^2*E362</f>
        <v>4827.4703999999992</v>
      </c>
      <c r="BN362">
        <f t="shared" si="315"/>
        <v>0</v>
      </c>
      <c r="BO362">
        <f t="shared" si="316"/>
        <v>0</v>
      </c>
      <c r="BP362">
        <f t="shared" si="317"/>
        <v>0</v>
      </c>
      <c r="BQ362">
        <f t="shared" si="318"/>
        <v>0</v>
      </c>
      <c r="BR362">
        <f t="shared" si="319"/>
        <v>0</v>
      </c>
      <c r="BS362">
        <f t="shared" si="320"/>
        <v>0</v>
      </c>
      <c r="BT362">
        <f t="shared" si="321"/>
        <v>0</v>
      </c>
      <c r="BU362">
        <f t="shared" si="322"/>
        <v>0</v>
      </c>
      <c r="BV362">
        <f t="shared" si="323"/>
        <v>0</v>
      </c>
      <c r="BW362">
        <f t="shared" si="324"/>
        <v>0</v>
      </c>
      <c r="BX362">
        <f t="shared" si="325"/>
        <v>0</v>
      </c>
    </row>
    <row r="363" spans="2:76">
      <c r="B363" s="19">
        <f>Tiers!B364</f>
        <v>361</v>
      </c>
      <c r="C363" s="20" t="str">
        <f>Tiers!X364</f>
        <v>main-18|main-19|main-5|bonusC-3||||||</v>
      </c>
      <c r="D363" s="21">
        <f>Tiers!C364</f>
        <v>23</v>
      </c>
      <c r="E363" s="22">
        <f>Frequency!E365</f>
        <v>23</v>
      </c>
      <c r="F363" s="22">
        <f t="shared" si="275"/>
        <v>529</v>
      </c>
      <c r="G363" s="20">
        <f>IF(AND(D363/Summary!$C$4&gt;0, D363/Summary!$C$4&lt;5),E363,0) * D363</f>
        <v>0</v>
      </c>
      <c r="H363" s="20">
        <f>IF(AND(D363/Summary!$C$4&gt;= 5, D363/Summary!$C$4&lt;10),E363,0) * D363</f>
        <v>0</v>
      </c>
      <c r="I363" s="20">
        <f>IF(AND(D363/Summary!$C$4&gt;=10, D363/Summary!$C$4&lt;25),E363,0)*D363</f>
        <v>529</v>
      </c>
      <c r="J363" s="20">
        <f>IF(D363/Summary!$C$4&gt;=25,E363,0)*D363</f>
        <v>0</v>
      </c>
      <c r="K363" s="35">
        <f>IF(AND(D363/Frequency!$N$7&gt;0, D363/Frequency!$N$7&lt;1),E363,0)</f>
        <v>0</v>
      </c>
      <c r="L363" s="35">
        <f t="shared" si="276"/>
        <v>0</v>
      </c>
      <c r="M363" s="35">
        <f>IF(D363/Frequency!$N$7=1,1,0)*E363</f>
        <v>0</v>
      </c>
      <c r="N363" s="35">
        <f t="shared" si="277"/>
        <v>0</v>
      </c>
      <c r="O363" s="35">
        <f>IF(AND(D363/Frequency!$N$7&gt;1, D363/Frequency!$N$7&lt;=2),1,0)*E363</f>
        <v>0</v>
      </c>
      <c r="P363" s="35">
        <f t="shared" si="278"/>
        <v>0</v>
      </c>
      <c r="Q363" s="35">
        <f>IF(AND(D363/Frequency!$N$7&gt;2,D363/Frequency!$N$7&lt;=5),1,0)*E363</f>
        <v>0</v>
      </c>
      <c r="R363" s="35">
        <f t="shared" si="279"/>
        <v>0</v>
      </c>
      <c r="S363" s="35">
        <f>IF(AND(D363/Frequency!$N$7&gt;5, D363/Frequency!$N$7&lt;=10),1,0)*E363</f>
        <v>0</v>
      </c>
      <c r="T363" s="35">
        <f t="shared" si="280"/>
        <v>0</v>
      </c>
      <c r="U363" s="35">
        <f>IF(AND(D363/Frequency!$N$7&gt;10, D363/Frequency!$N$7&lt;=20),1,0)*E363</f>
        <v>0</v>
      </c>
      <c r="V363" s="35">
        <f t="shared" si="281"/>
        <v>0</v>
      </c>
      <c r="W363" s="35">
        <f>IF(AND(D363/Frequency!$N$7&gt;20, D363/Frequency!$N$7&lt;=30),1,0)*E363</f>
        <v>23</v>
      </c>
      <c r="X363" s="35">
        <f t="shared" si="282"/>
        <v>529</v>
      </c>
      <c r="Y363" s="35">
        <f>IF(AND(D363/Frequency!$N$7&gt;30, D363/Frequency!$N$7&lt;=50),1,0)*E363</f>
        <v>0</v>
      </c>
      <c r="Z363" s="35">
        <f t="shared" si="283"/>
        <v>0</v>
      </c>
      <c r="AA363" s="35">
        <f>IF(AND(D363/Frequency!$N$7&gt;50, D363/Frequency!$N$7&lt;=100),1,0)*E363</f>
        <v>0</v>
      </c>
      <c r="AB363" s="35">
        <f t="shared" si="284"/>
        <v>0</v>
      </c>
      <c r="AC363" s="35">
        <f>IF(D363/Frequency!$N$7&gt;100,1,0)*E363</f>
        <v>0</v>
      </c>
      <c r="AD363" s="35">
        <f t="shared" si="285"/>
        <v>0</v>
      </c>
      <c r="AE363" s="22">
        <f t="shared" si="286"/>
        <v>0</v>
      </c>
      <c r="AF363" s="22">
        <f t="shared" si="287"/>
        <v>0</v>
      </c>
      <c r="AG363" s="22">
        <f t="shared" si="288"/>
        <v>0</v>
      </c>
      <c r="AH363" s="22">
        <f t="shared" si="289"/>
        <v>0</v>
      </c>
      <c r="AI363" s="35">
        <f t="shared" si="290"/>
        <v>1</v>
      </c>
      <c r="AJ363" s="35">
        <f t="shared" si="291"/>
        <v>23</v>
      </c>
      <c r="AK363" s="35">
        <f t="shared" si="292"/>
        <v>529</v>
      </c>
      <c r="AL363">
        <f t="shared" si="293"/>
        <v>0</v>
      </c>
      <c r="AM363">
        <f t="shared" si="294"/>
        <v>0</v>
      </c>
      <c r="AN363">
        <f t="shared" si="295"/>
        <v>0</v>
      </c>
      <c r="AO363">
        <f t="shared" si="296"/>
        <v>0</v>
      </c>
      <c r="AP363">
        <f t="shared" si="297"/>
        <v>0</v>
      </c>
      <c r="AQ363">
        <f t="shared" si="298"/>
        <v>0</v>
      </c>
      <c r="AR363">
        <f t="shared" si="299"/>
        <v>0</v>
      </c>
      <c r="AS363">
        <f t="shared" si="300"/>
        <v>0</v>
      </c>
      <c r="AT363">
        <f t="shared" si="301"/>
        <v>0</v>
      </c>
      <c r="AU363">
        <f t="shared" si="302"/>
        <v>0</v>
      </c>
      <c r="AV363">
        <v>0</v>
      </c>
      <c r="AW363">
        <v>0</v>
      </c>
      <c r="AX363">
        <f t="shared" si="303"/>
        <v>0</v>
      </c>
      <c r="AY363">
        <f t="shared" si="304"/>
        <v>0</v>
      </c>
      <c r="AZ363">
        <f t="shared" si="305"/>
        <v>0</v>
      </c>
      <c r="BA363">
        <f t="shared" si="306"/>
        <v>0</v>
      </c>
      <c r="BB363">
        <f t="shared" si="307"/>
        <v>0</v>
      </c>
      <c r="BC363">
        <f t="shared" si="308"/>
        <v>0</v>
      </c>
      <c r="BD363">
        <f t="shared" si="309"/>
        <v>1</v>
      </c>
      <c r="BE363">
        <f t="shared" si="310"/>
        <v>23</v>
      </c>
      <c r="BF363">
        <f t="shared" si="311"/>
        <v>529</v>
      </c>
      <c r="BG363">
        <f t="shared" si="312"/>
        <v>0</v>
      </c>
      <c r="BH363">
        <f t="shared" si="313"/>
        <v>0</v>
      </c>
      <c r="BI363">
        <f t="shared" si="314"/>
        <v>0</v>
      </c>
      <c r="BJ363">
        <v>0</v>
      </c>
      <c r="BK363" t="str">
        <f t="shared" si="328"/>
        <v>Big Win</v>
      </c>
      <c r="BL363" s="40" t="str">
        <f t="shared" si="329"/>
        <v>Bonus Game C</v>
      </c>
      <c r="BM363">
        <f>(D363/Frequency!$N$7-Summary!$C$7)^2*E363</f>
        <v>11294.5088</v>
      </c>
      <c r="BN363">
        <f t="shared" si="315"/>
        <v>0</v>
      </c>
      <c r="BO363">
        <f t="shared" si="316"/>
        <v>0</v>
      </c>
      <c r="BP363">
        <f t="shared" si="317"/>
        <v>0</v>
      </c>
      <c r="BQ363">
        <f t="shared" si="318"/>
        <v>0</v>
      </c>
      <c r="BR363">
        <f t="shared" si="319"/>
        <v>0</v>
      </c>
      <c r="BS363">
        <f t="shared" si="320"/>
        <v>0</v>
      </c>
      <c r="BT363">
        <f t="shared" si="321"/>
        <v>0</v>
      </c>
      <c r="BU363">
        <f t="shared" si="322"/>
        <v>0</v>
      </c>
      <c r="BV363">
        <f t="shared" si="323"/>
        <v>0</v>
      </c>
      <c r="BW363">
        <f t="shared" si="324"/>
        <v>0</v>
      </c>
      <c r="BX363">
        <f t="shared" si="325"/>
        <v>0</v>
      </c>
    </row>
    <row r="364" spans="2:76">
      <c r="B364" s="19">
        <f>Tiers!B365</f>
        <v>362</v>
      </c>
      <c r="C364" s="20" t="str">
        <f>Tiers!X365</f>
        <v>main-2|main-19|main-3|bonusC-4||||||</v>
      </c>
      <c r="D364" s="21">
        <f>Tiers!C365</f>
        <v>18.5</v>
      </c>
      <c r="E364" s="22">
        <f>Frequency!E366</f>
        <v>20</v>
      </c>
      <c r="F364" s="22">
        <f t="shared" si="275"/>
        <v>370</v>
      </c>
      <c r="G364" s="20">
        <f>IF(AND(D364/Summary!$C$4&gt;0, D364/Summary!$C$4&lt;5),E364,0) * D364</f>
        <v>0</v>
      </c>
      <c r="H364" s="20">
        <f>IF(AND(D364/Summary!$C$4&gt;= 5, D364/Summary!$C$4&lt;10),E364,0) * D364</f>
        <v>0</v>
      </c>
      <c r="I364" s="20">
        <f>IF(AND(D364/Summary!$C$4&gt;=10, D364/Summary!$C$4&lt;25),E364,0)*D364</f>
        <v>370</v>
      </c>
      <c r="J364" s="20">
        <f>IF(D364/Summary!$C$4&gt;=25,E364,0)*D364</f>
        <v>0</v>
      </c>
      <c r="K364" s="35">
        <f>IF(AND(D364/Frequency!$N$7&gt;0, D364/Frequency!$N$7&lt;1),E364,0)</f>
        <v>0</v>
      </c>
      <c r="L364" s="35">
        <f t="shared" si="276"/>
        <v>0</v>
      </c>
      <c r="M364" s="35">
        <f>IF(D364/Frequency!$N$7=1,1,0)*E364</f>
        <v>0</v>
      </c>
      <c r="N364" s="35">
        <f t="shared" si="277"/>
        <v>0</v>
      </c>
      <c r="O364" s="35">
        <f>IF(AND(D364/Frequency!$N$7&gt;1, D364/Frequency!$N$7&lt;=2),1,0)*E364</f>
        <v>0</v>
      </c>
      <c r="P364" s="35">
        <f t="shared" si="278"/>
        <v>0</v>
      </c>
      <c r="Q364" s="35">
        <f>IF(AND(D364/Frequency!$N$7&gt;2,D364/Frequency!$N$7&lt;=5),1,0)*E364</f>
        <v>0</v>
      </c>
      <c r="R364" s="35">
        <f t="shared" si="279"/>
        <v>0</v>
      </c>
      <c r="S364" s="35">
        <f>IF(AND(D364/Frequency!$N$7&gt;5, D364/Frequency!$N$7&lt;=10),1,0)*E364</f>
        <v>0</v>
      </c>
      <c r="T364" s="35">
        <f t="shared" si="280"/>
        <v>0</v>
      </c>
      <c r="U364" s="35">
        <f>IF(AND(D364/Frequency!$N$7&gt;10, D364/Frequency!$N$7&lt;=20),1,0)*E364</f>
        <v>20</v>
      </c>
      <c r="V364" s="35">
        <f t="shared" si="281"/>
        <v>370</v>
      </c>
      <c r="W364" s="35">
        <f>IF(AND(D364/Frequency!$N$7&gt;20, D364/Frequency!$N$7&lt;=30),1,0)*E364</f>
        <v>0</v>
      </c>
      <c r="X364" s="35">
        <f t="shared" si="282"/>
        <v>0</v>
      </c>
      <c r="Y364" s="35">
        <f>IF(AND(D364/Frequency!$N$7&gt;30, D364/Frequency!$N$7&lt;=50),1,0)*E364</f>
        <v>0</v>
      </c>
      <c r="Z364" s="35">
        <f t="shared" si="283"/>
        <v>0</v>
      </c>
      <c r="AA364" s="35">
        <f>IF(AND(D364/Frequency!$N$7&gt;50, D364/Frequency!$N$7&lt;=100),1,0)*E364</f>
        <v>0</v>
      </c>
      <c r="AB364" s="35">
        <f t="shared" si="284"/>
        <v>0</v>
      </c>
      <c r="AC364" s="35">
        <f>IF(D364/Frequency!$N$7&gt;100,1,0)*E364</f>
        <v>0</v>
      </c>
      <c r="AD364" s="35">
        <f t="shared" si="285"/>
        <v>0</v>
      </c>
      <c r="AE364" s="22">
        <f t="shared" si="286"/>
        <v>0</v>
      </c>
      <c r="AF364" s="22">
        <f t="shared" si="287"/>
        <v>0</v>
      </c>
      <c r="AG364" s="22">
        <f t="shared" si="288"/>
        <v>0</v>
      </c>
      <c r="AH364" s="22">
        <f t="shared" si="289"/>
        <v>0</v>
      </c>
      <c r="AI364" s="35">
        <f t="shared" si="290"/>
        <v>1</v>
      </c>
      <c r="AJ364" s="35">
        <f t="shared" si="291"/>
        <v>20</v>
      </c>
      <c r="AK364" s="35">
        <f t="shared" si="292"/>
        <v>370</v>
      </c>
      <c r="AL364">
        <f t="shared" si="293"/>
        <v>0</v>
      </c>
      <c r="AM364">
        <f t="shared" si="294"/>
        <v>0</v>
      </c>
      <c r="AN364">
        <f t="shared" si="295"/>
        <v>0</v>
      </c>
      <c r="AO364">
        <f t="shared" si="296"/>
        <v>0</v>
      </c>
      <c r="AP364">
        <f t="shared" si="297"/>
        <v>0</v>
      </c>
      <c r="AQ364">
        <f t="shared" si="298"/>
        <v>0</v>
      </c>
      <c r="AR364">
        <f t="shared" si="299"/>
        <v>0</v>
      </c>
      <c r="AS364">
        <f t="shared" si="300"/>
        <v>0</v>
      </c>
      <c r="AT364">
        <f t="shared" si="301"/>
        <v>0</v>
      </c>
      <c r="AU364">
        <f t="shared" si="302"/>
        <v>0</v>
      </c>
      <c r="AV364">
        <v>0</v>
      </c>
      <c r="AW364">
        <v>0</v>
      </c>
      <c r="AX364">
        <f t="shared" si="303"/>
        <v>0</v>
      </c>
      <c r="AY364">
        <f t="shared" si="304"/>
        <v>0</v>
      </c>
      <c r="AZ364">
        <f t="shared" si="305"/>
        <v>0</v>
      </c>
      <c r="BA364">
        <f t="shared" si="306"/>
        <v>0</v>
      </c>
      <c r="BB364">
        <f t="shared" si="307"/>
        <v>0</v>
      </c>
      <c r="BC364">
        <f t="shared" si="308"/>
        <v>0</v>
      </c>
      <c r="BD364">
        <f t="shared" si="309"/>
        <v>1</v>
      </c>
      <c r="BE364">
        <f t="shared" si="310"/>
        <v>20</v>
      </c>
      <c r="BF364">
        <f t="shared" si="311"/>
        <v>370</v>
      </c>
      <c r="BG364">
        <f t="shared" si="312"/>
        <v>0</v>
      </c>
      <c r="BH364">
        <f t="shared" si="313"/>
        <v>0</v>
      </c>
      <c r="BI364">
        <f t="shared" si="314"/>
        <v>0</v>
      </c>
      <c r="BJ364">
        <v>0</v>
      </c>
      <c r="BK364" t="str">
        <f t="shared" si="328"/>
        <v>Big Win</v>
      </c>
      <c r="BL364" s="40" t="str">
        <f t="shared" si="329"/>
        <v>Bonus Game C</v>
      </c>
      <c r="BM364">
        <f>(D364/Frequency!$N$7-Summary!$C$7)^2*E364</f>
        <v>6237.5120000000006</v>
      </c>
      <c r="BN364">
        <f t="shared" si="315"/>
        <v>0</v>
      </c>
      <c r="BO364">
        <f t="shared" si="316"/>
        <v>0</v>
      </c>
      <c r="BP364">
        <f t="shared" si="317"/>
        <v>0</v>
      </c>
      <c r="BQ364">
        <f t="shared" si="318"/>
        <v>0</v>
      </c>
      <c r="BR364">
        <f t="shared" si="319"/>
        <v>0</v>
      </c>
      <c r="BS364">
        <f t="shared" si="320"/>
        <v>0</v>
      </c>
      <c r="BT364">
        <f t="shared" si="321"/>
        <v>0</v>
      </c>
      <c r="BU364">
        <f t="shared" si="322"/>
        <v>0</v>
      </c>
      <c r="BV364">
        <f t="shared" si="323"/>
        <v>0</v>
      </c>
      <c r="BW364">
        <f t="shared" si="324"/>
        <v>0</v>
      </c>
      <c r="BX364">
        <f t="shared" si="325"/>
        <v>0</v>
      </c>
    </row>
    <row r="365" spans="2:76">
      <c r="B365" s="19">
        <f>Tiers!B366</f>
        <v>363</v>
      </c>
      <c r="C365" s="20" t="str">
        <f>Tiers!X366</f>
        <v>main-18|main-19|main-5|wild-13|bonusC-3|||||</v>
      </c>
      <c r="D365" s="21">
        <f>Tiers!C366</f>
        <v>28</v>
      </c>
      <c r="E365" s="22">
        <f>Frequency!E367</f>
        <v>20</v>
      </c>
      <c r="F365" s="22">
        <f t="shared" si="275"/>
        <v>560</v>
      </c>
      <c r="G365" s="20">
        <f>IF(AND(D365/Summary!$C$4&gt;0, D365/Summary!$C$4&lt;5),E365,0) * D365</f>
        <v>0</v>
      </c>
      <c r="H365" s="20">
        <f>IF(AND(D365/Summary!$C$4&gt;= 5, D365/Summary!$C$4&lt;10),E365,0) * D365</f>
        <v>0</v>
      </c>
      <c r="I365" s="20">
        <f>IF(AND(D365/Summary!$C$4&gt;=10, D365/Summary!$C$4&lt;25),E365,0)*D365</f>
        <v>0</v>
      </c>
      <c r="J365" s="20">
        <f>IF(D365/Summary!$C$4&gt;=25,E365,0)*D365</f>
        <v>560</v>
      </c>
      <c r="K365" s="35">
        <f>IF(AND(D365/Frequency!$N$7&gt;0, D365/Frequency!$N$7&lt;1),E365,0)</f>
        <v>0</v>
      </c>
      <c r="L365" s="35">
        <f t="shared" si="276"/>
        <v>0</v>
      </c>
      <c r="M365" s="35">
        <f>IF(D365/Frequency!$N$7=1,1,0)*E365</f>
        <v>0</v>
      </c>
      <c r="N365" s="35">
        <f t="shared" si="277"/>
        <v>0</v>
      </c>
      <c r="O365" s="35">
        <f>IF(AND(D365/Frequency!$N$7&gt;1, D365/Frequency!$N$7&lt;=2),1,0)*E365</f>
        <v>0</v>
      </c>
      <c r="P365" s="35">
        <f t="shared" si="278"/>
        <v>0</v>
      </c>
      <c r="Q365" s="35">
        <f>IF(AND(D365/Frequency!$N$7&gt;2,D365/Frequency!$N$7&lt;=5),1,0)*E365</f>
        <v>0</v>
      </c>
      <c r="R365" s="35">
        <f t="shared" si="279"/>
        <v>0</v>
      </c>
      <c r="S365" s="35">
        <f>IF(AND(D365/Frequency!$N$7&gt;5, D365/Frequency!$N$7&lt;=10),1,0)*E365</f>
        <v>0</v>
      </c>
      <c r="T365" s="35">
        <f t="shared" si="280"/>
        <v>0</v>
      </c>
      <c r="U365" s="35">
        <f>IF(AND(D365/Frequency!$N$7&gt;10, D365/Frequency!$N$7&lt;=20),1,0)*E365</f>
        <v>0</v>
      </c>
      <c r="V365" s="35">
        <f t="shared" si="281"/>
        <v>0</v>
      </c>
      <c r="W365" s="35">
        <f>IF(AND(D365/Frequency!$N$7&gt;20, D365/Frequency!$N$7&lt;=30),1,0)*E365</f>
        <v>20</v>
      </c>
      <c r="X365" s="35">
        <f t="shared" si="282"/>
        <v>560</v>
      </c>
      <c r="Y365" s="35">
        <f>IF(AND(D365/Frequency!$N$7&gt;30, D365/Frequency!$N$7&lt;=50),1,0)*E365</f>
        <v>0</v>
      </c>
      <c r="Z365" s="35">
        <f t="shared" si="283"/>
        <v>0</v>
      </c>
      <c r="AA365" s="35">
        <f>IF(AND(D365/Frequency!$N$7&gt;50, D365/Frequency!$N$7&lt;=100),1,0)*E365</f>
        <v>0</v>
      </c>
      <c r="AB365" s="35">
        <f t="shared" si="284"/>
        <v>0</v>
      </c>
      <c r="AC365" s="35">
        <f>IF(D365/Frequency!$N$7&gt;100,1,0)*E365</f>
        <v>0</v>
      </c>
      <c r="AD365" s="35">
        <f t="shared" si="285"/>
        <v>0</v>
      </c>
      <c r="AE365" s="22">
        <f t="shared" si="286"/>
        <v>0</v>
      </c>
      <c r="AF365" s="22">
        <f t="shared" si="287"/>
        <v>0</v>
      </c>
      <c r="AG365" s="22">
        <f t="shared" si="288"/>
        <v>0</v>
      </c>
      <c r="AH365" s="22">
        <f t="shared" si="289"/>
        <v>0</v>
      </c>
      <c r="AI365" s="35">
        <f t="shared" si="290"/>
        <v>1</v>
      </c>
      <c r="AJ365" s="35">
        <f t="shared" si="291"/>
        <v>20</v>
      </c>
      <c r="AK365" s="35">
        <f t="shared" si="292"/>
        <v>560</v>
      </c>
      <c r="AL365">
        <f t="shared" si="293"/>
        <v>1</v>
      </c>
      <c r="AM365">
        <f t="shared" si="294"/>
        <v>20</v>
      </c>
      <c r="AN365">
        <f t="shared" si="295"/>
        <v>560</v>
      </c>
      <c r="AO365">
        <f t="shared" si="296"/>
        <v>1</v>
      </c>
      <c r="AP365">
        <f t="shared" si="297"/>
        <v>20</v>
      </c>
      <c r="AQ365">
        <f t="shared" si="298"/>
        <v>560</v>
      </c>
      <c r="AR365">
        <f t="shared" si="299"/>
        <v>0</v>
      </c>
      <c r="AS365">
        <f t="shared" si="300"/>
        <v>0</v>
      </c>
      <c r="AT365">
        <f t="shared" si="301"/>
        <v>0</v>
      </c>
      <c r="AU365">
        <f t="shared" si="302"/>
        <v>0</v>
      </c>
      <c r="AV365">
        <v>0</v>
      </c>
      <c r="AW365">
        <v>0</v>
      </c>
      <c r="AX365">
        <f t="shared" si="303"/>
        <v>0</v>
      </c>
      <c r="AY365">
        <f t="shared" si="304"/>
        <v>0</v>
      </c>
      <c r="AZ365">
        <f t="shared" si="305"/>
        <v>0</v>
      </c>
      <c r="BA365">
        <f t="shared" si="306"/>
        <v>0</v>
      </c>
      <c r="BB365">
        <f t="shared" si="307"/>
        <v>0</v>
      </c>
      <c r="BC365">
        <f t="shared" si="308"/>
        <v>0</v>
      </c>
      <c r="BD365">
        <f t="shared" si="309"/>
        <v>1</v>
      </c>
      <c r="BE365">
        <f t="shared" si="310"/>
        <v>20</v>
      </c>
      <c r="BF365">
        <f t="shared" si="311"/>
        <v>560</v>
      </c>
      <c r="BG365">
        <f t="shared" si="312"/>
        <v>0</v>
      </c>
      <c r="BH365">
        <f t="shared" si="313"/>
        <v>0</v>
      </c>
      <c r="BI365">
        <f t="shared" si="314"/>
        <v>0</v>
      </c>
      <c r="BJ365">
        <v>0</v>
      </c>
      <c r="BK365" t="str">
        <f t="shared" si="328"/>
        <v>Big Win</v>
      </c>
      <c r="BL365" s="40" t="str">
        <f t="shared" si="329"/>
        <v>Bonus Game C</v>
      </c>
      <c r="BM365">
        <f>(D365/Frequency!$N$7-Summary!$C$7)^2*E365</f>
        <v>14753.312000000002</v>
      </c>
      <c r="BN365">
        <f t="shared" si="315"/>
        <v>0</v>
      </c>
      <c r="BO365">
        <f t="shared" si="316"/>
        <v>0</v>
      </c>
      <c r="BP365">
        <f t="shared" si="317"/>
        <v>0</v>
      </c>
      <c r="BQ365">
        <f t="shared" si="318"/>
        <v>0</v>
      </c>
      <c r="BR365">
        <f t="shared" si="319"/>
        <v>0</v>
      </c>
      <c r="BS365">
        <f t="shared" si="320"/>
        <v>0</v>
      </c>
      <c r="BT365">
        <f t="shared" si="321"/>
        <v>0</v>
      </c>
      <c r="BU365">
        <f t="shared" si="322"/>
        <v>0</v>
      </c>
      <c r="BV365">
        <f t="shared" si="323"/>
        <v>0</v>
      </c>
      <c r="BW365">
        <f t="shared" si="324"/>
        <v>0</v>
      </c>
      <c r="BX365">
        <f t="shared" si="325"/>
        <v>0</v>
      </c>
    </row>
    <row r="366" spans="2:76">
      <c r="B366" s="19">
        <f>Tiers!B367</f>
        <v>364</v>
      </c>
      <c r="C366" s="20" t="str">
        <f>Tiers!X367</f>
        <v>main-3|main-20|main-4|wild-15|bonusC-4|||||</v>
      </c>
      <c r="D366" s="21">
        <f>Tiers!C367</f>
        <v>28</v>
      </c>
      <c r="E366" s="22">
        <f>Frequency!E368</f>
        <v>10</v>
      </c>
      <c r="F366" s="22">
        <f t="shared" si="275"/>
        <v>280</v>
      </c>
      <c r="G366" s="20">
        <f>IF(AND(D366/Summary!$C$4&gt;0, D366/Summary!$C$4&lt;5),E366,0) * D366</f>
        <v>0</v>
      </c>
      <c r="H366" s="20">
        <f>IF(AND(D366/Summary!$C$4&gt;= 5, D366/Summary!$C$4&lt;10),E366,0) * D366</f>
        <v>0</v>
      </c>
      <c r="I366" s="20">
        <f>IF(AND(D366/Summary!$C$4&gt;=10, D366/Summary!$C$4&lt;25),E366,0)*D366</f>
        <v>0</v>
      </c>
      <c r="J366" s="20">
        <f>IF(D366/Summary!$C$4&gt;=25,E366,0)*D366</f>
        <v>280</v>
      </c>
      <c r="K366" s="35">
        <f>IF(AND(D366/Frequency!$N$7&gt;0, D366/Frequency!$N$7&lt;1),E366,0)</f>
        <v>0</v>
      </c>
      <c r="L366" s="35">
        <f t="shared" si="276"/>
        <v>0</v>
      </c>
      <c r="M366" s="35">
        <f>IF(D366/Frequency!$N$7=1,1,0)*E366</f>
        <v>0</v>
      </c>
      <c r="N366" s="35">
        <f t="shared" si="277"/>
        <v>0</v>
      </c>
      <c r="O366" s="35">
        <f>IF(AND(D366/Frequency!$N$7&gt;1, D366/Frequency!$N$7&lt;=2),1,0)*E366</f>
        <v>0</v>
      </c>
      <c r="P366" s="35">
        <f t="shared" si="278"/>
        <v>0</v>
      </c>
      <c r="Q366" s="35">
        <f>IF(AND(D366/Frequency!$N$7&gt;2,D366/Frequency!$N$7&lt;=5),1,0)*E366</f>
        <v>0</v>
      </c>
      <c r="R366" s="35">
        <f t="shared" si="279"/>
        <v>0</v>
      </c>
      <c r="S366" s="35">
        <f>IF(AND(D366/Frequency!$N$7&gt;5, D366/Frequency!$N$7&lt;=10),1,0)*E366</f>
        <v>0</v>
      </c>
      <c r="T366" s="35">
        <f t="shared" si="280"/>
        <v>0</v>
      </c>
      <c r="U366" s="35">
        <f>IF(AND(D366/Frequency!$N$7&gt;10, D366/Frequency!$N$7&lt;=20),1,0)*E366</f>
        <v>0</v>
      </c>
      <c r="V366" s="35">
        <f t="shared" si="281"/>
        <v>0</v>
      </c>
      <c r="W366" s="35">
        <f>IF(AND(D366/Frequency!$N$7&gt;20, D366/Frequency!$N$7&lt;=30),1,0)*E366</f>
        <v>10</v>
      </c>
      <c r="X366" s="35">
        <f t="shared" si="282"/>
        <v>280</v>
      </c>
      <c r="Y366" s="35">
        <f>IF(AND(D366/Frequency!$N$7&gt;30, D366/Frequency!$N$7&lt;=50),1,0)*E366</f>
        <v>0</v>
      </c>
      <c r="Z366" s="35">
        <f t="shared" si="283"/>
        <v>0</v>
      </c>
      <c r="AA366" s="35">
        <f>IF(AND(D366/Frequency!$N$7&gt;50, D366/Frequency!$N$7&lt;=100),1,0)*E366</f>
        <v>0</v>
      </c>
      <c r="AB366" s="35">
        <f t="shared" si="284"/>
        <v>0</v>
      </c>
      <c r="AC366" s="35">
        <f>IF(D366/Frequency!$N$7&gt;100,1,0)*E366</f>
        <v>0</v>
      </c>
      <c r="AD366" s="35">
        <f t="shared" si="285"/>
        <v>0</v>
      </c>
      <c r="AE366" s="22">
        <f t="shared" si="286"/>
        <v>0</v>
      </c>
      <c r="AF366" s="22">
        <f t="shared" si="287"/>
        <v>0</v>
      </c>
      <c r="AG366" s="22">
        <f t="shared" si="288"/>
        <v>0</v>
      </c>
      <c r="AH366" s="22">
        <f t="shared" si="289"/>
        <v>0</v>
      </c>
      <c r="AI366" s="35">
        <f t="shared" si="290"/>
        <v>1</v>
      </c>
      <c r="AJ366" s="35">
        <f t="shared" si="291"/>
        <v>10</v>
      </c>
      <c r="AK366" s="35">
        <f t="shared" si="292"/>
        <v>280</v>
      </c>
      <c r="AL366">
        <f t="shared" si="293"/>
        <v>1</v>
      </c>
      <c r="AM366">
        <f t="shared" si="294"/>
        <v>10</v>
      </c>
      <c r="AN366">
        <f t="shared" si="295"/>
        <v>280</v>
      </c>
      <c r="AO366">
        <f t="shared" si="296"/>
        <v>1</v>
      </c>
      <c r="AP366">
        <f t="shared" si="297"/>
        <v>10</v>
      </c>
      <c r="AQ366">
        <f t="shared" si="298"/>
        <v>280</v>
      </c>
      <c r="AR366">
        <f t="shared" si="299"/>
        <v>0</v>
      </c>
      <c r="AS366">
        <f t="shared" si="300"/>
        <v>0</v>
      </c>
      <c r="AT366">
        <f t="shared" si="301"/>
        <v>0</v>
      </c>
      <c r="AU366">
        <f t="shared" si="302"/>
        <v>0</v>
      </c>
      <c r="AV366">
        <v>0</v>
      </c>
      <c r="AW366">
        <v>0</v>
      </c>
      <c r="AX366">
        <f t="shared" si="303"/>
        <v>0</v>
      </c>
      <c r="AY366">
        <f t="shared" si="304"/>
        <v>0</v>
      </c>
      <c r="AZ366">
        <f t="shared" si="305"/>
        <v>0</v>
      </c>
      <c r="BA366">
        <f t="shared" si="306"/>
        <v>0</v>
      </c>
      <c r="BB366">
        <f t="shared" si="307"/>
        <v>0</v>
      </c>
      <c r="BC366">
        <f t="shared" si="308"/>
        <v>0</v>
      </c>
      <c r="BD366">
        <f t="shared" si="309"/>
        <v>1</v>
      </c>
      <c r="BE366">
        <f t="shared" si="310"/>
        <v>10</v>
      </c>
      <c r="BF366">
        <f t="shared" si="311"/>
        <v>280</v>
      </c>
      <c r="BG366">
        <f t="shared" si="312"/>
        <v>0</v>
      </c>
      <c r="BH366">
        <f t="shared" si="313"/>
        <v>0</v>
      </c>
      <c r="BI366">
        <f t="shared" si="314"/>
        <v>0</v>
      </c>
      <c r="BJ366">
        <v>0</v>
      </c>
      <c r="BK366" t="str">
        <f t="shared" si="328"/>
        <v>Big Win</v>
      </c>
      <c r="BL366" s="40" t="str">
        <f t="shared" si="329"/>
        <v>Bonus Game C</v>
      </c>
      <c r="BM366">
        <f>(D366/Frequency!$N$7-Summary!$C$7)^2*E366</f>
        <v>7376.6560000000009</v>
      </c>
      <c r="BN366">
        <f t="shared" si="315"/>
        <v>0</v>
      </c>
      <c r="BO366">
        <f t="shared" si="316"/>
        <v>0</v>
      </c>
      <c r="BP366">
        <f t="shared" si="317"/>
        <v>0</v>
      </c>
      <c r="BQ366">
        <f t="shared" si="318"/>
        <v>0</v>
      </c>
      <c r="BR366">
        <f t="shared" si="319"/>
        <v>0</v>
      </c>
      <c r="BS366">
        <f t="shared" si="320"/>
        <v>0</v>
      </c>
      <c r="BT366">
        <f t="shared" si="321"/>
        <v>0</v>
      </c>
      <c r="BU366">
        <f t="shared" si="322"/>
        <v>0</v>
      </c>
      <c r="BV366">
        <f t="shared" si="323"/>
        <v>0</v>
      </c>
      <c r="BW366">
        <f t="shared" si="324"/>
        <v>0</v>
      </c>
      <c r="BX366">
        <f t="shared" si="325"/>
        <v>0</v>
      </c>
    </row>
    <row r="367" spans="2:76">
      <c r="B367" s="19">
        <f>Tiers!B368</f>
        <v>365</v>
      </c>
      <c r="C367" s="20" t="str">
        <f>Tiers!X368</f>
        <v>main-4|main-0|main-1|main-18|bonusC-5|||||</v>
      </c>
      <c r="D367" s="21">
        <f>Tiers!C368</f>
        <v>20.3</v>
      </c>
      <c r="E367" s="22">
        <f>Frequency!E369</f>
        <v>10</v>
      </c>
      <c r="F367" s="22">
        <f t="shared" si="275"/>
        <v>203</v>
      </c>
      <c r="G367" s="20">
        <f>IF(AND(D367/Summary!$C$4&gt;0, D367/Summary!$C$4&lt;5),E367,0) * D367</f>
        <v>0</v>
      </c>
      <c r="H367" s="20">
        <f>IF(AND(D367/Summary!$C$4&gt;= 5, D367/Summary!$C$4&lt;10),E367,0) * D367</f>
        <v>0</v>
      </c>
      <c r="I367" s="20">
        <f>IF(AND(D367/Summary!$C$4&gt;=10, D367/Summary!$C$4&lt;25),E367,0)*D367</f>
        <v>203</v>
      </c>
      <c r="J367" s="20">
        <f>IF(D367/Summary!$C$4&gt;=25,E367,0)*D367</f>
        <v>0</v>
      </c>
      <c r="K367" s="35">
        <f>IF(AND(D367/Frequency!$N$7&gt;0, D367/Frequency!$N$7&lt;1),E367,0)</f>
        <v>0</v>
      </c>
      <c r="L367" s="35">
        <f t="shared" si="276"/>
        <v>0</v>
      </c>
      <c r="M367" s="35">
        <f>IF(D367/Frequency!$N$7=1,1,0)*E367</f>
        <v>0</v>
      </c>
      <c r="N367" s="35">
        <f t="shared" si="277"/>
        <v>0</v>
      </c>
      <c r="O367" s="35">
        <f>IF(AND(D367/Frequency!$N$7&gt;1, D367/Frequency!$N$7&lt;=2),1,0)*E367</f>
        <v>0</v>
      </c>
      <c r="P367" s="35">
        <f t="shared" si="278"/>
        <v>0</v>
      </c>
      <c r="Q367" s="35">
        <f>IF(AND(D367/Frequency!$N$7&gt;2,D367/Frequency!$N$7&lt;=5),1,0)*E367</f>
        <v>0</v>
      </c>
      <c r="R367" s="35">
        <f t="shared" si="279"/>
        <v>0</v>
      </c>
      <c r="S367" s="35">
        <f>IF(AND(D367/Frequency!$N$7&gt;5, D367/Frequency!$N$7&lt;=10),1,0)*E367</f>
        <v>0</v>
      </c>
      <c r="T367" s="35">
        <f t="shared" si="280"/>
        <v>0</v>
      </c>
      <c r="U367" s="35">
        <f>IF(AND(D367/Frequency!$N$7&gt;10, D367/Frequency!$N$7&lt;=20),1,0)*E367</f>
        <v>0</v>
      </c>
      <c r="V367" s="35">
        <f t="shared" si="281"/>
        <v>0</v>
      </c>
      <c r="W367" s="35">
        <f>IF(AND(D367/Frequency!$N$7&gt;20, D367/Frequency!$N$7&lt;=30),1,0)*E367</f>
        <v>10</v>
      </c>
      <c r="X367" s="35">
        <f t="shared" si="282"/>
        <v>203</v>
      </c>
      <c r="Y367" s="35">
        <f>IF(AND(D367/Frequency!$N$7&gt;30, D367/Frequency!$N$7&lt;=50),1,0)*E367</f>
        <v>0</v>
      </c>
      <c r="Z367" s="35">
        <f t="shared" si="283"/>
        <v>0</v>
      </c>
      <c r="AA367" s="35">
        <f>IF(AND(D367/Frequency!$N$7&gt;50, D367/Frequency!$N$7&lt;=100),1,0)*E367</f>
        <v>0</v>
      </c>
      <c r="AB367" s="35">
        <f t="shared" si="284"/>
        <v>0</v>
      </c>
      <c r="AC367" s="35">
        <f>IF(D367/Frequency!$N$7&gt;100,1,0)*E367</f>
        <v>0</v>
      </c>
      <c r="AD367" s="35">
        <f t="shared" si="285"/>
        <v>0</v>
      </c>
      <c r="AE367" s="22">
        <f t="shared" si="286"/>
        <v>0</v>
      </c>
      <c r="AF367" s="22">
        <f t="shared" si="287"/>
        <v>0</v>
      </c>
      <c r="AG367" s="22">
        <f t="shared" si="288"/>
        <v>0</v>
      </c>
      <c r="AH367" s="22">
        <f t="shared" si="289"/>
        <v>0</v>
      </c>
      <c r="AI367" s="35">
        <f t="shared" si="290"/>
        <v>1</v>
      </c>
      <c r="AJ367" s="35">
        <f t="shared" si="291"/>
        <v>10</v>
      </c>
      <c r="AK367" s="35">
        <f t="shared" si="292"/>
        <v>203</v>
      </c>
      <c r="AL367">
        <f t="shared" si="293"/>
        <v>0</v>
      </c>
      <c r="AM367">
        <f t="shared" si="294"/>
        <v>0</v>
      </c>
      <c r="AN367">
        <f t="shared" si="295"/>
        <v>0</v>
      </c>
      <c r="AO367">
        <f t="shared" si="296"/>
        <v>0</v>
      </c>
      <c r="AP367">
        <f t="shared" si="297"/>
        <v>0</v>
      </c>
      <c r="AQ367">
        <f t="shared" si="298"/>
        <v>0</v>
      </c>
      <c r="AR367">
        <f t="shared" si="299"/>
        <v>0</v>
      </c>
      <c r="AS367">
        <f t="shared" si="300"/>
        <v>0</v>
      </c>
      <c r="AT367">
        <f t="shared" si="301"/>
        <v>0</v>
      </c>
      <c r="AU367">
        <f t="shared" si="302"/>
        <v>0</v>
      </c>
      <c r="AV367">
        <v>0</v>
      </c>
      <c r="AW367">
        <v>0</v>
      </c>
      <c r="AX367">
        <f t="shared" si="303"/>
        <v>0</v>
      </c>
      <c r="AY367">
        <f t="shared" si="304"/>
        <v>0</v>
      </c>
      <c r="AZ367">
        <f t="shared" si="305"/>
        <v>0</v>
      </c>
      <c r="BA367">
        <f t="shared" si="306"/>
        <v>0</v>
      </c>
      <c r="BB367">
        <f t="shared" si="307"/>
        <v>0</v>
      </c>
      <c r="BC367">
        <f t="shared" si="308"/>
        <v>0</v>
      </c>
      <c r="BD367">
        <f t="shared" si="309"/>
        <v>1</v>
      </c>
      <c r="BE367">
        <f t="shared" si="310"/>
        <v>10</v>
      </c>
      <c r="BF367">
        <f t="shared" si="311"/>
        <v>203</v>
      </c>
      <c r="BG367">
        <f t="shared" si="312"/>
        <v>0</v>
      </c>
      <c r="BH367">
        <f t="shared" si="313"/>
        <v>0</v>
      </c>
      <c r="BI367">
        <f t="shared" si="314"/>
        <v>0</v>
      </c>
      <c r="BJ367">
        <v>0</v>
      </c>
      <c r="BK367" t="str">
        <f t="shared" si="328"/>
        <v>Big Win</v>
      </c>
      <c r="BL367" s="40" t="str">
        <f t="shared" si="329"/>
        <v>Bonus Game C</v>
      </c>
      <c r="BM367">
        <f>(D367/Frequency!$N$7-Summary!$C$7)^2*E367</f>
        <v>3786.9160000000006</v>
      </c>
      <c r="BN367">
        <f t="shared" si="315"/>
        <v>0</v>
      </c>
      <c r="BO367">
        <f t="shared" si="316"/>
        <v>0</v>
      </c>
      <c r="BP367">
        <f t="shared" si="317"/>
        <v>0</v>
      </c>
      <c r="BQ367">
        <f t="shared" si="318"/>
        <v>0</v>
      </c>
      <c r="BR367">
        <f t="shared" si="319"/>
        <v>0</v>
      </c>
      <c r="BS367">
        <f t="shared" si="320"/>
        <v>0</v>
      </c>
      <c r="BT367">
        <f t="shared" si="321"/>
        <v>0</v>
      </c>
      <c r="BU367">
        <f t="shared" si="322"/>
        <v>0</v>
      </c>
      <c r="BV367">
        <f t="shared" si="323"/>
        <v>0</v>
      </c>
      <c r="BW367">
        <f t="shared" si="324"/>
        <v>0</v>
      </c>
      <c r="BX367">
        <f t="shared" si="325"/>
        <v>0</v>
      </c>
    </row>
    <row r="368" spans="2:76">
      <c r="B368" s="19">
        <f>Tiers!B369</f>
        <v>366</v>
      </c>
      <c r="C368" s="20" t="str">
        <f>Tiers!X369</f>
        <v>main-0|main-4|main-0|main-19|bonusC-4|||||</v>
      </c>
      <c r="D368" s="21">
        <f>Tiers!C369</f>
        <v>19.2</v>
      </c>
      <c r="E368" s="22">
        <f>Frequency!E370</f>
        <v>10</v>
      </c>
      <c r="F368" s="22">
        <f t="shared" si="275"/>
        <v>192</v>
      </c>
      <c r="G368" s="20">
        <f>IF(AND(D368/Summary!$C$4&gt;0, D368/Summary!$C$4&lt;5),E368,0) * D368</f>
        <v>0</v>
      </c>
      <c r="H368" s="20">
        <f>IF(AND(D368/Summary!$C$4&gt;= 5, D368/Summary!$C$4&lt;10),E368,0) * D368</f>
        <v>0</v>
      </c>
      <c r="I368" s="20">
        <f>IF(AND(D368/Summary!$C$4&gt;=10, D368/Summary!$C$4&lt;25),E368,0)*D368</f>
        <v>192</v>
      </c>
      <c r="J368" s="20">
        <f>IF(D368/Summary!$C$4&gt;=25,E368,0)*D368</f>
        <v>0</v>
      </c>
      <c r="K368" s="35">
        <f>IF(AND(D368/Frequency!$N$7&gt;0, D368/Frequency!$N$7&lt;1),E368,0)</f>
        <v>0</v>
      </c>
      <c r="L368" s="35">
        <f t="shared" si="276"/>
        <v>0</v>
      </c>
      <c r="M368" s="35">
        <f>IF(D368/Frequency!$N$7=1,1,0)*E368</f>
        <v>0</v>
      </c>
      <c r="N368" s="35">
        <f t="shared" si="277"/>
        <v>0</v>
      </c>
      <c r="O368" s="35">
        <f>IF(AND(D368/Frequency!$N$7&gt;1, D368/Frequency!$N$7&lt;=2),1,0)*E368</f>
        <v>0</v>
      </c>
      <c r="P368" s="35">
        <f t="shared" si="278"/>
        <v>0</v>
      </c>
      <c r="Q368" s="35">
        <f>IF(AND(D368/Frequency!$N$7&gt;2,D368/Frequency!$N$7&lt;=5),1,0)*E368</f>
        <v>0</v>
      </c>
      <c r="R368" s="35">
        <f t="shared" si="279"/>
        <v>0</v>
      </c>
      <c r="S368" s="35">
        <f>IF(AND(D368/Frequency!$N$7&gt;5, D368/Frequency!$N$7&lt;=10),1,0)*E368</f>
        <v>0</v>
      </c>
      <c r="T368" s="35">
        <f t="shared" si="280"/>
        <v>0</v>
      </c>
      <c r="U368" s="35">
        <f>IF(AND(D368/Frequency!$N$7&gt;10, D368/Frequency!$N$7&lt;=20),1,0)*E368</f>
        <v>10</v>
      </c>
      <c r="V368" s="35">
        <f t="shared" si="281"/>
        <v>192</v>
      </c>
      <c r="W368" s="35">
        <f>IF(AND(D368/Frequency!$N$7&gt;20, D368/Frequency!$N$7&lt;=30),1,0)*E368</f>
        <v>0</v>
      </c>
      <c r="X368" s="35">
        <f t="shared" si="282"/>
        <v>0</v>
      </c>
      <c r="Y368" s="35">
        <f>IF(AND(D368/Frequency!$N$7&gt;30, D368/Frequency!$N$7&lt;=50),1,0)*E368</f>
        <v>0</v>
      </c>
      <c r="Z368" s="35">
        <f t="shared" si="283"/>
        <v>0</v>
      </c>
      <c r="AA368" s="35">
        <f>IF(AND(D368/Frequency!$N$7&gt;50, D368/Frequency!$N$7&lt;=100),1,0)*E368</f>
        <v>0</v>
      </c>
      <c r="AB368" s="35">
        <f t="shared" si="284"/>
        <v>0</v>
      </c>
      <c r="AC368" s="35">
        <f>IF(D368/Frequency!$N$7&gt;100,1,0)*E368</f>
        <v>0</v>
      </c>
      <c r="AD368" s="35">
        <f t="shared" si="285"/>
        <v>0</v>
      </c>
      <c r="AE368" s="22">
        <f t="shared" si="286"/>
        <v>0</v>
      </c>
      <c r="AF368" s="22">
        <f t="shared" si="287"/>
        <v>0</v>
      </c>
      <c r="AG368" s="22">
        <f t="shared" si="288"/>
        <v>0</v>
      </c>
      <c r="AH368" s="22">
        <f t="shared" si="289"/>
        <v>0</v>
      </c>
      <c r="AI368" s="35">
        <f t="shared" si="290"/>
        <v>1</v>
      </c>
      <c r="AJ368" s="35">
        <f t="shared" si="291"/>
        <v>10</v>
      </c>
      <c r="AK368" s="35">
        <f t="shared" si="292"/>
        <v>192</v>
      </c>
      <c r="AL368">
        <f t="shared" si="293"/>
        <v>0</v>
      </c>
      <c r="AM368">
        <f t="shared" si="294"/>
        <v>0</v>
      </c>
      <c r="AN368">
        <f t="shared" si="295"/>
        <v>0</v>
      </c>
      <c r="AO368">
        <f t="shared" si="296"/>
        <v>0</v>
      </c>
      <c r="AP368">
        <f t="shared" si="297"/>
        <v>0</v>
      </c>
      <c r="AQ368">
        <f t="shared" si="298"/>
        <v>0</v>
      </c>
      <c r="AR368">
        <f t="shared" si="299"/>
        <v>0</v>
      </c>
      <c r="AS368">
        <f t="shared" si="300"/>
        <v>0</v>
      </c>
      <c r="AT368">
        <f t="shared" si="301"/>
        <v>0</v>
      </c>
      <c r="AU368">
        <f t="shared" si="302"/>
        <v>0</v>
      </c>
      <c r="AV368">
        <v>0</v>
      </c>
      <c r="AW368">
        <v>0</v>
      </c>
      <c r="AX368">
        <f t="shared" si="303"/>
        <v>0</v>
      </c>
      <c r="AY368">
        <f t="shared" si="304"/>
        <v>0</v>
      </c>
      <c r="AZ368">
        <f t="shared" si="305"/>
        <v>0</v>
      </c>
      <c r="BA368">
        <f t="shared" si="306"/>
        <v>0</v>
      </c>
      <c r="BB368">
        <f t="shared" si="307"/>
        <v>0</v>
      </c>
      <c r="BC368">
        <f t="shared" si="308"/>
        <v>0</v>
      </c>
      <c r="BD368">
        <f t="shared" si="309"/>
        <v>1</v>
      </c>
      <c r="BE368">
        <f t="shared" si="310"/>
        <v>10</v>
      </c>
      <c r="BF368">
        <f t="shared" si="311"/>
        <v>192</v>
      </c>
      <c r="BG368">
        <f t="shared" si="312"/>
        <v>0</v>
      </c>
      <c r="BH368">
        <f t="shared" si="313"/>
        <v>0</v>
      </c>
      <c r="BI368">
        <f t="shared" si="314"/>
        <v>0</v>
      </c>
      <c r="BJ368">
        <v>0</v>
      </c>
      <c r="BK368" t="str">
        <f t="shared" si="328"/>
        <v>Big Win</v>
      </c>
      <c r="BL368" s="40" t="str">
        <f t="shared" si="329"/>
        <v>Bonus Game C</v>
      </c>
      <c r="BM368">
        <f>(D368/Frequency!$N$7-Summary!$C$7)^2*E368</f>
        <v>3370.8959999999997</v>
      </c>
      <c r="BN368">
        <f t="shared" si="315"/>
        <v>0</v>
      </c>
      <c r="BO368">
        <f t="shared" si="316"/>
        <v>0</v>
      </c>
      <c r="BP368">
        <f t="shared" si="317"/>
        <v>0</v>
      </c>
      <c r="BQ368">
        <f t="shared" si="318"/>
        <v>0</v>
      </c>
      <c r="BR368">
        <f t="shared" si="319"/>
        <v>0</v>
      </c>
      <c r="BS368">
        <f t="shared" si="320"/>
        <v>0</v>
      </c>
      <c r="BT368">
        <f t="shared" si="321"/>
        <v>0</v>
      </c>
      <c r="BU368">
        <f t="shared" si="322"/>
        <v>0</v>
      </c>
      <c r="BV368">
        <f t="shared" si="323"/>
        <v>0</v>
      </c>
      <c r="BW368">
        <f t="shared" si="324"/>
        <v>0</v>
      </c>
      <c r="BX368">
        <f t="shared" si="325"/>
        <v>0</v>
      </c>
    </row>
    <row r="369" spans="2:76">
      <c r="B369" s="19">
        <f>Tiers!B370</f>
        <v>367</v>
      </c>
      <c r="C369" s="20" t="str">
        <f>Tiers!X370</f>
        <v>main-0|main-13|main-26|main-18|bonusC-4|||||</v>
      </c>
      <c r="D369" s="21">
        <f>Tiers!C370</f>
        <v>30.1</v>
      </c>
      <c r="E369" s="22">
        <f>Frequency!E371</f>
        <v>10</v>
      </c>
      <c r="F369" s="22">
        <f t="shared" si="275"/>
        <v>301</v>
      </c>
      <c r="G369" s="20">
        <f>IF(AND(D369/Summary!$C$4&gt;0, D369/Summary!$C$4&lt;5),E369,0) * D369</f>
        <v>0</v>
      </c>
      <c r="H369" s="20">
        <f>IF(AND(D369/Summary!$C$4&gt;= 5, D369/Summary!$C$4&lt;10),E369,0) * D369</f>
        <v>0</v>
      </c>
      <c r="I369" s="20">
        <f>IF(AND(D369/Summary!$C$4&gt;=10, D369/Summary!$C$4&lt;25),E369,0)*D369</f>
        <v>0</v>
      </c>
      <c r="J369" s="20">
        <f>IF(D369/Summary!$C$4&gt;=25,E369,0)*D369</f>
        <v>301</v>
      </c>
      <c r="K369" s="35">
        <f>IF(AND(D369/Frequency!$N$7&gt;0, D369/Frequency!$N$7&lt;1),E369,0)</f>
        <v>0</v>
      </c>
      <c r="L369" s="35">
        <f t="shared" si="276"/>
        <v>0</v>
      </c>
      <c r="M369" s="35">
        <f>IF(D369/Frequency!$N$7=1,1,0)*E369</f>
        <v>0</v>
      </c>
      <c r="N369" s="35">
        <f t="shared" si="277"/>
        <v>0</v>
      </c>
      <c r="O369" s="35">
        <f>IF(AND(D369/Frequency!$N$7&gt;1, D369/Frequency!$N$7&lt;=2),1,0)*E369</f>
        <v>0</v>
      </c>
      <c r="P369" s="35">
        <f t="shared" si="278"/>
        <v>0</v>
      </c>
      <c r="Q369" s="35">
        <f>IF(AND(D369/Frequency!$N$7&gt;2,D369/Frequency!$N$7&lt;=5),1,0)*E369</f>
        <v>0</v>
      </c>
      <c r="R369" s="35">
        <f t="shared" si="279"/>
        <v>0</v>
      </c>
      <c r="S369" s="35">
        <f>IF(AND(D369/Frequency!$N$7&gt;5, D369/Frequency!$N$7&lt;=10),1,0)*E369</f>
        <v>0</v>
      </c>
      <c r="T369" s="35">
        <f t="shared" si="280"/>
        <v>0</v>
      </c>
      <c r="U369" s="35">
        <f>IF(AND(D369/Frequency!$N$7&gt;10, D369/Frequency!$N$7&lt;=20),1,0)*E369</f>
        <v>0</v>
      </c>
      <c r="V369" s="35">
        <f t="shared" si="281"/>
        <v>0</v>
      </c>
      <c r="W369" s="35">
        <f>IF(AND(D369/Frequency!$N$7&gt;20, D369/Frequency!$N$7&lt;=30),1,0)*E369</f>
        <v>0</v>
      </c>
      <c r="X369" s="35">
        <f t="shared" si="282"/>
        <v>0</v>
      </c>
      <c r="Y369" s="35">
        <f>IF(AND(D369/Frequency!$N$7&gt;30, D369/Frequency!$N$7&lt;=50),1,0)*E369</f>
        <v>10</v>
      </c>
      <c r="Z369" s="35">
        <f t="shared" si="283"/>
        <v>301</v>
      </c>
      <c r="AA369" s="35">
        <f>IF(AND(D369/Frequency!$N$7&gt;50, D369/Frequency!$N$7&lt;=100),1,0)*E369</f>
        <v>0</v>
      </c>
      <c r="AB369" s="35">
        <f t="shared" si="284"/>
        <v>0</v>
      </c>
      <c r="AC369" s="35">
        <f>IF(D369/Frequency!$N$7&gt;100,1,0)*E369</f>
        <v>0</v>
      </c>
      <c r="AD369" s="35">
        <f t="shared" si="285"/>
        <v>0</v>
      </c>
      <c r="AE369" s="22">
        <f t="shared" si="286"/>
        <v>0</v>
      </c>
      <c r="AF369" s="22">
        <f t="shared" si="287"/>
        <v>0</v>
      </c>
      <c r="AG369" s="22">
        <f t="shared" si="288"/>
        <v>0</v>
      </c>
      <c r="AH369" s="22">
        <f t="shared" si="289"/>
        <v>0</v>
      </c>
      <c r="AI369" s="35">
        <f t="shared" si="290"/>
        <v>1</v>
      </c>
      <c r="AJ369" s="35">
        <f t="shared" si="291"/>
        <v>10</v>
      </c>
      <c r="AK369" s="35">
        <f t="shared" si="292"/>
        <v>301</v>
      </c>
      <c r="AL369">
        <f t="shared" si="293"/>
        <v>0</v>
      </c>
      <c r="AM369">
        <f t="shared" si="294"/>
        <v>0</v>
      </c>
      <c r="AN369">
        <f t="shared" si="295"/>
        <v>0</v>
      </c>
      <c r="AO369">
        <f t="shared" si="296"/>
        <v>0</v>
      </c>
      <c r="AP369">
        <f t="shared" si="297"/>
        <v>0</v>
      </c>
      <c r="AQ369">
        <f t="shared" si="298"/>
        <v>0</v>
      </c>
      <c r="AR369">
        <f t="shared" si="299"/>
        <v>0</v>
      </c>
      <c r="AS369">
        <f t="shared" si="300"/>
        <v>0</v>
      </c>
      <c r="AT369">
        <f t="shared" si="301"/>
        <v>0</v>
      </c>
      <c r="AU369">
        <f t="shared" si="302"/>
        <v>0</v>
      </c>
      <c r="AV369">
        <v>0</v>
      </c>
      <c r="AW369">
        <v>0</v>
      </c>
      <c r="AX369">
        <f t="shared" si="303"/>
        <v>0</v>
      </c>
      <c r="AY369">
        <f t="shared" si="304"/>
        <v>0</v>
      </c>
      <c r="AZ369">
        <f t="shared" si="305"/>
        <v>0</v>
      </c>
      <c r="BA369">
        <f t="shared" si="306"/>
        <v>0</v>
      </c>
      <c r="BB369">
        <f t="shared" si="307"/>
        <v>0</v>
      </c>
      <c r="BC369">
        <f t="shared" si="308"/>
        <v>0</v>
      </c>
      <c r="BD369">
        <f t="shared" si="309"/>
        <v>1</v>
      </c>
      <c r="BE369">
        <f t="shared" si="310"/>
        <v>10</v>
      </c>
      <c r="BF369">
        <f t="shared" si="311"/>
        <v>301</v>
      </c>
      <c r="BG369">
        <f t="shared" si="312"/>
        <v>0</v>
      </c>
      <c r="BH369">
        <f t="shared" si="313"/>
        <v>0</v>
      </c>
      <c r="BI369">
        <f t="shared" si="314"/>
        <v>0</v>
      </c>
      <c r="BJ369">
        <v>0</v>
      </c>
      <c r="BK369" t="str">
        <f t="shared" si="328"/>
        <v>Big Win</v>
      </c>
      <c r="BL369" s="40" t="str">
        <f t="shared" si="329"/>
        <v>Bonus Game C</v>
      </c>
      <c r="BM369">
        <f>(D369/Frequency!$N$7-Summary!$C$7)^2*E369</f>
        <v>8561.4760000000006</v>
      </c>
      <c r="BN369">
        <f t="shared" si="315"/>
        <v>0</v>
      </c>
      <c r="BO369">
        <f t="shared" si="316"/>
        <v>0</v>
      </c>
      <c r="BP369">
        <f t="shared" si="317"/>
        <v>0</v>
      </c>
      <c r="BQ369">
        <f t="shared" si="318"/>
        <v>0</v>
      </c>
      <c r="BR369">
        <f t="shared" si="319"/>
        <v>0</v>
      </c>
      <c r="BS369">
        <f t="shared" si="320"/>
        <v>0</v>
      </c>
      <c r="BT369">
        <f t="shared" si="321"/>
        <v>0</v>
      </c>
      <c r="BU369">
        <f t="shared" si="322"/>
        <v>0</v>
      </c>
      <c r="BV369">
        <f t="shared" si="323"/>
        <v>0</v>
      </c>
      <c r="BW369">
        <f t="shared" si="324"/>
        <v>0</v>
      </c>
      <c r="BX369">
        <f t="shared" si="325"/>
        <v>0</v>
      </c>
    </row>
    <row r="370" spans="2:76">
      <c r="B370" s="19">
        <f>Tiers!B371</f>
        <v>368</v>
      </c>
      <c r="C370" s="20" t="str">
        <f>Tiers!X371</f>
        <v>main-5|main-13|main-25|main-0|bonusC-5|||||</v>
      </c>
      <c r="D370" s="21">
        <f>Tiers!C371</f>
        <v>30.1</v>
      </c>
      <c r="E370" s="22">
        <f>Frequency!E372</f>
        <v>10</v>
      </c>
      <c r="F370" s="22">
        <f t="shared" si="275"/>
        <v>301</v>
      </c>
      <c r="G370" s="20">
        <f>IF(AND(D370/Summary!$C$4&gt;0, D370/Summary!$C$4&lt;5),E370,0) * D370</f>
        <v>0</v>
      </c>
      <c r="H370" s="20">
        <f>IF(AND(D370/Summary!$C$4&gt;= 5, D370/Summary!$C$4&lt;10),E370,0) * D370</f>
        <v>0</v>
      </c>
      <c r="I370" s="20">
        <f>IF(AND(D370/Summary!$C$4&gt;=10, D370/Summary!$C$4&lt;25),E370,0)*D370</f>
        <v>0</v>
      </c>
      <c r="J370" s="20">
        <f>IF(D370/Summary!$C$4&gt;=25,E370,0)*D370</f>
        <v>301</v>
      </c>
      <c r="K370" s="35">
        <f>IF(AND(D370/Frequency!$N$7&gt;0, D370/Frequency!$N$7&lt;1),E370,0)</f>
        <v>0</v>
      </c>
      <c r="L370" s="35">
        <f t="shared" si="276"/>
        <v>0</v>
      </c>
      <c r="M370" s="35">
        <f>IF(D370/Frequency!$N$7=1,1,0)*E370</f>
        <v>0</v>
      </c>
      <c r="N370" s="35">
        <f t="shared" si="277"/>
        <v>0</v>
      </c>
      <c r="O370" s="35">
        <f>IF(AND(D370/Frequency!$N$7&gt;1, D370/Frequency!$N$7&lt;=2),1,0)*E370</f>
        <v>0</v>
      </c>
      <c r="P370" s="35">
        <f t="shared" si="278"/>
        <v>0</v>
      </c>
      <c r="Q370" s="35">
        <f>IF(AND(D370/Frequency!$N$7&gt;2,D370/Frequency!$N$7&lt;=5),1,0)*E370</f>
        <v>0</v>
      </c>
      <c r="R370" s="35">
        <f t="shared" si="279"/>
        <v>0</v>
      </c>
      <c r="S370" s="35">
        <f>IF(AND(D370/Frequency!$N$7&gt;5, D370/Frequency!$N$7&lt;=10),1,0)*E370</f>
        <v>0</v>
      </c>
      <c r="T370" s="35">
        <f t="shared" si="280"/>
        <v>0</v>
      </c>
      <c r="U370" s="35">
        <f>IF(AND(D370/Frequency!$N$7&gt;10, D370/Frequency!$N$7&lt;=20),1,0)*E370</f>
        <v>0</v>
      </c>
      <c r="V370" s="35">
        <f t="shared" si="281"/>
        <v>0</v>
      </c>
      <c r="W370" s="35">
        <f>IF(AND(D370/Frequency!$N$7&gt;20, D370/Frequency!$N$7&lt;=30),1,0)*E370</f>
        <v>0</v>
      </c>
      <c r="X370" s="35">
        <f t="shared" si="282"/>
        <v>0</v>
      </c>
      <c r="Y370" s="35">
        <f>IF(AND(D370/Frequency!$N$7&gt;30, D370/Frequency!$N$7&lt;=50),1,0)*E370</f>
        <v>10</v>
      </c>
      <c r="Z370" s="35">
        <f t="shared" si="283"/>
        <v>301</v>
      </c>
      <c r="AA370" s="35">
        <f>IF(AND(D370/Frequency!$N$7&gt;50, D370/Frequency!$N$7&lt;=100),1,0)*E370</f>
        <v>0</v>
      </c>
      <c r="AB370" s="35">
        <f t="shared" si="284"/>
        <v>0</v>
      </c>
      <c r="AC370" s="35">
        <f>IF(D370/Frequency!$N$7&gt;100,1,0)*E370</f>
        <v>0</v>
      </c>
      <c r="AD370" s="35">
        <f t="shared" si="285"/>
        <v>0</v>
      </c>
      <c r="AE370" s="22">
        <f t="shared" si="286"/>
        <v>0</v>
      </c>
      <c r="AF370" s="22">
        <f t="shared" si="287"/>
        <v>0</v>
      </c>
      <c r="AG370" s="22">
        <f t="shared" si="288"/>
        <v>0</v>
      </c>
      <c r="AH370" s="22">
        <f t="shared" si="289"/>
        <v>0</v>
      </c>
      <c r="AI370" s="35">
        <f t="shared" si="290"/>
        <v>1</v>
      </c>
      <c r="AJ370" s="35">
        <f t="shared" si="291"/>
        <v>10</v>
      </c>
      <c r="AK370" s="35">
        <f t="shared" si="292"/>
        <v>301</v>
      </c>
      <c r="AL370">
        <f t="shared" si="293"/>
        <v>0</v>
      </c>
      <c r="AM370">
        <f t="shared" si="294"/>
        <v>0</v>
      </c>
      <c r="AN370">
        <f t="shared" si="295"/>
        <v>0</v>
      </c>
      <c r="AO370">
        <f t="shared" si="296"/>
        <v>0</v>
      </c>
      <c r="AP370">
        <f t="shared" si="297"/>
        <v>0</v>
      </c>
      <c r="AQ370">
        <f t="shared" si="298"/>
        <v>0</v>
      </c>
      <c r="AR370">
        <f t="shared" si="299"/>
        <v>0</v>
      </c>
      <c r="AS370">
        <f t="shared" si="300"/>
        <v>0</v>
      </c>
      <c r="AT370">
        <f t="shared" si="301"/>
        <v>0</v>
      </c>
      <c r="AU370">
        <f t="shared" si="302"/>
        <v>0</v>
      </c>
      <c r="AV370">
        <v>0</v>
      </c>
      <c r="AW370">
        <v>0</v>
      </c>
      <c r="AX370">
        <f t="shared" si="303"/>
        <v>0</v>
      </c>
      <c r="AY370">
        <f t="shared" si="304"/>
        <v>0</v>
      </c>
      <c r="AZ370">
        <f t="shared" si="305"/>
        <v>0</v>
      </c>
      <c r="BA370">
        <f t="shared" si="306"/>
        <v>0</v>
      </c>
      <c r="BB370">
        <f t="shared" si="307"/>
        <v>0</v>
      </c>
      <c r="BC370">
        <f t="shared" si="308"/>
        <v>0</v>
      </c>
      <c r="BD370">
        <f t="shared" si="309"/>
        <v>1</v>
      </c>
      <c r="BE370">
        <f t="shared" si="310"/>
        <v>10</v>
      </c>
      <c r="BF370">
        <f t="shared" si="311"/>
        <v>301</v>
      </c>
      <c r="BG370">
        <f t="shared" si="312"/>
        <v>0</v>
      </c>
      <c r="BH370">
        <f t="shared" si="313"/>
        <v>0</v>
      </c>
      <c r="BI370">
        <f t="shared" si="314"/>
        <v>0</v>
      </c>
      <c r="BJ370">
        <v>0</v>
      </c>
      <c r="BK370" t="str">
        <f t="shared" si="328"/>
        <v>Big Win</v>
      </c>
      <c r="BL370" s="40" t="str">
        <f t="shared" si="329"/>
        <v>Bonus Game C</v>
      </c>
      <c r="BM370">
        <f>(D370/Frequency!$N$7-Summary!$C$7)^2*E370</f>
        <v>8561.4760000000006</v>
      </c>
      <c r="BN370">
        <f t="shared" si="315"/>
        <v>0</v>
      </c>
      <c r="BO370">
        <f t="shared" si="316"/>
        <v>0</v>
      </c>
      <c r="BP370">
        <f t="shared" si="317"/>
        <v>0</v>
      </c>
      <c r="BQ370">
        <f t="shared" si="318"/>
        <v>0</v>
      </c>
      <c r="BR370">
        <f t="shared" si="319"/>
        <v>0</v>
      </c>
      <c r="BS370">
        <f t="shared" si="320"/>
        <v>0</v>
      </c>
      <c r="BT370">
        <f t="shared" si="321"/>
        <v>0</v>
      </c>
      <c r="BU370">
        <f t="shared" si="322"/>
        <v>0</v>
      </c>
      <c r="BV370">
        <f t="shared" si="323"/>
        <v>0</v>
      </c>
      <c r="BW370">
        <f t="shared" si="324"/>
        <v>0</v>
      </c>
      <c r="BX370">
        <f t="shared" si="325"/>
        <v>0</v>
      </c>
    </row>
    <row r="371" spans="2:76">
      <c r="B371" s="19">
        <f>Tiers!B372</f>
        <v>369</v>
      </c>
      <c r="C371" s="20" t="str">
        <f>Tiers!X372</f>
        <v>main-5|main-25|main-19|wild-11|bonusC-6|||||</v>
      </c>
      <c r="D371" s="21">
        <f>Tiers!C372</f>
        <v>37</v>
      </c>
      <c r="E371" s="22">
        <f>Frequency!E373</f>
        <v>10</v>
      </c>
      <c r="F371" s="22">
        <f t="shared" si="275"/>
        <v>370</v>
      </c>
      <c r="G371" s="20">
        <f>IF(AND(D371/Summary!$C$4&gt;0, D371/Summary!$C$4&lt;5),E371,0) * D371</f>
        <v>0</v>
      </c>
      <c r="H371" s="20">
        <f>IF(AND(D371/Summary!$C$4&gt;= 5, D371/Summary!$C$4&lt;10),E371,0) * D371</f>
        <v>0</v>
      </c>
      <c r="I371" s="20">
        <f>IF(AND(D371/Summary!$C$4&gt;=10, D371/Summary!$C$4&lt;25),E371,0)*D371</f>
        <v>0</v>
      </c>
      <c r="J371" s="20">
        <f>IF(D371/Summary!$C$4&gt;=25,E371,0)*D371</f>
        <v>370</v>
      </c>
      <c r="K371" s="35">
        <f>IF(AND(D371/Frequency!$N$7&gt;0, D371/Frequency!$N$7&lt;1),E371,0)</f>
        <v>0</v>
      </c>
      <c r="L371" s="35">
        <f t="shared" si="276"/>
        <v>0</v>
      </c>
      <c r="M371" s="35">
        <f>IF(D371/Frequency!$N$7=1,1,0)*E371</f>
        <v>0</v>
      </c>
      <c r="N371" s="35">
        <f t="shared" si="277"/>
        <v>0</v>
      </c>
      <c r="O371" s="35">
        <f>IF(AND(D371/Frequency!$N$7&gt;1, D371/Frequency!$N$7&lt;=2),1,0)*E371</f>
        <v>0</v>
      </c>
      <c r="P371" s="35">
        <f t="shared" si="278"/>
        <v>0</v>
      </c>
      <c r="Q371" s="35">
        <f>IF(AND(D371/Frequency!$N$7&gt;2,D371/Frequency!$N$7&lt;=5),1,0)*E371</f>
        <v>0</v>
      </c>
      <c r="R371" s="35">
        <f t="shared" si="279"/>
        <v>0</v>
      </c>
      <c r="S371" s="35">
        <f>IF(AND(D371/Frequency!$N$7&gt;5, D371/Frequency!$N$7&lt;=10),1,0)*E371</f>
        <v>0</v>
      </c>
      <c r="T371" s="35">
        <f t="shared" si="280"/>
        <v>0</v>
      </c>
      <c r="U371" s="35">
        <f>IF(AND(D371/Frequency!$N$7&gt;10, D371/Frequency!$N$7&lt;=20),1,0)*E371</f>
        <v>0</v>
      </c>
      <c r="V371" s="35">
        <f t="shared" si="281"/>
        <v>0</v>
      </c>
      <c r="W371" s="35">
        <f>IF(AND(D371/Frequency!$N$7&gt;20, D371/Frequency!$N$7&lt;=30),1,0)*E371</f>
        <v>0</v>
      </c>
      <c r="X371" s="35">
        <f t="shared" si="282"/>
        <v>0</v>
      </c>
      <c r="Y371" s="35">
        <f>IF(AND(D371/Frequency!$N$7&gt;30, D371/Frequency!$N$7&lt;=50),1,0)*E371</f>
        <v>10</v>
      </c>
      <c r="Z371" s="35">
        <f t="shared" si="283"/>
        <v>370</v>
      </c>
      <c r="AA371" s="35">
        <f>IF(AND(D371/Frequency!$N$7&gt;50, D371/Frequency!$N$7&lt;=100),1,0)*E371</f>
        <v>0</v>
      </c>
      <c r="AB371" s="35">
        <f t="shared" si="284"/>
        <v>0</v>
      </c>
      <c r="AC371" s="35">
        <f>IF(D371/Frequency!$N$7&gt;100,1,0)*E371</f>
        <v>0</v>
      </c>
      <c r="AD371" s="35">
        <f t="shared" si="285"/>
        <v>0</v>
      </c>
      <c r="AE371" s="22">
        <f t="shared" si="286"/>
        <v>0</v>
      </c>
      <c r="AF371" s="22">
        <f t="shared" si="287"/>
        <v>0</v>
      </c>
      <c r="AG371" s="22">
        <f t="shared" si="288"/>
        <v>0</v>
      </c>
      <c r="AH371" s="22">
        <f t="shared" si="289"/>
        <v>0</v>
      </c>
      <c r="AI371" s="35">
        <f t="shared" si="290"/>
        <v>1</v>
      </c>
      <c r="AJ371" s="35">
        <f t="shared" si="291"/>
        <v>10</v>
      </c>
      <c r="AK371" s="35">
        <f t="shared" si="292"/>
        <v>370</v>
      </c>
      <c r="AL371">
        <f t="shared" si="293"/>
        <v>1</v>
      </c>
      <c r="AM371">
        <f t="shared" si="294"/>
        <v>10</v>
      </c>
      <c r="AN371">
        <f t="shared" si="295"/>
        <v>370</v>
      </c>
      <c r="AO371">
        <f t="shared" si="296"/>
        <v>1</v>
      </c>
      <c r="AP371">
        <f t="shared" si="297"/>
        <v>10</v>
      </c>
      <c r="AQ371">
        <f t="shared" si="298"/>
        <v>370</v>
      </c>
      <c r="AR371">
        <f t="shared" si="299"/>
        <v>0</v>
      </c>
      <c r="AS371">
        <f t="shared" si="300"/>
        <v>0</v>
      </c>
      <c r="AT371">
        <f t="shared" si="301"/>
        <v>0</v>
      </c>
      <c r="AU371">
        <f t="shared" si="302"/>
        <v>0</v>
      </c>
      <c r="AV371">
        <v>0</v>
      </c>
      <c r="AW371">
        <v>0</v>
      </c>
      <c r="AX371">
        <f t="shared" si="303"/>
        <v>0</v>
      </c>
      <c r="AY371">
        <f t="shared" si="304"/>
        <v>0</v>
      </c>
      <c r="AZ371">
        <f t="shared" si="305"/>
        <v>0</v>
      </c>
      <c r="BA371">
        <f t="shared" si="306"/>
        <v>0</v>
      </c>
      <c r="BB371">
        <f t="shared" si="307"/>
        <v>0</v>
      </c>
      <c r="BC371">
        <f t="shared" si="308"/>
        <v>0</v>
      </c>
      <c r="BD371">
        <f t="shared" si="309"/>
        <v>1</v>
      </c>
      <c r="BE371">
        <f t="shared" si="310"/>
        <v>10</v>
      </c>
      <c r="BF371">
        <f t="shared" si="311"/>
        <v>370</v>
      </c>
      <c r="BG371">
        <f t="shared" si="312"/>
        <v>0</v>
      </c>
      <c r="BH371">
        <f t="shared" si="313"/>
        <v>0</v>
      </c>
      <c r="BI371">
        <f t="shared" si="314"/>
        <v>0</v>
      </c>
      <c r="BJ371">
        <v>0</v>
      </c>
      <c r="BK371" t="str">
        <f t="shared" si="328"/>
        <v>Big Win</v>
      </c>
      <c r="BL371" s="40" t="str">
        <f t="shared" si="329"/>
        <v>Bonus Game C</v>
      </c>
      <c r="BM371">
        <f>(D371/Frequency!$N$7-Summary!$C$7)^2*E371</f>
        <v>13075.455999999996</v>
      </c>
      <c r="BN371">
        <f t="shared" si="315"/>
        <v>0</v>
      </c>
      <c r="BO371">
        <f t="shared" si="316"/>
        <v>0</v>
      </c>
      <c r="BP371">
        <f t="shared" si="317"/>
        <v>0</v>
      </c>
      <c r="BQ371">
        <f t="shared" si="318"/>
        <v>0</v>
      </c>
      <c r="BR371">
        <f t="shared" si="319"/>
        <v>0</v>
      </c>
      <c r="BS371">
        <f t="shared" si="320"/>
        <v>0</v>
      </c>
      <c r="BT371">
        <f t="shared" si="321"/>
        <v>0</v>
      </c>
      <c r="BU371">
        <f t="shared" si="322"/>
        <v>0</v>
      </c>
      <c r="BV371">
        <f t="shared" si="323"/>
        <v>0</v>
      </c>
      <c r="BW371">
        <f t="shared" si="324"/>
        <v>0</v>
      </c>
      <c r="BX371">
        <f t="shared" si="325"/>
        <v>0</v>
      </c>
    </row>
    <row r="372" spans="2:76">
      <c r="B372" s="19">
        <f>Tiers!B373</f>
        <v>370</v>
      </c>
      <c r="C372" s="20" t="str">
        <f>Tiers!X373</f>
        <v>main-4|main-19|main-5|wild-2|bonusC-3|||||</v>
      </c>
      <c r="D372" s="21">
        <f>Tiers!C373</f>
        <v>22.5</v>
      </c>
      <c r="E372" s="22">
        <f>Frequency!E374</f>
        <v>10</v>
      </c>
      <c r="F372" s="22">
        <f t="shared" si="275"/>
        <v>225</v>
      </c>
      <c r="G372" s="20">
        <f>IF(AND(D372/Summary!$C$4&gt;0, D372/Summary!$C$4&lt;5),E372,0) * D372</f>
        <v>0</v>
      </c>
      <c r="H372" s="20">
        <f>IF(AND(D372/Summary!$C$4&gt;= 5, D372/Summary!$C$4&lt;10),E372,0) * D372</f>
        <v>0</v>
      </c>
      <c r="I372" s="20">
        <f>IF(AND(D372/Summary!$C$4&gt;=10, D372/Summary!$C$4&lt;25),E372,0)*D372</f>
        <v>225</v>
      </c>
      <c r="J372" s="20">
        <f>IF(D372/Summary!$C$4&gt;=25,E372,0)*D372</f>
        <v>0</v>
      </c>
      <c r="K372" s="35">
        <f>IF(AND(D372/Frequency!$N$7&gt;0, D372/Frequency!$N$7&lt;1),E372,0)</f>
        <v>0</v>
      </c>
      <c r="L372" s="35">
        <f t="shared" si="276"/>
        <v>0</v>
      </c>
      <c r="M372" s="35">
        <f>IF(D372/Frequency!$N$7=1,1,0)*E372</f>
        <v>0</v>
      </c>
      <c r="N372" s="35">
        <f t="shared" si="277"/>
        <v>0</v>
      </c>
      <c r="O372" s="35">
        <f>IF(AND(D372/Frequency!$N$7&gt;1, D372/Frequency!$N$7&lt;=2),1,0)*E372</f>
        <v>0</v>
      </c>
      <c r="P372" s="35">
        <f t="shared" si="278"/>
        <v>0</v>
      </c>
      <c r="Q372" s="35">
        <f>IF(AND(D372/Frequency!$N$7&gt;2,D372/Frequency!$N$7&lt;=5),1,0)*E372</f>
        <v>0</v>
      </c>
      <c r="R372" s="35">
        <f t="shared" si="279"/>
        <v>0</v>
      </c>
      <c r="S372" s="35">
        <f>IF(AND(D372/Frequency!$N$7&gt;5, D372/Frequency!$N$7&lt;=10),1,0)*E372</f>
        <v>0</v>
      </c>
      <c r="T372" s="35">
        <f t="shared" si="280"/>
        <v>0</v>
      </c>
      <c r="U372" s="35">
        <f>IF(AND(D372/Frequency!$N$7&gt;10, D372/Frequency!$N$7&lt;=20),1,0)*E372</f>
        <v>0</v>
      </c>
      <c r="V372" s="35">
        <f t="shared" si="281"/>
        <v>0</v>
      </c>
      <c r="W372" s="35">
        <f>IF(AND(D372/Frequency!$N$7&gt;20, D372/Frequency!$N$7&lt;=30),1,0)*E372</f>
        <v>10</v>
      </c>
      <c r="X372" s="35">
        <f t="shared" si="282"/>
        <v>225</v>
      </c>
      <c r="Y372" s="35">
        <f>IF(AND(D372/Frequency!$N$7&gt;30, D372/Frequency!$N$7&lt;=50),1,0)*E372</f>
        <v>0</v>
      </c>
      <c r="Z372" s="35">
        <f t="shared" si="283"/>
        <v>0</v>
      </c>
      <c r="AA372" s="35">
        <f>IF(AND(D372/Frequency!$N$7&gt;50, D372/Frequency!$N$7&lt;=100),1,0)*E372</f>
        <v>0</v>
      </c>
      <c r="AB372" s="35">
        <f t="shared" si="284"/>
        <v>0</v>
      </c>
      <c r="AC372" s="35">
        <f>IF(D372/Frequency!$N$7&gt;100,1,0)*E372</f>
        <v>0</v>
      </c>
      <c r="AD372" s="35">
        <f t="shared" si="285"/>
        <v>0</v>
      </c>
      <c r="AE372" s="22">
        <f t="shared" si="286"/>
        <v>0</v>
      </c>
      <c r="AF372" s="22">
        <f t="shared" si="287"/>
        <v>0</v>
      </c>
      <c r="AG372" s="22">
        <f t="shared" si="288"/>
        <v>0</v>
      </c>
      <c r="AH372" s="22">
        <f t="shared" si="289"/>
        <v>0</v>
      </c>
      <c r="AI372" s="35">
        <f t="shared" si="290"/>
        <v>1</v>
      </c>
      <c r="AJ372" s="35">
        <f t="shared" si="291"/>
        <v>10</v>
      </c>
      <c r="AK372" s="35">
        <f t="shared" si="292"/>
        <v>225</v>
      </c>
      <c r="AL372">
        <f t="shared" si="293"/>
        <v>1</v>
      </c>
      <c r="AM372">
        <f t="shared" si="294"/>
        <v>10</v>
      </c>
      <c r="AN372">
        <f t="shared" si="295"/>
        <v>225</v>
      </c>
      <c r="AO372">
        <f t="shared" si="296"/>
        <v>1</v>
      </c>
      <c r="AP372">
        <f t="shared" si="297"/>
        <v>10</v>
      </c>
      <c r="AQ372">
        <f t="shared" si="298"/>
        <v>225</v>
      </c>
      <c r="AR372">
        <f t="shared" si="299"/>
        <v>0</v>
      </c>
      <c r="AS372">
        <f t="shared" si="300"/>
        <v>0</v>
      </c>
      <c r="AT372">
        <f t="shared" si="301"/>
        <v>0</v>
      </c>
      <c r="AU372">
        <f t="shared" si="302"/>
        <v>0</v>
      </c>
      <c r="AV372">
        <v>0</v>
      </c>
      <c r="AW372">
        <v>0</v>
      </c>
      <c r="AX372">
        <f t="shared" si="303"/>
        <v>0</v>
      </c>
      <c r="AY372">
        <f t="shared" si="304"/>
        <v>0</v>
      </c>
      <c r="AZ372">
        <f t="shared" si="305"/>
        <v>0</v>
      </c>
      <c r="BA372">
        <f t="shared" si="306"/>
        <v>0</v>
      </c>
      <c r="BB372">
        <f t="shared" si="307"/>
        <v>0</v>
      </c>
      <c r="BC372">
        <f t="shared" si="308"/>
        <v>0</v>
      </c>
      <c r="BD372">
        <f t="shared" si="309"/>
        <v>1</v>
      </c>
      <c r="BE372">
        <f t="shared" si="310"/>
        <v>10</v>
      </c>
      <c r="BF372">
        <f t="shared" si="311"/>
        <v>225</v>
      </c>
      <c r="BG372">
        <f t="shared" si="312"/>
        <v>0</v>
      </c>
      <c r="BH372">
        <f t="shared" si="313"/>
        <v>0</v>
      </c>
      <c r="BI372">
        <f t="shared" si="314"/>
        <v>0</v>
      </c>
      <c r="BJ372">
        <v>0</v>
      </c>
      <c r="BK372" t="str">
        <f t="shared" si="328"/>
        <v>Big Win</v>
      </c>
      <c r="BL372" s="40" t="str">
        <f t="shared" si="329"/>
        <v>Bonus Game C</v>
      </c>
      <c r="BM372">
        <f>(D372/Frequency!$N$7-Summary!$C$7)^2*E372</f>
        <v>4691.5559999999996</v>
      </c>
      <c r="BN372">
        <f t="shared" si="315"/>
        <v>0</v>
      </c>
      <c r="BO372">
        <f t="shared" si="316"/>
        <v>0</v>
      </c>
      <c r="BP372">
        <f t="shared" si="317"/>
        <v>0</v>
      </c>
      <c r="BQ372">
        <f t="shared" si="318"/>
        <v>0</v>
      </c>
      <c r="BR372">
        <f t="shared" si="319"/>
        <v>0</v>
      </c>
      <c r="BS372">
        <f t="shared" si="320"/>
        <v>0</v>
      </c>
      <c r="BT372">
        <f t="shared" si="321"/>
        <v>0</v>
      </c>
      <c r="BU372">
        <f t="shared" si="322"/>
        <v>0</v>
      </c>
      <c r="BV372">
        <f t="shared" si="323"/>
        <v>0</v>
      </c>
      <c r="BW372">
        <f t="shared" si="324"/>
        <v>0</v>
      </c>
      <c r="BX372">
        <f t="shared" si="325"/>
        <v>0</v>
      </c>
    </row>
    <row r="373" spans="2:76">
      <c r="B373" s="19">
        <f>Tiers!B374</f>
        <v>371</v>
      </c>
      <c r="C373" s="217" t="str">
        <f>Tiers!X374</f>
        <v>instantA-0|||||||||</v>
      </c>
      <c r="D373" s="21">
        <f>Tiers!C374</f>
        <v>3</v>
      </c>
      <c r="E373" s="22">
        <f>Frequency!E375</f>
        <v>1500</v>
      </c>
      <c r="F373" s="22">
        <f t="shared" si="275"/>
        <v>4500</v>
      </c>
      <c r="G373" s="20">
        <f>IF(AND(D373/Summary!$C$4&gt;0, D373/Summary!$C$4&lt;5),E373,0) * D373</f>
        <v>4500</v>
      </c>
      <c r="H373" s="20">
        <f>IF(AND(D373/Summary!$C$4&gt;= 5, D373/Summary!$C$4&lt;10),E373,0) * D373</f>
        <v>0</v>
      </c>
      <c r="I373" s="20">
        <f>IF(AND(D373/Summary!$C$4&gt;=10, D373/Summary!$C$4&lt;25),E373,0)*D373</f>
        <v>0</v>
      </c>
      <c r="J373" s="20">
        <f>IF(D373/Summary!$C$4&gt;=25,E373,0)*D373</f>
        <v>0</v>
      </c>
      <c r="K373" s="35">
        <f>IF(AND(D373/Frequency!$N$7&gt;0, D373/Frequency!$N$7&lt;1),E373,0)</f>
        <v>0</v>
      </c>
      <c r="L373" s="35">
        <f t="shared" si="276"/>
        <v>0</v>
      </c>
      <c r="M373" s="35">
        <f>IF(D373/Frequency!$N$7=1,1,0)*E373</f>
        <v>0</v>
      </c>
      <c r="N373" s="35">
        <f t="shared" si="277"/>
        <v>0</v>
      </c>
      <c r="O373" s="35">
        <f>IF(AND(D373/Frequency!$N$7&gt;1, D373/Frequency!$N$7&lt;=2),1,0)*E373</f>
        <v>0</v>
      </c>
      <c r="P373" s="35">
        <f t="shared" si="278"/>
        <v>0</v>
      </c>
      <c r="Q373" s="35">
        <f>IF(AND(D373/Frequency!$N$7&gt;2,D373/Frequency!$N$7&lt;=5),1,0)*E373</f>
        <v>1500</v>
      </c>
      <c r="R373" s="35">
        <f t="shared" si="279"/>
        <v>4500</v>
      </c>
      <c r="S373" s="35">
        <f>IF(AND(D373/Frequency!$N$7&gt;5, D373/Frequency!$N$7&lt;=10),1,0)*E373</f>
        <v>0</v>
      </c>
      <c r="T373" s="35">
        <f t="shared" si="280"/>
        <v>0</v>
      </c>
      <c r="U373" s="35">
        <f>IF(AND(D373/Frequency!$N$7&gt;10, D373/Frequency!$N$7&lt;=20),1,0)*E373</f>
        <v>0</v>
      </c>
      <c r="V373" s="35">
        <f t="shared" si="281"/>
        <v>0</v>
      </c>
      <c r="W373" s="35">
        <f>IF(AND(D373/Frequency!$N$7&gt;20, D373/Frequency!$N$7&lt;=30),1,0)*E373</f>
        <v>0</v>
      </c>
      <c r="X373" s="35">
        <f t="shared" si="282"/>
        <v>0</v>
      </c>
      <c r="Y373" s="35">
        <f>IF(AND(D373/Frequency!$N$7&gt;30, D373/Frequency!$N$7&lt;=50),1,0)*E373</f>
        <v>0</v>
      </c>
      <c r="Z373" s="35">
        <f t="shared" si="283"/>
        <v>0</v>
      </c>
      <c r="AA373" s="35">
        <f>IF(AND(D373/Frequency!$N$7&gt;50, D373/Frequency!$N$7&lt;=100),1,0)*E373</f>
        <v>0</v>
      </c>
      <c r="AB373" s="35">
        <f t="shared" si="284"/>
        <v>0</v>
      </c>
      <c r="AC373" s="35">
        <f>IF(D373/Frequency!$N$7&gt;100,1,0)*E373</f>
        <v>0</v>
      </c>
      <c r="AD373" s="35">
        <f t="shared" si="285"/>
        <v>0</v>
      </c>
      <c r="AE373" s="22">
        <f t="shared" si="286"/>
        <v>0</v>
      </c>
      <c r="AF373" s="22">
        <f t="shared" si="287"/>
        <v>0</v>
      </c>
      <c r="AG373" s="22">
        <f t="shared" si="288"/>
        <v>0</v>
      </c>
      <c r="AH373" s="22">
        <f t="shared" si="289"/>
        <v>1500</v>
      </c>
      <c r="AI373" s="35">
        <f t="shared" si="290"/>
        <v>0</v>
      </c>
      <c r="AJ373" s="35">
        <f t="shared" si="291"/>
        <v>0</v>
      </c>
      <c r="AK373" s="35">
        <f t="shared" si="292"/>
        <v>0</v>
      </c>
      <c r="AL373">
        <f t="shared" si="293"/>
        <v>0</v>
      </c>
      <c r="AM373">
        <f t="shared" si="294"/>
        <v>0</v>
      </c>
      <c r="AN373">
        <f t="shared" si="295"/>
        <v>0</v>
      </c>
      <c r="AO373">
        <f t="shared" si="296"/>
        <v>0</v>
      </c>
      <c r="AP373">
        <f t="shared" si="297"/>
        <v>0</v>
      </c>
      <c r="AQ373">
        <f t="shared" si="298"/>
        <v>0</v>
      </c>
      <c r="AR373">
        <f t="shared" si="299"/>
        <v>0</v>
      </c>
      <c r="AS373">
        <f t="shared" si="300"/>
        <v>0</v>
      </c>
      <c r="AT373">
        <f t="shared" si="301"/>
        <v>0</v>
      </c>
      <c r="AU373">
        <f t="shared" si="302"/>
        <v>0</v>
      </c>
      <c r="AV373">
        <v>0</v>
      </c>
      <c r="AW373">
        <v>0</v>
      </c>
      <c r="AX373">
        <f t="shared" si="303"/>
        <v>0</v>
      </c>
      <c r="AY373">
        <f t="shared" si="304"/>
        <v>0</v>
      </c>
      <c r="AZ373">
        <f t="shared" si="305"/>
        <v>0</v>
      </c>
      <c r="BA373">
        <f t="shared" si="306"/>
        <v>0</v>
      </c>
      <c r="BB373">
        <f t="shared" si="307"/>
        <v>0</v>
      </c>
      <c r="BC373">
        <f t="shared" si="308"/>
        <v>0</v>
      </c>
      <c r="BD373">
        <f t="shared" si="309"/>
        <v>0</v>
      </c>
      <c r="BE373">
        <f t="shared" si="310"/>
        <v>0</v>
      </c>
      <c r="BF373">
        <f t="shared" si="311"/>
        <v>0</v>
      </c>
      <c r="BG373">
        <f t="shared" si="312"/>
        <v>1</v>
      </c>
      <c r="BH373">
        <f t="shared" si="313"/>
        <v>1500</v>
      </c>
      <c r="BI373">
        <f t="shared" si="314"/>
        <v>4500</v>
      </c>
      <c r="BJ373">
        <v>0</v>
      </c>
      <c r="BK373" t="str">
        <f t="shared" si="328"/>
        <v>Standard Win</v>
      </c>
      <c r="BL373" s="40" t="str">
        <f t="shared" si="329"/>
        <v>Instant Prize A</v>
      </c>
      <c r="BM373">
        <f>(D373/Frequency!$N$7-Summary!$C$7)^2*E373</f>
        <v>6998.4000000000005</v>
      </c>
      <c r="BN373">
        <f t="shared" si="315"/>
        <v>0</v>
      </c>
      <c r="BO373">
        <f t="shared" si="316"/>
        <v>4500</v>
      </c>
      <c r="BP373">
        <f t="shared" si="317"/>
        <v>0</v>
      </c>
      <c r="BQ373">
        <f t="shared" si="318"/>
        <v>0</v>
      </c>
      <c r="BR373">
        <f t="shared" si="319"/>
        <v>0</v>
      </c>
      <c r="BS373">
        <f t="shared" si="320"/>
        <v>0</v>
      </c>
      <c r="BT373">
        <f t="shared" si="321"/>
        <v>0</v>
      </c>
      <c r="BU373">
        <f t="shared" si="322"/>
        <v>0</v>
      </c>
      <c r="BV373">
        <f t="shared" si="323"/>
        <v>0</v>
      </c>
      <c r="BW373">
        <f t="shared" si="324"/>
        <v>0</v>
      </c>
      <c r="BX373">
        <f t="shared" si="325"/>
        <v>0</v>
      </c>
    </row>
    <row r="374" spans="2:76">
      <c r="B374" s="19">
        <f>Tiers!B375</f>
        <v>372</v>
      </c>
      <c r="C374" s="217" t="str">
        <f>Tiers!X375</f>
        <v>instantA-1|||||||||</v>
      </c>
      <c r="D374" s="21">
        <f>Tiers!C375</f>
        <v>5</v>
      </c>
      <c r="E374" s="22">
        <f>Frequency!E376</f>
        <v>1300</v>
      </c>
      <c r="F374" s="22">
        <f t="shared" si="275"/>
        <v>6500</v>
      </c>
      <c r="G374" s="20">
        <f>IF(AND(D374/Summary!$C$4&gt;0, D374/Summary!$C$4&lt;5),E374,0) * D374</f>
        <v>0</v>
      </c>
      <c r="H374" s="20">
        <f>IF(AND(D374/Summary!$C$4&gt;= 5, D374/Summary!$C$4&lt;10),E374,0) * D374</f>
        <v>6500</v>
      </c>
      <c r="I374" s="20">
        <f>IF(AND(D374/Summary!$C$4&gt;=10, D374/Summary!$C$4&lt;25),E374,0)*D374</f>
        <v>0</v>
      </c>
      <c r="J374" s="20">
        <f>IF(D374/Summary!$C$4&gt;=25,E374,0)*D374</f>
        <v>0</v>
      </c>
      <c r="K374" s="35">
        <f>IF(AND(D374/Frequency!$N$7&gt;0, D374/Frequency!$N$7&lt;1),E374,0)</f>
        <v>0</v>
      </c>
      <c r="L374" s="35">
        <f t="shared" si="276"/>
        <v>0</v>
      </c>
      <c r="M374" s="35">
        <f>IF(D374/Frequency!$N$7=1,1,0)*E374</f>
        <v>0</v>
      </c>
      <c r="N374" s="35">
        <f t="shared" si="277"/>
        <v>0</v>
      </c>
      <c r="O374" s="35">
        <f>IF(AND(D374/Frequency!$N$7&gt;1, D374/Frequency!$N$7&lt;=2),1,0)*E374</f>
        <v>0</v>
      </c>
      <c r="P374" s="35">
        <f t="shared" si="278"/>
        <v>0</v>
      </c>
      <c r="Q374" s="35">
        <f>IF(AND(D374/Frequency!$N$7&gt;2,D374/Frequency!$N$7&lt;=5),1,0)*E374</f>
        <v>1300</v>
      </c>
      <c r="R374" s="35">
        <f t="shared" si="279"/>
        <v>6500</v>
      </c>
      <c r="S374" s="35">
        <f>IF(AND(D374/Frequency!$N$7&gt;5, D374/Frequency!$N$7&lt;=10),1,0)*E374</f>
        <v>0</v>
      </c>
      <c r="T374" s="35">
        <f t="shared" si="280"/>
        <v>0</v>
      </c>
      <c r="U374" s="35">
        <f>IF(AND(D374/Frequency!$N$7&gt;10, D374/Frequency!$N$7&lt;=20),1,0)*E374</f>
        <v>0</v>
      </c>
      <c r="V374" s="35">
        <f t="shared" si="281"/>
        <v>0</v>
      </c>
      <c r="W374" s="35">
        <f>IF(AND(D374/Frequency!$N$7&gt;20, D374/Frequency!$N$7&lt;=30),1,0)*E374</f>
        <v>0</v>
      </c>
      <c r="X374" s="35">
        <f t="shared" si="282"/>
        <v>0</v>
      </c>
      <c r="Y374" s="35">
        <f>IF(AND(D374/Frequency!$N$7&gt;30, D374/Frequency!$N$7&lt;=50),1,0)*E374</f>
        <v>0</v>
      </c>
      <c r="Z374" s="35">
        <f t="shared" si="283"/>
        <v>0</v>
      </c>
      <c r="AA374" s="35">
        <f>IF(AND(D374/Frequency!$N$7&gt;50, D374/Frequency!$N$7&lt;=100),1,0)*E374</f>
        <v>0</v>
      </c>
      <c r="AB374" s="35">
        <f t="shared" si="284"/>
        <v>0</v>
      </c>
      <c r="AC374" s="35">
        <f>IF(D374/Frequency!$N$7&gt;100,1,0)*E374</f>
        <v>0</v>
      </c>
      <c r="AD374" s="35">
        <f t="shared" si="285"/>
        <v>0</v>
      </c>
      <c r="AE374" s="22">
        <f t="shared" si="286"/>
        <v>0</v>
      </c>
      <c r="AF374" s="22">
        <f t="shared" si="287"/>
        <v>0</v>
      </c>
      <c r="AG374" s="22">
        <f t="shared" si="288"/>
        <v>0</v>
      </c>
      <c r="AH374" s="22">
        <f t="shared" si="289"/>
        <v>1300</v>
      </c>
      <c r="AI374" s="35">
        <f t="shared" si="290"/>
        <v>0</v>
      </c>
      <c r="AJ374" s="35">
        <f t="shared" si="291"/>
        <v>0</v>
      </c>
      <c r="AK374" s="35">
        <f t="shared" si="292"/>
        <v>0</v>
      </c>
      <c r="AL374">
        <f t="shared" si="293"/>
        <v>0</v>
      </c>
      <c r="AM374">
        <f t="shared" si="294"/>
        <v>0</v>
      </c>
      <c r="AN374">
        <f t="shared" si="295"/>
        <v>0</v>
      </c>
      <c r="AO374">
        <f t="shared" si="296"/>
        <v>0</v>
      </c>
      <c r="AP374">
        <f t="shared" si="297"/>
        <v>0</v>
      </c>
      <c r="AQ374">
        <f t="shared" si="298"/>
        <v>0</v>
      </c>
      <c r="AR374">
        <f t="shared" si="299"/>
        <v>0</v>
      </c>
      <c r="AS374">
        <f t="shared" si="300"/>
        <v>0</v>
      </c>
      <c r="AT374">
        <f t="shared" si="301"/>
        <v>0</v>
      </c>
      <c r="AU374">
        <f t="shared" si="302"/>
        <v>0</v>
      </c>
      <c r="AV374">
        <v>0</v>
      </c>
      <c r="AW374">
        <v>0</v>
      </c>
      <c r="AX374">
        <f t="shared" si="303"/>
        <v>0</v>
      </c>
      <c r="AY374">
        <f t="shared" si="304"/>
        <v>0</v>
      </c>
      <c r="AZ374">
        <f t="shared" si="305"/>
        <v>0</v>
      </c>
      <c r="BA374">
        <f t="shared" si="306"/>
        <v>0</v>
      </c>
      <c r="BB374">
        <f t="shared" si="307"/>
        <v>0</v>
      </c>
      <c r="BC374">
        <f t="shared" si="308"/>
        <v>0</v>
      </c>
      <c r="BD374">
        <f t="shared" si="309"/>
        <v>0</v>
      </c>
      <c r="BE374">
        <f t="shared" si="310"/>
        <v>0</v>
      </c>
      <c r="BF374">
        <f t="shared" si="311"/>
        <v>0</v>
      </c>
      <c r="BG374">
        <f t="shared" si="312"/>
        <v>1</v>
      </c>
      <c r="BH374">
        <f t="shared" si="313"/>
        <v>1300</v>
      </c>
      <c r="BI374">
        <f t="shared" si="314"/>
        <v>6500</v>
      </c>
      <c r="BJ374">
        <v>0</v>
      </c>
      <c r="BK374" t="str">
        <f t="shared" si="328"/>
        <v>Standard Win</v>
      </c>
      <c r="BL374" s="40" t="str">
        <f t="shared" si="329"/>
        <v>Instant Prize A</v>
      </c>
      <c r="BM374">
        <f>(D374/Frequency!$N$7-Summary!$C$7)^2*E374</f>
        <v>22497.280000000002</v>
      </c>
      <c r="BN374">
        <f t="shared" si="315"/>
        <v>0</v>
      </c>
      <c r="BO374">
        <f t="shared" si="316"/>
        <v>6500</v>
      </c>
      <c r="BP374">
        <f t="shared" si="317"/>
        <v>0</v>
      </c>
      <c r="BQ374">
        <f t="shared" si="318"/>
        <v>0</v>
      </c>
      <c r="BR374">
        <f t="shared" si="319"/>
        <v>0</v>
      </c>
      <c r="BS374">
        <f t="shared" si="320"/>
        <v>0</v>
      </c>
      <c r="BT374">
        <f t="shared" si="321"/>
        <v>0</v>
      </c>
      <c r="BU374">
        <f t="shared" si="322"/>
        <v>0</v>
      </c>
      <c r="BV374">
        <f t="shared" si="323"/>
        <v>0</v>
      </c>
      <c r="BW374">
        <f t="shared" si="324"/>
        <v>0</v>
      </c>
      <c r="BX374">
        <f t="shared" si="325"/>
        <v>0</v>
      </c>
    </row>
    <row r="375" spans="2:76">
      <c r="B375" s="19">
        <f>Tiers!B376</f>
        <v>373</v>
      </c>
      <c r="C375" s="217" t="str">
        <f>Tiers!X376</f>
        <v>instantA-2|||||||||</v>
      </c>
      <c r="D375" s="21">
        <f>Tiers!C376</f>
        <v>8</v>
      </c>
      <c r="E375" s="22">
        <f>Frequency!E377</f>
        <v>800</v>
      </c>
      <c r="F375" s="22">
        <f t="shared" si="275"/>
        <v>6400</v>
      </c>
      <c r="G375" s="20">
        <f>IF(AND(D375/Summary!$C$4&gt;0, D375/Summary!$C$4&lt;5),E375,0) * D375</f>
        <v>0</v>
      </c>
      <c r="H375" s="20">
        <f>IF(AND(D375/Summary!$C$4&gt;= 5, D375/Summary!$C$4&lt;10),E375,0) * D375</f>
        <v>6400</v>
      </c>
      <c r="I375" s="20">
        <f>IF(AND(D375/Summary!$C$4&gt;=10, D375/Summary!$C$4&lt;25),E375,0)*D375</f>
        <v>0</v>
      </c>
      <c r="J375" s="20">
        <f>IF(D375/Summary!$C$4&gt;=25,E375,0)*D375</f>
        <v>0</v>
      </c>
      <c r="K375" s="35">
        <f>IF(AND(D375/Frequency!$N$7&gt;0, D375/Frequency!$N$7&lt;1),E375,0)</f>
        <v>0</v>
      </c>
      <c r="L375" s="35">
        <f t="shared" si="276"/>
        <v>0</v>
      </c>
      <c r="M375" s="35">
        <f>IF(D375/Frequency!$N$7=1,1,0)*E375</f>
        <v>0</v>
      </c>
      <c r="N375" s="35">
        <f t="shared" si="277"/>
        <v>0</v>
      </c>
      <c r="O375" s="35">
        <f>IF(AND(D375/Frequency!$N$7&gt;1, D375/Frequency!$N$7&lt;=2),1,0)*E375</f>
        <v>0</v>
      </c>
      <c r="P375" s="35">
        <f t="shared" si="278"/>
        <v>0</v>
      </c>
      <c r="Q375" s="35">
        <f>IF(AND(D375/Frequency!$N$7&gt;2,D375/Frequency!$N$7&lt;=5),1,0)*E375</f>
        <v>0</v>
      </c>
      <c r="R375" s="35">
        <f t="shared" si="279"/>
        <v>0</v>
      </c>
      <c r="S375" s="35">
        <f>IF(AND(D375/Frequency!$N$7&gt;5, D375/Frequency!$N$7&lt;=10),1,0)*E375</f>
        <v>800</v>
      </c>
      <c r="T375" s="35">
        <f t="shared" si="280"/>
        <v>6400</v>
      </c>
      <c r="U375" s="35">
        <f>IF(AND(D375/Frequency!$N$7&gt;10, D375/Frequency!$N$7&lt;=20),1,0)*E375</f>
        <v>0</v>
      </c>
      <c r="V375" s="35">
        <f t="shared" si="281"/>
        <v>0</v>
      </c>
      <c r="W375" s="35">
        <f>IF(AND(D375/Frequency!$N$7&gt;20, D375/Frequency!$N$7&lt;=30),1,0)*E375</f>
        <v>0</v>
      </c>
      <c r="X375" s="35">
        <f t="shared" si="282"/>
        <v>0</v>
      </c>
      <c r="Y375" s="35">
        <f>IF(AND(D375/Frequency!$N$7&gt;30, D375/Frequency!$N$7&lt;=50),1,0)*E375</f>
        <v>0</v>
      </c>
      <c r="Z375" s="35">
        <f t="shared" si="283"/>
        <v>0</v>
      </c>
      <c r="AA375" s="35">
        <f>IF(AND(D375/Frequency!$N$7&gt;50, D375/Frequency!$N$7&lt;=100),1,0)*E375</f>
        <v>0</v>
      </c>
      <c r="AB375" s="35">
        <f t="shared" si="284"/>
        <v>0</v>
      </c>
      <c r="AC375" s="35">
        <f>IF(D375/Frequency!$N$7&gt;100,1,0)*E375</f>
        <v>0</v>
      </c>
      <c r="AD375" s="35">
        <f t="shared" si="285"/>
        <v>0</v>
      </c>
      <c r="AE375" s="22">
        <f t="shared" si="286"/>
        <v>0</v>
      </c>
      <c r="AF375" s="22">
        <f t="shared" si="287"/>
        <v>0</v>
      </c>
      <c r="AG375" s="22">
        <f t="shared" si="288"/>
        <v>0</v>
      </c>
      <c r="AH375" s="22">
        <f t="shared" si="289"/>
        <v>800</v>
      </c>
      <c r="AI375" s="35">
        <f t="shared" si="290"/>
        <v>0</v>
      </c>
      <c r="AJ375" s="35">
        <f t="shared" si="291"/>
        <v>0</v>
      </c>
      <c r="AK375" s="35">
        <f t="shared" si="292"/>
        <v>0</v>
      </c>
      <c r="AL375">
        <f t="shared" si="293"/>
        <v>0</v>
      </c>
      <c r="AM375">
        <f t="shared" si="294"/>
        <v>0</v>
      </c>
      <c r="AN375">
        <f t="shared" si="295"/>
        <v>0</v>
      </c>
      <c r="AO375">
        <f t="shared" si="296"/>
        <v>0</v>
      </c>
      <c r="AP375">
        <f t="shared" si="297"/>
        <v>0</v>
      </c>
      <c r="AQ375">
        <f t="shared" si="298"/>
        <v>0</v>
      </c>
      <c r="AR375">
        <f t="shared" si="299"/>
        <v>0</v>
      </c>
      <c r="AS375">
        <f t="shared" si="300"/>
        <v>0</v>
      </c>
      <c r="AT375">
        <f t="shared" si="301"/>
        <v>0</v>
      </c>
      <c r="AU375">
        <f t="shared" si="302"/>
        <v>0</v>
      </c>
      <c r="AV375">
        <v>0</v>
      </c>
      <c r="AW375">
        <v>0</v>
      </c>
      <c r="AX375">
        <f t="shared" si="303"/>
        <v>0</v>
      </c>
      <c r="AY375">
        <f t="shared" si="304"/>
        <v>0</v>
      </c>
      <c r="AZ375">
        <f t="shared" si="305"/>
        <v>0</v>
      </c>
      <c r="BA375">
        <f t="shared" si="306"/>
        <v>0</v>
      </c>
      <c r="BB375">
        <f t="shared" si="307"/>
        <v>0</v>
      </c>
      <c r="BC375">
        <f t="shared" si="308"/>
        <v>0</v>
      </c>
      <c r="BD375">
        <f t="shared" si="309"/>
        <v>0</v>
      </c>
      <c r="BE375">
        <f t="shared" si="310"/>
        <v>0</v>
      </c>
      <c r="BF375">
        <f t="shared" si="311"/>
        <v>0</v>
      </c>
      <c r="BG375">
        <f t="shared" si="312"/>
        <v>1</v>
      </c>
      <c r="BH375">
        <f t="shared" si="313"/>
        <v>800</v>
      </c>
      <c r="BI375">
        <f t="shared" si="314"/>
        <v>6400</v>
      </c>
      <c r="BJ375">
        <v>0</v>
      </c>
      <c r="BK375" t="str">
        <f t="shared" si="328"/>
        <v>Standard Win</v>
      </c>
      <c r="BL375" s="40" t="str">
        <f t="shared" si="329"/>
        <v>Instant Prize A</v>
      </c>
      <c r="BM375">
        <f>(D375/Frequency!$N$7-Summary!$C$7)^2*E375</f>
        <v>41012.479999999996</v>
      </c>
      <c r="BN375">
        <f t="shared" si="315"/>
        <v>0</v>
      </c>
      <c r="BO375">
        <f t="shared" si="316"/>
        <v>6400</v>
      </c>
      <c r="BP375">
        <f t="shared" si="317"/>
        <v>0</v>
      </c>
      <c r="BQ375">
        <f t="shared" si="318"/>
        <v>0</v>
      </c>
      <c r="BR375">
        <f t="shared" si="319"/>
        <v>0</v>
      </c>
      <c r="BS375">
        <f t="shared" si="320"/>
        <v>0</v>
      </c>
      <c r="BT375">
        <f t="shared" si="321"/>
        <v>0</v>
      </c>
      <c r="BU375">
        <f t="shared" si="322"/>
        <v>0</v>
      </c>
      <c r="BV375">
        <f t="shared" si="323"/>
        <v>0</v>
      </c>
      <c r="BW375">
        <f t="shared" si="324"/>
        <v>0</v>
      </c>
      <c r="BX375">
        <f t="shared" si="325"/>
        <v>0</v>
      </c>
    </row>
    <row r="376" spans="2:76">
      <c r="B376" s="19">
        <f>Tiers!B377</f>
        <v>374</v>
      </c>
      <c r="C376" s="217" t="str">
        <f>Tiers!X377</f>
        <v>instantA-3|||||||||</v>
      </c>
      <c r="D376" s="21">
        <f>Tiers!C377</f>
        <v>10</v>
      </c>
      <c r="E376" s="22">
        <f>Frequency!E378</f>
        <v>500</v>
      </c>
      <c r="F376" s="22">
        <f t="shared" si="275"/>
        <v>5000</v>
      </c>
      <c r="G376" s="20">
        <f>IF(AND(D376/Summary!$C$4&gt;0, D376/Summary!$C$4&lt;5),E376,0) * D376</f>
        <v>0</v>
      </c>
      <c r="H376" s="20">
        <f>IF(AND(D376/Summary!$C$4&gt;= 5, D376/Summary!$C$4&lt;10),E376,0) * D376</f>
        <v>0</v>
      </c>
      <c r="I376" s="20">
        <f>IF(AND(D376/Summary!$C$4&gt;=10, D376/Summary!$C$4&lt;25),E376,0)*D376</f>
        <v>5000</v>
      </c>
      <c r="J376" s="20">
        <f>IF(D376/Summary!$C$4&gt;=25,E376,0)*D376</f>
        <v>0</v>
      </c>
      <c r="K376" s="35">
        <f>IF(AND(D376/Frequency!$N$7&gt;0, D376/Frequency!$N$7&lt;1),E376,0)</f>
        <v>0</v>
      </c>
      <c r="L376" s="35">
        <f t="shared" si="276"/>
        <v>0</v>
      </c>
      <c r="M376" s="35">
        <f>IF(D376/Frequency!$N$7=1,1,0)*E376</f>
        <v>0</v>
      </c>
      <c r="N376" s="35">
        <f t="shared" si="277"/>
        <v>0</v>
      </c>
      <c r="O376" s="35">
        <f>IF(AND(D376/Frequency!$N$7&gt;1, D376/Frequency!$N$7&lt;=2),1,0)*E376</f>
        <v>0</v>
      </c>
      <c r="P376" s="35">
        <f t="shared" si="278"/>
        <v>0</v>
      </c>
      <c r="Q376" s="35">
        <f>IF(AND(D376/Frequency!$N$7&gt;2,D376/Frequency!$N$7&lt;=5),1,0)*E376</f>
        <v>0</v>
      </c>
      <c r="R376" s="35">
        <f t="shared" si="279"/>
        <v>0</v>
      </c>
      <c r="S376" s="35">
        <f>IF(AND(D376/Frequency!$N$7&gt;5, D376/Frequency!$N$7&lt;=10),1,0)*E376</f>
        <v>500</v>
      </c>
      <c r="T376" s="35">
        <f t="shared" si="280"/>
        <v>5000</v>
      </c>
      <c r="U376" s="35">
        <f>IF(AND(D376/Frequency!$N$7&gt;10, D376/Frequency!$N$7&lt;=20),1,0)*E376</f>
        <v>0</v>
      </c>
      <c r="V376" s="35">
        <f t="shared" si="281"/>
        <v>0</v>
      </c>
      <c r="W376" s="35">
        <f>IF(AND(D376/Frequency!$N$7&gt;20, D376/Frequency!$N$7&lt;=30),1,0)*E376</f>
        <v>0</v>
      </c>
      <c r="X376" s="35">
        <f t="shared" si="282"/>
        <v>0</v>
      </c>
      <c r="Y376" s="35">
        <f>IF(AND(D376/Frequency!$N$7&gt;30, D376/Frequency!$N$7&lt;=50),1,0)*E376</f>
        <v>0</v>
      </c>
      <c r="Z376" s="35">
        <f t="shared" si="283"/>
        <v>0</v>
      </c>
      <c r="AA376" s="35">
        <f>IF(AND(D376/Frequency!$N$7&gt;50, D376/Frequency!$N$7&lt;=100),1,0)*E376</f>
        <v>0</v>
      </c>
      <c r="AB376" s="35">
        <f t="shared" si="284"/>
        <v>0</v>
      </c>
      <c r="AC376" s="35">
        <f>IF(D376/Frequency!$N$7&gt;100,1,0)*E376</f>
        <v>0</v>
      </c>
      <c r="AD376" s="35">
        <f t="shared" si="285"/>
        <v>0</v>
      </c>
      <c r="AE376" s="22">
        <f t="shared" si="286"/>
        <v>0</v>
      </c>
      <c r="AF376" s="22">
        <f t="shared" si="287"/>
        <v>0</v>
      </c>
      <c r="AG376" s="22">
        <f t="shared" si="288"/>
        <v>0</v>
      </c>
      <c r="AH376" s="22">
        <f t="shared" si="289"/>
        <v>500</v>
      </c>
      <c r="AI376" s="35">
        <f t="shared" si="290"/>
        <v>0</v>
      </c>
      <c r="AJ376" s="35">
        <f t="shared" si="291"/>
        <v>0</v>
      </c>
      <c r="AK376" s="35">
        <f t="shared" si="292"/>
        <v>0</v>
      </c>
      <c r="AL376">
        <f t="shared" si="293"/>
        <v>0</v>
      </c>
      <c r="AM376">
        <f t="shared" si="294"/>
        <v>0</v>
      </c>
      <c r="AN376">
        <f t="shared" si="295"/>
        <v>0</v>
      </c>
      <c r="AO376">
        <f t="shared" si="296"/>
        <v>0</v>
      </c>
      <c r="AP376">
        <f t="shared" si="297"/>
        <v>0</v>
      </c>
      <c r="AQ376">
        <f t="shared" si="298"/>
        <v>0</v>
      </c>
      <c r="AR376">
        <f t="shared" si="299"/>
        <v>0</v>
      </c>
      <c r="AS376">
        <f t="shared" si="300"/>
        <v>0</v>
      </c>
      <c r="AT376">
        <f t="shared" si="301"/>
        <v>0</v>
      </c>
      <c r="AU376">
        <f t="shared" si="302"/>
        <v>0</v>
      </c>
      <c r="AV376">
        <v>0</v>
      </c>
      <c r="AW376">
        <v>0</v>
      </c>
      <c r="AX376">
        <f t="shared" si="303"/>
        <v>0</v>
      </c>
      <c r="AY376">
        <f t="shared" si="304"/>
        <v>0</v>
      </c>
      <c r="AZ376">
        <f t="shared" si="305"/>
        <v>0</v>
      </c>
      <c r="BA376">
        <f t="shared" si="306"/>
        <v>0</v>
      </c>
      <c r="BB376">
        <f t="shared" si="307"/>
        <v>0</v>
      </c>
      <c r="BC376">
        <f t="shared" si="308"/>
        <v>0</v>
      </c>
      <c r="BD376">
        <f t="shared" si="309"/>
        <v>0</v>
      </c>
      <c r="BE376">
        <f t="shared" si="310"/>
        <v>0</v>
      </c>
      <c r="BF376">
        <f t="shared" si="311"/>
        <v>0</v>
      </c>
      <c r="BG376">
        <f t="shared" si="312"/>
        <v>1</v>
      </c>
      <c r="BH376">
        <f t="shared" si="313"/>
        <v>500</v>
      </c>
      <c r="BI376">
        <f t="shared" si="314"/>
        <v>5000</v>
      </c>
      <c r="BJ376">
        <v>0</v>
      </c>
      <c r="BK376" t="str">
        <f t="shared" si="328"/>
        <v>Big Win</v>
      </c>
      <c r="BL376" s="40" t="str">
        <f t="shared" si="329"/>
        <v>Instant Prize A</v>
      </c>
      <c r="BM376">
        <f>(D376/Frequency!$N$7-Summary!$C$7)^2*E376</f>
        <v>41952.800000000003</v>
      </c>
      <c r="BN376">
        <f t="shared" si="315"/>
        <v>0</v>
      </c>
      <c r="BO376">
        <f t="shared" si="316"/>
        <v>5000</v>
      </c>
      <c r="BP376">
        <f t="shared" si="317"/>
        <v>0</v>
      </c>
      <c r="BQ376">
        <f t="shared" si="318"/>
        <v>0</v>
      </c>
      <c r="BR376">
        <f t="shared" si="319"/>
        <v>0</v>
      </c>
      <c r="BS376">
        <f t="shared" si="320"/>
        <v>0</v>
      </c>
      <c r="BT376">
        <f t="shared" si="321"/>
        <v>0</v>
      </c>
      <c r="BU376">
        <f t="shared" si="322"/>
        <v>0</v>
      </c>
      <c r="BV376">
        <f t="shared" si="323"/>
        <v>0</v>
      </c>
      <c r="BW376">
        <f t="shared" si="324"/>
        <v>0</v>
      </c>
      <c r="BX376">
        <f t="shared" si="325"/>
        <v>0</v>
      </c>
    </row>
    <row r="377" spans="2:76">
      <c r="B377" s="19">
        <f>Tiers!B378</f>
        <v>375</v>
      </c>
      <c r="C377" s="217" t="str">
        <f>Tiers!X378</f>
        <v>instantA-4|||||||||</v>
      </c>
      <c r="D377" s="21">
        <f>Tiers!C378</f>
        <v>20</v>
      </c>
      <c r="E377" s="22">
        <f>Frequency!E379</f>
        <v>200</v>
      </c>
      <c r="F377" s="22">
        <f t="shared" si="275"/>
        <v>4000</v>
      </c>
      <c r="G377" s="20">
        <f>IF(AND(D377/Summary!$C$4&gt;0, D377/Summary!$C$4&lt;5),E377,0) * D377</f>
        <v>0</v>
      </c>
      <c r="H377" s="20">
        <f>IF(AND(D377/Summary!$C$4&gt;= 5, D377/Summary!$C$4&lt;10),E377,0) * D377</f>
        <v>0</v>
      </c>
      <c r="I377" s="20">
        <f>IF(AND(D377/Summary!$C$4&gt;=10, D377/Summary!$C$4&lt;25),E377,0)*D377</f>
        <v>4000</v>
      </c>
      <c r="J377" s="20">
        <f>IF(D377/Summary!$C$4&gt;=25,E377,0)*D377</f>
        <v>0</v>
      </c>
      <c r="K377" s="35">
        <f>IF(AND(D377/Frequency!$N$7&gt;0, D377/Frequency!$N$7&lt;1),E377,0)</f>
        <v>0</v>
      </c>
      <c r="L377" s="35">
        <f t="shared" si="276"/>
        <v>0</v>
      </c>
      <c r="M377" s="35">
        <f>IF(D377/Frequency!$N$7=1,1,0)*E377</f>
        <v>0</v>
      </c>
      <c r="N377" s="35">
        <f t="shared" si="277"/>
        <v>0</v>
      </c>
      <c r="O377" s="35">
        <f>IF(AND(D377/Frequency!$N$7&gt;1, D377/Frequency!$N$7&lt;=2),1,0)*E377</f>
        <v>0</v>
      </c>
      <c r="P377" s="35">
        <f t="shared" si="278"/>
        <v>0</v>
      </c>
      <c r="Q377" s="35">
        <f>IF(AND(D377/Frequency!$N$7&gt;2,D377/Frequency!$N$7&lt;=5),1,0)*E377</f>
        <v>0</v>
      </c>
      <c r="R377" s="35">
        <f t="shared" si="279"/>
        <v>0</v>
      </c>
      <c r="S377" s="35">
        <f>IF(AND(D377/Frequency!$N$7&gt;5, D377/Frequency!$N$7&lt;=10),1,0)*E377</f>
        <v>0</v>
      </c>
      <c r="T377" s="35">
        <f t="shared" si="280"/>
        <v>0</v>
      </c>
      <c r="U377" s="35">
        <f>IF(AND(D377/Frequency!$N$7&gt;10, D377/Frequency!$N$7&lt;=20),1,0)*E377</f>
        <v>200</v>
      </c>
      <c r="V377" s="35">
        <f t="shared" si="281"/>
        <v>4000</v>
      </c>
      <c r="W377" s="35">
        <f>IF(AND(D377/Frequency!$N$7&gt;20, D377/Frequency!$N$7&lt;=30),1,0)*E377</f>
        <v>0</v>
      </c>
      <c r="X377" s="35">
        <f t="shared" si="282"/>
        <v>0</v>
      </c>
      <c r="Y377" s="35">
        <f>IF(AND(D377/Frequency!$N$7&gt;30, D377/Frequency!$N$7&lt;=50),1,0)*E377</f>
        <v>0</v>
      </c>
      <c r="Z377" s="35">
        <f t="shared" si="283"/>
        <v>0</v>
      </c>
      <c r="AA377" s="35">
        <f>IF(AND(D377/Frequency!$N$7&gt;50, D377/Frequency!$N$7&lt;=100),1,0)*E377</f>
        <v>0</v>
      </c>
      <c r="AB377" s="35">
        <f t="shared" si="284"/>
        <v>0</v>
      </c>
      <c r="AC377" s="35">
        <f>IF(D377/Frequency!$N$7&gt;100,1,0)*E377</f>
        <v>0</v>
      </c>
      <c r="AD377" s="35">
        <f t="shared" si="285"/>
        <v>0</v>
      </c>
      <c r="AE377" s="22">
        <f t="shared" si="286"/>
        <v>0</v>
      </c>
      <c r="AF377" s="22">
        <f t="shared" si="287"/>
        <v>0</v>
      </c>
      <c r="AG377" s="22">
        <f t="shared" si="288"/>
        <v>0</v>
      </c>
      <c r="AH377" s="22">
        <f t="shared" si="289"/>
        <v>200</v>
      </c>
      <c r="AI377" s="35">
        <f t="shared" si="290"/>
        <v>0</v>
      </c>
      <c r="AJ377" s="35">
        <f t="shared" si="291"/>
        <v>0</v>
      </c>
      <c r="AK377" s="35">
        <f t="shared" si="292"/>
        <v>0</v>
      </c>
      <c r="AL377">
        <f t="shared" si="293"/>
        <v>0</v>
      </c>
      <c r="AM377">
        <f t="shared" si="294"/>
        <v>0</v>
      </c>
      <c r="AN377">
        <f t="shared" si="295"/>
        <v>0</v>
      </c>
      <c r="AO377">
        <f t="shared" si="296"/>
        <v>0</v>
      </c>
      <c r="AP377">
        <f t="shared" si="297"/>
        <v>0</v>
      </c>
      <c r="AQ377">
        <f t="shared" si="298"/>
        <v>0</v>
      </c>
      <c r="AR377">
        <f t="shared" si="299"/>
        <v>0</v>
      </c>
      <c r="AS377">
        <f t="shared" si="300"/>
        <v>0</v>
      </c>
      <c r="AT377">
        <f t="shared" si="301"/>
        <v>0</v>
      </c>
      <c r="AU377">
        <f t="shared" si="302"/>
        <v>0</v>
      </c>
      <c r="AV377">
        <v>0</v>
      </c>
      <c r="AW377">
        <v>0</v>
      </c>
      <c r="AX377">
        <f t="shared" si="303"/>
        <v>0</v>
      </c>
      <c r="AY377">
        <f t="shared" si="304"/>
        <v>0</v>
      </c>
      <c r="AZ377">
        <f t="shared" si="305"/>
        <v>0</v>
      </c>
      <c r="BA377">
        <f t="shared" si="306"/>
        <v>0</v>
      </c>
      <c r="BB377">
        <f t="shared" si="307"/>
        <v>0</v>
      </c>
      <c r="BC377">
        <f t="shared" si="308"/>
        <v>0</v>
      </c>
      <c r="BD377">
        <f t="shared" si="309"/>
        <v>0</v>
      </c>
      <c r="BE377">
        <f t="shared" si="310"/>
        <v>0</v>
      </c>
      <c r="BF377">
        <f t="shared" si="311"/>
        <v>0</v>
      </c>
      <c r="BG377">
        <f t="shared" si="312"/>
        <v>1</v>
      </c>
      <c r="BH377">
        <f t="shared" si="313"/>
        <v>200</v>
      </c>
      <c r="BI377">
        <f t="shared" si="314"/>
        <v>4000</v>
      </c>
      <c r="BJ377">
        <v>0</v>
      </c>
      <c r="BK377" t="str">
        <f t="shared" si="328"/>
        <v>Big Win</v>
      </c>
      <c r="BL377" s="40" t="str">
        <f t="shared" si="329"/>
        <v>Instant Prize A</v>
      </c>
      <c r="BM377">
        <f>(D377/Frequency!$N$7-Summary!$C$7)^2*E377</f>
        <v>73421.119999999995</v>
      </c>
      <c r="BN377">
        <f t="shared" si="315"/>
        <v>0</v>
      </c>
      <c r="BO377">
        <f t="shared" si="316"/>
        <v>4000</v>
      </c>
      <c r="BP377">
        <f t="shared" si="317"/>
        <v>0</v>
      </c>
      <c r="BQ377">
        <f t="shared" si="318"/>
        <v>0</v>
      </c>
      <c r="BR377">
        <f t="shared" si="319"/>
        <v>0</v>
      </c>
      <c r="BS377">
        <f t="shared" si="320"/>
        <v>0</v>
      </c>
      <c r="BT377">
        <f t="shared" si="321"/>
        <v>0</v>
      </c>
      <c r="BU377">
        <f t="shared" si="322"/>
        <v>0</v>
      </c>
      <c r="BV377">
        <f t="shared" si="323"/>
        <v>0</v>
      </c>
      <c r="BW377">
        <f t="shared" si="324"/>
        <v>0</v>
      </c>
      <c r="BX377">
        <f t="shared" si="325"/>
        <v>0</v>
      </c>
    </row>
    <row r="378" spans="2:76">
      <c r="B378" s="19">
        <f>Tiers!B379</f>
        <v>376</v>
      </c>
      <c r="C378" s="119" t="str">
        <f>Tiers!X379</f>
        <v>bonusA-0|||||||||</v>
      </c>
      <c r="D378" s="21">
        <f>Tiers!C379</f>
        <v>3</v>
      </c>
      <c r="E378" s="22">
        <f>Frequency!E380</f>
        <v>5</v>
      </c>
      <c r="F378" s="22">
        <f t="shared" si="275"/>
        <v>15</v>
      </c>
      <c r="G378" s="20">
        <f>IF(AND(D378/Summary!$C$4&gt;0, D378/Summary!$C$4&lt;5),E378,0) * D378</f>
        <v>15</v>
      </c>
      <c r="H378" s="20">
        <f>IF(AND(D378/Summary!$C$4&gt;= 5, D378/Summary!$C$4&lt;10),E378,0) * D378</f>
        <v>0</v>
      </c>
      <c r="I378" s="20">
        <f>IF(AND(D378/Summary!$C$4&gt;=10, D378/Summary!$C$4&lt;25),E378,0)*D378</f>
        <v>0</v>
      </c>
      <c r="J378" s="20">
        <f>IF(D378/Summary!$C$4&gt;=25,E378,0)*D378</f>
        <v>0</v>
      </c>
      <c r="K378" s="35">
        <f>IF(AND(D378/Frequency!$N$7&gt;0, D378/Frequency!$N$7&lt;1),E378,0)</f>
        <v>0</v>
      </c>
      <c r="L378" s="35">
        <f t="shared" si="276"/>
        <v>0</v>
      </c>
      <c r="M378" s="35">
        <f>IF(D378/Frequency!$N$7=1,1,0)*E378</f>
        <v>0</v>
      </c>
      <c r="N378" s="35">
        <f t="shared" si="277"/>
        <v>0</v>
      </c>
      <c r="O378" s="35">
        <f>IF(AND(D378/Frequency!$N$7&gt;1, D378/Frequency!$N$7&lt;=2),1,0)*E378</f>
        <v>0</v>
      </c>
      <c r="P378" s="35">
        <f t="shared" si="278"/>
        <v>0</v>
      </c>
      <c r="Q378" s="35">
        <f>IF(AND(D378/Frequency!$N$7&gt;2,D378/Frequency!$N$7&lt;=5),1,0)*E378</f>
        <v>5</v>
      </c>
      <c r="R378" s="35">
        <f t="shared" si="279"/>
        <v>15</v>
      </c>
      <c r="S378" s="35">
        <f>IF(AND(D378/Frequency!$N$7&gt;5, D378/Frequency!$N$7&lt;=10),1,0)*E378</f>
        <v>0</v>
      </c>
      <c r="T378" s="35">
        <f t="shared" si="280"/>
        <v>0</v>
      </c>
      <c r="U378" s="35">
        <f>IF(AND(D378/Frequency!$N$7&gt;10, D378/Frequency!$N$7&lt;=20),1,0)*E378</f>
        <v>0</v>
      </c>
      <c r="V378" s="35">
        <f t="shared" si="281"/>
        <v>0</v>
      </c>
      <c r="W378" s="35">
        <f>IF(AND(D378/Frequency!$N$7&gt;20, D378/Frequency!$N$7&lt;=30),1,0)*E378</f>
        <v>0</v>
      </c>
      <c r="X378" s="35">
        <f t="shared" si="282"/>
        <v>0</v>
      </c>
      <c r="Y378" s="35">
        <f>IF(AND(D378/Frequency!$N$7&gt;30, D378/Frequency!$N$7&lt;=50),1,0)*E378</f>
        <v>0</v>
      </c>
      <c r="Z378" s="35">
        <f t="shared" si="283"/>
        <v>0</v>
      </c>
      <c r="AA378" s="35">
        <f>IF(AND(D378/Frequency!$N$7&gt;50, D378/Frequency!$N$7&lt;=100),1,0)*E378</f>
        <v>0</v>
      </c>
      <c r="AB378" s="35">
        <f t="shared" si="284"/>
        <v>0</v>
      </c>
      <c r="AC378" s="35">
        <f>IF(D378/Frequency!$N$7&gt;100,1,0)*E378</f>
        <v>0</v>
      </c>
      <c r="AD378" s="35">
        <f t="shared" si="285"/>
        <v>0</v>
      </c>
      <c r="AE378" s="22">
        <f t="shared" si="286"/>
        <v>0</v>
      </c>
      <c r="AF378" s="22">
        <f t="shared" si="287"/>
        <v>5</v>
      </c>
      <c r="AG378" s="22">
        <f t="shared" si="288"/>
        <v>15</v>
      </c>
      <c r="AH378" s="22">
        <f t="shared" si="289"/>
        <v>0</v>
      </c>
      <c r="AI378" s="35">
        <f t="shared" si="290"/>
        <v>0</v>
      </c>
      <c r="AJ378" s="35">
        <f t="shared" si="291"/>
        <v>0</v>
      </c>
      <c r="AK378" s="35">
        <f t="shared" si="292"/>
        <v>0</v>
      </c>
      <c r="AL378">
        <f t="shared" si="293"/>
        <v>0</v>
      </c>
      <c r="AM378">
        <f t="shared" si="294"/>
        <v>0</v>
      </c>
      <c r="AN378">
        <f t="shared" si="295"/>
        <v>0</v>
      </c>
      <c r="AO378">
        <f t="shared" si="296"/>
        <v>0</v>
      </c>
      <c r="AP378">
        <f t="shared" si="297"/>
        <v>0</v>
      </c>
      <c r="AQ378">
        <f t="shared" si="298"/>
        <v>0</v>
      </c>
      <c r="AR378">
        <f t="shared" si="299"/>
        <v>0</v>
      </c>
      <c r="AS378">
        <f t="shared" si="300"/>
        <v>0</v>
      </c>
      <c r="AT378">
        <f t="shared" si="301"/>
        <v>0</v>
      </c>
      <c r="AU378">
        <f t="shared" si="302"/>
        <v>0</v>
      </c>
      <c r="AV378">
        <v>0</v>
      </c>
      <c r="AW378">
        <v>0</v>
      </c>
      <c r="AX378">
        <f t="shared" si="303"/>
        <v>1</v>
      </c>
      <c r="AY378">
        <f t="shared" si="304"/>
        <v>5</v>
      </c>
      <c r="AZ378">
        <f t="shared" si="305"/>
        <v>15</v>
      </c>
      <c r="BA378">
        <f t="shared" si="306"/>
        <v>0</v>
      </c>
      <c r="BB378">
        <f t="shared" si="307"/>
        <v>0</v>
      </c>
      <c r="BC378">
        <f t="shared" si="308"/>
        <v>0</v>
      </c>
      <c r="BD378">
        <f t="shared" si="309"/>
        <v>0</v>
      </c>
      <c r="BE378">
        <f t="shared" si="310"/>
        <v>0</v>
      </c>
      <c r="BF378">
        <f t="shared" si="311"/>
        <v>0</v>
      </c>
      <c r="BG378">
        <f t="shared" si="312"/>
        <v>0</v>
      </c>
      <c r="BH378">
        <f t="shared" si="313"/>
        <v>0</v>
      </c>
      <c r="BI378">
        <f t="shared" si="314"/>
        <v>0</v>
      </c>
      <c r="BJ378">
        <v>0</v>
      </c>
      <c r="BK378" t="str">
        <f t="shared" si="328"/>
        <v>Standard Win</v>
      </c>
      <c r="BL378" s="40" t="str">
        <f t="shared" si="329"/>
        <v>Bonus Game A</v>
      </c>
      <c r="BM378">
        <f>(D378/Frequency!$N$7-Summary!$C$7)^2*E378</f>
        <v>23.328000000000003</v>
      </c>
      <c r="BN378">
        <f t="shared" si="315"/>
        <v>0</v>
      </c>
      <c r="BO378">
        <f t="shared" si="316"/>
        <v>0</v>
      </c>
      <c r="BP378">
        <f t="shared" si="317"/>
        <v>0</v>
      </c>
      <c r="BQ378">
        <f t="shared" si="318"/>
        <v>0</v>
      </c>
      <c r="BR378">
        <f t="shared" si="319"/>
        <v>0</v>
      </c>
      <c r="BS378">
        <f t="shared" si="320"/>
        <v>0</v>
      </c>
      <c r="BT378">
        <f t="shared" si="321"/>
        <v>0</v>
      </c>
      <c r="BU378">
        <f t="shared" si="322"/>
        <v>5</v>
      </c>
      <c r="BV378">
        <f t="shared" si="323"/>
        <v>15</v>
      </c>
      <c r="BW378">
        <f t="shared" si="324"/>
        <v>0</v>
      </c>
      <c r="BX378">
        <f t="shared" si="325"/>
        <v>0</v>
      </c>
    </row>
    <row r="379" spans="2:76">
      <c r="B379" s="19">
        <f>Tiers!B380</f>
        <v>377</v>
      </c>
      <c r="C379" s="119" t="str">
        <f>Tiers!X380</f>
        <v>bonusA-1|||||||||</v>
      </c>
      <c r="D379" s="21">
        <f>Tiers!C380</f>
        <v>5</v>
      </c>
      <c r="E379" s="22">
        <f>Frequency!E381</f>
        <v>50</v>
      </c>
      <c r="F379" s="22">
        <f t="shared" si="275"/>
        <v>250</v>
      </c>
      <c r="G379" s="20">
        <f>IF(AND(D379/Summary!$C$4&gt;0, D379/Summary!$C$4&lt;5),E379,0) * D379</f>
        <v>0</v>
      </c>
      <c r="H379" s="20">
        <f>IF(AND(D379/Summary!$C$4&gt;= 5, D379/Summary!$C$4&lt;10),E379,0) * D379</f>
        <v>250</v>
      </c>
      <c r="I379" s="20">
        <f>IF(AND(D379/Summary!$C$4&gt;=10, D379/Summary!$C$4&lt;25),E379,0)*D379</f>
        <v>0</v>
      </c>
      <c r="J379" s="20">
        <f>IF(D379/Summary!$C$4&gt;=25,E379,0)*D379</f>
        <v>0</v>
      </c>
      <c r="K379" s="35">
        <f>IF(AND(D379/Frequency!$N$7&gt;0, D379/Frequency!$N$7&lt;1),E379,0)</f>
        <v>0</v>
      </c>
      <c r="L379" s="35">
        <f t="shared" si="276"/>
        <v>0</v>
      </c>
      <c r="M379" s="35">
        <f>IF(D379/Frequency!$N$7=1,1,0)*E379</f>
        <v>0</v>
      </c>
      <c r="N379" s="35">
        <f t="shared" si="277"/>
        <v>0</v>
      </c>
      <c r="O379" s="35">
        <f>IF(AND(D379/Frequency!$N$7&gt;1, D379/Frequency!$N$7&lt;=2),1,0)*E379</f>
        <v>0</v>
      </c>
      <c r="P379" s="35">
        <f t="shared" si="278"/>
        <v>0</v>
      </c>
      <c r="Q379" s="35">
        <f>IF(AND(D379/Frequency!$N$7&gt;2,D379/Frequency!$N$7&lt;=5),1,0)*E379</f>
        <v>50</v>
      </c>
      <c r="R379" s="35">
        <f t="shared" si="279"/>
        <v>250</v>
      </c>
      <c r="S379" s="35">
        <f>IF(AND(D379/Frequency!$N$7&gt;5, D379/Frequency!$N$7&lt;=10),1,0)*E379</f>
        <v>0</v>
      </c>
      <c r="T379" s="35">
        <f t="shared" si="280"/>
        <v>0</v>
      </c>
      <c r="U379" s="35">
        <f>IF(AND(D379/Frequency!$N$7&gt;10, D379/Frequency!$N$7&lt;=20),1,0)*E379</f>
        <v>0</v>
      </c>
      <c r="V379" s="35">
        <f t="shared" si="281"/>
        <v>0</v>
      </c>
      <c r="W379" s="35">
        <f>IF(AND(D379/Frequency!$N$7&gt;20, D379/Frequency!$N$7&lt;=30),1,0)*E379</f>
        <v>0</v>
      </c>
      <c r="X379" s="35">
        <f t="shared" si="282"/>
        <v>0</v>
      </c>
      <c r="Y379" s="35">
        <f>IF(AND(D379/Frequency!$N$7&gt;30, D379/Frequency!$N$7&lt;=50),1,0)*E379</f>
        <v>0</v>
      </c>
      <c r="Z379" s="35">
        <f t="shared" si="283"/>
        <v>0</v>
      </c>
      <c r="AA379" s="35">
        <f>IF(AND(D379/Frequency!$N$7&gt;50, D379/Frequency!$N$7&lt;=100),1,0)*E379</f>
        <v>0</v>
      </c>
      <c r="AB379" s="35">
        <f t="shared" si="284"/>
        <v>0</v>
      </c>
      <c r="AC379" s="35">
        <f>IF(D379/Frequency!$N$7&gt;100,1,0)*E379</f>
        <v>0</v>
      </c>
      <c r="AD379" s="35">
        <f t="shared" si="285"/>
        <v>0</v>
      </c>
      <c r="AE379" s="22">
        <f t="shared" si="286"/>
        <v>0</v>
      </c>
      <c r="AF379" s="22">
        <f t="shared" si="287"/>
        <v>50</v>
      </c>
      <c r="AG379" s="22">
        <f t="shared" si="288"/>
        <v>250</v>
      </c>
      <c r="AH379" s="22">
        <f t="shared" si="289"/>
        <v>0</v>
      </c>
      <c r="AI379" s="35">
        <f t="shared" si="290"/>
        <v>0</v>
      </c>
      <c r="AJ379" s="35">
        <f t="shared" si="291"/>
        <v>0</v>
      </c>
      <c r="AK379" s="35">
        <f t="shared" si="292"/>
        <v>0</v>
      </c>
      <c r="AL379">
        <f t="shared" si="293"/>
        <v>0</v>
      </c>
      <c r="AM379">
        <f t="shared" si="294"/>
        <v>0</v>
      </c>
      <c r="AN379">
        <f t="shared" si="295"/>
        <v>0</v>
      </c>
      <c r="AO379">
        <f t="shared" si="296"/>
        <v>0</v>
      </c>
      <c r="AP379">
        <f t="shared" si="297"/>
        <v>0</v>
      </c>
      <c r="AQ379">
        <f t="shared" si="298"/>
        <v>0</v>
      </c>
      <c r="AR379">
        <f t="shared" si="299"/>
        <v>0</v>
      </c>
      <c r="AS379">
        <f t="shared" si="300"/>
        <v>0</v>
      </c>
      <c r="AT379">
        <f t="shared" si="301"/>
        <v>0</v>
      </c>
      <c r="AU379">
        <f t="shared" si="302"/>
        <v>0</v>
      </c>
      <c r="AV379">
        <v>0</v>
      </c>
      <c r="AW379">
        <v>0</v>
      </c>
      <c r="AX379">
        <f t="shared" si="303"/>
        <v>1</v>
      </c>
      <c r="AY379">
        <f t="shared" si="304"/>
        <v>50</v>
      </c>
      <c r="AZ379">
        <f t="shared" si="305"/>
        <v>250</v>
      </c>
      <c r="BA379">
        <f t="shared" si="306"/>
        <v>0</v>
      </c>
      <c r="BB379">
        <f t="shared" si="307"/>
        <v>0</v>
      </c>
      <c r="BC379">
        <f t="shared" si="308"/>
        <v>0</v>
      </c>
      <c r="BD379">
        <f t="shared" si="309"/>
        <v>0</v>
      </c>
      <c r="BE379">
        <f t="shared" si="310"/>
        <v>0</v>
      </c>
      <c r="BF379">
        <f t="shared" si="311"/>
        <v>0</v>
      </c>
      <c r="BG379">
        <f t="shared" si="312"/>
        <v>0</v>
      </c>
      <c r="BH379">
        <f t="shared" si="313"/>
        <v>0</v>
      </c>
      <c r="BI379">
        <f t="shared" si="314"/>
        <v>0</v>
      </c>
      <c r="BJ379">
        <v>0</v>
      </c>
      <c r="BK379" t="str">
        <f t="shared" si="328"/>
        <v>Standard Win</v>
      </c>
      <c r="BL379" s="40" t="str">
        <f t="shared" si="329"/>
        <v>Bonus Game A</v>
      </c>
      <c r="BM379">
        <f>(D379/Frequency!$N$7-Summary!$C$7)^2*E379</f>
        <v>865.28000000000009</v>
      </c>
      <c r="BN379">
        <f t="shared" si="315"/>
        <v>0</v>
      </c>
      <c r="BO379">
        <f t="shared" si="316"/>
        <v>0</v>
      </c>
      <c r="BP379">
        <f t="shared" si="317"/>
        <v>0</v>
      </c>
      <c r="BQ379">
        <f t="shared" si="318"/>
        <v>0</v>
      </c>
      <c r="BR379">
        <f t="shared" si="319"/>
        <v>0</v>
      </c>
      <c r="BS379">
        <f t="shared" si="320"/>
        <v>0</v>
      </c>
      <c r="BT379">
        <f t="shared" si="321"/>
        <v>0</v>
      </c>
      <c r="BU379">
        <f t="shared" si="322"/>
        <v>50</v>
      </c>
      <c r="BV379">
        <f t="shared" si="323"/>
        <v>250</v>
      </c>
      <c r="BW379">
        <f t="shared" si="324"/>
        <v>0</v>
      </c>
      <c r="BX379">
        <f t="shared" si="325"/>
        <v>0</v>
      </c>
    </row>
    <row r="380" spans="2:76">
      <c r="B380" s="19">
        <f>Tiers!B381</f>
        <v>378</v>
      </c>
      <c r="C380" s="119" t="str">
        <f>Tiers!X381</f>
        <v>bonusA-2|||||||||</v>
      </c>
      <c r="D380" s="21">
        <f>Tiers!C381</f>
        <v>8</v>
      </c>
      <c r="E380" s="22">
        <f>Frequency!E382</f>
        <v>500</v>
      </c>
      <c r="F380" s="22">
        <f t="shared" si="275"/>
        <v>4000</v>
      </c>
      <c r="G380" s="20">
        <f>IF(AND(D380/Summary!$C$4&gt;0, D380/Summary!$C$4&lt;5),E380,0) * D380</f>
        <v>0</v>
      </c>
      <c r="H380" s="20">
        <f>IF(AND(D380/Summary!$C$4&gt;= 5, D380/Summary!$C$4&lt;10),E380,0) * D380</f>
        <v>4000</v>
      </c>
      <c r="I380" s="20">
        <f>IF(AND(D380/Summary!$C$4&gt;=10, D380/Summary!$C$4&lt;25),E380,0)*D380</f>
        <v>0</v>
      </c>
      <c r="J380" s="20">
        <f>IF(D380/Summary!$C$4&gt;=25,E380,0)*D380</f>
        <v>0</v>
      </c>
      <c r="K380" s="35">
        <f>IF(AND(D380/Frequency!$N$7&gt;0, D380/Frequency!$N$7&lt;1),E380,0)</f>
        <v>0</v>
      </c>
      <c r="L380" s="35">
        <f t="shared" si="276"/>
        <v>0</v>
      </c>
      <c r="M380" s="35">
        <f>IF(D380/Frequency!$N$7=1,1,0)*E380</f>
        <v>0</v>
      </c>
      <c r="N380" s="35">
        <f t="shared" si="277"/>
        <v>0</v>
      </c>
      <c r="O380" s="35">
        <f>IF(AND(D380/Frequency!$N$7&gt;1, D380/Frequency!$N$7&lt;=2),1,0)*E380</f>
        <v>0</v>
      </c>
      <c r="P380" s="35">
        <f t="shared" si="278"/>
        <v>0</v>
      </c>
      <c r="Q380" s="35">
        <f>IF(AND(D380/Frequency!$N$7&gt;2,D380/Frequency!$N$7&lt;=5),1,0)*E380</f>
        <v>0</v>
      </c>
      <c r="R380" s="35">
        <f t="shared" si="279"/>
        <v>0</v>
      </c>
      <c r="S380" s="35">
        <f>IF(AND(D380/Frequency!$N$7&gt;5, D380/Frequency!$N$7&lt;=10),1,0)*E380</f>
        <v>500</v>
      </c>
      <c r="T380" s="35">
        <f t="shared" si="280"/>
        <v>4000</v>
      </c>
      <c r="U380" s="35">
        <f>IF(AND(D380/Frequency!$N$7&gt;10, D380/Frequency!$N$7&lt;=20),1,0)*E380</f>
        <v>0</v>
      </c>
      <c r="V380" s="35">
        <f t="shared" si="281"/>
        <v>0</v>
      </c>
      <c r="W380" s="35">
        <f>IF(AND(D380/Frequency!$N$7&gt;20, D380/Frequency!$N$7&lt;=30),1,0)*E380</f>
        <v>0</v>
      </c>
      <c r="X380" s="35">
        <f t="shared" si="282"/>
        <v>0</v>
      </c>
      <c r="Y380" s="35">
        <f>IF(AND(D380/Frequency!$N$7&gt;30, D380/Frequency!$N$7&lt;=50),1,0)*E380</f>
        <v>0</v>
      </c>
      <c r="Z380" s="35">
        <f t="shared" si="283"/>
        <v>0</v>
      </c>
      <c r="AA380" s="35">
        <f>IF(AND(D380/Frequency!$N$7&gt;50, D380/Frequency!$N$7&lt;=100),1,0)*E380</f>
        <v>0</v>
      </c>
      <c r="AB380" s="35">
        <f t="shared" si="284"/>
        <v>0</v>
      </c>
      <c r="AC380" s="35">
        <f>IF(D380/Frequency!$N$7&gt;100,1,0)*E380</f>
        <v>0</v>
      </c>
      <c r="AD380" s="35">
        <f t="shared" si="285"/>
        <v>0</v>
      </c>
      <c r="AE380" s="22">
        <f t="shared" si="286"/>
        <v>0</v>
      </c>
      <c r="AF380" s="22">
        <f t="shared" si="287"/>
        <v>500</v>
      </c>
      <c r="AG380" s="22">
        <f t="shared" si="288"/>
        <v>4000</v>
      </c>
      <c r="AH380" s="22">
        <f t="shared" si="289"/>
        <v>0</v>
      </c>
      <c r="AI380" s="35">
        <f t="shared" si="290"/>
        <v>0</v>
      </c>
      <c r="AJ380" s="35">
        <f t="shared" si="291"/>
        <v>0</v>
      </c>
      <c r="AK380" s="35">
        <f t="shared" si="292"/>
        <v>0</v>
      </c>
      <c r="AL380">
        <f t="shared" si="293"/>
        <v>0</v>
      </c>
      <c r="AM380">
        <f t="shared" si="294"/>
        <v>0</v>
      </c>
      <c r="AN380">
        <f t="shared" si="295"/>
        <v>0</v>
      </c>
      <c r="AO380">
        <f t="shared" si="296"/>
        <v>0</v>
      </c>
      <c r="AP380">
        <f t="shared" si="297"/>
        <v>0</v>
      </c>
      <c r="AQ380">
        <f t="shared" si="298"/>
        <v>0</v>
      </c>
      <c r="AR380">
        <f t="shared" si="299"/>
        <v>0</v>
      </c>
      <c r="AS380">
        <f t="shared" si="300"/>
        <v>0</v>
      </c>
      <c r="AT380">
        <f t="shared" si="301"/>
        <v>0</v>
      </c>
      <c r="AU380">
        <f t="shared" si="302"/>
        <v>0</v>
      </c>
      <c r="AV380">
        <v>0</v>
      </c>
      <c r="AW380">
        <v>0</v>
      </c>
      <c r="AX380">
        <f t="shared" si="303"/>
        <v>1</v>
      </c>
      <c r="AY380">
        <f t="shared" si="304"/>
        <v>500</v>
      </c>
      <c r="AZ380">
        <f t="shared" si="305"/>
        <v>4000</v>
      </c>
      <c r="BA380">
        <f t="shared" si="306"/>
        <v>0</v>
      </c>
      <c r="BB380">
        <f t="shared" si="307"/>
        <v>0</v>
      </c>
      <c r="BC380">
        <f t="shared" si="308"/>
        <v>0</v>
      </c>
      <c r="BD380">
        <f t="shared" si="309"/>
        <v>0</v>
      </c>
      <c r="BE380">
        <f t="shared" si="310"/>
        <v>0</v>
      </c>
      <c r="BF380">
        <f t="shared" si="311"/>
        <v>0</v>
      </c>
      <c r="BG380">
        <f t="shared" si="312"/>
        <v>0</v>
      </c>
      <c r="BH380">
        <f t="shared" si="313"/>
        <v>0</v>
      </c>
      <c r="BI380">
        <f t="shared" si="314"/>
        <v>0</v>
      </c>
      <c r="BJ380">
        <v>0</v>
      </c>
      <c r="BK380" t="str">
        <f t="shared" si="328"/>
        <v>Standard Win</v>
      </c>
      <c r="BL380" s="40" t="str">
        <f t="shared" si="329"/>
        <v>Bonus Game A</v>
      </c>
      <c r="BM380">
        <f>(D380/Frequency!$N$7-Summary!$C$7)^2*E380</f>
        <v>25632.799999999999</v>
      </c>
      <c r="BN380">
        <f t="shared" si="315"/>
        <v>0</v>
      </c>
      <c r="BO380">
        <f t="shared" si="316"/>
        <v>0</v>
      </c>
      <c r="BP380">
        <f t="shared" si="317"/>
        <v>0</v>
      </c>
      <c r="BQ380">
        <f t="shared" si="318"/>
        <v>0</v>
      </c>
      <c r="BR380">
        <f t="shared" si="319"/>
        <v>0</v>
      </c>
      <c r="BS380">
        <f t="shared" si="320"/>
        <v>0</v>
      </c>
      <c r="BT380">
        <f t="shared" si="321"/>
        <v>0</v>
      </c>
      <c r="BU380">
        <f t="shared" si="322"/>
        <v>500</v>
      </c>
      <c r="BV380">
        <f t="shared" si="323"/>
        <v>4000</v>
      </c>
      <c r="BW380">
        <f t="shared" si="324"/>
        <v>0</v>
      </c>
      <c r="BX380">
        <f t="shared" si="325"/>
        <v>0</v>
      </c>
    </row>
    <row r="381" spans="2:76">
      <c r="B381" s="19">
        <f>Tiers!B382</f>
        <v>379</v>
      </c>
      <c r="C381" s="119" t="str">
        <f>Tiers!X382</f>
        <v>bonusA-3|||||||||</v>
      </c>
      <c r="D381" s="21">
        <f>Tiers!C382</f>
        <v>10</v>
      </c>
      <c r="E381" s="22">
        <f>Frequency!E383</f>
        <v>1100</v>
      </c>
      <c r="F381" s="22">
        <f t="shared" si="275"/>
        <v>11000</v>
      </c>
      <c r="G381" s="20">
        <f>IF(AND(D381/Summary!$C$4&gt;0, D381/Summary!$C$4&lt;5),E381,0) * D381</f>
        <v>0</v>
      </c>
      <c r="H381" s="20">
        <f>IF(AND(D381/Summary!$C$4&gt;= 5, D381/Summary!$C$4&lt;10),E381,0) * D381</f>
        <v>0</v>
      </c>
      <c r="I381" s="20">
        <f>IF(AND(D381/Summary!$C$4&gt;=10, D381/Summary!$C$4&lt;25),E381,0)*D381</f>
        <v>11000</v>
      </c>
      <c r="J381" s="20">
        <f>IF(D381/Summary!$C$4&gt;=25,E381,0)*D381</f>
        <v>0</v>
      </c>
      <c r="K381" s="35">
        <f>IF(AND(D381/Frequency!$N$7&gt;0, D381/Frequency!$N$7&lt;1),E381,0)</f>
        <v>0</v>
      </c>
      <c r="L381" s="35">
        <f t="shared" si="276"/>
        <v>0</v>
      </c>
      <c r="M381" s="35">
        <f>IF(D381/Frequency!$N$7=1,1,0)*E381</f>
        <v>0</v>
      </c>
      <c r="N381" s="35">
        <f t="shared" si="277"/>
        <v>0</v>
      </c>
      <c r="O381" s="35">
        <f>IF(AND(D381/Frequency!$N$7&gt;1, D381/Frequency!$N$7&lt;=2),1,0)*E381</f>
        <v>0</v>
      </c>
      <c r="P381" s="35">
        <f t="shared" si="278"/>
        <v>0</v>
      </c>
      <c r="Q381" s="35">
        <f>IF(AND(D381/Frequency!$N$7&gt;2,D381/Frequency!$N$7&lt;=5),1,0)*E381</f>
        <v>0</v>
      </c>
      <c r="R381" s="35">
        <f t="shared" si="279"/>
        <v>0</v>
      </c>
      <c r="S381" s="35">
        <f>IF(AND(D381/Frequency!$N$7&gt;5, D381/Frequency!$N$7&lt;=10),1,0)*E381</f>
        <v>1100</v>
      </c>
      <c r="T381" s="35">
        <f t="shared" si="280"/>
        <v>11000</v>
      </c>
      <c r="U381" s="35">
        <f>IF(AND(D381/Frequency!$N$7&gt;10, D381/Frequency!$N$7&lt;=20),1,0)*E381</f>
        <v>0</v>
      </c>
      <c r="V381" s="35">
        <f t="shared" si="281"/>
        <v>0</v>
      </c>
      <c r="W381" s="35">
        <f>IF(AND(D381/Frequency!$N$7&gt;20, D381/Frequency!$N$7&lt;=30),1,0)*E381</f>
        <v>0</v>
      </c>
      <c r="X381" s="35">
        <f t="shared" si="282"/>
        <v>0</v>
      </c>
      <c r="Y381" s="35">
        <f>IF(AND(D381/Frequency!$N$7&gt;30, D381/Frequency!$N$7&lt;=50),1,0)*E381</f>
        <v>0</v>
      </c>
      <c r="Z381" s="35">
        <f t="shared" si="283"/>
        <v>0</v>
      </c>
      <c r="AA381" s="35">
        <f>IF(AND(D381/Frequency!$N$7&gt;50, D381/Frequency!$N$7&lt;=100),1,0)*E381</f>
        <v>0</v>
      </c>
      <c r="AB381" s="35">
        <f t="shared" si="284"/>
        <v>0</v>
      </c>
      <c r="AC381" s="35">
        <f>IF(D381/Frequency!$N$7&gt;100,1,0)*E381</f>
        <v>0</v>
      </c>
      <c r="AD381" s="35">
        <f t="shared" si="285"/>
        <v>0</v>
      </c>
      <c r="AE381" s="22">
        <f t="shared" si="286"/>
        <v>0</v>
      </c>
      <c r="AF381" s="22">
        <f t="shared" si="287"/>
        <v>1100</v>
      </c>
      <c r="AG381" s="22">
        <f t="shared" si="288"/>
        <v>11000</v>
      </c>
      <c r="AH381" s="22">
        <f t="shared" si="289"/>
        <v>0</v>
      </c>
      <c r="AI381" s="35">
        <f t="shared" si="290"/>
        <v>0</v>
      </c>
      <c r="AJ381" s="35">
        <f t="shared" si="291"/>
        <v>0</v>
      </c>
      <c r="AK381" s="35">
        <f t="shared" si="292"/>
        <v>0</v>
      </c>
      <c r="AL381">
        <f t="shared" si="293"/>
        <v>0</v>
      </c>
      <c r="AM381">
        <f t="shared" si="294"/>
        <v>0</v>
      </c>
      <c r="AN381">
        <f t="shared" si="295"/>
        <v>0</v>
      </c>
      <c r="AO381">
        <f t="shared" si="296"/>
        <v>0</v>
      </c>
      <c r="AP381">
        <f t="shared" si="297"/>
        <v>0</v>
      </c>
      <c r="AQ381">
        <f t="shared" si="298"/>
        <v>0</v>
      </c>
      <c r="AR381">
        <f t="shared" si="299"/>
        <v>0</v>
      </c>
      <c r="AS381">
        <f t="shared" si="300"/>
        <v>0</v>
      </c>
      <c r="AT381">
        <f t="shared" si="301"/>
        <v>0</v>
      </c>
      <c r="AU381">
        <f t="shared" si="302"/>
        <v>0</v>
      </c>
      <c r="AV381">
        <v>0</v>
      </c>
      <c r="AW381">
        <v>0</v>
      </c>
      <c r="AX381">
        <f t="shared" si="303"/>
        <v>1</v>
      </c>
      <c r="AY381">
        <f t="shared" si="304"/>
        <v>1100</v>
      </c>
      <c r="AZ381">
        <f t="shared" si="305"/>
        <v>11000</v>
      </c>
      <c r="BA381">
        <f t="shared" si="306"/>
        <v>0</v>
      </c>
      <c r="BB381">
        <f t="shared" si="307"/>
        <v>0</v>
      </c>
      <c r="BC381">
        <f t="shared" si="308"/>
        <v>0</v>
      </c>
      <c r="BD381">
        <f t="shared" si="309"/>
        <v>0</v>
      </c>
      <c r="BE381">
        <f t="shared" si="310"/>
        <v>0</v>
      </c>
      <c r="BF381">
        <f t="shared" si="311"/>
        <v>0</v>
      </c>
      <c r="BG381">
        <f t="shared" si="312"/>
        <v>0</v>
      </c>
      <c r="BH381">
        <f t="shared" si="313"/>
        <v>0</v>
      </c>
      <c r="BI381">
        <f t="shared" si="314"/>
        <v>0</v>
      </c>
      <c r="BJ381">
        <v>0</v>
      </c>
      <c r="BK381" t="str">
        <f t="shared" si="328"/>
        <v>Big Win</v>
      </c>
      <c r="BL381" s="40" t="str">
        <f t="shared" si="329"/>
        <v>Bonus Game A</v>
      </c>
      <c r="BM381">
        <f>(D381/Frequency!$N$7-Summary!$C$7)^2*E381</f>
        <v>92296.16</v>
      </c>
      <c r="BN381">
        <f t="shared" si="315"/>
        <v>0</v>
      </c>
      <c r="BO381">
        <f t="shared" si="316"/>
        <v>0</v>
      </c>
      <c r="BP381">
        <f t="shared" si="317"/>
        <v>0</v>
      </c>
      <c r="BQ381">
        <f t="shared" si="318"/>
        <v>0</v>
      </c>
      <c r="BR381">
        <f t="shared" si="319"/>
        <v>0</v>
      </c>
      <c r="BS381">
        <f t="shared" si="320"/>
        <v>0</v>
      </c>
      <c r="BT381">
        <f t="shared" si="321"/>
        <v>0</v>
      </c>
      <c r="BU381">
        <f t="shared" si="322"/>
        <v>1100</v>
      </c>
      <c r="BV381">
        <f t="shared" si="323"/>
        <v>11000</v>
      </c>
      <c r="BW381">
        <f t="shared" si="324"/>
        <v>0</v>
      </c>
      <c r="BX381">
        <f t="shared" si="325"/>
        <v>0</v>
      </c>
    </row>
    <row r="382" spans="2:76">
      <c r="B382" s="19">
        <f>Tiers!B383</f>
        <v>380</v>
      </c>
      <c r="C382" s="119" t="str">
        <f>Tiers!X383</f>
        <v>bonusA-4|||||||||</v>
      </c>
      <c r="D382" s="21">
        <f>Tiers!C383</f>
        <v>12</v>
      </c>
      <c r="E382" s="22">
        <f>Frequency!E384</f>
        <v>1000</v>
      </c>
      <c r="F382" s="22">
        <f t="shared" si="275"/>
        <v>12000</v>
      </c>
      <c r="G382" s="20">
        <f>IF(AND(D382/Summary!$C$4&gt;0, D382/Summary!$C$4&lt;5),E382,0) * D382</f>
        <v>0</v>
      </c>
      <c r="H382" s="20">
        <f>IF(AND(D382/Summary!$C$4&gt;= 5, D382/Summary!$C$4&lt;10),E382,0) * D382</f>
        <v>0</v>
      </c>
      <c r="I382" s="20">
        <f>IF(AND(D382/Summary!$C$4&gt;=10, D382/Summary!$C$4&lt;25),E382,0)*D382</f>
        <v>12000</v>
      </c>
      <c r="J382" s="20">
        <f>IF(D382/Summary!$C$4&gt;=25,E382,0)*D382</f>
        <v>0</v>
      </c>
      <c r="K382" s="35">
        <f>IF(AND(D382/Frequency!$N$7&gt;0, D382/Frequency!$N$7&lt;1),E382,0)</f>
        <v>0</v>
      </c>
      <c r="L382" s="35">
        <f t="shared" si="276"/>
        <v>0</v>
      </c>
      <c r="M382" s="35">
        <f>IF(D382/Frequency!$N$7=1,1,0)*E382</f>
        <v>0</v>
      </c>
      <c r="N382" s="35">
        <f t="shared" si="277"/>
        <v>0</v>
      </c>
      <c r="O382" s="35">
        <f>IF(AND(D382/Frequency!$N$7&gt;1, D382/Frequency!$N$7&lt;=2),1,0)*E382</f>
        <v>0</v>
      </c>
      <c r="P382" s="35">
        <f t="shared" si="278"/>
        <v>0</v>
      </c>
      <c r="Q382" s="35">
        <f>IF(AND(D382/Frequency!$N$7&gt;2,D382/Frequency!$N$7&lt;=5),1,0)*E382</f>
        <v>0</v>
      </c>
      <c r="R382" s="35">
        <f t="shared" si="279"/>
        <v>0</v>
      </c>
      <c r="S382" s="35">
        <f>IF(AND(D382/Frequency!$N$7&gt;5, D382/Frequency!$N$7&lt;=10),1,0)*E382</f>
        <v>0</v>
      </c>
      <c r="T382" s="35">
        <f t="shared" si="280"/>
        <v>0</v>
      </c>
      <c r="U382" s="35">
        <f>IF(AND(D382/Frequency!$N$7&gt;10, D382/Frequency!$N$7&lt;=20),1,0)*E382</f>
        <v>1000</v>
      </c>
      <c r="V382" s="35">
        <f t="shared" si="281"/>
        <v>12000</v>
      </c>
      <c r="W382" s="35">
        <f>IF(AND(D382/Frequency!$N$7&gt;20, D382/Frequency!$N$7&lt;=30),1,0)*E382</f>
        <v>0</v>
      </c>
      <c r="X382" s="35">
        <f t="shared" si="282"/>
        <v>0</v>
      </c>
      <c r="Y382" s="35">
        <f>IF(AND(D382/Frequency!$N$7&gt;30, D382/Frequency!$N$7&lt;=50),1,0)*E382</f>
        <v>0</v>
      </c>
      <c r="Z382" s="35">
        <f t="shared" si="283"/>
        <v>0</v>
      </c>
      <c r="AA382" s="35">
        <f>IF(AND(D382/Frequency!$N$7&gt;50, D382/Frequency!$N$7&lt;=100),1,0)*E382</f>
        <v>0</v>
      </c>
      <c r="AB382" s="35">
        <f t="shared" si="284"/>
        <v>0</v>
      </c>
      <c r="AC382" s="35">
        <f>IF(D382/Frequency!$N$7&gt;100,1,0)*E382</f>
        <v>0</v>
      </c>
      <c r="AD382" s="35">
        <f t="shared" si="285"/>
        <v>0</v>
      </c>
      <c r="AE382" s="22">
        <f t="shared" si="286"/>
        <v>0</v>
      </c>
      <c r="AF382" s="22">
        <f t="shared" si="287"/>
        <v>1000</v>
      </c>
      <c r="AG382" s="22">
        <f t="shared" si="288"/>
        <v>12000</v>
      </c>
      <c r="AH382" s="22">
        <f t="shared" si="289"/>
        <v>0</v>
      </c>
      <c r="AI382" s="35">
        <f t="shared" si="290"/>
        <v>0</v>
      </c>
      <c r="AJ382" s="35">
        <f t="shared" si="291"/>
        <v>0</v>
      </c>
      <c r="AK382" s="35">
        <f t="shared" si="292"/>
        <v>0</v>
      </c>
      <c r="AL382">
        <f t="shared" si="293"/>
        <v>0</v>
      </c>
      <c r="AM382">
        <f t="shared" si="294"/>
        <v>0</v>
      </c>
      <c r="AN382">
        <f t="shared" si="295"/>
        <v>0</v>
      </c>
      <c r="AO382">
        <f t="shared" si="296"/>
        <v>0</v>
      </c>
      <c r="AP382">
        <f t="shared" si="297"/>
        <v>0</v>
      </c>
      <c r="AQ382">
        <f t="shared" si="298"/>
        <v>0</v>
      </c>
      <c r="AR382">
        <f t="shared" si="299"/>
        <v>0</v>
      </c>
      <c r="AS382">
        <f t="shared" si="300"/>
        <v>0</v>
      </c>
      <c r="AT382">
        <f t="shared" si="301"/>
        <v>0</v>
      </c>
      <c r="AU382">
        <f t="shared" si="302"/>
        <v>0</v>
      </c>
      <c r="AV382">
        <v>0</v>
      </c>
      <c r="AW382">
        <v>0</v>
      </c>
      <c r="AX382">
        <f t="shared" si="303"/>
        <v>1</v>
      </c>
      <c r="AY382">
        <f t="shared" si="304"/>
        <v>1000</v>
      </c>
      <c r="AZ382">
        <f t="shared" si="305"/>
        <v>12000</v>
      </c>
      <c r="BA382">
        <f t="shared" si="306"/>
        <v>0</v>
      </c>
      <c r="BB382">
        <f t="shared" si="307"/>
        <v>0</v>
      </c>
      <c r="BC382">
        <f t="shared" si="308"/>
        <v>0</v>
      </c>
      <c r="BD382">
        <f t="shared" si="309"/>
        <v>0</v>
      </c>
      <c r="BE382">
        <f t="shared" si="310"/>
        <v>0</v>
      </c>
      <c r="BF382">
        <f t="shared" si="311"/>
        <v>0</v>
      </c>
      <c r="BG382">
        <f t="shared" si="312"/>
        <v>0</v>
      </c>
      <c r="BH382">
        <f t="shared" si="313"/>
        <v>0</v>
      </c>
      <c r="BI382">
        <f t="shared" si="314"/>
        <v>0</v>
      </c>
      <c r="BJ382">
        <v>0</v>
      </c>
      <c r="BK382" t="str">
        <f t="shared" si="328"/>
        <v>Big Win</v>
      </c>
      <c r="BL382" s="40" t="str">
        <f t="shared" si="329"/>
        <v>Bonus Game A</v>
      </c>
      <c r="BM382">
        <f>(D382/Frequency!$N$7-Summary!$C$7)^2*E382</f>
        <v>124545.60000000001</v>
      </c>
      <c r="BN382">
        <f t="shared" si="315"/>
        <v>0</v>
      </c>
      <c r="BO382">
        <f t="shared" si="316"/>
        <v>0</v>
      </c>
      <c r="BP382">
        <f t="shared" si="317"/>
        <v>0</v>
      </c>
      <c r="BQ382">
        <f t="shared" si="318"/>
        <v>0</v>
      </c>
      <c r="BR382">
        <f t="shared" si="319"/>
        <v>0</v>
      </c>
      <c r="BS382">
        <f t="shared" si="320"/>
        <v>0</v>
      </c>
      <c r="BT382">
        <f t="shared" si="321"/>
        <v>0</v>
      </c>
      <c r="BU382">
        <f t="shared" si="322"/>
        <v>1000</v>
      </c>
      <c r="BV382">
        <f t="shared" si="323"/>
        <v>12000</v>
      </c>
      <c r="BW382">
        <f t="shared" si="324"/>
        <v>0</v>
      </c>
      <c r="BX382">
        <f t="shared" si="325"/>
        <v>0</v>
      </c>
    </row>
    <row r="383" spans="2:76">
      <c r="B383" s="19">
        <f>Tiers!B384</f>
        <v>381</v>
      </c>
      <c r="C383" s="119" t="str">
        <f>Tiers!X384</f>
        <v>bonusA-5|||||||||</v>
      </c>
      <c r="D383" s="21">
        <f>Tiers!C384</f>
        <v>15</v>
      </c>
      <c r="E383" s="22">
        <f>Frequency!E385</f>
        <v>2000</v>
      </c>
      <c r="F383" s="22">
        <f t="shared" si="275"/>
        <v>30000</v>
      </c>
      <c r="G383" s="20">
        <f>IF(AND(D383/Summary!$C$4&gt;0, D383/Summary!$C$4&lt;5),E383,0) * D383</f>
        <v>0</v>
      </c>
      <c r="H383" s="20">
        <f>IF(AND(D383/Summary!$C$4&gt;= 5, D383/Summary!$C$4&lt;10),E383,0) * D383</f>
        <v>0</v>
      </c>
      <c r="I383" s="20">
        <f>IF(AND(D383/Summary!$C$4&gt;=10, D383/Summary!$C$4&lt;25),E383,0)*D383</f>
        <v>30000</v>
      </c>
      <c r="J383" s="20">
        <f>IF(D383/Summary!$C$4&gt;=25,E383,0)*D383</f>
        <v>0</v>
      </c>
      <c r="K383" s="35">
        <f>IF(AND(D383/Frequency!$N$7&gt;0, D383/Frequency!$N$7&lt;1),E383,0)</f>
        <v>0</v>
      </c>
      <c r="L383" s="35">
        <f t="shared" si="276"/>
        <v>0</v>
      </c>
      <c r="M383" s="35">
        <f>IF(D383/Frequency!$N$7=1,1,0)*E383</f>
        <v>0</v>
      </c>
      <c r="N383" s="35">
        <f t="shared" si="277"/>
        <v>0</v>
      </c>
      <c r="O383" s="35">
        <f>IF(AND(D383/Frequency!$N$7&gt;1, D383/Frequency!$N$7&lt;=2),1,0)*E383</f>
        <v>0</v>
      </c>
      <c r="P383" s="35">
        <f t="shared" si="278"/>
        <v>0</v>
      </c>
      <c r="Q383" s="35">
        <f>IF(AND(D383/Frequency!$N$7&gt;2,D383/Frequency!$N$7&lt;=5),1,0)*E383</f>
        <v>0</v>
      </c>
      <c r="R383" s="35">
        <f t="shared" si="279"/>
        <v>0</v>
      </c>
      <c r="S383" s="35">
        <f>IF(AND(D383/Frequency!$N$7&gt;5, D383/Frequency!$N$7&lt;=10),1,0)*E383</f>
        <v>0</v>
      </c>
      <c r="T383" s="35">
        <f t="shared" si="280"/>
        <v>0</v>
      </c>
      <c r="U383" s="35">
        <f>IF(AND(D383/Frequency!$N$7&gt;10, D383/Frequency!$N$7&lt;=20),1,0)*E383</f>
        <v>2000</v>
      </c>
      <c r="V383" s="35">
        <f t="shared" si="281"/>
        <v>30000</v>
      </c>
      <c r="W383" s="35">
        <f>IF(AND(D383/Frequency!$N$7&gt;20, D383/Frequency!$N$7&lt;=30),1,0)*E383</f>
        <v>0</v>
      </c>
      <c r="X383" s="35">
        <f t="shared" si="282"/>
        <v>0</v>
      </c>
      <c r="Y383" s="35">
        <f>IF(AND(D383/Frequency!$N$7&gt;30, D383/Frequency!$N$7&lt;=50),1,0)*E383</f>
        <v>0</v>
      </c>
      <c r="Z383" s="35">
        <f t="shared" si="283"/>
        <v>0</v>
      </c>
      <c r="AA383" s="35">
        <f>IF(AND(D383/Frequency!$N$7&gt;50, D383/Frequency!$N$7&lt;=100),1,0)*E383</f>
        <v>0</v>
      </c>
      <c r="AB383" s="35">
        <f t="shared" si="284"/>
        <v>0</v>
      </c>
      <c r="AC383" s="35">
        <f>IF(D383/Frequency!$N$7&gt;100,1,0)*E383</f>
        <v>0</v>
      </c>
      <c r="AD383" s="35">
        <f t="shared" si="285"/>
        <v>0</v>
      </c>
      <c r="AE383" s="22">
        <f t="shared" si="286"/>
        <v>0</v>
      </c>
      <c r="AF383" s="22">
        <f t="shared" si="287"/>
        <v>2000</v>
      </c>
      <c r="AG383" s="22">
        <f t="shared" si="288"/>
        <v>30000</v>
      </c>
      <c r="AH383" s="22">
        <f t="shared" si="289"/>
        <v>0</v>
      </c>
      <c r="AI383" s="35">
        <f t="shared" si="290"/>
        <v>0</v>
      </c>
      <c r="AJ383" s="35">
        <f t="shared" si="291"/>
        <v>0</v>
      </c>
      <c r="AK383" s="35">
        <f t="shared" si="292"/>
        <v>0</v>
      </c>
      <c r="AL383">
        <f t="shared" si="293"/>
        <v>0</v>
      </c>
      <c r="AM383">
        <f t="shared" si="294"/>
        <v>0</v>
      </c>
      <c r="AN383">
        <f t="shared" si="295"/>
        <v>0</v>
      </c>
      <c r="AO383">
        <f t="shared" si="296"/>
        <v>0</v>
      </c>
      <c r="AP383">
        <f t="shared" si="297"/>
        <v>0</v>
      </c>
      <c r="AQ383">
        <f t="shared" si="298"/>
        <v>0</v>
      </c>
      <c r="AR383">
        <f t="shared" si="299"/>
        <v>0</v>
      </c>
      <c r="AS383">
        <f t="shared" si="300"/>
        <v>0</v>
      </c>
      <c r="AT383">
        <f t="shared" si="301"/>
        <v>0</v>
      </c>
      <c r="AU383">
        <f t="shared" si="302"/>
        <v>0</v>
      </c>
      <c r="AV383">
        <v>0</v>
      </c>
      <c r="AW383">
        <v>0</v>
      </c>
      <c r="AX383">
        <f t="shared" si="303"/>
        <v>1</v>
      </c>
      <c r="AY383">
        <f t="shared" si="304"/>
        <v>2000</v>
      </c>
      <c r="AZ383">
        <f t="shared" si="305"/>
        <v>30000</v>
      </c>
      <c r="BA383">
        <f t="shared" si="306"/>
        <v>0</v>
      </c>
      <c r="BB383">
        <f t="shared" si="307"/>
        <v>0</v>
      </c>
      <c r="BC383">
        <f t="shared" si="308"/>
        <v>0</v>
      </c>
      <c r="BD383">
        <f t="shared" si="309"/>
        <v>0</v>
      </c>
      <c r="BE383">
        <f t="shared" si="310"/>
        <v>0</v>
      </c>
      <c r="BF383">
        <f t="shared" si="311"/>
        <v>0</v>
      </c>
      <c r="BG383">
        <f t="shared" si="312"/>
        <v>0</v>
      </c>
      <c r="BH383">
        <f t="shared" si="313"/>
        <v>0</v>
      </c>
      <c r="BI383">
        <f t="shared" si="314"/>
        <v>0</v>
      </c>
      <c r="BJ383">
        <v>0</v>
      </c>
      <c r="BK383" t="str">
        <f t="shared" si="328"/>
        <v>Big Win</v>
      </c>
      <c r="BL383" s="40" t="str">
        <f t="shared" si="329"/>
        <v>Bonus Game A</v>
      </c>
      <c r="BM383">
        <f>(D383/Frequency!$N$7-Summary!$C$7)^2*E383</f>
        <v>401011.20000000001</v>
      </c>
      <c r="BN383">
        <f t="shared" si="315"/>
        <v>0</v>
      </c>
      <c r="BO383">
        <f t="shared" si="316"/>
        <v>0</v>
      </c>
      <c r="BP383">
        <f t="shared" si="317"/>
        <v>0</v>
      </c>
      <c r="BQ383">
        <f t="shared" si="318"/>
        <v>0</v>
      </c>
      <c r="BR383">
        <f t="shared" si="319"/>
        <v>0</v>
      </c>
      <c r="BS383">
        <f t="shared" si="320"/>
        <v>0</v>
      </c>
      <c r="BT383">
        <f t="shared" si="321"/>
        <v>0</v>
      </c>
      <c r="BU383">
        <f t="shared" si="322"/>
        <v>2000</v>
      </c>
      <c r="BV383">
        <f t="shared" si="323"/>
        <v>30000</v>
      </c>
      <c r="BW383">
        <f t="shared" si="324"/>
        <v>0</v>
      </c>
      <c r="BX383">
        <f t="shared" si="325"/>
        <v>0</v>
      </c>
    </row>
    <row r="384" spans="2:76">
      <c r="B384" s="19">
        <f>Tiers!B385</f>
        <v>382</v>
      </c>
      <c r="C384" s="119" t="str">
        <f>Tiers!X385</f>
        <v>bonusA-6|||||||||</v>
      </c>
      <c r="D384" s="21">
        <f>Tiers!C385</f>
        <v>20</v>
      </c>
      <c r="E384" s="22">
        <f>Frequency!E386</f>
        <v>3000</v>
      </c>
      <c r="F384" s="22">
        <f t="shared" si="275"/>
        <v>60000</v>
      </c>
      <c r="G384" s="20">
        <f>IF(AND(D384/Summary!$C$4&gt;0, D384/Summary!$C$4&lt;5),E384,0) * D384</f>
        <v>0</v>
      </c>
      <c r="H384" s="20">
        <f>IF(AND(D384/Summary!$C$4&gt;= 5, D384/Summary!$C$4&lt;10),E384,0) * D384</f>
        <v>0</v>
      </c>
      <c r="I384" s="20">
        <f>IF(AND(D384/Summary!$C$4&gt;=10, D384/Summary!$C$4&lt;25),E384,0)*D384</f>
        <v>60000</v>
      </c>
      <c r="J384" s="20">
        <f>IF(D384/Summary!$C$4&gt;=25,E384,0)*D384</f>
        <v>0</v>
      </c>
      <c r="K384" s="35">
        <f>IF(AND(D384/Frequency!$N$7&gt;0, D384/Frequency!$N$7&lt;1),E384,0)</f>
        <v>0</v>
      </c>
      <c r="L384" s="35">
        <f t="shared" si="276"/>
        <v>0</v>
      </c>
      <c r="M384" s="35">
        <f>IF(D384/Frequency!$N$7=1,1,0)*E384</f>
        <v>0</v>
      </c>
      <c r="N384" s="35">
        <f t="shared" si="277"/>
        <v>0</v>
      </c>
      <c r="O384" s="35">
        <f>IF(AND(D384/Frequency!$N$7&gt;1, D384/Frequency!$N$7&lt;=2),1,0)*E384</f>
        <v>0</v>
      </c>
      <c r="P384" s="35">
        <f t="shared" si="278"/>
        <v>0</v>
      </c>
      <c r="Q384" s="35">
        <f>IF(AND(D384/Frequency!$N$7&gt;2,D384/Frequency!$N$7&lt;=5),1,0)*E384</f>
        <v>0</v>
      </c>
      <c r="R384" s="35">
        <f t="shared" si="279"/>
        <v>0</v>
      </c>
      <c r="S384" s="35">
        <f>IF(AND(D384/Frequency!$N$7&gt;5, D384/Frequency!$N$7&lt;=10),1,0)*E384</f>
        <v>0</v>
      </c>
      <c r="T384" s="35">
        <f t="shared" si="280"/>
        <v>0</v>
      </c>
      <c r="U384" s="35">
        <f>IF(AND(D384/Frequency!$N$7&gt;10, D384/Frequency!$N$7&lt;=20),1,0)*E384</f>
        <v>3000</v>
      </c>
      <c r="V384" s="35">
        <f t="shared" si="281"/>
        <v>60000</v>
      </c>
      <c r="W384" s="35">
        <f>IF(AND(D384/Frequency!$N$7&gt;20, D384/Frequency!$N$7&lt;=30),1,0)*E384</f>
        <v>0</v>
      </c>
      <c r="X384" s="35">
        <f t="shared" si="282"/>
        <v>0</v>
      </c>
      <c r="Y384" s="35">
        <f>IF(AND(D384/Frequency!$N$7&gt;30, D384/Frequency!$N$7&lt;=50),1,0)*E384</f>
        <v>0</v>
      </c>
      <c r="Z384" s="35">
        <f t="shared" si="283"/>
        <v>0</v>
      </c>
      <c r="AA384" s="35">
        <f>IF(AND(D384/Frequency!$N$7&gt;50, D384/Frequency!$N$7&lt;=100),1,0)*E384</f>
        <v>0</v>
      </c>
      <c r="AB384" s="35">
        <f t="shared" si="284"/>
        <v>0</v>
      </c>
      <c r="AC384" s="35">
        <f>IF(D384/Frequency!$N$7&gt;100,1,0)*E384</f>
        <v>0</v>
      </c>
      <c r="AD384" s="35">
        <f t="shared" si="285"/>
        <v>0</v>
      </c>
      <c r="AE384" s="22">
        <f t="shared" si="286"/>
        <v>0</v>
      </c>
      <c r="AF384" s="22">
        <f t="shared" si="287"/>
        <v>3000</v>
      </c>
      <c r="AG384" s="22">
        <f t="shared" si="288"/>
        <v>60000</v>
      </c>
      <c r="AH384" s="22">
        <f t="shared" si="289"/>
        <v>0</v>
      </c>
      <c r="AI384" s="35">
        <f t="shared" si="290"/>
        <v>0</v>
      </c>
      <c r="AJ384" s="35">
        <f t="shared" si="291"/>
        <v>0</v>
      </c>
      <c r="AK384" s="35">
        <f t="shared" si="292"/>
        <v>0</v>
      </c>
      <c r="AL384">
        <f t="shared" si="293"/>
        <v>0</v>
      </c>
      <c r="AM384">
        <f t="shared" si="294"/>
        <v>0</v>
      </c>
      <c r="AN384">
        <f t="shared" si="295"/>
        <v>0</v>
      </c>
      <c r="AO384">
        <f t="shared" si="296"/>
        <v>0</v>
      </c>
      <c r="AP384">
        <f t="shared" si="297"/>
        <v>0</v>
      </c>
      <c r="AQ384">
        <f t="shared" si="298"/>
        <v>0</v>
      </c>
      <c r="AR384">
        <f t="shared" si="299"/>
        <v>0</v>
      </c>
      <c r="AS384">
        <f t="shared" si="300"/>
        <v>0</v>
      </c>
      <c r="AT384">
        <f t="shared" si="301"/>
        <v>0</v>
      </c>
      <c r="AU384">
        <f t="shared" si="302"/>
        <v>0</v>
      </c>
      <c r="AV384">
        <v>0</v>
      </c>
      <c r="AW384">
        <v>0</v>
      </c>
      <c r="AX384">
        <f t="shared" si="303"/>
        <v>1</v>
      </c>
      <c r="AY384">
        <f t="shared" si="304"/>
        <v>3000</v>
      </c>
      <c r="AZ384">
        <f t="shared" si="305"/>
        <v>60000</v>
      </c>
      <c r="BA384">
        <f t="shared" si="306"/>
        <v>0</v>
      </c>
      <c r="BB384">
        <f t="shared" si="307"/>
        <v>0</v>
      </c>
      <c r="BC384">
        <f t="shared" si="308"/>
        <v>0</v>
      </c>
      <c r="BD384">
        <f t="shared" si="309"/>
        <v>0</v>
      </c>
      <c r="BE384">
        <f t="shared" si="310"/>
        <v>0</v>
      </c>
      <c r="BF384">
        <f t="shared" si="311"/>
        <v>0</v>
      </c>
      <c r="BG384">
        <f t="shared" si="312"/>
        <v>0</v>
      </c>
      <c r="BH384">
        <f t="shared" si="313"/>
        <v>0</v>
      </c>
      <c r="BI384">
        <f t="shared" si="314"/>
        <v>0</v>
      </c>
      <c r="BJ384">
        <v>0</v>
      </c>
      <c r="BK384" t="str">
        <f t="shared" si="328"/>
        <v>Big Win</v>
      </c>
      <c r="BL384" s="40" t="str">
        <f t="shared" si="329"/>
        <v>Bonus Game A</v>
      </c>
      <c r="BM384">
        <f>(D384/Frequency!$N$7-Summary!$C$7)^2*E384</f>
        <v>1101316.8</v>
      </c>
      <c r="BN384">
        <f t="shared" si="315"/>
        <v>0</v>
      </c>
      <c r="BO384">
        <f t="shared" si="316"/>
        <v>0</v>
      </c>
      <c r="BP384">
        <f t="shared" si="317"/>
        <v>0</v>
      </c>
      <c r="BQ384">
        <f t="shared" si="318"/>
        <v>0</v>
      </c>
      <c r="BR384">
        <f t="shared" si="319"/>
        <v>0</v>
      </c>
      <c r="BS384">
        <f t="shared" si="320"/>
        <v>0</v>
      </c>
      <c r="BT384">
        <f t="shared" si="321"/>
        <v>0</v>
      </c>
      <c r="BU384">
        <f t="shared" si="322"/>
        <v>3000</v>
      </c>
      <c r="BV384">
        <f t="shared" si="323"/>
        <v>60000</v>
      </c>
      <c r="BW384">
        <f t="shared" si="324"/>
        <v>0</v>
      </c>
      <c r="BX384">
        <f t="shared" si="325"/>
        <v>0</v>
      </c>
    </row>
    <row r="385" spans="2:76">
      <c r="B385" s="19">
        <f>Tiers!B386</f>
        <v>383</v>
      </c>
      <c r="C385" s="119" t="str">
        <f>Tiers!X386</f>
        <v>bonusA-7|||||||||</v>
      </c>
      <c r="D385" s="21">
        <f>Tiers!C386</f>
        <v>25</v>
      </c>
      <c r="E385" s="22">
        <f>Frequency!E387</f>
        <v>3250</v>
      </c>
      <c r="F385" s="22">
        <f t="shared" si="275"/>
        <v>81250</v>
      </c>
      <c r="G385" s="20">
        <f>IF(AND(D385/Summary!$C$4&gt;0, D385/Summary!$C$4&lt;5),E385,0) * D385</f>
        <v>0</v>
      </c>
      <c r="H385" s="20">
        <f>IF(AND(D385/Summary!$C$4&gt;= 5, D385/Summary!$C$4&lt;10),E385,0) * D385</f>
        <v>0</v>
      </c>
      <c r="I385" s="20">
        <f>IF(AND(D385/Summary!$C$4&gt;=10, D385/Summary!$C$4&lt;25),E385,0)*D385</f>
        <v>0</v>
      </c>
      <c r="J385" s="20">
        <f>IF(D385/Summary!$C$4&gt;=25,E385,0)*D385</f>
        <v>81250</v>
      </c>
      <c r="K385" s="35">
        <f>IF(AND(D385/Frequency!$N$7&gt;0, D385/Frequency!$N$7&lt;1),E385,0)</f>
        <v>0</v>
      </c>
      <c r="L385" s="35">
        <f t="shared" si="276"/>
        <v>0</v>
      </c>
      <c r="M385" s="35">
        <f>IF(D385/Frequency!$N$7=1,1,0)*E385</f>
        <v>0</v>
      </c>
      <c r="N385" s="35">
        <f t="shared" si="277"/>
        <v>0</v>
      </c>
      <c r="O385" s="35">
        <f>IF(AND(D385/Frequency!$N$7&gt;1, D385/Frequency!$N$7&lt;=2),1,0)*E385</f>
        <v>0</v>
      </c>
      <c r="P385" s="35">
        <f t="shared" si="278"/>
        <v>0</v>
      </c>
      <c r="Q385" s="35">
        <f>IF(AND(D385/Frequency!$N$7&gt;2,D385/Frequency!$N$7&lt;=5),1,0)*E385</f>
        <v>0</v>
      </c>
      <c r="R385" s="35">
        <f t="shared" si="279"/>
        <v>0</v>
      </c>
      <c r="S385" s="35">
        <f>IF(AND(D385/Frequency!$N$7&gt;5, D385/Frequency!$N$7&lt;=10),1,0)*E385</f>
        <v>0</v>
      </c>
      <c r="T385" s="35">
        <f t="shared" si="280"/>
        <v>0</v>
      </c>
      <c r="U385" s="35">
        <f>IF(AND(D385/Frequency!$N$7&gt;10, D385/Frequency!$N$7&lt;=20),1,0)*E385</f>
        <v>0</v>
      </c>
      <c r="V385" s="35">
        <f t="shared" si="281"/>
        <v>0</v>
      </c>
      <c r="W385" s="35">
        <f>IF(AND(D385/Frequency!$N$7&gt;20, D385/Frequency!$N$7&lt;=30),1,0)*E385</f>
        <v>3250</v>
      </c>
      <c r="X385" s="35">
        <f t="shared" si="282"/>
        <v>81250</v>
      </c>
      <c r="Y385" s="35">
        <f>IF(AND(D385/Frequency!$N$7&gt;30, D385/Frequency!$N$7&lt;=50),1,0)*E385</f>
        <v>0</v>
      </c>
      <c r="Z385" s="35">
        <f t="shared" si="283"/>
        <v>0</v>
      </c>
      <c r="AA385" s="35">
        <f>IF(AND(D385/Frequency!$N$7&gt;50, D385/Frequency!$N$7&lt;=100),1,0)*E385</f>
        <v>0</v>
      </c>
      <c r="AB385" s="35">
        <f t="shared" si="284"/>
        <v>0</v>
      </c>
      <c r="AC385" s="35">
        <f>IF(D385/Frequency!$N$7&gt;100,1,0)*E385</f>
        <v>0</v>
      </c>
      <c r="AD385" s="35">
        <f t="shared" si="285"/>
        <v>0</v>
      </c>
      <c r="AE385" s="22">
        <f t="shared" si="286"/>
        <v>0</v>
      </c>
      <c r="AF385" s="22">
        <f t="shared" si="287"/>
        <v>3250</v>
      </c>
      <c r="AG385" s="22">
        <f t="shared" si="288"/>
        <v>81250</v>
      </c>
      <c r="AH385" s="22">
        <f t="shared" si="289"/>
        <v>0</v>
      </c>
      <c r="AI385" s="35">
        <f t="shared" si="290"/>
        <v>0</v>
      </c>
      <c r="AJ385" s="35">
        <f t="shared" si="291"/>
        <v>0</v>
      </c>
      <c r="AK385" s="35">
        <f t="shared" si="292"/>
        <v>0</v>
      </c>
      <c r="AL385">
        <f t="shared" si="293"/>
        <v>0</v>
      </c>
      <c r="AM385">
        <f t="shared" si="294"/>
        <v>0</v>
      </c>
      <c r="AN385">
        <f t="shared" si="295"/>
        <v>0</v>
      </c>
      <c r="AO385">
        <f t="shared" si="296"/>
        <v>0</v>
      </c>
      <c r="AP385">
        <f t="shared" si="297"/>
        <v>0</v>
      </c>
      <c r="AQ385">
        <f t="shared" si="298"/>
        <v>0</v>
      </c>
      <c r="AR385">
        <f t="shared" si="299"/>
        <v>0</v>
      </c>
      <c r="AS385">
        <f t="shared" si="300"/>
        <v>0</v>
      </c>
      <c r="AT385">
        <f t="shared" si="301"/>
        <v>0</v>
      </c>
      <c r="AU385">
        <f t="shared" si="302"/>
        <v>0</v>
      </c>
      <c r="AV385">
        <v>0</v>
      </c>
      <c r="AW385">
        <v>0</v>
      </c>
      <c r="AX385">
        <f t="shared" si="303"/>
        <v>1</v>
      </c>
      <c r="AY385">
        <f t="shared" si="304"/>
        <v>3250</v>
      </c>
      <c r="AZ385">
        <f t="shared" si="305"/>
        <v>81250</v>
      </c>
      <c r="BA385">
        <f t="shared" si="306"/>
        <v>0</v>
      </c>
      <c r="BB385">
        <f t="shared" si="307"/>
        <v>0</v>
      </c>
      <c r="BC385">
        <f t="shared" si="308"/>
        <v>0</v>
      </c>
      <c r="BD385">
        <f t="shared" si="309"/>
        <v>0</v>
      </c>
      <c r="BE385">
        <f t="shared" si="310"/>
        <v>0</v>
      </c>
      <c r="BF385">
        <f t="shared" si="311"/>
        <v>0</v>
      </c>
      <c r="BG385">
        <f t="shared" si="312"/>
        <v>0</v>
      </c>
      <c r="BH385">
        <f t="shared" si="313"/>
        <v>0</v>
      </c>
      <c r="BI385">
        <f t="shared" si="314"/>
        <v>0</v>
      </c>
      <c r="BJ385">
        <v>0</v>
      </c>
      <c r="BK385" t="str">
        <f t="shared" si="328"/>
        <v>Big Win</v>
      </c>
      <c r="BL385" s="40" t="str">
        <f t="shared" si="329"/>
        <v>Bonus Game A</v>
      </c>
      <c r="BM385">
        <f>(D385/Frequency!$N$7-Summary!$C$7)^2*E385</f>
        <v>1897043.2</v>
      </c>
      <c r="BN385">
        <f t="shared" si="315"/>
        <v>0</v>
      </c>
      <c r="BO385">
        <f t="shared" si="316"/>
        <v>0</v>
      </c>
      <c r="BP385">
        <f t="shared" si="317"/>
        <v>0</v>
      </c>
      <c r="BQ385">
        <f t="shared" si="318"/>
        <v>0</v>
      </c>
      <c r="BR385">
        <f t="shared" si="319"/>
        <v>0</v>
      </c>
      <c r="BS385">
        <f t="shared" si="320"/>
        <v>0</v>
      </c>
      <c r="BT385">
        <f t="shared" si="321"/>
        <v>0</v>
      </c>
      <c r="BU385">
        <f t="shared" si="322"/>
        <v>3250</v>
      </c>
      <c r="BV385">
        <f t="shared" si="323"/>
        <v>81250</v>
      </c>
      <c r="BW385">
        <f t="shared" si="324"/>
        <v>0</v>
      </c>
      <c r="BX385">
        <f t="shared" si="325"/>
        <v>0</v>
      </c>
    </row>
    <row r="386" spans="2:76">
      <c r="B386" s="19">
        <f>Tiers!B387</f>
        <v>384</v>
      </c>
      <c r="C386" s="119" t="str">
        <f>Tiers!X387</f>
        <v>bonusA-8|||||||||</v>
      </c>
      <c r="D386" s="21">
        <f>Tiers!C387</f>
        <v>30</v>
      </c>
      <c r="E386" s="22">
        <f>Frequency!E388</f>
        <v>2000</v>
      </c>
      <c r="F386" s="22">
        <f t="shared" ref="F386:F449" si="330">E386*D386</f>
        <v>60000</v>
      </c>
      <c r="G386" s="20">
        <f>IF(AND(D386/Summary!$C$4&gt;0, D386/Summary!$C$4&lt;5),E386,0) * D386</f>
        <v>0</v>
      </c>
      <c r="H386" s="20">
        <f>IF(AND(D386/Summary!$C$4&gt;= 5, D386/Summary!$C$4&lt;10),E386,0) * D386</f>
        <v>0</v>
      </c>
      <c r="I386" s="20">
        <f>IF(AND(D386/Summary!$C$4&gt;=10, D386/Summary!$C$4&lt;25),E386,0)*D386</f>
        <v>0</v>
      </c>
      <c r="J386" s="20">
        <f>IF(D386/Summary!$C$4&gt;=25,E386,0)*D386</f>
        <v>60000</v>
      </c>
      <c r="K386" s="35">
        <f>IF(AND(D386/Frequency!$N$7&gt;0, D386/Frequency!$N$7&lt;1),E386,0)</f>
        <v>0</v>
      </c>
      <c r="L386" s="35">
        <f t="shared" ref="L386:L449" si="331">IF(K386&gt;0,D386*E386,0)</f>
        <v>0</v>
      </c>
      <c r="M386" s="35">
        <f>IF(D386/Frequency!$N$7=1,1,0)*E386</f>
        <v>0</v>
      </c>
      <c r="N386" s="35">
        <f t="shared" ref="N386:N449" si="332">IF(M386&gt;0,D386*E386,0)</f>
        <v>0</v>
      </c>
      <c r="O386" s="35">
        <f>IF(AND(D386/Frequency!$N$7&gt;1, D386/Frequency!$N$7&lt;=2),1,0)*E386</f>
        <v>0</v>
      </c>
      <c r="P386" s="35">
        <f t="shared" ref="P386:P449" si="333">IF(O386&gt;0,D386*E386,0)</f>
        <v>0</v>
      </c>
      <c r="Q386" s="35">
        <f>IF(AND(D386/Frequency!$N$7&gt;2,D386/Frequency!$N$7&lt;=5),1,0)*E386</f>
        <v>0</v>
      </c>
      <c r="R386" s="35">
        <f t="shared" ref="R386:R449" si="334">IF(Q386&gt;0,D386*E386,0)</f>
        <v>0</v>
      </c>
      <c r="S386" s="35">
        <f>IF(AND(D386/Frequency!$N$7&gt;5, D386/Frequency!$N$7&lt;=10),1,0)*E386</f>
        <v>0</v>
      </c>
      <c r="T386" s="35">
        <f t="shared" ref="T386:T449" si="335">IF(S386&gt;0,D386*E386,0)</f>
        <v>0</v>
      </c>
      <c r="U386" s="35">
        <f>IF(AND(D386/Frequency!$N$7&gt;10, D386/Frequency!$N$7&lt;=20),1,0)*E386</f>
        <v>0</v>
      </c>
      <c r="V386" s="35">
        <f t="shared" ref="V386:V449" si="336">IF(U386&gt;0,D386*E386,0)</f>
        <v>0</v>
      </c>
      <c r="W386" s="35">
        <f>IF(AND(D386/Frequency!$N$7&gt;20, D386/Frequency!$N$7&lt;=30),1,0)*E386</f>
        <v>2000</v>
      </c>
      <c r="X386" s="35">
        <f t="shared" ref="X386:X449" si="337">IF(W386&gt;0,D386*E386,0)</f>
        <v>60000</v>
      </c>
      <c r="Y386" s="35">
        <f>IF(AND(D386/Frequency!$N$7&gt;30, D386/Frequency!$N$7&lt;=50),1,0)*E386</f>
        <v>0</v>
      </c>
      <c r="Z386" s="35">
        <f t="shared" ref="Z386:Z449" si="338">IF(Y386&gt;0,D386*E386,0)</f>
        <v>0</v>
      </c>
      <c r="AA386" s="35">
        <f>IF(AND(D386/Frequency!$N$7&gt;50, D386/Frequency!$N$7&lt;=100),1,0)*E386</f>
        <v>0</v>
      </c>
      <c r="AB386" s="35">
        <f t="shared" ref="AB386:AB449" si="339">IF(AA386&gt;0,D386*E386,0)</f>
        <v>0</v>
      </c>
      <c r="AC386" s="35">
        <f>IF(D386/Frequency!$N$7&gt;100,1,0)*E386</f>
        <v>0</v>
      </c>
      <c r="AD386" s="35">
        <f t="shared" ref="AD386:AD449" si="340">IF(AC386&gt;0,D386*E386,0)</f>
        <v>0</v>
      </c>
      <c r="AE386" s="22">
        <f t="shared" ref="AE386:AE408" si="341">IF(AU386&gt;0,E386,0)</f>
        <v>0</v>
      </c>
      <c r="AF386" s="22">
        <f t="shared" ref="AF386:AF408" si="342">IF(AX386+BA386&gt;0,E386,0)</f>
        <v>2000</v>
      </c>
      <c r="AG386" s="22">
        <f t="shared" ref="AG386:AG449" si="343">AF386*D386</f>
        <v>60000</v>
      </c>
      <c r="AH386" s="22">
        <f t="shared" ref="AH386:AH408" si="344">IF(BG386&gt;0,E386,0)</f>
        <v>0</v>
      </c>
      <c r="AI386" s="35">
        <f t="shared" ref="AI386:AI408" si="345">IF(ISNUMBER(SEARCH("|||||||||",C386)),0,1)</f>
        <v>0</v>
      </c>
      <c r="AJ386" s="35">
        <f t="shared" ref="AJ386:AJ449" si="346">IF(AI386=1, E386,0)</f>
        <v>0</v>
      </c>
      <c r="AK386" s="35">
        <f t="shared" ref="AK386:AK449" si="347">IF(AJ386&gt;0,D386*E386,0)</f>
        <v>0</v>
      </c>
      <c r="AL386">
        <f t="shared" ref="AL386:AL408" si="348">IF(ISNUMBER(SEARCH("wild",C386)),1,0)</f>
        <v>0</v>
      </c>
      <c r="AM386">
        <f t="shared" ref="AM386:AM449" si="349">IF(AL386=1, E386,0)</f>
        <v>0</v>
      </c>
      <c r="AN386">
        <f t="shared" ref="AN386:AN449" si="350">IF(AM386&gt;0,D386*E386,0)</f>
        <v>0</v>
      </c>
      <c r="AO386">
        <f t="shared" ref="AO386:AO408" si="351">IF(ISNUMBER(SEARCH("wild-",C386)),1,0)</f>
        <v>0</v>
      </c>
      <c r="AP386">
        <f t="shared" ref="AP386:AP449" si="352">IF(AO386=1, E386,0)</f>
        <v>0</v>
      </c>
      <c r="AQ386">
        <f t="shared" ref="AQ386:AQ449" si="353">IF(AP386&gt;0,D386*E386,0)</f>
        <v>0</v>
      </c>
      <c r="AR386">
        <f t="shared" ref="AR386:AR408" si="354">IF(ISNUMBER(SEARCH("wildX",C386)),1,0)</f>
        <v>0</v>
      </c>
      <c r="AS386">
        <f t="shared" ref="AS386:AS449" si="355">IF(AR386=1, E386,0)</f>
        <v>0</v>
      </c>
      <c r="AT386">
        <f t="shared" ref="AT386:AT449" si="356">IF(AS386&gt;0,D386*E386,0)</f>
        <v>0</v>
      </c>
      <c r="AU386">
        <f t="shared" ref="AU386:AU408" si="357">IF(ISNUMBER(SEARCH("FreePlay",C386)),1,0)</f>
        <v>0</v>
      </c>
      <c r="AV386">
        <v>0</v>
      </c>
      <c r="AW386">
        <v>0</v>
      </c>
      <c r="AX386">
        <f t="shared" ref="AX386:AX408" si="358">IF(ISNUMBER(SEARCH("bonusA",C386)),1,0)</f>
        <v>1</v>
      </c>
      <c r="AY386">
        <f t="shared" ref="AY386:AY449" si="359">AX386*E386</f>
        <v>2000</v>
      </c>
      <c r="AZ386">
        <f t="shared" ref="AZ386:AZ449" si="360">AY386*D386</f>
        <v>60000</v>
      </c>
      <c r="BA386">
        <f t="shared" ref="BA386:BA408" si="361">IF(ISNUMBER(SEARCH("bonusB",C386)),1,0)</f>
        <v>0</v>
      </c>
      <c r="BB386">
        <f t="shared" ref="BB386:BB449" si="362">BA386*E386</f>
        <v>0</v>
      </c>
      <c r="BC386">
        <f t="shared" ref="BC386:BC449" si="363">BB386*D386</f>
        <v>0</v>
      </c>
      <c r="BD386">
        <f t="shared" ref="BD386:BD408" si="364">IF(ISNUMBER(SEARCH("bonusC",C386)),1,0)</f>
        <v>0</v>
      </c>
      <c r="BE386">
        <f t="shared" ref="BE386:BE449" si="365">BD386*E386</f>
        <v>0</v>
      </c>
      <c r="BF386">
        <f t="shared" ref="BF386:BF449" si="366">BE386*D386</f>
        <v>0</v>
      </c>
      <c r="BG386">
        <f t="shared" ref="BG386:BG408" si="367">IF(ISNUMBER(SEARCH("Instant",C386)),1,0)</f>
        <v>0</v>
      </c>
      <c r="BH386">
        <f t="shared" ref="BH386:BH449" si="368">BG386*E386</f>
        <v>0</v>
      </c>
      <c r="BI386">
        <f t="shared" ref="BI386:BI449" si="369">BH386*D386</f>
        <v>0</v>
      </c>
      <c r="BJ386">
        <v>0</v>
      </c>
      <c r="BK386" t="str">
        <f>IF(D386 &lt; $D$417, $C$417,
      IF(D386 = $D$418, $C$418,
          IF(D386 &lt; $D$419, $C$419,
              IF(D386 &lt; $D$420, $C$420,
                 IF(D386 &lt; $D$421, $C$421, $C$422)))))</f>
        <v>Big Win</v>
      </c>
      <c r="BL386" s="40" t="str">
        <f>IF(AU386 = 1,$C$426,
      IF(AV386 = 1,$C$427,
          IF(AW386 = 1,$C$428,
              IF(AX386 = 1,$C$429,
                  IF(BA386 = 1,$C$430,
                     IF(BD386 = 1,$C$431,
                        IF(BG386 = 1,$C$432,
                           IF(ISNUMBER(SEARCH("|||||||||",C386)), $C$433,$C$434))))))))</f>
        <v>Bonus Game A</v>
      </c>
      <c r="BM386">
        <f>(D386/Frequency!$N$7-Summary!$C$7)^2*E386</f>
        <v>1700611.2</v>
      </c>
      <c r="BN386">
        <f t="shared" ref="BN386:BN408" si="370">IF(AU386=1, E386*D386,0)</f>
        <v>0</v>
      </c>
      <c r="BO386">
        <f t="shared" ref="BO386:BO408" si="371">IF(BG386=1, D386*E386,0)</f>
        <v>0</v>
      </c>
      <c r="BP386">
        <f t="shared" ref="BP386:BP408" si="372">IF(BJ386&gt;0,BJ386*E386,0)</f>
        <v>0</v>
      </c>
      <c r="BQ386">
        <f t="shared" ref="BQ386:BQ408" si="373">IF(AND(AU386=1, AI386=0),E386,0)</f>
        <v>0</v>
      </c>
      <c r="BR386">
        <f t="shared" ref="BR386:BR449" si="374">IF(BQ386&gt;0,E386*D386,0)</f>
        <v>0</v>
      </c>
      <c r="BS386">
        <f t="shared" ref="BS386:BS408" si="375">IF(AND(AU386=1, AI386=1),E386,0)</f>
        <v>0</v>
      </c>
      <c r="BT386">
        <f t="shared" ref="BT386:BT449" si="376">IF(BS386&gt;0,E386*D386,0)</f>
        <v>0</v>
      </c>
      <c r="BU386">
        <f t="shared" ref="BU386:BU408" si="377">IF(AND(AX386+BA386=1, AI386=0),E386,0)</f>
        <v>2000</v>
      </c>
      <c r="BV386">
        <f t="shared" ref="BV386:BV449" si="378">IF(BU386&gt;0,E386*D386,0)</f>
        <v>60000</v>
      </c>
      <c r="BW386">
        <f t="shared" ref="BW386:BW408" si="379">IF(AND(AX386+BA386=1, AI386=1),E386,0)</f>
        <v>0</v>
      </c>
      <c r="BX386">
        <f t="shared" ref="BX386:BX449" si="380">IF(BW386&gt;0,E386*D386,0)</f>
        <v>0</v>
      </c>
    </row>
    <row r="387" spans="2:76">
      <c r="B387" s="19">
        <f>Tiers!B388</f>
        <v>385</v>
      </c>
      <c r="C387" s="119" t="str">
        <f>Tiers!X388</f>
        <v>bonusA-9|||||||||</v>
      </c>
      <c r="D387" s="21">
        <f>Tiers!C388</f>
        <v>50</v>
      </c>
      <c r="E387" s="22">
        <f>Frequency!E389</f>
        <v>500</v>
      </c>
      <c r="F387" s="22">
        <f t="shared" si="330"/>
        <v>25000</v>
      </c>
      <c r="G387" s="20">
        <f>IF(AND(D387/Summary!$C$4&gt;0, D387/Summary!$C$4&lt;5),E387,0) * D387</f>
        <v>0</v>
      </c>
      <c r="H387" s="20">
        <f>IF(AND(D387/Summary!$C$4&gt;= 5, D387/Summary!$C$4&lt;10),E387,0) * D387</f>
        <v>0</v>
      </c>
      <c r="I387" s="20">
        <f>IF(AND(D387/Summary!$C$4&gt;=10, D387/Summary!$C$4&lt;25),E387,0)*D387</f>
        <v>0</v>
      </c>
      <c r="J387" s="20">
        <f>IF(D387/Summary!$C$4&gt;=25,E387,0)*D387</f>
        <v>25000</v>
      </c>
      <c r="K387" s="35">
        <f>IF(AND(D387/Frequency!$N$7&gt;0, D387/Frequency!$N$7&lt;1),E387,0)</f>
        <v>0</v>
      </c>
      <c r="L387" s="35">
        <f t="shared" si="331"/>
        <v>0</v>
      </c>
      <c r="M387" s="35">
        <f>IF(D387/Frequency!$N$7=1,1,0)*E387</f>
        <v>0</v>
      </c>
      <c r="N387" s="35">
        <f t="shared" si="332"/>
        <v>0</v>
      </c>
      <c r="O387" s="35">
        <f>IF(AND(D387/Frequency!$N$7&gt;1, D387/Frequency!$N$7&lt;=2),1,0)*E387</f>
        <v>0</v>
      </c>
      <c r="P387" s="35">
        <f t="shared" si="333"/>
        <v>0</v>
      </c>
      <c r="Q387" s="35">
        <f>IF(AND(D387/Frequency!$N$7&gt;2,D387/Frequency!$N$7&lt;=5),1,0)*E387</f>
        <v>0</v>
      </c>
      <c r="R387" s="35">
        <f t="shared" si="334"/>
        <v>0</v>
      </c>
      <c r="S387" s="35">
        <f>IF(AND(D387/Frequency!$N$7&gt;5, D387/Frequency!$N$7&lt;=10),1,0)*E387</f>
        <v>0</v>
      </c>
      <c r="T387" s="35">
        <f t="shared" si="335"/>
        <v>0</v>
      </c>
      <c r="U387" s="35">
        <f>IF(AND(D387/Frequency!$N$7&gt;10, D387/Frequency!$N$7&lt;=20),1,0)*E387</f>
        <v>0</v>
      </c>
      <c r="V387" s="35">
        <f t="shared" si="336"/>
        <v>0</v>
      </c>
      <c r="W387" s="35">
        <f>IF(AND(D387/Frequency!$N$7&gt;20, D387/Frequency!$N$7&lt;=30),1,0)*E387</f>
        <v>0</v>
      </c>
      <c r="X387" s="35">
        <f t="shared" si="337"/>
        <v>0</v>
      </c>
      <c r="Y387" s="35">
        <f>IF(AND(D387/Frequency!$N$7&gt;30, D387/Frequency!$N$7&lt;=50),1,0)*E387</f>
        <v>500</v>
      </c>
      <c r="Z387" s="35">
        <f t="shared" si="338"/>
        <v>25000</v>
      </c>
      <c r="AA387" s="35">
        <f>IF(AND(D387/Frequency!$N$7&gt;50, D387/Frequency!$N$7&lt;=100),1,0)*E387</f>
        <v>0</v>
      </c>
      <c r="AB387" s="35">
        <f t="shared" si="339"/>
        <v>0</v>
      </c>
      <c r="AC387" s="35">
        <f>IF(D387/Frequency!$N$7&gt;100,1,0)*E387</f>
        <v>0</v>
      </c>
      <c r="AD387" s="35">
        <f t="shared" si="340"/>
        <v>0</v>
      </c>
      <c r="AE387" s="22">
        <f t="shared" si="341"/>
        <v>0</v>
      </c>
      <c r="AF387" s="22">
        <f t="shared" si="342"/>
        <v>500</v>
      </c>
      <c r="AG387" s="22">
        <f t="shared" si="343"/>
        <v>25000</v>
      </c>
      <c r="AH387" s="22">
        <f t="shared" si="344"/>
        <v>0</v>
      </c>
      <c r="AI387" s="35">
        <f t="shared" si="345"/>
        <v>0</v>
      </c>
      <c r="AJ387" s="35">
        <f t="shared" si="346"/>
        <v>0</v>
      </c>
      <c r="AK387" s="35">
        <f t="shared" si="347"/>
        <v>0</v>
      </c>
      <c r="AL387">
        <f t="shared" si="348"/>
        <v>0</v>
      </c>
      <c r="AM387">
        <f t="shared" si="349"/>
        <v>0</v>
      </c>
      <c r="AN387">
        <f t="shared" si="350"/>
        <v>0</v>
      </c>
      <c r="AO387">
        <f t="shared" si="351"/>
        <v>0</v>
      </c>
      <c r="AP387">
        <f t="shared" si="352"/>
        <v>0</v>
      </c>
      <c r="AQ387">
        <f t="shared" si="353"/>
        <v>0</v>
      </c>
      <c r="AR387">
        <f t="shared" si="354"/>
        <v>0</v>
      </c>
      <c r="AS387">
        <f t="shared" si="355"/>
        <v>0</v>
      </c>
      <c r="AT387">
        <f t="shared" si="356"/>
        <v>0</v>
      </c>
      <c r="AU387">
        <f t="shared" si="357"/>
        <v>0</v>
      </c>
      <c r="AV387">
        <v>0</v>
      </c>
      <c r="AW387">
        <v>0</v>
      </c>
      <c r="AX387">
        <f t="shared" si="358"/>
        <v>1</v>
      </c>
      <c r="AY387">
        <f t="shared" si="359"/>
        <v>500</v>
      </c>
      <c r="AZ387">
        <f t="shared" si="360"/>
        <v>25000</v>
      </c>
      <c r="BA387">
        <f t="shared" si="361"/>
        <v>0</v>
      </c>
      <c r="BB387">
        <f t="shared" si="362"/>
        <v>0</v>
      </c>
      <c r="BC387">
        <f t="shared" si="363"/>
        <v>0</v>
      </c>
      <c r="BD387">
        <f t="shared" si="364"/>
        <v>0</v>
      </c>
      <c r="BE387">
        <f t="shared" si="365"/>
        <v>0</v>
      </c>
      <c r="BF387">
        <f t="shared" si="366"/>
        <v>0</v>
      </c>
      <c r="BG387">
        <f t="shared" si="367"/>
        <v>0</v>
      </c>
      <c r="BH387">
        <f t="shared" si="368"/>
        <v>0</v>
      </c>
      <c r="BI387">
        <f t="shared" si="369"/>
        <v>0</v>
      </c>
      <c r="BJ387">
        <v>0</v>
      </c>
      <c r="BK387" t="str">
        <f t="shared" ref="BK387:BK398" si="381">IF(D387 &lt; $D$417, $C$417,
IF(D387 = $D$418, $C$418,
IF(D387 &lt; $D$419, $C$419,
IF(D387 &lt; $D$420, $C$420,
IF(D387 &lt; $D$421, $C$421, $C$422)))))</f>
        <v>Huge Win</v>
      </c>
      <c r="BL387" s="40" t="str">
        <f t="shared" ref="BL387:BL398" si="382">IF(AU387 = 1,$C$426,
IF(AV387 = 1,$C$427,
IF(AW387 = 1,$C$428,
IF(AX387 = 1,$C$429,
IF(BA387 = 1,$C$430,
IF(BD387 = 1,$C$431,
IF(BG387 = 1,$C$432,
IF(ISNUMBER(SEARCH("|||||||||",C387)), $C$433,$C$434))))))))</f>
        <v>Bonus Game A</v>
      </c>
      <c r="BM387">
        <f>(D387/Frequency!$N$7-Summary!$C$7)^2*E387</f>
        <v>1208352.7999999998</v>
      </c>
      <c r="BN387">
        <f t="shared" si="370"/>
        <v>0</v>
      </c>
      <c r="BO387">
        <f t="shared" si="371"/>
        <v>0</v>
      </c>
      <c r="BP387">
        <f t="shared" si="372"/>
        <v>0</v>
      </c>
      <c r="BQ387">
        <f t="shared" si="373"/>
        <v>0</v>
      </c>
      <c r="BR387">
        <f t="shared" si="374"/>
        <v>0</v>
      </c>
      <c r="BS387">
        <f t="shared" si="375"/>
        <v>0</v>
      </c>
      <c r="BT387">
        <f t="shared" si="376"/>
        <v>0</v>
      </c>
      <c r="BU387">
        <f t="shared" si="377"/>
        <v>500</v>
      </c>
      <c r="BV387">
        <f t="shared" si="378"/>
        <v>25000</v>
      </c>
      <c r="BW387">
        <f t="shared" si="379"/>
        <v>0</v>
      </c>
      <c r="BX387">
        <f t="shared" si="380"/>
        <v>0</v>
      </c>
    </row>
    <row r="388" spans="2:76">
      <c r="B388" s="19">
        <f>Tiers!B389</f>
        <v>386</v>
      </c>
      <c r="C388" s="119" t="str">
        <f>Tiers!X389</f>
        <v>bonusA-10|||||||||</v>
      </c>
      <c r="D388" s="21">
        <f>Tiers!C389</f>
        <v>100</v>
      </c>
      <c r="E388" s="22">
        <f>Frequency!E390</f>
        <v>50</v>
      </c>
      <c r="F388" s="22">
        <f t="shared" si="330"/>
        <v>5000</v>
      </c>
      <c r="G388" s="20">
        <f>IF(AND(D388/Summary!$C$4&gt;0, D388/Summary!$C$4&lt;5),E388,0) * D388</f>
        <v>0</v>
      </c>
      <c r="H388" s="20">
        <f>IF(AND(D388/Summary!$C$4&gt;= 5, D388/Summary!$C$4&lt;10),E388,0) * D388</f>
        <v>0</v>
      </c>
      <c r="I388" s="20">
        <f>IF(AND(D388/Summary!$C$4&gt;=10, D388/Summary!$C$4&lt;25),E388,0)*D388</f>
        <v>0</v>
      </c>
      <c r="J388" s="20">
        <f>IF(D388/Summary!$C$4&gt;=25,E388,0)*D388</f>
        <v>5000</v>
      </c>
      <c r="K388" s="35">
        <f>IF(AND(D388/Frequency!$N$7&gt;0, D388/Frequency!$N$7&lt;1),E388,0)</f>
        <v>0</v>
      </c>
      <c r="L388" s="35">
        <f t="shared" si="331"/>
        <v>0</v>
      </c>
      <c r="M388" s="35">
        <f>IF(D388/Frequency!$N$7=1,1,0)*E388</f>
        <v>0</v>
      </c>
      <c r="N388" s="35">
        <f t="shared" si="332"/>
        <v>0</v>
      </c>
      <c r="O388" s="35">
        <f>IF(AND(D388/Frequency!$N$7&gt;1, D388/Frequency!$N$7&lt;=2),1,0)*E388</f>
        <v>0</v>
      </c>
      <c r="P388" s="35">
        <f t="shared" si="333"/>
        <v>0</v>
      </c>
      <c r="Q388" s="35">
        <f>IF(AND(D388/Frequency!$N$7&gt;2,D388/Frequency!$N$7&lt;=5),1,0)*E388</f>
        <v>0</v>
      </c>
      <c r="R388" s="35">
        <f t="shared" si="334"/>
        <v>0</v>
      </c>
      <c r="S388" s="35">
        <f>IF(AND(D388/Frequency!$N$7&gt;5, D388/Frequency!$N$7&lt;=10),1,0)*E388</f>
        <v>0</v>
      </c>
      <c r="T388" s="35">
        <f t="shared" si="335"/>
        <v>0</v>
      </c>
      <c r="U388" s="35">
        <f>IF(AND(D388/Frequency!$N$7&gt;10, D388/Frequency!$N$7&lt;=20),1,0)*E388</f>
        <v>0</v>
      </c>
      <c r="V388" s="35">
        <f t="shared" si="336"/>
        <v>0</v>
      </c>
      <c r="W388" s="35">
        <f>IF(AND(D388/Frequency!$N$7&gt;20, D388/Frequency!$N$7&lt;=30),1,0)*E388</f>
        <v>0</v>
      </c>
      <c r="X388" s="35">
        <f t="shared" si="337"/>
        <v>0</v>
      </c>
      <c r="Y388" s="35">
        <f>IF(AND(D388/Frequency!$N$7&gt;30, D388/Frequency!$N$7&lt;=50),1,0)*E388</f>
        <v>0</v>
      </c>
      <c r="Z388" s="35">
        <f t="shared" si="338"/>
        <v>0</v>
      </c>
      <c r="AA388" s="35">
        <f>IF(AND(D388/Frequency!$N$7&gt;50, D388/Frequency!$N$7&lt;=100),1,0)*E388</f>
        <v>50</v>
      </c>
      <c r="AB388" s="35">
        <f t="shared" si="339"/>
        <v>5000</v>
      </c>
      <c r="AC388" s="35">
        <f>IF(D388/Frequency!$N$7&gt;100,1,0)*E388</f>
        <v>0</v>
      </c>
      <c r="AD388" s="35">
        <f t="shared" si="340"/>
        <v>0</v>
      </c>
      <c r="AE388" s="22">
        <f t="shared" si="341"/>
        <v>0</v>
      </c>
      <c r="AF388" s="22">
        <f t="shared" si="342"/>
        <v>50</v>
      </c>
      <c r="AG388" s="22">
        <f t="shared" si="343"/>
        <v>5000</v>
      </c>
      <c r="AH388" s="22">
        <f t="shared" si="344"/>
        <v>0</v>
      </c>
      <c r="AI388" s="35">
        <f t="shared" si="345"/>
        <v>0</v>
      </c>
      <c r="AJ388" s="35">
        <f t="shared" si="346"/>
        <v>0</v>
      </c>
      <c r="AK388" s="35">
        <f t="shared" si="347"/>
        <v>0</v>
      </c>
      <c r="AL388">
        <f t="shared" si="348"/>
        <v>0</v>
      </c>
      <c r="AM388">
        <f t="shared" si="349"/>
        <v>0</v>
      </c>
      <c r="AN388">
        <f t="shared" si="350"/>
        <v>0</v>
      </c>
      <c r="AO388">
        <f t="shared" si="351"/>
        <v>0</v>
      </c>
      <c r="AP388">
        <f t="shared" si="352"/>
        <v>0</v>
      </c>
      <c r="AQ388">
        <f t="shared" si="353"/>
        <v>0</v>
      </c>
      <c r="AR388">
        <f t="shared" si="354"/>
        <v>0</v>
      </c>
      <c r="AS388">
        <f t="shared" si="355"/>
        <v>0</v>
      </c>
      <c r="AT388">
        <f t="shared" si="356"/>
        <v>0</v>
      </c>
      <c r="AU388">
        <f t="shared" si="357"/>
        <v>0</v>
      </c>
      <c r="AV388">
        <v>0</v>
      </c>
      <c r="AW388">
        <v>0</v>
      </c>
      <c r="AX388">
        <f t="shared" si="358"/>
        <v>1</v>
      </c>
      <c r="AY388">
        <f t="shared" si="359"/>
        <v>50</v>
      </c>
      <c r="AZ388">
        <f t="shared" si="360"/>
        <v>5000</v>
      </c>
      <c r="BA388">
        <f t="shared" si="361"/>
        <v>0</v>
      </c>
      <c r="BB388">
        <f t="shared" si="362"/>
        <v>0</v>
      </c>
      <c r="BC388">
        <f t="shared" si="363"/>
        <v>0</v>
      </c>
      <c r="BD388">
        <f t="shared" si="364"/>
        <v>0</v>
      </c>
      <c r="BE388">
        <f t="shared" si="365"/>
        <v>0</v>
      </c>
      <c r="BF388">
        <f t="shared" si="366"/>
        <v>0</v>
      </c>
      <c r="BG388">
        <f t="shared" si="367"/>
        <v>0</v>
      </c>
      <c r="BH388">
        <f t="shared" si="368"/>
        <v>0</v>
      </c>
      <c r="BI388">
        <f t="shared" si="369"/>
        <v>0</v>
      </c>
      <c r="BJ388">
        <v>0</v>
      </c>
      <c r="BK388" t="str">
        <f t="shared" si="381"/>
        <v>Huge Win</v>
      </c>
      <c r="BL388" s="40" t="str">
        <f t="shared" si="382"/>
        <v>Bonus Game A</v>
      </c>
      <c r="BM388">
        <f>(D388/Frequency!$N$7-Summary!$C$7)^2*E388</f>
        <v>491635.27999999997</v>
      </c>
      <c r="BN388">
        <f t="shared" si="370"/>
        <v>0</v>
      </c>
      <c r="BO388">
        <f t="shared" si="371"/>
        <v>0</v>
      </c>
      <c r="BP388">
        <f t="shared" si="372"/>
        <v>0</v>
      </c>
      <c r="BQ388">
        <f t="shared" si="373"/>
        <v>0</v>
      </c>
      <c r="BR388">
        <f t="shared" si="374"/>
        <v>0</v>
      </c>
      <c r="BS388">
        <f t="shared" si="375"/>
        <v>0</v>
      </c>
      <c r="BT388">
        <f t="shared" si="376"/>
        <v>0</v>
      </c>
      <c r="BU388">
        <f t="shared" si="377"/>
        <v>50</v>
      </c>
      <c r="BV388">
        <f t="shared" si="378"/>
        <v>5000</v>
      </c>
      <c r="BW388">
        <f t="shared" si="379"/>
        <v>0</v>
      </c>
      <c r="BX388">
        <f t="shared" si="380"/>
        <v>0</v>
      </c>
    </row>
    <row r="389" spans="2:76">
      <c r="B389" s="19">
        <f>Tiers!B390</f>
        <v>387</v>
      </c>
      <c r="C389" s="212" t="str">
        <f>Tiers!X390</f>
        <v>bonusB-0|||||||||</v>
      </c>
      <c r="D389" s="21">
        <f>Tiers!C390</f>
        <v>3</v>
      </c>
      <c r="E389" s="22">
        <f>Frequency!E391</f>
        <v>5</v>
      </c>
      <c r="F389" s="22">
        <f t="shared" si="330"/>
        <v>15</v>
      </c>
      <c r="G389" s="20">
        <f>IF(AND(D389/Summary!$C$4&gt;0, D389/Summary!$C$4&lt;5),E389,0) * D389</f>
        <v>15</v>
      </c>
      <c r="H389" s="20">
        <f>IF(AND(D389/Summary!$C$4&gt;= 5, D389/Summary!$C$4&lt;10),E389,0) * D389</f>
        <v>0</v>
      </c>
      <c r="I389" s="20">
        <f>IF(AND(D389/Summary!$C$4&gt;=10, D389/Summary!$C$4&lt;25),E389,0)*D389</f>
        <v>0</v>
      </c>
      <c r="J389" s="20">
        <f>IF(D389/Summary!$C$4&gt;=25,E389,0)*D389</f>
        <v>0</v>
      </c>
      <c r="K389" s="35">
        <f>IF(AND(D389/Frequency!$N$7&gt;0, D389/Frequency!$N$7&lt;1),E389,0)</f>
        <v>0</v>
      </c>
      <c r="L389" s="35">
        <f t="shared" si="331"/>
        <v>0</v>
      </c>
      <c r="M389" s="35">
        <f>IF(D389/Frequency!$N$7=1,1,0)*E389</f>
        <v>0</v>
      </c>
      <c r="N389" s="35">
        <f t="shared" si="332"/>
        <v>0</v>
      </c>
      <c r="O389" s="35">
        <f>IF(AND(D389/Frequency!$N$7&gt;1, D389/Frequency!$N$7&lt;=2),1,0)*E389</f>
        <v>0</v>
      </c>
      <c r="P389" s="35">
        <f t="shared" si="333"/>
        <v>0</v>
      </c>
      <c r="Q389" s="35">
        <f>IF(AND(D389/Frequency!$N$7&gt;2,D389/Frequency!$N$7&lt;=5),1,0)*E389</f>
        <v>5</v>
      </c>
      <c r="R389" s="35">
        <f t="shared" si="334"/>
        <v>15</v>
      </c>
      <c r="S389" s="35">
        <f>IF(AND(D389/Frequency!$N$7&gt;5, D389/Frequency!$N$7&lt;=10),1,0)*E389</f>
        <v>0</v>
      </c>
      <c r="T389" s="35">
        <f t="shared" si="335"/>
        <v>0</v>
      </c>
      <c r="U389" s="35">
        <f>IF(AND(D389/Frequency!$N$7&gt;10, D389/Frequency!$N$7&lt;=20),1,0)*E389</f>
        <v>0</v>
      </c>
      <c r="V389" s="35">
        <f t="shared" si="336"/>
        <v>0</v>
      </c>
      <c r="W389" s="35">
        <f>IF(AND(D389/Frequency!$N$7&gt;20, D389/Frequency!$N$7&lt;=30),1,0)*E389</f>
        <v>0</v>
      </c>
      <c r="X389" s="35">
        <f t="shared" si="337"/>
        <v>0</v>
      </c>
      <c r="Y389" s="35">
        <f>IF(AND(D389/Frequency!$N$7&gt;30, D389/Frequency!$N$7&lt;=50),1,0)*E389</f>
        <v>0</v>
      </c>
      <c r="Z389" s="35">
        <f t="shared" si="338"/>
        <v>0</v>
      </c>
      <c r="AA389" s="35">
        <f>IF(AND(D389/Frequency!$N$7&gt;50, D389/Frequency!$N$7&lt;=100),1,0)*E389</f>
        <v>0</v>
      </c>
      <c r="AB389" s="35">
        <f t="shared" si="339"/>
        <v>0</v>
      </c>
      <c r="AC389" s="35">
        <f>IF(D389/Frequency!$N$7&gt;100,1,0)*E389</f>
        <v>0</v>
      </c>
      <c r="AD389" s="35">
        <f t="shared" si="340"/>
        <v>0</v>
      </c>
      <c r="AE389" s="22">
        <f t="shared" si="341"/>
        <v>0</v>
      </c>
      <c r="AF389" s="22">
        <f t="shared" si="342"/>
        <v>5</v>
      </c>
      <c r="AG389" s="22">
        <f t="shared" si="343"/>
        <v>15</v>
      </c>
      <c r="AH389" s="22">
        <f t="shared" si="344"/>
        <v>0</v>
      </c>
      <c r="AI389" s="35">
        <f t="shared" si="345"/>
        <v>0</v>
      </c>
      <c r="AJ389" s="35">
        <f t="shared" si="346"/>
        <v>0</v>
      </c>
      <c r="AK389" s="35">
        <f t="shared" si="347"/>
        <v>0</v>
      </c>
      <c r="AL389">
        <f t="shared" si="348"/>
        <v>0</v>
      </c>
      <c r="AM389">
        <f t="shared" si="349"/>
        <v>0</v>
      </c>
      <c r="AN389">
        <f t="shared" si="350"/>
        <v>0</v>
      </c>
      <c r="AO389">
        <f t="shared" si="351"/>
        <v>0</v>
      </c>
      <c r="AP389">
        <f t="shared" si="352"/>
        <v>0</v>
      </c>
      <c r="AQ389">
        <f t="shared" si="353"/>
        <v>0</v>
      </c>
      <c r="AR389">
        <f t="shared" si="354"/>
        <v>0</v>
      </c>
      <c r="AS389">
        <f t="shared" si="355"/>
        <v>0</v>
      </c>
      <c r="AT389">
        <f t="shared" si="356"/>
        <v>0</v>
      </c>
      <c r="AU389">
        <f t="shared" si="357"/>
        <v>0</v>
      </c>
      <c r="AV389">
        <v>0</v>
      </c>
      <c r="AW389">
        <v>0</v>
      </c>
      <c r="AX389">
        <f t="shared" si="358"/>
        <v>0</v>
      </c>
      <c r="AY389">
        <f t="shared" si="359"/>
        <v>0</v>
      </c>
      <c r="AZ389">
        <f t="shared" si="360"/>
        <v>0</v>
      </c>
      <c r="BA389">
        <f t="shared" si="361"/>
        <v>1</v>
      </c>
      <c r="BB389">
        <f t="shared" si="362"/>
        <v>5</v>
      </c>
      <c r="BC389">
        <f t="shared" si="363"/>
        <v>15</v>
      </c>
      <c r="BD389">
        <f t="shared" si="364"/>
        <v>0</v>
      </c>
      <c r="BE389">
        <f t="shared" si="365"/>
        <v>0</v>
      </c>
      <c r="BF389">
        <f t="shared" si="366"/>
        <v>0</v>
      </c>
      <c r="BG389">
        <f t="shared" si="367"/>
        <v>0</v>
      </c>
      <c r="BH389">
        <f t="shared" si="368"/>
        <v>0</v>
      </c>
      <c r="BI389">
        <f t="shared" si="369"/>
        <v>0</v>
      </c>
      <c r="BJ389">
        <v>0</v>
      </c>
      <c r="BK389" t="str">
        <f t="shared" si="381"/>
        <v>Standard Win</v>
      </c>
      <c r="BL389" s="40" t="str">
        <f t="shared" si="382"/>
        <v>Bonus Game B</v>
      </c>
      <c r="BM389">
        <f>(D389/Frequency!$N$7-Summary!$C$7)^2*E389</f>
        <v>23.328000000000003</v>
      </c>
      <c r="BN389">
        <f t="shared" si="370"/>
        <v>0</v>
      </c>
      <c r="BO389">
        <f t="shared" si="371"/>
        <v>0</v>
      </c>
      <c r="BP389">
        <f t="shared" si="372"/>
        <v>0</v>
      </c>
      <c r="BQ389">
        <f t="shared" si="373"/>
        <v>0</v>
      </c>
      <c r="BR389">
        <f t="shared" si="374"/>
        <v>0</v>
      </c>
      <c r="BS389">
        <f t="shared" si="375"/>
        <v>0</v>
      </c>
      <c r="BT389">
        <f t="shared" si="376"/>
        <v>0</v>
      </c>
      <c r="BU389">
        <f t="shared" si="377"/>
        <v>5</v>
      </c>
      <c r="BV389">
        <f t="shared" si="378"/>
        <v>15</v>
      </c>
      <c r="BW389">
        <f t="shared" si="379"/>
        <v>0</v>
      </c>
      <c r="BX389">
        <f t="shared" si="380"/>
        <v>0</v>
      </c>
    </row>
    <row r="390" spans="2:76">
      <c r="B390" s="19">
        <f>Tiers!B391</f>
        <v>388</v>
      </c>
      <c r="C390" s="212" t="str">
        <f>Tiers!X391</f>
        <v>bonusB-1|||||||||</v>
      </c>
      <c r="D390" s="21">
        <f>Tiers!C391</f>
        <v>5</v>
      </c>
      <c r="E390" s="22">
        <f>Frequency!E392</f>
        <v>50</v>
      </c>
      <c r="F390" s="22">
        <f t="shared" si="330"/>
        <v>250</v>
      </c>
      <c r="G390" s="20">
        <f>IF(AND(D390/Summary!$C$4&gt;0, D390/Summary!$C$4&lt;5),E390,0) * D390</f>
        <v>0</v>
      </c>
      <c r="H390" s="20">
        <f>IF(AND(D390/Summary!$C$4&gt;= 5, D390/Summary!$C$4&lt;10),E390,0) * D390</f>
        <v>250</v>
      </c>
      <c r="I390" s="20">
        <f>IF(AND(D390/Summary!$C$4&gt;=10, D390/Summary!$C$4&lt;25),E390,0)*D390</f>
        <v>0</v>
      </c>
      <c r="J390" s="20">
        <f>IF(D390/Summary!$C$4&gt;=25,E390,0)*D390</f>
        <v>0</v>
      </c>
      <c r="K390" s="35">
        <f>IF(AND(D390/Frequency!$N$7&gt;0, D390/Frequency!$N$7&lt;1),E390,0)</f>
        <v>0</v>
      </c>
      <c r="L390" s="35">
        <f t="shared" si="331"/>
        <v>0</v>
      </c>
      <c r="M390" s="35">
        <f>IF(D390/Frequency!$N$7=1,1,0)*E390</f>
        <v>0</v>
      </c>
      <c r="N390" s="35">
        <f t="shared" si="332"/>
        <v>0</v>
      </c>
      <c r="O390" s="35">
        <f>IF(AND(D390/Frequency!$N$7&gt;1, D390/Frequency!$N$7&lt;=2),1,0)*E390</f>
        <v>0</v>
      </c>
      <c r="P390" s="35">
        <f t="shared" si="333"/>
        <v>0</v>
      </c>
      <c r="Q390" s="35">
        <f>IF(AND(D390/Frequency!$N$7&gt;2,D390/Frequency!$N$7&lt;=5),1,0)*E390</f>
        <v>50</v>
      </c>
      <c r="R390" s="35">
        <f t="shared" si="334"/>
        <v>250</v>
      </c>
      <c r="S390" s="35">
        <f>IF(AND(D390/Frequency!$N$7&gt;5, D390/Frequency!$N$7&lt;=10),1,0)*E390</f>
        <v>0</v>
      </c>
      <c r="T390" s="35">
        <f t="shared" si="335"/>
        <v>0</v>
      </c>
      <c r="U390" s="35">
        <f>IF(AND(D390/Frequency!$N$7&gt;10, D390/Frequency!$N$7&lt;=20),1,0)*E390</f>
        <v>0</v>
      </c>
      <c r="V390" s="35">
        <f t="shared" si="336"/>
        <v>0</v>
      </c>
      <c r="W390" s="35">
        <f>IF(AND(D390/Frequency!$N$7&gt;20, D390/Frequency!$N$7&lt;=30),1,0)*E390</f>
        <v>0</v>
      </c>
      <c r="X390" s="35">
        <f t="shared" si="337"/>
        <v>0</v>
      </c>
      <c r="Y390" s="35">
        <f>IF(AND(D390/Frequency!$N$7&gt;30, D390/Frequency!$N$7&lt;=50),1,0)*E390</f>
        <v>0</v>
      </c>
      <c r="Z390" s="35">
        <f t="shared" si="338"/>
        <v>0</v>
      </c>
      <c r="AA390" s="35">
        <f>IF(AND(D390/Frequency!$N$7&gt;50, D390/Frequency!$N$7&lt;=100),1,0)*E390</f>
        <v>0</v>
      </c>
      <c r="AB390" s="35">
        <f t="shared" si="339"/>
        <v>0</v>
      </c>
      <c r="AC390" s="35">
        <f>IF(D390/Frequency!$N$7&gt;100,1,0)*E390</f>
        <v>0</v>
      </c>
      <c r="AD390" s="35">
        <f t="shared" si="340"/>
        <v>0</v>
      </c>
      <c r="AE390" s="22">
        <f t="shared" si="341"/>
        <v>0</v>
      </c>
      <c r="AF390" s="22">
        <f t="shared" si="342"/>
        <v>50</v>
      </c>
      <c r="AG390" s="22">
        <f t="shared" si="343"/>
        <v>250</v>
      </c>
      <c r="AH390" s="22">
        <f t="shared" si="344"/>
        <v>0</v>
      </c>
      <c r="AI390" s="35">
        <f t="shared" si="345"/>
        <v>0</v>
      </c>
      <c r="AJ390" s="35">
        <f t="shared" si="346"/>
        <v>0</v>
      </c>
      <c r="AK390" s="35">
        <f t="shared" si="347"/>
        <v>0</v>
      </c>
      <c r="AL390">
        <f t="shared" si="348"/>
        <v>0</v>
      </c>
      <c r="AM390">
        <f t="shared" si="349"/>
        <v>0</v>
      </c>
      <c r="AN390">
        <f t="shared" si="350"/>
        <v>0</v>
      </c>
      <c r="AO390">
        <f t="shared" si="351"/>
        <v>0</v>
      </c>
      <c r="AP390">
        <f t="shared" si="352"/>
        <v>0</v>
      </c>
      <c r="AQ390">
        <f t="shared" si="353"/>
        <v>0</v>
      </c>
      <c r="AR390">
        <f t="shared" si="354"/>
        <v>0</v>
      </c>
      <c r="AS390">
        <f t="shared" si="355"/>
        <v>0</v>
      </c>
      <c r="AT390">
        <f t="shared" si="356"/>
        <v>0</v>
      </c>
      <c r="AU390">
        <f t="shared" si="357"/>
        <v>0</v>
      </c>
      <c r="AV390">
        <v>0</v>
      </c>
      <c r="AW390">
        <v>0</v>
      </c>
      <c r="AX390">
        <f t="shared" si="358"/>
        <v>0</v>
      </c>
      <c r="AY390">
        <f t="shared" si="359"/>
        <v>0</v>
      </c>
      <c r="AZ390">
        <f t="shared" si="360"/>
        <v>0</v>
      </c>
      <c r="BA390">
        <f t="shared" si="361"/>
        <v>1</v>
      </c>
      <c r="BB390">
        <f t="shared" si="362"/>
        <v>50</v>
      </c>
      <c r="BC390">
        <f t="shared" si="363"/>
        <v>250</v>
      </c>
      <c r="BD390">
        <f t="shared" si="364"/>
        <v>0</v>
      </c>
      <c r="BE390">
        <f t="shared" si="365"/>
        <v>0</v>
      </c>
      <c r="BF390">
        <f t="shared" si="366"/>
        <v>0</v>
      </c>
      <c r="BG390">
        <f t="shared" si="367"/>
        <v>0</v>
      </c>
      <c r="BH390">
        <f t="shared" si="368"/>
        <v>0</v>
      </c>
      <c r="BI390">
        <f t="shared" si="369"/>
        <v>0</v>
      </c>
      <c r="BJ390">
        <v>0</v>
      </c>
      <c r="BK390" t="str">
        <f t="shared" si="381"/>
        <v>Standard Win</v>
      </c>
      <c r="BL390" s="40" t="str">
        <f t="shared" si="382"/>
        <v>Bonus Game B</v>
      </c>
      <c r="BM390">
        <f>(D390/Frequency!$N$7-Summary!$C$7)^2*E390</f>
        <v>865.28000000000009</v>
      </c>
      <c r="BN390">
        <f t="shared" si="370"/>
        <v>0</v>
      </c>
      <c r="BO390">
        <f t="shared" si="371"/>
        <v>0</v>
      </c>
      <c r="BP390">
        <f t="shared" si="372"/>
        <v>0</v>
      </c>
      <c r="BQ390">
        <f t="shared" si="373"/>
        <v>0</v>
      </c>
      <c r="BR390">
        <f t="shared" si="374"/>
        <v>0</v>
      </c>
      <c r="BS390">
        <f t="shared" si="375"/>
        <v>0</v>
      </c>
      <c r="BT390">
        <f t="shared" si="376"/>
        <v>0</v>
      </c>
      <c r="BU390">
        <f t="shared" si="377"/>
        <v>50</v>
      </c>
      <c r="BV390">
        <f t="shared" si="378"/>
        <v>250</v>
      </c>
      <c r="BW390">
        <f t="shared" si="379"/>
        <v>0</v>
      </c>
      <c r="BX390">
        <f t="shared" si="380"/>
        <v>0</v>
      </c>
    </row>
    <row r="391" spans="2:76">
      <c r="B391" s="19">
        <f>Tiers!B392</f>
        <v>389</v>
      </c>
      <c r="C391" s="212" t="str">
        <f>Tiers!X392</f>
        <v>bonusB-2|||||||||</v>
      </c>
      <c r="D391" s="21">
        <f>Tiers!C392</f>
        <v>8</v>
      </c>
      <c r="E391" s="22">
        <f>Frequency!E393</f>
        <v>500</v>
      </c>
      <c r="F391" s="22">
        <f t="shared" si="330"/>
        <v>4000</v>
      </c>
      <c r="G391" s="20">
        <f>IF(AND(D391/Summary!$C$4&gt;0, D391/Summary!$C$4&lt;5),E391,0) * D391</f>
        <v>0</v>
      </c>
      <c r="H391" s="20">
        <f>IF(AND(D391/Summary!$C$4&gt;= 5, D391/Summary!$C$4&lt;10),E391,0) * D391</f>
        <v>4000</v>
      </c>
      <c r="I391" s="20">
        <f>IF(AND(D391/Summary!$C$4&gt;=10, D391/Summary!$C$4&lt;25),E391,0)*D391</f>
        <v>0</v>
      </c>
      <c r="J391" s="20">
        <f>IF(D391/Summary!$C$4&gt;=25,E391,0)*D391</f>
        <v>0</v>
      </c>
      <c r="K391" s="35">
        <f>IF(AND(D391/Frequency!$N$7&gt;0, D391/Frequency!$N$7&lt;1),E391,0)</f>
        <v>0</v>
      </c>
      <c r="L391" s="35">
        <f t="shared" si="331"/>
        <v>0</v>
      </c>
      <c r="M391" s="35">
        <f>IF(D391/Frequency!$N$7=1,1,0)*E391</f>
        <v>0</v>
      </c>
      <c r="N391" s="35">
        <f t="shared" si="332"/>
        <v>0</v>
      </c>
      <c r="O391" s="35">
        <f>IF(AND(D391/Frequency!$N$7&gt;1, D391/Frequency!$N$7&lt;=2),1,0)*E391</f>
        <v>0</v>
      </c>
      <c r="P391" s="35">
        <f t="shared" si="333"/>
        <v>0</v>
      </c>
      <c r="Q391" s="35">
        <f>IF(AND(D391/Frequency!$N$7&gt;2,D391/Frequency!$N$7&lt;=5),1,0)*E391</f>
        <v>0</v>
      </c>
      <c r="R391" s="35">
        <f t="shared" si="334"/>
        <v>0</v>
      </c>
      <c r="S391" s="35">
        <f>IF(AND(D391/Frequency!$N$7&gt;5, D391/Frequency!$N$7&lt;=10),1,0)*E391</f>
        <v>500</v>
      </c>
      <c r="T391" s="35">
        <f t="shared" si="335"/>
        <v>4000</v>
      </c>
      <c r="U391" s="35">
        <f>IF(AND(D391/Frequency!$N$7&gt;10, D391/Frequency!$N$7&lt;=20),1,0)*E391</f>
        <v>0</v>
      </c>
      <c r="V391" s="35">
        <f t="shared" si="336"/>
        <v>0</v>
      </c>
      <c r="W391" s="35">
        <f>IF(AND(D391/Frequency!$N$7&gt;20, D391/Frequency!$N$7&lt;=30),1,0)*E391</f>
        <v>0</v>
      </c>
      <c r="X391" s="35">
        <f t="shared" si="337"/>
        <v>0</v>
      </c>
      <c r="Y391" s="35">
        <f>IF(AND(D391/Frequency!$N$7&gt;30, D391/Frequency!$N$7&lt;=50),1,0)*E391</f>
        <v>0</v>
      </c>
      <c r="Z391" s="35">
        <f t="shared" si="338"/>
        <v>0</v>
      </c>
      <c r="AA391" s="35">
        <f>IF(AND(D391/Frequency!$N$7&gt;50, D391/Frequency!$N$7&lt;=100),1,0)*E391</f>
        <v>0</v>
      </c>
      <c r="AB391" s="35">
        <f t="shared" si="339"/>
        <v>0</v>
      </c>
      <c r="AC391" s="35">
        <f>IF(D391/Frequency!$N$7&gt;100,1,0)*E391</f>
        <v>0</v>
      </c>
      <c r="AD391" s="35">
        <f t="shared" si="340"/>
        <v>0</v>
      </c>
      <c r="AE391" s="22">
        <f t="shared" si="341"/>
        <v>0</v>
      </c>
      <c r="AF391" s="22">
        <f t="shared" si="342"/>
        <v>500</v>
      </c>
      <c r="AG391" s="22">
        <f t="shared" si="343"/>
        <v>4000</v>
      </c>
      <c r="AH391" s="22">
        <f t="shared" si="344"/>
        <v>0</v>
      </c>
      <c r="AI391" s="35">
        <f t="shared" si="345"/>
        <v>0</v>
      </c>
      <c r="AJ391" s="35">
        <f t="shared" si="346"/>
        <v>0</v>
      </c>
      <c r="AK391" s="35">
        <f t="shared" si="347"/>
        <v>0</v>
      </c>
      <c r="AL391">
        <f t="shared" si="348"/>
        <v>0</v>
      </c>
      <c r="AM391">
        <f t="shared" si="349"/>
        <v>0</v>
      </c>
      <c r="AN391">
        <f t="shared" si="350"/>
        <v>0</v>
      </c>
      <c r="AO391">
        <f t="shared" si="351"/>
        <v>0</v>
      </c>
      <c r="AP391">
        <f t="shared" si="352"/>
        <v>0</v>
      </c>
      <c r="AQ391">
        <f t="shared" si="353"/>
        <v>0</v>
      </c>
      <c r="AR391">
        <f t="shared" si="354"/>
        <v>0</v>
      </c>
      <c r="AS391">
        <f t="shared" si="355"/>
        <v>0</v>
      </c>
      <c r="AT391">
        <f t="shared" si="356"/>
        <v>0</v>
      </c>
      <c r="AU391">
        <f t="shared" si="357"/>
        <v>0</v>
      </c>
      <c r="AV391">
        <v>0</v>
      </c>
      <c r="AW391">
        <v>0</v>
      </c>
      <c r="AX391">
        <f t="shared" si="358"/>
        <v>0</v>
      </c>
      <c r="AY391">
        <f t="shared" si="359"/>
        <v>0</v>
      </c>
      <c r="AZ391">
        <f t="shared" si="360"/>
        <v>0</v>
      </c>
      <c r="BA391">
        <f t="shared" si="361"/>
        <v>1</v>
      </c>
      <c r="BB391">
        <f t="shared" si="362"/>
        <v>500</v>
      </c>
      <c r="BC391">
        <f t="shared" si="363"/>
        <v>4000</v>
      </c>
      <c r="BD391">
        <f t="shared" si="364"/>
        <v>0</v>
      </c>
      <c r="BE391">
        <f t="shared" si="365"/>
        <v>0</v>
      </c>
      <c r="BF391">
        <f t="shared" si="366"/>
        <v>0</v>
      </c>
      <c r="BG391">
        <f t="shared" si="367"/>
        <v>0</v>
      </c>
      <c r="BH391">
        <f t="shared" si="368"/>
        <v>0</v>
      </c>
      <c r="BI391">
        <f t="shared" si="369"/>
        <v>0</v>
      </c>
      <c r="BJ391">
        <v>0</v>
      </c>
      <c r="BK391" t="str">
        <f t="shared" si="381"/>
        <v>Standard Win</v>
      </c>
      <c r="BL391" s="40" t="str">
        <f t="shared" si="382"/>
        <v>Bonus Game B</v>
      </c>
      <c r="BM391">
        <f>(D391/Frequency!$N$7-Summary!$C$7)^2*E391</f>
        <v>25632.799999999999</v>
      </c>
      <c r="BN391">
        <f t="shared" si="370"/>
        <v>0</v>
      </c>
      <c r="BO391">
        <f t="shared" si="371"/>
        <v>0</v>
      </c>
      <c r="BP391">
        <f t="shared" si="372"/>
        <v>0</v>
      </c>
      <c r="BQ391">
        <f t="shared" si="373"/>
        <v>0</v>
      </c>
      <c r="BR391">
        <f t="shared" si="374"/>
        <v>0</v>
      </c>
      <c r="BS391">
        <f t="shared" si="375"/>
        <v>0</v>
      </c>
      <c r="BT391">
        <f t="shared" si="376"/>
        <v>0</v>
      </c>
      <c r="BU391">
        <f t="shared" si="377"/>
        <v>500</v>
      </c>
      <c r="BV391">
        <f t="shared" si="378"/>
        <v>4000</v>
      </c>
      <c r="BW391">
        <f t="shared" si="379"/>
        <v>0</v>
      </c>
      <c r="BX391">
        <f t="shared" si="380"/>
        <v>0</v>
      </c>
    </row>
    <row r="392" spans="2:76">
      <c r="B392" s="19">
        <f>Tiers!B393</f>
        <v>390</v>
      </c>
      <c r="C392" s="212" t="str">
        <f>Tiers!X393</f>
        <v>bonusB-3|||||||||</v>
      </c>
      <c r="D392" s="21">
        <f>Tiers!C393</f>
        <v>10</v>
      </c>
      <c r="E392" s="22">
        <f>Frequency!E394</f>
        <v>1100</v>
      </c>
      <c r="F392" s="22">
        <f t="shared" si="330"/>
        <v>11000</v>
      </c>
      <c r="G392" s="20">
        <f>IF(AND(D392/Summary!$C$4&gt;0, D392/Summary!$C$4&lt;5),E392,0) * D392</f>
        <v>0</v>
      </c>
      <c r="H392" s="20">
        <f>IF(AND(D392/Summary!$C$4&gt;= 5, D392/Summary!$C$4&lt;10),E392,0) * D392</f>
        <v>0</v>
      </c>
      <c r="I392" s="20">
        <f>IF(AND(D392/Summary!$C$4&gt;=10, D392/Summary!$C$4&lt;25),E392,0)*D392</f>
        <v>11000</v>
      </c>
      <c r="J392" s="20">
        <f>IF(D392/Summary!$C$4&gt;=25,E392,0)*D392</f>
        <v>0</v>
      </c>
      <c r="K392" s="35">
        <f>IF(AND(D392/Frequency!$N$7&gt;0, D392/Frequency!$N$7&lt;1),E392,0)</f>
        <v>0</v>
      </c>
      <c r="L392" s="35">
        <f t="shared" si="331"/>
        <v>0</v>
      </c>
      <c r="M392" s="35">
        <f>IF(D392/Frequency!$N$7=1,1,0)*E392</f>
        <v>0</v>
      </c>
      <c r="N392" s="35">
        <f t="shared" si="332"/>
        <v>0</v>
      </c>
      <c r="O392" s="35">
        <f>IF(AND(D392/Frequency!$N$7&gt;1, D392/Frequency!$N$7&lt;=2),1,0)*E392</f>
        <v>0</v>
      </c>
      <c r="P392" s="35">
        <f t="shared" si="333"/>
        <v>0</v>
      </c>
      <c r="Q392" s="35">
        <f>IF(AND(D392/Frequency!$N$7&gt;2,D392/Frequency!$N$7&lt;=5),1,0)*E392</f>
        <v>0</v>
      </c>
      <c r="R392" s="35">
        <f t="shared" si="334"/>
        <v>0</v>
      </c>
      <c r="S392" s="35">
        <f>IF(AND(D392/Frequency!$N$7&gt;5, D392/Frequency!$N$7&lt;=10),1,0)*E392</f>
        <v>1100</v>
      </c>
      <c r="T392" s="35">
        <f t="shared" si="335"/>
        <v>11000</v>
      </c>
      <c r="U392" s="35">
        <f>IF(AND(D392/Frequency!$N$7&gt;10, D392/Frequency!$N$7&lt;=20),1,0)*E392</f>
        <v>0</v>
      </c>
      <c r="V392" s="35">
        <f t="shared" si="336"/>
        <v>0</v>
      </c>
      <c r="W392" s="35">
        <f>IF(AND(D392/Frequency!$N$7&gt;20, D392/Frequency!$N$7&lt;=30),1,0)*E392</f>
        <v>0</v>
      </c>
      <c r="X392" s="35">
        <f t="shared" si="337"/>
        <v>0</v>
      </c>
      <c r="Y392" s="35">
        <f>IF(AND(D392/Frequency!$N$7&gt;30, D392/Frequency!$N$7&lt;=50),1,0)*E392</f>
        <v>0</v>
      </c>
      <c r="Z392" s="35">
        <f t="shared" si="338"/>
        <v>0</v>
      </c>
      <c r="AA392" s="35">
        <f>IF(AND(D392/Frequency!$N$7&gt;50, D392/Frequency!$N$7&lt;=100),1,0)*E392</f>
        <v>0</v>
      </c>
      <c r="AB392" s="35">
        <f t="shared" si="339"/>
        <v>0</v>
      </c>
      <c r="AC392" s="35">
        <f>IF(D392/Frequency!$N$7&gt;100,1,0)*E392</f>
        <v>0</v>
      </c>
      <c r="AD392" s="35">
        <f t="shared" si="340"/>
        <v>0</v>
      </c>
      <c r="AE392" s="22">
        <f t="shared" si="341"/>
        <v>0</v>
      </c>
      <c r="AF392" s="22">
        <f t="shared" si="342"/>
        <v>1100</v>
      </c>
      <c r="AG392" s="22">
        <f t="shared" si="343"/>
        <v>11000</v>
      </c>
      <c r="AH392" s="22">
        <f t="shared" si="344"/>
        <v>0</v>
      </c>
      <c r="AI392" s="35">
        <f t="shared" si="345"/>
        <v>0</v>
      </c>
      <c r="AJ392" s="35">
        <f t="shared" si="346"/>
        <v>0</v>
      </c>
      <c r="AK392" s="35">
        <f t="shared" si="347"/>
        <v>0</v>
      </c>
      <c r="AL392">
        <f t="shared" si="348"/>
        <v>0</v>
      </c>
      <c r="AM392">
        <f t="shared" si="349"/>
        <v>0</v>
      </c>
      <c r="AN392">
        <f t="shared" si="350"/>
        <v>0</v>
      </c>
      <c r="AO392">
        <f t="shared" si="351"/>
        <v>0</v>
      </c>
      <c r="AP392">
        <f t="shared" si="352"/>
        <v>0</v>
      </c>
      <c r="AQ392">
        <f t="shared" si="353"/>
        <v>0</v>
      </c>
      <c r="AR392">
        <f t="shared" si="354"/>
        <v>0</v>
      </c>
      <c r="AS392">
        <f t="shared" si="355"/>
        <v>0</v>
      </c>
      <c r="AT392">
        <f t="shared" si="356"/>
        <v>0</v>
      </c>
      <c r="AU392">
        <f t="shared" si="357"/>
        <v>0</v>
      </c>
      <c r="AV392">
        <v>0</v>
      </c>
      <c r="AW392">
        <v>0</v>
      </c>
      <c r="AX392">
        <f t="shared" si="358"/>
        <v>0</v>
      </c>
      <c r="AY392">
        <f t="shared" si="359"/>
        <v>0</v>
      </c>
      <c r="AZ392">
        <f t="shared" si="360"/>
        <v>0</v>
      </c>
      <c r="BA392">
        <f t="shared" si="361"/>
        <v>1</v>
      </c>
      <c r="BB392">
        <f t="shared" si="362"/>
        <v>1100</v>
      </c>
      <c r="BC392">
        <f t="shared" si="363"/>
        <v>11000</v>
      </c>
      <c r="BD392">
        <f t="shared" si="364"/>
        <v>0</v>
      </c>
      <c r="BE392">
        <f t="shared" si="365"/>
        <v>0</v>
      </c>
      <c r="BF392">
        <f t="shared" si="366"/>
        <v>0</v>
      </c>
      <c r="BG392">
        <f t="shared" si="367"/>
        <v>0</v>
      </c>
      <c r="BH392">
        <f t="shared" si="368"/>
        <v>0</v>
      </c>
      <c r="BI392">
        <f t="shared" si="369"/>
        <v>0</v>
      </c>
      <c r="BJ392">
        <v>0</v>
      </c>
      <c r="BK392" t="str">
        <f t="shared" si="381"/>
        <v>Big Win</v>
      </c>
      <c r="BL392" s="40" t="str">
        <f t="shared" si="382"/>
        <v>Bonus Game B</v>
      </c>
      <c r="BM392">
        <f>(D392/Frequency!$N$7-Summary!$C$7)^2*E392</f>
        <v>92296.16</v>
      </c>
      <c r="BN392">
        <f t="shared" si="370"/>
        <v>0</v>
      </c>
      <c r="BO392">
        <f t="shared" si="371"/>
        <v>0</v>
      </c>
      <c r="BP392">
        <f t="shared" si="372"/>
        <v>0</v>
      </c>
      <c r="BQ392">
        <f t="shared" si="373"/>
        <v>0</v>
      </c>
      <c r="BR392">
        <f t="shared" si="374"/>
        <v>0</v>
      </c>
      <c r="BS392">
        <f t="shared" si="375"/>
        <v>0</v>
      </c>
      <c r="BT392">
        <f t="shared" si="376"/>
        <v>0</v>
      </c>
      <c r="BU392">
        <f t="shared" si="377"/>
        <v>1100</v>
      </c>
      <c r="BV392">
        <f t="shared" si="378"/>
        <v>11000</v>
      </c>
      <c r="BW392">
        <f t="shared" si="379"/>
        <v>0</v>
      </c>
      <c r="BX392">
        <f t="shared" si="380"/>
        <v>0</v>
      </c>
    </row>
    <row r="393" spans="2:76">
      <c r="B393" s="19">
        <f>Tiers!B394</f>
        <v>391</v>
      </c>
      <c r="C393" s="212" t="str">
        <f>Tiers!X394</f>
        <v>bonusB-4|||||||||</v>
      </c>
      <c r="D393" s="21">
        <f>Tiers!C394</f>
        <v>12</v>
      </c>
      <c r="E393" s="22">
        <f>Frequency!E395</f>
        <v>1000</v>
      </c>
      <c r="F393" s="22">
        <f t="shared" si="330"/>
        <v>12000</v>
      </c>
      <c r="G393" s="20">
        <f>IF(AND(D393/Summary!$C$4&gt;0, D393/Summary!$C$4&lt;5),E393,0) * D393</f>
        <v>0</v>
      </c>
      <c r="H393" s="20">
        <f>IF(AND(D393/Summary!$C$4&gt;= 5, D393/Summary!$C$4&lt;10),E393,0) * D393</f>
        <v>0</v>
      </c>
      <c r="I393" s="20">
        <f>IF(AND(D393/Summary!$C$4&gt;=10, D393/Summary!$C$4&lt;25),E393,0)*D393</f>
        <v>12000</v>
      </c>
      <c r="J393" s="20">
        <f>IF(D393/Summary!$C$4&gt;=25,E393,0)*D393</f>
        <v>0</v>
      </c>
      <c r="K393" s="35">
        <f>IF(AND(D393/Frequency!$N$7&gt;0, D393/Frequency!$N$7&lt;1),E393,0)</f>
        <v>0</v>
      </c>
      <c r="L393" s="35">
        <f t="shared" si="331"/>
        <v>0</v>
      </c>
      <c r="M393" s="35">
        <f>IF(D393/Frequency!$N$7=1,1,0)*E393</f>
        <v>0</v>
      </c>
      <c r="N393" s="35">
        <f t="shared" si="332"/>
        <v>0</v>
      </c>
      <c r="O393" s="35">
        <f>IF(AND(D393/Frequency!$N$7&gt;1, D393/Frequency!$N$7&lt;=2),1,0)*E393</f>
        <v>0</v>
      </c>
      <c r="P393" s="35">
        <f t="shared" si="333"/>
        <v>0</v>
      </c>
      <c r="Q393" s="35">
        <f>IF(AND(D393/Frequency!$N$7&gt;2,D393/Frequency!$N$7&lt;=5),1,0)*E393</f>
        <v>0</v>
      </c>
      <c r="R393" s="35">
        <f t="shared" si="334"/>
        <v>0</v>
      </c>
      <c r="S393" s="35">
        <f>IF(AND(D393/Frequency!$N$7&gt;5, D393/Frequency!$N$7&lt;=10),1,0)*E393</f>
        <v>0</v>
      </c>
      <c r="T393" s="35">
        <f t="shared" si="335"/>
        <v>0</v>
      </c>
      <c r="U393" s="35">
        <f>IF(AND(D393/Frequency!$N$7&gt;10, D393/Frequency!$N$7&lt;=20),1,0)*E393</f>
        <v>1000</v>
      </c>
      <c r="V393" s="35">
        <f t="shared" si="336"/>
        <v>12000</v>
      </c>
      <c r="W393" s="35">
        <f>IF(AND(D393/Frequency!$N$7&gt;20, D393/Frequency!$N$7&lt;=30),1,0)*E393</f>
        <v>0</v>
      </c>
      <c r="X393" s="35">
        <f t="shared" si="337"/>
        <v>0</v>
      </c>
      <c r="Y393" s="35">
        <f>IF(AND(D393/Frequency!$N$7&gt;30, D393/Frequency!$N$7&lt;=50),1,0)*E393</f>
        <v>0</v>
      </c>
      <c r="Z393" s="35">
        <f t="shared" si="338"/>
        <v>0</v>
      </c>
      <c r="AA393" s="35">
        <f>IF(AND(D393/Frequency!$N$7&gt;50, D393/Frequency!$N$7&lt;=100),1,0)*E393</f>
        <v>0</v>
      </c>
      <c r="AB393" s="35">
        <f t="shared" si="339"/>
        <v>0</v>
      </c>
      <c r="AC393" s="35">
        <f>IF(D393/Frequency!$N$7&gt;100,1,0)*E393</f>
        <v>0</v>
      </c>
      <c r="AD393" s="35">
        <f t="shared" si="340"/>
        <v>0</v>
      </c>
      <c r="AE393" s="22">
        <f t="shared" si="341"/>
        <v>0</v>
      </c>
      <c r="AF393" s="22">
        <f t="shared" si="342"/>
        <v>1000</v>
      </c>
      <c r="AG393" s="22">
        <f t="shared" si="343"/>
        <v>12000</v>
      </c>
      <c r="AH393" s="22">
        <f t="shared" si="344"/>
        <v>0</v>
      </c>
      <c r="AI393" s="35">
        <f t="shared" si="345"/>
        <v>0</v>
      </c>
      <c r="AJ393" s="35">
        <f t="shared" si="346"/>
        <v>0</v>
      </c>
      <c r="AK393" s="35">
        <f t="shared" si="347"/>
        <v>0</v>
      </c>
      <c r="AL393">
        <f t="shared" si="348"/>
        <v>0</v>
      </c>
      <c r="AM393">
        <f t="shared" si="349"/>
        <v>0</v>
      </c>
      <c r="AN393">
        <f t="shared" si="350"/>
        <v>0</v>
      </c>
      <c r="AO393">
        <f t="shared" si="351"/>
        <v>0</v>
      </c>
      <c r="AP393">
        <f t="shared" si="352"/>
        <v>0</v>
      </c>
      <c r="AQ393">
        <f t="shared" si="353"/>
        <v>0</v>
      </c>
      <c r="AR393">
        <f t="shared" si="354"/>
        <v>0</v>
      </c>
      <c r="AS393">
        <f t="shared" si="355"/>
        <v>0</v>
      </c>
      <c r="AT393">
        <f t="shared" si="356"/>
        <v>0</v>
      </c>
      <c r="AU393">
        <f t="shared" si="357"/>
        <v>0</v>
      </c>
      <c r="AV393">
        <v>0</v>
      </c>
      <c r="AW393">
        <v>0</v>
      </c>
      <c r="AX393">
        <f t="shared" si="358"/>
        <v>0</v>
      </c>
      <c r="AY393">
        <f t="shared" si="359"/>
        <v>0</v>
      </c>
      <c r="AZ393">
        <f t="shared" si="360"/>
        <v>0</v>
      </c>
      <c r="BA393">
        <f t="shared" si="361"/>
        <v>1</v>
      </c>
      <c r="BB393">
        <f t="shared" si="362"/>
        <v>1000</v>
      </c>
      <c r="BC393">
        <f t="shared" si="363"/>
        <v>12000</v>
      </c>
      <c r="BD393">
        <f t="shared" si="364"/>
        <v>0</v>
      </c>
      <c r="BE393">
        <f t="shared" si="365"/>
        <v>0</v>
      </c>
      <c r="BF393">
        <f t="shared" si="366"/>
        <v>0</v>
      </c>
      <c r="BG393">
        <f t="shared" si="367"/>
        <v>0</v>
      </c>
      <c r="BH393">
        <f t="shared" si="368"/>
        <v>0</v>
      </c>
      <c r="BI393">
        <f t="shared" si="369"/>
        <v>0</v>
      </c>
      <c r="BJ393">
        <v>0</v>
      </c>
      <c r="BK393" t="str">
        <f t="shared" si="381"/>
        <v>Big Win</v>
      </c>
      <c r="BL393" s="40" t="str">
        <f t="shared" si="382"/>
        <v>Bonus Game B</v>
      </c>
      <c r="BM393">
        <f>(D393/Frequency!$N$7-Summary!$C$7)^2*E393</f>
        <v>124545.60000000001</v>
      </c>
      <c r="BN393">
        <f t="shared" si="370"/>
        <v>0</v>
      </c>
      <c r="BO393">
        <f t="shared" si="371"/>
        <v>0</v>
      </c>
      <c r="BP393">
        <f t="shared" si="372"/>
        <v>0</v>
      </c>
      <c r="BQ393">
        <f t="shared" si="373"/>
        <v>0</v>
      </c>
      <c r="BR393">
        <f t="shared" si="374"/>
        <v>0</v>
      </c>
      <c r="BS393">
        <f t="shared" si="375"/>
        <v>0</v>
      </c>
      <c r="BT393">
        <f t="shared" si="376"/>
        <v>0</v>
      </c>
      <c r="BU393">
        <f t="shared" si="377"/>
        <v>1000</v>
      </c>
      <c r="BV393">
        <f t="shared" si="378"/>
        <v>12000</v>
      </c>
      <c r="BW393">
        <f t="shared" si="379"/>
        <v>0</v>
      </c>
      <c r="BX393">
        <f t="shared" si="380"/>
        <v>0</v>
      </c>
    </row>
    <row r="394" spans="2:76">
      <c r="B394" s="19">
        <f>Tiers!B395</f>
        <v>392</v>
      </c>
      <c r="C394" s="212" t="str">
        <f>Tiers!X395</f>
        <v>bonusB-5|||||||||</v>
      </c>
      <c r="D394" s="21">
        <f>Tiers!C395</f>
        <v>15</v>
      </c>
      <c r="E394" s="22">
        <f>Frequency!E396</f>
        <v>2000</v>
      </c>
      <c r="F394" s="22">
        <f t="shared" si="330"/>
        <v>30000</v>
      </c>
      <c r="G394" s="20">
        <f>IF(AND(D394/Summary!$C$4&gt;0, D394/Summary!$C$4&lt;5),E394,0) * D394</f>
        <v>0</v>
      </c>
      <c r="H394" s="20">
        <f>IF(AND(D394/Summary!$C$4&gt;= 5, D394/Summary!$C$4&lt;10),E394,0) * D394</f>
        <v>0</v>
      </c>
      <c r="I394" s="20">
        <f>IF(AND(D394/Summary!$C$4&gt;=10, D394/Summary!$C$4&lt;25),E394,0)*D394</f>
        <v>30000</v>
      </c>
      <c r="J394" s="20">
        <f>IF(D394/Summary!$C$4&gt;=25,E394,0)*D394</f>
        <v>0</v>
      </c>
      <c r="K394" s="35">
        <f>IF(AND(D394/Frequency!$N$7&gt;0, D394/Frequency!$N$7&lt;1),E394,0)</f>
        <v>0</v>
      </c>
      <c r="L394" s="35">
        <f t="shared" si="331"/>
        <v>0</v>
      </c>
      <c r="M394" s="35">
        <f>IF(D394/Frequency!$N$7=1,1,0)*E394</f>
        <v>0</v>
      </c>
      <c r="N394" s="35">
        <f t="shared" si="332"/>
        <v>0</v>
      </c>
      <c r="O394" s="35">
        <f>IF(AND(D394/Frequency!$N$7&gt;1, D394/Frequency!$N$7&lt;=2),1,0)*E394</f>
        <v>0</v>
      </c>
      <c r="P394" s="35">
        <f t="shared" si="333"/>
        <v>0</v>
      </c>
      <c r="Q394" s="35">
        <f>IF(AND(D394/Frequency!$N$7&gt;2,D394/Frequency!$N$7&lt;=5),1,0)*E394</f>
        <v>0</v>
      </c>
      <c r="R394" s="35">
        <f t="shared" si="334"/>
        <v>0</v>
      </c>
      <c r="S394" s="35">
        <f>IF(AND(D394/Frequency!$N$7&gt;5, D394/Frequency!$N$7&lt;=10),1,0)*E394</f>
        <v>0</v>
      </c>
      <c r="T394" s="35">
        <f t="shared" si="335"/>
        <v>0</v>
      </c>
      <c r="U394" s="35">
        <f>IF(AND(D394/Frequency!$N$7&gt;10, D394/Frequency!$N$7&lt;=20),1,0)*E394</f>
        <v>2000</v>
      </c>
      <c r="V394" s="35">
        <f t="shared" si="336"/>
        <v>30000</v>
      </c>
      <c r="W394" s="35">
        <f>IF(AND(D394/Frequency!$N$7&gt;20, D394/Frequency!$N$7&lt;=30),1,0)*E394</f>
        <v>0</v>
      </c>
      <c r="X394" s="35">
        <f t="shared" si="337"/>
        <v>0</v>
      </c>
      <c r="Y394" s="35">
        <f>IF(AND(D394/Frequency!$N$7&gt;30, D394/Frequency!$N$7&lt;=50),1,0)*E394</f>
        <v>0</v>
      </c>
      <c r="Z394" s="35">
        <f t="shared" si="338"/>
        <v>0</v>
      </c>
      <c r="AA394" s="35">
        <f>IF(AND(D394/Frequency!$N$7&gt;50, D394/Frequency!$N$7&lt;=100),1,0)*E394</f>
        <v>0</v>
      </c>
      <c r="AB394" s="35">
        <f t="shared" si="339"/>
        <v>0</v>
      </c>
      <c r="AC394" s="35">
        <f>IF(D394/Frequency!$N$7&gt;100,1,0)*E394</f>
        <v>0</v>
      </c>
      <c r="AD394" s="35">
        <f t="shared" si="340"/>
        <v>0</v>
      </c>
      <c r="AE394" s="22">
        <f t="shared" si="341"/>
        <v>0</v>
      </c>
      <c r="AF394" s="22">
        <f t="shared" si="342"/>
        <v>2000</v>
      </c>
      <c r="AG394" s="22">
        <f t="shared" si="343"/>
        <v>30000</v>
      </c>
      <c r="AH394" s="22">
        <f t="shared" si="344"/>
        <v>0</v>
      </c>
      <c r="AI394" s="35">
        <f t="shared" si="345"/>
        <v>0</v>
      </c>
      <c r="AJ394" s="35">
        <f t="shared" si="346"/>
        <v>0</v>
      </c>
      <c r="AK394" s="35">
        <f t="shared" si="347"/>
        <v>0</v>
      </c>
      <c r="AL394">
        <f t="shared" si="348"/>
        <v>0</v>
      </c>
      <c r="AM394">
        <f t="shared" si="349"/>
        <v>0</v>
      </c>
      <c r="AN394">
        <f t="shared" si="350"/>
        <v>0</v>
      </c>
      <c r="AO394">
        <f t="shared" si="351"/>
        <v>0</v>
      </c>
      <c r="AP394">
        <f t="shared" si="352"/>
        <v>0</v>
      </c>
      <c r="AQ394">
        <f t="shared" si="353"/>
        <v>0</v>
      </c>
      <c r="AR394">
        <f t="shared" si="354"/>
        <v>0</v>
      </c>
      <c r="AS394">
        <f t="shared" si="355"/>
        <v>0</v>
      </c>
      <c r="AT394">
        <f t="shared" si="356"/>
        <v>0</v>
      </c>
      <c r="AU394">
        <f t="shared" si="357"/>
        <v>0</v>
      </c>
      <c r="AV394">
        <v>0</v>
      </c>
      <c r="AW394">
        <v>0</v>
      </c>
      <c r="AX394">
        <f t="shared" si="358"/>
        <v>0</v>
      </c>
      <c r="AY394">
        <f t="shared" si="359"/>
        <v>0</v>
      </c>
      <c r="AZ394">
        <f t="shared" si="360"/>
        <v>0</v>
      </c>
      <c r="BA394">
        <f t="shared" si="361"/>
        <v>1</v>
      </c>
      <c r="BB394">
        <f t="shared" si="362"/>
        <v>2000</v>
      </c>
      <c r="BC394">
        <f t="shared" si="363"/>
        <v>30000</v>
      </c>
      <c r="BD394">
        <f t="shared" si="364"/>
        <v>0</v>
      </c>
      <c r="BE394">
        <f t="shared" si="365"/>
        <v>0</v>
      </c>
      <c r="BF394">
        <f t="shared" si="366"/>
        <v>0</v>
      </c>
      <c r="BG394">
        <f t="shared" si="367"/>
        <v>0</v>
      </c>
      <c r="BH394">
        <f t="shared" si="368"/>
        <v>0</v>
      </c>
      <c r="BI394">
        <f t="shared" si="369"/>
        <v>0</v>
      </c>
      <c r="BJ394">
        <v>0</v>
      </c>
      <c r="BK394" t="str">
        <f t="shared" si="381"/>
        <v>Big Win</v>
      </c>
      <c r="BL394" s="40" t="str">
        <f t="shared" si="382"/>
        <v>Bonus Game B</v>
      </c>
      <c r="BM394">
        <f>(D394/Frequency!$N$7-Summary!$C$7)^2*E394</f>
        <v>401011.20000000001</v>
      </c>
      <c r="BN394">
        <f t="shared" si="370"/>
        <v>0</v>
      </c>
      <c r="BO394">
        <f t="shared" si="371"/>
        <v>0</v>
      </c>
      <c r="BP394">
        <f t="shared" si="372"/>
        <v>0</v>
      </c>
      <c r="BQ394">
        <f t="shared" si="373"/>
        <v>0</v>
      </c>
      <c r="BR394">
        <f t="shared" si="374"/>
        <v>0</v>
      </c>
      <c r="BS394">
        <f t="shared" si="375"/>
        <v>0</v>
      </c>
      <c r="BT394">
        <f t="shared" si="376"/>
        <v>0</v>
      </c>
      <c r="BU394">
        <f t="shared" si="377"/>
        <v>2000</v>
      </c>
      <c r="BV394">
        <f t="shared" si="378"/>
        <v>30000</v>
      </c>
      <c r="BW394">
        <f t="shared" si="379"/>
        <v>0</v>
      </c>
      <c r="BX394">
        <f t="shared" si="380"/>
        <v>0</v>
      </c>
    </row>
    <row r="395" spans="2:76">
      <c r="B395" s="19">
        <f>Tiers!B396</f>
        <v>393</v>
      </c>
      <c r="C395" s="212" t="str">
        <f>Tiers!X396</f>
        <v>bonusB-6|||||||||</v>
      </c>
      <c r="D395" s="21">
        <f>Tiers!C396</f>
        <v>20</v>
      </c>
      <c r="E395" s="22">
        <f>Frequency!E397</f>
        <v>3000</v>
      </c>
      <c r="F395" s="22">
        <f t="shared" si="330"/>
        <v>60000</v>
      </c>
      <c r="G395" s="20">
        <f>IF(AND(D395/Summary!$C$4&gt;0, D395/Summary!$C$4&lt;5),E395,0) * D395</f>
        <v>0</v>
      </c>
      <c r="H395" s="20">
        <f>IF(AND(D395/Summary!$C$4&gt;= 5, D395/Summary!$C$4&lt;10),E395,0) * D395</f>
        <v>0</v>
      </c>
      <c r="I395" s="20">
        <f>IF(AND(D395/Summary!$C$4&gt;=10, D395/Summary!$C$4&lt;25),E395,0)*D395</f>
        <v>60000</v>
      </c>
      <c r="J395" s="20">
        <f>IF(D395/Summary!$C$4&gt;=25,E395,0)*D395</f>
        <v>0</v>
      </c>
      <c r="K395" s="35">
        <f>IF(AND(D395/Frequency!$N$7&gt;0, D395/Frequency!$N$7&lt;1),E395,0)</f>
        <v>0</v>
      </c>
      <c r="L395" s="35">
        <f t="shared" si="331"/>
        <v>0</v>
      </c>
      <c r="M395" s="35">
        <f>IF(D395/Frequency!$N$7=1,1,0)*E395</f>
        <v>0</v>
      </c>
      <c r="N395" s="35">
        <f t="shared" si="332"/>
        <v>0</v>
      </c>
      <c r="O395" s="35">
        <f>IF(AND(D395/Frequency!$N$7&gt;1, D395/Frequency!$N$7&lt;=2),1,0)*E395</f>
        <v>0</v>
      </c>
      <c r="P395" s="35">
        <f t="shared" si="333"/>
        <v>0</v>
      </c>
      <c r="Q395" s="35">
        <f>IF(AND(D395/Frequency!$N$7&gt;2,D395/Frequency!$N$7&lt;=5),1,0)*E395</f>
        <v>0</v>
      </c>
      <c r="R395" s="35">
        <f t="shared" si="334"/>
        <v>0</v>
      </c>
      <c r="S395" s="35">
        <f>IF(AND(D395/Frequency!$N$7&gt;5, D395/Frequency!$N$7&lt;=10),1,0)*E395</f>
        <v>0</v>
      </c>
      <c r="T395" s="35">
        <f t="shared" si="335"/>
        <v>0</v>
      </c>
      <c r="U395" s="35">
        <f>IF(AND(D395/Frequency!$N$7&gt;10, D395/Frequency!$N$7&lt;=20),1,0)*E395</f>
        <v>3000</v>
      </c>
      <c r="V395" s="35">
        <f t="shared" si="336"/>
        <v>60000</v>
      </c>
      <c r="W395" s="35">
        <f>IF(AND(D395/Frequency!$N$7&gt;20, D395/Frequency!$N$7&lt;=30),1,0)*E395</f>
        <v>0</v>
      </c>
      <c r="X395" s="35">
        <f t="shared" si="337"/>
        <v>0</v>
      </c>
      <c r="Y395" s="35">
        <f>IF(AND(D395/Frequency!$N$7&gt;30, D395/Frequency!$N$7&lt;=50),1,0)*E395</f>
        <v>0</v>
      </c>
      <c r="Z395" s="35">
        <f t="shared" si="338"/>
        <v>0</v>
      </c>
      <c r="AA395" s="35">
        <f>IF(AND(D395/Frequency!$N$7&gt;50, D395/Frequency!$N$7&lt;=100),1,0)*E395</f>
        <v>0</v>
      </c>
      <c r="AB395" s="35">
        <f t="shared" si="339"/>
        <v>0</v>
      </c>
      <c r="AC395" s="35">
        <f>IF(D395/Frequency!$N$7&gt;100,1,0)*E395</f>
        <v>0</v>
      </c>
      <c r="AD395" s="35">
        <f t="shared" si="340"/>
        <v>0</v>
      </c>
      <c r="AE395" s="22">
        <f t="shared" si="341"/>
        <v>0</v>
      </c>
      <c r="AF395" s="22">
        <f t="shared" si="342"/>
        <v>3000</v>
      </c>
      <c r="AG395" s="22">
        <f t="shared" si="343"/>
        <v>60000</v>
      </c>
      <c r="AH395" s="22">
        <f t="shared" si="344"/>
        <v>0</v>
      </c>
      <c r="AI395" s="35">
        <f t="shared" si="345"/>
        <v>0</v>
      </c>
      <c r="AJ395" s="35">
        <f t="shared" si="346"/>
        <v>0</v>
      </c>
      <c r="AK395" s="35">
        <f t="shared" si="347"/>
        <v>0</v>
      </c>
      <c r="AL395">
        <f t="shared" si="348"/>
        <v>0</v>
      </c>
      <c r="AM395">
        <f t="shared" si="349"/>
        <v>0</v>
      </c>
      <c r="AN395">
        <f t="shared" si="350"/>
        <v>0</v>
      </c>
      <c r="AO395">
        <f t="shared" si="351"/>
        <v>0</v>
      </c>
      <c r="AP395">
        <f t="shared" si="352"/>
        <v>0</v>
      </c>
      <c r="AQ395">
        <f t="shared" si="353"/>
        <v>0</v>
      </c>
      <c r="AR395">
        <f t="shared" si="354"/>
        <v>0</v>
      </c>
      <c r="AS395">
        <f t="shared" si="355"/>
        <v>0</v>
      </c>
      <c r="AT395">
        <f t="shared" si="356"/>
        <v>0</v>
      </c>
      <c r="AU395">
        <f t="shared" si="357"/>
        <v>0</v>
      </c>
      <c r="AV395">
        <v>0</v>
      </c>
      <c r="AW395">
        <v>0</v>
      </c>
      <c r="AX395">
        <f t="shared" si="358"/>
        <v>0</v>
      </c>
      <c r="AY395">
        <f t="shared" si="359"/>
        <v>0</v>
      </c>
      <c r="AZ395">
        <f t="shared" si="360"/>
        <v>0</v>
      </c>
      <c r="BA395">
        <f t="shared" si="361"/>
        <v>1</v>
      </c>
      <c r="BB395">
        <f t="shared" si="362"/>
        <v>3000</v>
      </c>
      <c r="BC395">
        <f t="shared" si="363"/>
        <v>60000</v>
      </c>
      <c r="BD395">
        <f t="shared" si="364"/>
        <v>0</v>
      </c>
      <c r="BE395">
        <f t="shared" si="365"/>
        <v>0</v>
      </c>
      <c r="BF395">
        <f t="shared" si="366"/>
        <v>0</v>
      </c>
      <c r="BG395">
        <f t="shared" si="367"/>
        <v>0</v>
      </c>
      <c r="BH395">
        <f t="shared" si="368"/>
        <v>0</v>
      </c>
      <c r="BI395">
        <f t="shared" si="369"/>
        <v>0</v>
      </c>
      <c r="BJ395">
        <v>0</v>
      </c>
      <c r="BK395" t="str">
        <f t="shared" si="381"/>
        <v>Big Win</v>
      </c>
      <c r="BL395" s="40" t="str">
        <f t="shared" si="382"/>
        <v>Bonus Game B</v>
      </c>
      <c r="BM395">
        <f>(D395/Frequency!$N$7-Summary!$C$7)^2*E395</f>
        <v>1101316.8</v>
      </c>
      <c r="BN395">
        <f t="shared" si="370"/>
        <v>0</v>
      </c>
      <c r="BO395">
        <f t="shared" si="371"/>
        <v>0</v>
      </c>
      <c r="BP395">
        <f t="shared" si="372"/>
        <v>0</v>
      </c>
      <c r="BQ395">
        <f t="shared" si="373"/>
        <v>0</v>
      </c>
      <c r="BR395">
        <f t="shared" si="374"/>
        <v>0</v>
      </c>
      <c r="BS395">
        <f t="shared" si="375"/>
        <v>0</v>
      </c>
      <c r="BT395">
        <f t="shared" si="376"/>
        <v>0</v>
      </c>
      <c r="BU395">
        <f t="shared" si="377"/>
        <v>3000</v>
      </c>
      <c r="BV395">
        <f t="shared" si="378"/>
        <v>60000</v>
      </c>
      <c r="BW395">
        <f t="shared" si="379"/>
        <v>0</v>
      </c>
      <c r="BX395">
        <f t="shared" si="380"/>
        <v>0</v>
      </c>
    </row>
    <row r="396" spans="2:76">
      <c r="B396" s="19">
        <f>Tiers!B397</f>
        <v>394</v>
      </c>
      <c r="C396" s="212" t="str">
        <f>Tiers!X397</f>
        <v>bonusB-7|||||||||</v>
      </c>
      <c r="D396" s="21">
        <f>Tiers!C397</f>
        <v>25</v>
      </c>
      <c r="E396" s="22">
        <f>Frequency!E398</f>
        <v>3250</v>
      </c>
      <c r="F396" s="22">
        <f t="shared" si="330"/>
        <v>81250</v>
      </c>
      <c r="G396" s="20">
        <f>IF(AND(D396/Summary!$C$4&gt;0, D396/Summary!$C$4&lt;5),E396,0) * D396</f>
        <v>0</v>
      </c>
      <c r="H396" s="20">
        <f>IF(AND(D396/Summary!$C$4&gt;= 5, D396/Summary!$C$4&lt;10),E396,0) * D396</f>
        <v>0</v>
      </c>
      <c r="I396" s="20">
        <f>IF(AND(D396/Summary!$C$4&gt;=10, D396/Summary!$C$4&lt;25),E396,0)*D396</f>
        <v>0</v>
      </c>
      <c r="J396" s="20">
        <f>IF(D396/Summary!$C$4&gt;=25,E396,0)*D396</f>
        <v>81250</v>
      </c>
      <c r="K396" s="35">
        <f>IF(AND(D396/Frequency!$N$7&gt;0, D396/Frequency!$N$7&lt;1),E396,0)</f>
        <v>0</v>
      </c>
      <c r="L396" s="35">
        <f t="shared" si="331"/>
        <v>0</v>
      </c>
      <c r="M396" s="35">
        <f>IF(D396/Frequency!$N$7=1,1,0)*E396</f>
        <v>0</v>
      </c>
      <c r="N396" s="35">
        <f t="shared" si="332"/>
        <v>0</v>
      </c>
      <c r="O396" s="35">
        <f>IF(AND(D396/Frequency!$N$7&gt;1, D396/Frequency!$N$7&lt;=2),1,0)*E396</f>
        <v>0</v>
      </c>
      <c r="P396" s="35">
        <f t="shared" si="333"/>
        <v>0</v>
      </c>
      <c r="Q396" s="35">
        <f>IF(AND(D396/Frequency!$N$7&gt;2,D396/Frequency!$N$7&lt;=5),1,0)*E396</f>
        <v>0</v>
      </c>
      <c r="R396" s="35">
        <f t="shared" si="334"/>
        <v>0</v>
      </c>
      <c r="S396" s="35">
        <f>IF(AND(D396/Frequency!$N$7&gt;5, D396/Frequency!$N$7&lt;=10),1,0)*E396</f>
        <v>0</v>
      </c>
      <c r="T396" s="35">
        <f t="shared" si="335"/>
        <v>0</v>
      </c>
      <c r="U396" s="35">
        <f>IF(AND(D396/Frequency!$N$7&gt;10, D396/Frequency!$N$7&lt;=20),1,0)*E396</f>
        <v>0</v>
      </c>
      <c r="V396" s="35">
        <f t="shared" si="336"/>
        <v>0</v>
      </c>
      <c r="W396" s="35">
        <f>IF(AND(D396/Frequency!$N$7&gt;20, D396/Frequency!$N$7&lt;=30),1,0)*E396</f>
        <v>3250</v>
      </c>
      <c r="X396" s="35">
        <f t="shared" si="337"/>
        <v>81250</v>
      </c>
      <c r="Y396" s="35">
        <f>IF(AND(D396/Frequency!$N$7&gt;30, D396/Frequency!$N$7&lt;=50),1,0)*E396</f>
        <v>0</v>
      </c>
      <c r="Z396" s="35">
        <f t="shared" si="338"/>
        <v>0</v>
      </c>
      <c r="AA396" s="35">
        <f>IF(AND(D396/Frequency!$N$7&gt;50, D396/Frequency!$N$7&lt;=100),1,0)*E396</f>
        <v>0</v>
      </c>
      <c r="AB396" s="35">
        <f t="shared" si="339"/>
        <v>0</v>
      </c>
      <c r="AC396" s="35">
        <f>IF(D396/Frequency!$N$7&gt;100,1,0)*E396</f>
        <v>0</v>
      </c>
      <c r="AD396" s="35">
        <f t="shared" si="340"/>
        <v>0</v>
      </c>
      <c r="AE396" s="22">
        <f t="shared" si="341"/>
        <v>0</v>
      </c>
      <c r="AF396" s="22">
        <f t="shared" si="342"/>
        <v>3250</v>
      </c>
      <c r="AG396" s="22">
        <f t="shared" si="343"/>
        <v>81250</v>
      </c>
      <c r="AH396" s="22">
        <f t="shared" si="344"/>
        <v>0</v>
      </c>
      <c r="AI396" s="35">
        <f t="shared" si="345"/>
        <v>0</v>
      </c>
      <c r="AJ396" s="35">
        <f t="shared" si="346"/>
        <v>0</v>
      </c>
      <c r="AK396" s="35">
        <f t="shared" si="347"/>
        <v>0</v>
      </c>
      <c r="AL396">
        <f t="shared" si="348"/>
        <v>0</v>
      </c>
      <c r="AM396">
        <f t="shared" si="349"/>
        <v>0</v>
      </c>
      <c r="AN396">
        <f t="shared" si="350"/>
        <v>0</v>
      </c>
      <c r="AO396">
        <f t="shared" si="351"/>
        <v>0</v>
      </c>
      <c r="AP396">
        <f t="shared" si="352"/>
        <v>0</v>
      </c>
      <c r="AQ396">
        <f t="shared" si="353"/>
        <v>0</v>
      </c>
      <c r="AR396">
        <f t="shared" si="354"/>
        <v>0</v>
      </c>
      <c r="AS396">
        <f t="shared" si="355"/>
        <v>0</v>
      </c>
      <c r="AT396">
        <f t="shared" si="356"/>
        <v>0</v>
      </c>
      <c r="AU396">
        <f t="shared" si="357"/>
        <v>0</v>
      </c>
      <c r="AV396">
        <v>0</v>
      </c>
      <c r="AW396">
        <v>0</v>
      </c>
      <c r="AX396">
        <f t="shared" si="358"/>
        <v>0</v>
      </c>
      <c r="AY396">
        <f t="shared" si="359"/>
        <v>0</v>
      </c>
      <c r="AZ396">
        <f t="shared" si="360"/>
        <v>0</v>
      </c>
      <c r="BA396">
        <f t="shared" si="361"/>
        <v>1</v>
      </c>
      <c r="BB396">
        <f t="shared" si="362"/>
        <v>3250</v>
      </c>
      <c r="BC396">
        <f t="shared" si="363"/>
        <v>81250</v>
      </c>
      <c r="BD396">
        <f t="shared" si="364"/>
        <v>0</v>
      </c>
      <c r="BE396">
        <f t="shared" si="365"/>
        <v>0</v>
      </c>
      <c r="BF396">
        <f t="shared" si="366"/>
        <v>0</v>
      </c>
      <c r="BG396">
        <f t="shared" si="367"/>
        <v>0</v>
      </c>
      <c r="BH396">
        <f t="shared" si="368"/>
        <v>0</v>
      </c>
      <c r="BI396">
        <f t="shared" si="369"/>
        <v>0</v>
      </c>
      <c r="BJ396">
        <v>0</v>
      </c>
      <c r="BK396" t="str">
        <f t="shared" si="381"/>
        <v>Big Win</v>
      </c>
      <c r="BL396" s="40" t="str">
        <f t="shared" si="382"/>
        <v>Bonus Game B</v>
      </c>
      <c r="BM396">
        <f>(D396/Frequency!$N$7-Summary!$C$7)^2*E396</f>
        <v>1897043.2</v>
      </c>
      <c r="BN396">
        <f t="shared" si="370"/>
        <v>0</v>
      </c>
      <c r="BO396">
        <f t="shared" si="371"/>
        <v>0</v>
      </c>
      <c r="BP396">
        <f t="shared" si="372"/>
        <v>0</v>
      </c>
      <c r="BQ396">
        <f t="shared" si="373"/>
        <v>0</v>
      </c>
      <c r="BR396">
        <f t="shared" si="374"/>
        <v>0</v>
      </c>
      <c r="BS396">
        <f t="shared" si="375"/>
        <v>0</v>
      </c>
      <c r="BT396">
        <f t="shared" si="376"/>
        <v>0</v>
      </c>
      <c r="BU396">
        <f t="shared" si="377"/>
        <v>3250</v>
      </c>
      <c r="BV396">
        <f t="shared" si="378"/>
        <v>81250</v>
      </c>
      <c r="BW396">
        <f t="shared" si="379"/>
        <v>0</v>
      </c>
      <c r="BX396">
        <f t="shared" si="380"/>
        <v>0</v>
      </c>
    </row>
    <row r="397" spans="2:76">
      <c r="B397" s="19">
        <f>Tiers!B398</f>
        <v>395</v>
      </c>
      <c r="C397" s="212" t="str">
        <f>Tiers!X398</f>
        <v>bonusB-8|||||||||</v>
      </c>
      <c r="D397" s="21">
        <f>Tiers!C398</f>
        <v>30</v>
      </c>
      <c r="E397" s="22">
        <f>Frequency!E399</f>
        <v>2000</v>
      </c>
      <c r="F397" s="22">
        <f t="shared" si="330"/>
        <v>60000</v>
      </c>
      <c r="G397" s="20">
        <f>IF(AND(D397/Summary!$C$4&gt;0, D397/Summary!$C$4&lt;5),E397,0) * D397</f>
        <v>0</v>
      </c>
      <c r="H397" s="20">
        <f>IF(AND(D397/Summary!$C$4&gt;= 5, D397/Summary!$C$4&lt;10),E397,0) * D397</f>
        <v>0</v>
      </c>
      <c r="I397" s="20">
        <f>IF(AND(D397/Summary!$C$4&gt;=10, D397/Summary!$C$4&lt;25),E397,0)*D397</f>
        <v>0</v>
      </c>
      <c r="J397" s="20">
        <f>IF(D397/Summary!$C$4&gt;=25,E397,0)*D397</f>
        <v>60000</v>
      </c>
      <c r="K397" s="35">
        <f>IF(AND(D397/Frequency!$N$7&gt;0, D397/Frequency!$N$7&lt;1),E397,0)</f>
        <v>0</v>
      </c>
      <c r="L397" s="35">
        <f t="shared" si="331"/>
        <v>0</v>
      </c>
      <c r="M397" s="35">
        <f>IF(D397/Frequency!$N$7=1,1,0)*E397</f>
        <v>0</v>
      </c>
      <c r="N397" s="35">
        <f t="shared" si="332"/>
        <v>0</v>
      </c>
      <c r="O397" s="35">
        <f>IF(AND(D397/Frequency!$N$7&gt;1, D397/Frequency!$N$7&lt;=2),1,0)*E397</f>
        <v>0</v>
      </c>
      <c r="P397" s="35">
        <f t="shared" si="333"/>
        <v>0</v>
      </c>
      <c r="Q397" s="35">
        <f>IF(AND(D397/Frequency!$N$7&gt;2,D397/Frequency!$N$7&lt;=5),1,0)*E397</f>
        <v>0</v>
      </c>
      <c r="R397" s="35">
        <f t="shared" si="334"/>
        <v>0</v>
      </c>
      <c r="S397" s="35">
        <f>IF(AND(D397/Frequency!$N$7&gt;5, D397/Frequency!$N$7&lt;=10),1,0)*E397</f>
        <v>0</v>
      </c>
      <c r="T397" s="35">
        <f t="shared" si="335"/>
        <v>0</v>
      </c>
      <c r="U397" s="35">
        <f>IF(AND(D397/Frequency!$N$7&gt;10, D397/Frequency!$N$7&lt;=20),1,0)*E397</f>
        <v>0</v>
      </c>
      <c r="V397" s="35">
        <f t="shared" si="336"/>
        <v>0</v>
      </c>
      <c r="W397" s="35">
        <f>IF(AND(D397/Frequency!$N$7&gt;20, D397/Frequency!$N$7&lt;=30),1,0)*E397</f>
        <v>2000</v>
      </c>
      <c r="X397" s="35">
        <f t="shared" si="337"/>
        <v>60000</v>
      </c>
      <c r="Y397" s="35">
        <f>IF(AND(D397/Frequency!$N$7&gt;30, D397/Frequency!$N$7&lt;=50),1,0)*E397</f>
        <v>0</v>
      </c>
      <c r="Z397" s="35">
        <f t="shared" si="338"/>
        <v>0</v>
      </c>
      <c r="AA397" s="35">
        <f>IF(AND(D397/Frequency!$N$7&gt;50, D397/Frequency!$N$7&lt;=100),1,0)*E397</f>
        <v>0</v>
      </c>
      <c r="AB397" s="35">
        <f t="shared" si="339"/>
        <v>0</v>
      </c>
      <c r="AC397" s="35">
        <f>IF(D397/Frequency!$N$7&gt;100,1,0)*E397</f>
        <v>0</v>
      </c>
      <c r="AD397" s="35">
        <f t="shared" si="340"/>
        <v>0</v>
      </c>
      <c r="AE397" s="22">
        <f t="shared" si="341"/>
        <v>0</v>
      </c>
      <c r="AF397" s="22">
        <f t="shared" si="342"/>
        <v>2000</v>
      </c>
      <c r="AG397" s="22">
        <f t="shared" si="343"/>
        <v>60000</v>
      </c>
      <c r="AH397" s="22">
        <f t="shared" si="344"/>
        <v>0</v>
      </c>
      <c r="AI397" s="35">
        <f t="shared" si="345"/>
        <v>0</v>
      </c>
      <c r="AJ397" s="35">
        <f t="shared" si="346"/>
        <v>0</v>
      </c>
      <c r="AK397" s="35">
        <f t="shared" si="347"/>
        <v>0</v>
      </c>
      <c r="AL397">
        <f t="shared" si="348"/>
        <v>0</v>
      </c>
      <c r="AM397">
        <f t="shared" si="349"/>
        <v>0</v>
      </c>
      <c r="AN397">
        <f t="shared" si="350"/>
        <v>0</v>
      </c>
      <c r="AO397">
        <f t="shared" si="351"/>
        <v>0</v>
      </c>
      <c r="AP397">
        <f t="shared" si="352"/>
        <v>0</v>
      </c>
      <c r="AQ397">
        <f t="shared" si="353"/>
        <v>0</v>
      </c>
      <c r="AR397">
        <f t="shared" si="354"/>
        <v>0</v>
      </c>
      <c r="AS397">
        <f t="shared" si="355"/>
        <v>0</v>
      </c>
      <c r="AT397">
        <f t="shared" si="356"/>
        <v>0</v>
      </c>
      <c r="AU397">
        <f t="shared" si="357"/>
        <v>0</v>
      </c>
      <c r="AV397">
        <v>0</v>
      </c>
      <c r="AW397">
        <v>0</v>
      </c>
      <c r="AX397">
        <f t="shared" si="358"/>
        <v>0</v>
      </c>
      <c r="AY397">
        <f t="shared" si="359"/>
        <v>0</v>
      </c>
      <c r="AZ397">
        <f t="shared" si="360"/>
        <v>0</v>
      </c>
      <c r="BA397">
        <f t="shared" si="361"/>
        <v>1</v>
      </c>
      <c r="BB397">
        <f t="shared" si="362"/>
        <v>2000</v>
      </c>
      <c r="BC397">
        <f t="shared" si="363"/>
        <v>60000</v>
      </c>
      <c r="BD397">
        <f t="shared" si="364"/>
        <v>0</v>
      </c>
      <c r="BE397">
        <f t="shared" si="365"/>
        <v>0</v>
      </c>
      <c r="BF397">
        <f t="shared" si="366"/>
        <v>0</v>
      </c>
      <c r="BG397">
        <f t="shared" si="367"/>
        <v>0</v>
      </c>
      <c r="BH397">
        <f t="shared" si="368"/>
        <v>0</v>
      </c>
      <c r="BI397">
        <f t="shared" si="369"/>
        <v>0</v>
      </c>
      <c r="BJ397">
        <v>0</v>
      </c>
      <c r="BK397" t="str">
        <f t="shared" si="381"/>
        <v>Big Win</v>
      </c>
      <c r="BL397" s="40" t="str">
        <f t="shared" si="382"/>
        <v>Bonus Game B</v>
      </c>
      <c r="BM397">
        <f>(D397/Frequency!$N$7-Summary!$C$7)^2*E397</f>
        <v>1700611.2</v>
      </c>
      <c r="BN397">
        <f t="shared" si="370"/>
        <v>0</v>
      </c>
      <c r="BO397">
        <f t="shared" si="371"/>
        <v>0</v>
      </c>
      <c r="BP397">
        <f t="shared" si="372"/>
        <v>0</v>
      </c>
      <c r="BQ397">
        <f t="shared" si="373"/>
        <v>0</v>
      </c>
      <c r="BR397">
        <f t="shared" si="374"/>
        <v>0</v>
      </c>
      <c r="BS397">
        <f t="shared" si="375"/>
        <v>0</v>
      </c>
      <c r="BT397">
        <f t="shared" si="376"/>
        <v>0</v>
      </c>
      <c r="BU397">
        <f t="shared" si="377"/>
        <v>2000</v>
      </c>
      <c r="BV397">
        <f t="shared" si="378"/>
        <v>60000</v>
      </c>
      <c r="BW397">
        <f t="shared" si="379"/>
        <v>0</v>
      </c>
      <c r="BX397">
        <f t="shared" si="380"/>
        <v>0</v>
      </c>
    </row>
    <row r="398" spans="2:76">
      <c r="B398" s="19">
        <f>Tiers!B399</f>
        <v>396</v>
      </c>
      <c r="C398" s="212" t="str">
        <f>Tiers!X399</f>
        <v>bonusB-9|||||||||</v>
      </c>
      <c r="D398" s="21">
        <f>Tiers!C399</f>
        <v>50</v>
      </c>
      <c r="E398" s="22">
        <f>Frequency!E400</f>
        <v>500</v>
      </c>
      <c r="F398" s="22">
        <f t="shared" si="330"/>
        <v>25000</v>
      </c>
      <c r="G398" s="20">
        <f>IF(AND(D398/Summary!$C$4&gt;0, D398/Summary!$C$4&lt;5),E398,0) * D398</f>
        <v>0</v>
      </c>
      <c r="H398" s="20">
        <f>IF(AND(D398/Summary!$C$4&gt;= 5, D398/Summary!$C$4&lt;10),E398,0) * D398</f>
        <v>0</v>
      </c>
      <c r="I398" s="20">
        <f>IF(AND(D398/Summary!$C$4&gt;=10, D398/Summary!$C$4&lt;25),E398,0)*D398</f>
        <v>0</v>
      </c>
      <c r="J398" s="20">
        <f>IF(D398/Summary!$C$4&gt;=25,E398,0)*D398</f>
        <v>25000</v>
      </c>
      <c r="K398" s="35">
        <f>IF(AND(D398/Frequency!$N$7&gt;0, D398/Frequency!$N$7&lt;1),E398,0)</f>
        <v>0</v>
      </c>
      <c r="L398" s="35">
        <f t="shared" si="331"/>
        <v>0</v>
      </c>
      <c r="M398" s="35">
        <f>IF(D398/Frequency!$N$7=1,1,0)*E398</f>
        <v>0</v>
      </c>
      <c r="N398" s="35">
        <f t="shared" si="332"/>
        <v>0</v>
      </c>
      <c r="O398" s="35">
        <f>IF(AND(D398/Frequency!$N$7&gt;1, D398/Frequency!$N$7&lt;=2),1,0)*E398</f>
        <v>0</v>
      </c>
      <c r="P398" s="35">
        <f t="shared" si="333"/>
        <v>0</v>
      </c>
      <c r="Q398" s="35">
        <f>IF(AND(D398/Frequency!$N$7&gt;2,D398/Frequency!$N$7&lt;=5),1,0)*E398</f>
        <v>0</v>
      </c>
      <c r="R398" s="35">
        <f t="shared" si="334"/>
        <v>0</v>
      </c>
      <c r="S398" s="35">
        <f>IF(AND(D398/Frequency!$N$7&gt;5, D398/Frequency!$N$7&lt;=10),1,0)*E398</f>
        <v>0</v>
      </c>
      <c r="T398" s="35">
        <f t="shared" si="335"/>
        <v>0</v>
      </c>
      <c r="U398" s="35">
        <f>IF(AND(D398/Frequency!$N$7&gt;10, D398/Frequency!$N$7&lt;=20),1,0)*E398</f>
        <v>0</v>
      </c>
      <c r="V398" s="35">
        <f t="shared" si="336"/>
        <v>0</v>
      </c>
      <c r="W398" s="35">
        <f>IF(AND(D398/Frequency!$N$7&gt;20, D398/Frequency!$N$7&lt;=30),1,0)*E398</f>
        <v>0</v>
      </c>
      <c r="X398" s="35">
        <f t="shared" si="337"/>
        <v>0</v>
      </c>
      <c r="Y398" s="35">
        <f>IF(AND(D398/Frequency!$N$7&gt;30, D398/Frequency!$N$7&lt;=50),1,0)*E398</f>
        <v>500</v>
      </c>
      <c r="Z398" s="35">
        <f t="shared" si="338"/>
        <v>25000</v>
      </c>
      <c r="AA398" s="35">
        <f>IF(AND(D398/Frequency!$N$7&gt;50, D398/Frequency!$N$7&lt;=100),1,0)*E398</f>
        <v>0</v>
      </c>
      <c r="AB398" s="35">
        <f t="shared" si="339"/>
        <v>0</v>
      </c>
      <c r="AC398" s="35">
        <f>IF(D398/Frequency!$N$7&gt;100,1,0)*E398</f>
        <v>0</v>
      </c>
      <c r="AD398" s="35">
        <f t="shared" si="340"/>
        <v>0</v>
      </c>
      <c r="AE398" s="22">
        <f t="shared" si="341"/>
        <v>0</v>
      </c>
      <c r="AF398" s="22">
        <f t="shared" si="342"/>
        <v>500</v>
      </c>
      <c r="AG398" s="22">
        <f t="shared" si="343"/>
        <v>25000</v>
      </c>
      <c r="AH398" s="22">
        <f t="shared" si="344"/>
        <v>0</v>
      </c>
      <c r="AI398" s="35">
        <f t="shared" si="345"/>
        <v>0</v>
      </c>
      <c r="AJ398" s="35">
        <f t="shared" si="346"/>
        <v>0</v>
      </c>
      <c r="AK398" s="35">
        <f t="shared" si="347"/>
        <v>0</v>
      </c>
      <c r="AL398">
        <f t="shared" si="348"/>
        <v>0</v>
      </c>
      <c r="AM398">
        <f t="shared" si="349"/>
        <v>0</v>
      </c>
      <c r="AN398">
        <f t="shared" si="350"/>
        <v>0</v>
      </c>
      <c r="AO398">
        <f t="shared" si="351"/>
        <v>0</v>
      </c>
      <c r="AP398">
        <f t="shared" si="352"/>
        <v>0</v>
      </c>
      <c r="AQ398">
        <f t="shared" si="353"/>
        <v>0</v>
      </c>
      <c r="AR398">
        <f t="shared" si="354"/>
        <v>0</v>
      </c>
      <c r="AS398">
        <f t="shared" si="355"/>
        <v>0</v>
      </c>
      <c r="AT398">
        <f t="shared" si="356"/>
        <v>0</v>
      </c>
      <c r="AU398">
        <f t="shared" si="357"/>
        <v>0</v>
      </c>
      <c r="AV398">
        <v>0</v>
      </c>
      <c r="AW398">
        <v>0</v>
      </c>
      <c r="AX398">
        <f t="shared" si="358"/>
        <v>0</v>
      </c>
      <c r="AY398">
        <f t="shared" si="359"/>
        <v>0</v>
      </c>
      <c r="AZ398">
        <f t="shared" si="360"/>
        <v>0</v>
      </c>
      <c r="BA398">
        <f t="shared" si="361"/>
        <v>1</v>
      </c>
      <c r="BB398">
        <f t="shared" si="362"/>
        <v>500</v>
      </c>
      <c r="BC398">
        <f t="shared" si="363"/>
        <v>25000</v>
      </c>
      <c r="BD398">
        <f t="shared" si="364"/>
        <v>0</v>
      </c>
      <c r="BE398">
        <f t="shared" si="365"/>
        <v>0</v>
      </c>
      <c r="BF398">
        <f t="shared" si="366"/>
        <v>0</v>
      </c>
      <c r="BG398">
        <f t="shared" si="367"/>
        <v>0</v>
      </c>
      <c r="BH398">
        <f t="shared" si="368"/>
        <v>0</v>
      </c>
      <c r="BI398">
        <f t="shared" si="369"/>
        <v>0</v>
      </c>
      <c r="BJ398">
        <v>0</v>
      </c>
      <c r="BK398" t="str">
        <f t="shared" si="381"/>
        <v>Huge Win</v>
      </c>
      <c r="BL398" s="40" t="str">
        <f t="shared" si="382"/>
        <v>Bonus Game B</v>
      </c>
      <c r="BM398">
        <f>(D398/Frequency!$N$7-Summary!$C$7)^2*E398</f>
        <v>1208352.7999999998</v>
      </c>
      <c r="BN398">
        <f t="shared" si="370"/>
        <v>0</v>
      </c>
      <c r="BO398">
        <f t="shared" si="371"/>
        <v>0</v>
      </c>
      <c r="BP398">
        <f t="shared" si="372"/>
        <v>0</v>
      </c>
      <c r="BQ398">
        <f t="shared" si="373"/>
        <v>0</v>
      </c>
      <c r="BR398">
        <f t="shared" si="374"/>
        <v>0</v>
      </c>
      <c r="BS398">
        <f t="shared" si="375"/>
        <v>0</v>
      </c>
      <c r="BT398">
        <f t="shared" si="376"/>
        <v>0</v>
      </c>
      <c r="BU398">
        <f t="shared" si="377"/>
        <v>500</v>
      </c>
      <c r="BV398">
        <f t="shared" si="378"/>
        <v>25000</v>
      </c>
      <c r="BW398">
        <f t="shared" si="379"/>
        <v>0</v>
      </c>
      <c r="BX398">
        <f t="shared" si="380"/>
        <v>0</v>
      </c>
    </row>
    <row r="399" spans="2:76">
      <c r="B399" s="19">
        <f>Tiers!B400</f>
        <v>397</v>
      </c>
      <c r="C399" s="212" t="str">
        <f>Tiers!X400</f>
        <v>bonusB-10|||||||||</v>
      </c>
      <c r="D399" s="21">
        <f>Tiers!C400</f>
        <v>100</v>
      </c>
      <c r="E399" s="22">
        <f>Frequency!E401</f>
        <v>50</v>
      </c>
      <c r="F399" s="22">
        <f t="shared" si="330"/>
        <v>5000</v>
      </c>
      <c r="G399" s="20">
        <f>IF(AND(D399/Summary!$C$4&gt;0, D399/Summary!$C$4&lt;5),E399,0) * D399</f>
        <v>0</v>
      </c>
      <c r="H399" s="20">
        <f>IF(AND(D399/Summary!$C$4&gt;= 5, D399/Summary!$C$4&lt;10),E399,0) * D399</f>
        <v>0</v>
      </c>
      <c r="I399" s="20">
        <f>IF(AND(D399/Summary!$C$4&gt;=10, D399/Summary!$C$4&lt;25),E399,0)*D399</f>
        <v>0</v>
      </c>
      <c r="J399" s="20">
        <f>IF(D399/Summary!$C$4&gt;=25,E399,0)*D399</f>
        <v>5000</v>
      </c>
      <c r="K399" s="35">
        <f>IF(AND(D399/Frequency!$N$7&gt;0, D399/Frequency!$N$7&lt;1),E399,0)</f>
        <v>0</v>
      </c>
      <c r="L399" s="35">
        <f t="shared" si="331"/>
        <v>0</v>
      </c>
      <c r="M399" s="35">
        <f>IF(D399/Frequency!$N$7=1,1,0)*E399</f>
        <v>0</v>
      </c>
      <c r="N399" s="35">
        <f t="shared" si="332"/>
        <v>0</v>
      </c>
      <c r="O399" s="35">
        <f>IF(AND(D399/Frequency!$N$7&gt;1, D399/Frequency!$N$7&lt;=2),1,0)*E399</f>
        <v>0</v>
      </c>
      <c r="P399" s="35">
        <f t="shared" si="333"/>
        <v>0</v>
      </c>
      <c r="Q399" s="35">
        <f>IF(AND(D399/Frequency!$N$7&gt;2,D399/Frequency!$N$7&lt;=5),1,0)*E399</f>
        <v>0</v>
      </c>
      <c r="R399" s="35">
        <f t="shared" si="334"/>
        <v>0</v>
      </c>
      <c r="S399" s="35">
        <f>IF(AND(D399/Frequency!$N$7&gt;5, D399/Frequency!$N$7&lt;=10),1,0)*E399</f>
        <v>0</v>
      </c>
      <c r="T399" s="35">
        <f t="shared" si="335"/>
        <v>0</v>
      </c>
      <c r="U399" s="35">
        <f>IF(AND(D399/Frequency!$N$7&gt;10, D399/Frequency!$N$7&lt;=20),1,0)*E399</f>
        <v>0</v>
      </c>
      <c r="V399" s="35">
        <f t="shared" si="336"/>
        <v>0</v>
      </c>
      <c r="W399" s="35">
        <f>IF(AND(D399/Frequency!$N$7&gt;20, D399/Frequency!$N$7&lt;=30),1,0)*E399</f>
        <v>0</v>
      </c>
      <c r="X399" s="35">
        <f t="shared" si="337"/>
        <v>0</v>
      </c>
      <c r="Y399" s="35">
        <f>IF(AND(D399/Frequency!$N$7&gt;30, D399/Frequency!$N$7&lt;=50),1,0)*E399</f>
        <v>0</v>
      </c>
      <c r="Z399" s="35">
        <f t="shared" si="338"/>
        <v>0</v>
      </c>
      <c r="AA399" s="35">
        <f>IF(AND(D399/Frequency!$N$7&gt;50, D399/Frequency!$N$7&lt;=100),1,0)*E399</f>
        <v>50</v>
      </c>
      <c r="AB399" s="35">
        <f t="shared" si="339"/>
        <v>5000</v>
      </c>
      <c r="AC399" s="35">
        <f>IF(D399/Frequency!$N$7&gt;100,1,0)*E399</f>
        <v>0</v>
      </c>
      <c r="AD399" s="35">
        <f t="shared" si="340"/>
        <v>0</v>
      </c>
      <c r="AE399" s="22">
        <f t="shared" si="341"/>
        <v>0</v>
      </c>
      <c r="AF399" s="22">
        <f t="shared" si="342"/>
        <v>50</v>
      </c>
      <c r="AG399" s="22">
        <f t="shared" si="343"/>
        <v>5000</v>
      </c>
      <c r="AH399" s="22">
        <f t="shared" si="344"/>
        <v>0</v>
      </c>
      <c r="AI399" s="35">
        <f t="shared" si="345"/>
        <v>0</v>
      </c>
      <c r="AJ399" s="35">
        <f t="shared" si="346"/>
        <v>0</v>
      </c>
      <c r="AK399" s="35">
        <f t="shared" si="347"/>
        <v>0</v>
      </c>
      <c r="AL399">
        <f t="shared" si="348"/>
        <v>0</v>
      </c>
      <c r="AM399">
        <f t="shared" si="349"/>
        <v>0</v>
      </c>
      <c r="AN399">
        <f t="shared" si="350"/>
        <v>0</v>
      </c>
      <c r="AO399">
        <f t="shared" si="351"/>
        <v>0</v>
      </c>
      <c r="AP399">
        <f t="shared" si="352"/>
        <v>0</v>
      </c>
      <c r="AQ399">
        <f t="shared" si="353"/>
        <v>0</v>
      </c>
      <c r="AR399">
        <f t="shared" si="354"/>
        <v>0</v>
      </c>
      <c r="AS399">
        <f t="shared" si="355"/>
        <v>0</v>
      </c>
      <c r="AT399">
        <f t="shared" si="356"/>
        <v>0</v>
      </c>
      <c r="AU399">
        <f t="shared" si="357"/>
        <v>0</v>
      </c>
      <c r="AV399">
        <v>0</v>
      </c>
      <c r="AW399">
        <v>0</v>
      </c>
      <c r="AX399">
        <f t="shared" si="358"/>
        <v>0</v>
      </c>
      <c r="AY399">
        <f t="shared" si="359"/>
        <v>0</v>
      </c>
      <c r="AZ399">
        <f t="shared" si="360"/>
        <v>0</v>
      </c>
      <c r="BA399">
        <f t="shared" si="361"/>
        <v>1</v>
      </c>
      <c r="BB399">
        <f t="shared" si="362"/>
        <v>50</v>
      </c>
      <c r="BC399">
        <f t="shared" si="363"/>
        <v>5000</v>
      </c>
      <c r="BD399">
        <f t="shared" si="364"/>
        <v>0</v>
      </c>
      <c r="BE399">
        <f t="shared" si="365"/>
        <v>0</v>
      </c>
      <c r="BF399">
        <f t="shared" si="366"/>
        <v>0</v>
      </c>
      <c r="BG399">
        <f t="shared" si="367"/>
        <v>0</v>
      </c>
      <c r="BH399">
        <f t="shared" si="368"/>
        <v>0</v>
      </c>
      <c r="BI399">
        <f t="shared" si="369"/>
        <v>0</v>
      </c>
      <c r="BJ399">
        <v>1</v>
      </c>
      <c r="BK399" t="str">
        <f>IF(D399 &lt; $D$417, $C$417,
      IF(D399 = $D$418, $C$418,
          IF(D399 &lt; $D$419, $C$419,
              IF(D399 &lt; $D$420, $C$420,
                 IF(D399 &lt; $D$421, $C$421, $C$422)))))</f>
        <v>Huge Win</v>
      </c>
      <c r="BL399" s="40" t="str">
        <f>IF(AU399 = 1,$C$426,
      IF(AV399 = 1,$C$427,
          IF(AW399 = 1,$C$428,
              IF(AX399 = 1,$C$429,
                  IF(BA399 = 1,$C$430,
                     IF(BD399 = 1,$C$431,
                        IF(BG399 = 1,$C$432,
                           IF(ISNUMBER(SEARCH("|||||||||",C399)), $C$433,$C$434))))))))</f>
        <v>Bonus Game B</v>
      </c>
      <c r="BM399">
        <f>(D399/Frequency!$N$7-Summary!$C$7)^2*E399</f>
        <v>491635.27999999997</v>
      </c>
      <c r="BN399">
        <f t="shared" si="370"/>
        <v>0</v>
      </c>
      <c r="BO399">
        <f t="shared" si="371"/>
        <v>0</v>
      </c>
      <c r="BP399">
        <f t="shared" si="372"/>
        <v>50</v>
      </c>
      <c r="BQ399">
        <f t="shared" si="373"/>
        <v>0</v>
      </c>
      <c r="BR399">
        <f t="shared" si="374"/>
        <v>0</v>
      </c>
      <c r="BS399">
        <f t="shared" si="375"/>
        <v>0</v>
      </c>
      <c r="BT399">
        <f t="shared" si="376"/>
        <v>0</v>
      </c>
      <c r="BU399">
        <f t="shared" si="377"/>
        <v>50</v>
      </c>
      <c r="BV399">
        <f t="shared" si="378"/>
        <v>5000</v>
      </c>
      <c r="BW399">
        <f t="shared" si="379"/>
        <v>0</v>
      </c>
      <c r="BX399">
        <f t="shared" si="380"/>
        <v>0</v>
      </c>
    </row>
    <row r="400" spans="2:76">
      <c r="B400" s="19">
        <f>Tiers!B401</f>
        <v>398</v>
      </c>
      <c r="C400" s="224" t="str">
        <f>Tiers!X401</f>
        <v>bonusC-0|||||||||</v>
      </c>
      <c r="D400" s="21">
        <f>Tiers!C401</f>
        <v>3</v>
      </c>
      <c r="E400" s="22">
        <f>Frequency!E402</f>
        <v>3000</v>
      </c>
      <c r="F400" s="22">
        <f t="shared" si="330"/>
        <v>9000</v>
      </c>
      <c r="G400" s="20">
        <f>IF(AND(D400/Summary!$C$4&gt;0, D400/Summary!$C$4&lt;5),E400,0) * D400</f>
        <v>9000</v>
      </c>
      <c r="H400" s="20">
        <f>IF(AND(D400/Summary!$C$4&gt;= 5, D400/Summary!$C$4&lt;10),E400,0) * D400</f>
        <v>0</v>
      </c>
      <c r="I400" s="20">
        <f>IF(AND(D400/Summary!$C$4&gt;=10, D400/Summary!$C$4&lt;25),E400,0)*D400</f>
        <v>0</v>
      </c>
      <c r="J400" s="20">
        <f>IF(D400/Summary!$C$4&gt;=25,E400,0)*D400</f>
        <v>0</v>
      </c>
      <c r="K400" s="35">
        <f>IF(AND(D400/Frequency!$N$7&gt;0, D400/Frequency!$N$7&lt;1),E400,0)</f>
        <v>0</v>
      </c>
      <c r="L400" s="35">
        <f t="shared" si="331"/>
        <v>0</v>
      </c>
      <c r="M400" s="35">
        <f>IF(D400/Frequency!$N$7=1,1,0)*E400</f>
        <v>0</v>
      </c>
      <c r="N400" s="35">
        <f t="shared" si="332"/>
        <v>0</v>
      </c>
      <c r="O400" s="35">
        <f>IF(AND(D400/Frequency!$N$7&gt;1, D400/Frequency!$N$7&lt;=2),1,0)*E400</f>
        <v>0</v>
      </c>
      <c r="P400" s="35">
        <f t="shared" si="333"/>
        <v>0</v>
      </c>
      <c r="Q400" s="35">
        <f>IF(AND(D400/Frequency!$N$7&gt;2,D400/Frequency!$N$7&lt;=5),1,0)*E400</f>
        <v>3000</v>
      </c>
      <c r="R400" s="35">
        <f t="shared" si="334"/>
        <v>9000</v>
      </c>
      <c r="S400" s="35">
        <f>IF(AND(D400/Frequency!$N$7&gt;5, D400/Frequency!$N$7&lt;=10),1,0)*E400</f>
        <v>0</v>
      </c>
      <c r="T400" s="35">
        <f t="shared" si="335"/>
        <v>0</v>
      </c>
      <c r="U400" s="35">
        <f>IF(AND(D400/Frequency!$N$7&gt;10, D400/Frequency!$N$7&lt;=20),1,0)*E400</f>
        <v>0</v>
      </c>
      <c r="V400" s="35">
        <f t="shared" si="336"/>
        <v>0</v>
      </c>
      <c r="W400" s="35">
        <f>IF(AND(D400/Frequency!$N$7&gt;20, D400/Frequency!$N$7&lt;=30),1,0)*E400</f>
        <v>0</v>
      </c>
      <c r="X400" s="35">
        <f t="shared" si="337"/>
        <v>0</v>
      </c>
      <c r="Y400" s="35">
        <f>IF(AND(D400/Frequency!$N$7&gt;30, D400/Frequency!$N$7&lt;=50),1,0)*E400</f>
        <v>0</v>
      </c>
      <c r="Z400" s="35">
        <f t="shared" si="338"/>
        <v>0</v>
      </c>
      <c r="AA400" s="35">
        <f>IF(AND(D400/Frequency!$N$7&gt;50, D400/Frequency!$N$7&lt;=100),1,0)*E400</f>
        <v>0</v>
      </c>
      <c r="AB400" s="35">
        <f t="shared" si="339"/>
        <v>0</v>
      </c>
      <c r="AC400" s="35">
        <f>IF(D400/Frequency!$N$7&gt;100,1,0)*E400</f>
        <v>0</v>
      </c>
      <c r="AD400" s="35">
        <f t="shared" si="340"/>
        <v>0</v>
      </c>
      <c r="AE400" s="22">
        <f t="shared" si="341"/>
        <v>0</v>
      </c>
      <c r="AF400" s="22">
        <f t="shared" si="342"/>
        <v>0</v>
      </c>
      <c r="AG400" s="22">
        <f t="shared" si="343"/>
        <v>0</v>
      </c>
      <c r="AH400" s="22">
        <f t="shared" si="344"/>
        <v>0</v>
      </c>
      <c r="AI400" s="35">
        <f t="shared" si="345"/>
        <v>0</v>
      </c>
      <c r="AJ400" s="35">
        <f t="shared" si="346"/>
        <v>0</v>
      </c>
      <c r="AK400" s="35">
        <f t="shared" si="347"/>
        <v>0</v>
      </c>
      <c r="AL400">
        <f t="shared" si="348"/>
        <v>0</v>
      </c>
      <c r="AM400">
        <f t="shared" si="349"/>
        <v>0</v>
      </c>
      <c r="AN400">
        <f t="shared" si="350"/>
        <v>0</v>
      </c>
      <c r="AO400">
        <f t="shared" si="351"/>
        <v>0</v>
      </c>
      <c r="AP400">
        <f t="shared" si="352"/>
        <v>0</v>
      </c>
      <c r="AQ400">
        <f t="shared" si="353"/>
        <v>0</v>
      </c>
      <c r="AR400">
        <f t="shared" si="354"/>
        <v>0</v>
      </c>
      <c r="AS400">
        <f t="shared" si="355"/>
        <v>0</v>
      </c>
      <c r="AT400">
        <f t="shared" si="356"/>
        <v>0</v>
      </c>
      <c r="AU400">
        <f t="shared" si="357"/>
        <v>0</v>
      </c>
      <c r="AV400">
        <v>0</v>
      </c>
      <c r="AW400">
        <v>0</v>
      </c>
      <c r="AX400">
        <f t="shared" si="358"/>
        <v>0</v>
      </c>
      <c r="AY400">
        <f t="shared" si="359"/>
        <v>0</v>
      </c>
      <c r="AZ400">
        <f t="shared" si="360"/>
        <v>0</v>
      </c>
      <c r="BA400">
        <f t="shared" si="361"/>
        <v>0</v>
      </c>
      <c r="BB400">
        <f t="shared" si="362"/>
        <v>0</v>
      </c>
      <c r="BC400">
        <f t="shared" si="363"/>
        <v>0</v>
      </c>
      <c r="BD400">
        <f t="shared" si="364"/>
        <v>1</v>
      </c>
      <c r="BE400">
        <f t="shared" si="365"/>
        <v>3000</v>
      </c>
      <c r="BF400">
        <f t="shared" si="366"/>
        <v>9000</v>
      </c>
      <c r="BG400">
        <f t="shared" si="367"/>
        <v>0</v>
      </c>
      <c r="BH400">
        <f t="shared" si="368"/>
        <v>0</v>
      </c>
      <c r="BI400">
        <f t="shared" si="369"/>
        <v>0</v>
      </c>
      <c r="BJ400">
        <v>2</v>
      </c>
      <c r="BK400" t="str">
        <f t="shared" ref="BK400:BK408" si="383">IF(D400 &lt; $D$417, $C$417,
IF(D400 = $D$418, $C$418,
IF(D400 &lt; $D$419, $C$419,
IF(D400 &lt; $D$420, $C$420,
IF(D400 &lt; $D$421, $C$421, $C$422)))))</f>
        <v>Standard Win</v>
      </c>
      <c r="BL400" s="40" t="str">
        <f t="shared" ref="BL400:BL408" si="384">IF(AU400 = 1,$C$426,
IF(AV400 = 1,$C$427,
IF(AW400 = 1,$C$428,
IF(AX400 = 1,$C$429,
IF(BA400 = 1,$C$430,
IF(BD400 = 1,$C$431,
IF(BG400 = 1,$C$432,
IF(ISNUMBER(SEARCH("|||||||||",C400)), $C$433,$C$434))))))))</f>
        <v>Bonus Game C</v>
      </c>
      <c r="BM400">
        <f>(D400/Frequency!$N$7-Summary!$C$7)^2*E400</f>
        <v>13996.800000000001</v>
      </c>
      <c r="BN400">
        <f t="shared" si="370"/>
        <v>0</v>
      </c>
      <c r="BO400">
        <f t="shared" si="371"/>
        <v>0</v>
      </c>
      <c r="BP400">
        <f t="shared" si="372"/>
        <v>6000</v>
      </c>
      <c r="BQ400">
        <f t="shared" si="373"/>
        <v>0</v>
      </c>
      <c r="BR400">
        <f t="shared" si="374"/>
        <v>0</v>
      </c>
      <c r="BS400">
        <f t="shared" si="375"/>
        <v>0</v>
      </c>
      <c r="BT400">
        <f t="shared" si="376"/>
        <v>0</v>
      </c>
      <c r="BU400">
        <f t="shared" si="377"/>
        <v>0</v>
      </c>
      <c r="BV400">
        <f t="shared" si="378"/>
        <v>0</v>
      </c>
      <c r="BW400">
        <f t="shared" si="379"/>
        <v>0</v>
      </c>
      <c r="BX400">
        <f t="shared" si="380"/>
        <v>0</v>
      </c>
    </row>
    <row r="401" spans="2:76">
      <c r="B401" s="19">
        <f>Tiers!B402</f>
        <v>399</v>
      </c>
      <c r="C401" s="224" t="str">
        <f>Tiers!X402</f>
        <v>bonusC-1|||||||||</v>
      </c>
      <c r="D401" s="21">
        <f>Tiers!C402</f>
        <v>5</v>
      </c>
      <c r="E401" s="22">
        <f>Frequency!E403</f>
        <v>7700</v>
      </c>
      <c r="F401" s="22">
        <f t="shared" si="330"/>
        <v>38500</v>
      </c>
      <c r="G401" s="20">
        <f>IF(AND(D401/Summary!$C$4&gt;0, D401/Summary!$C$4&lt;5),E401,0) * D401</f>
        <v>0</v>
      </c>
      <c r="H401" s="20">
        <f>IF(AND(D401/Summary!$C$4&gt;= 5, D401/Summary!$C$4&lt;10),E401,0) * D401</f>
        <v>38500</v>
      </c>
      <c r="I401" s="20">
        <f>IF(AND(D401/Summary!$C$4&gt;=10, D401/Summary!$C$4&lt;25),E401,0)*D401</f>
        <v>0</v>
      </c>
      <c r="J401" s="20">
        <f>IF(D401/Summary!$C$4&gt;=25,E401,0)*D401</f>
        <v>0</v>
      </c>
      <c r="K401" s="35">
        <f>IF(AND(D401/Frequency!$N$7&gt;0, D401/Frequency!$N$7&lt;1),E401,0)</f>
        <v>0</v>
      </c>
      <c r="L401" s="35">
        <f t="shared" si="331"/>
        <v>0</v>
      </c>
      <c r="M401" s="35">
        <f>IF(D401/Frequency!$N$7=1,1,0)*E401</f>
        <v>0</v>
      </c>
      <c r="N401" s="35">
        <f t="shared" si="332"/>
        <v>0</v>
      </c>
      <c r="O401" s="35">
        <f>IF(AND(D401/Frequency!$N$7&gt;1, D401/Frequency!$N$7&lt;=2),1,0)*E401</f>
        <v>0</v>
      </c>
      <c r="P401" s="35">
        <f t="shared" si="333"/>
        <v>0</v>
      </c>
      <c r="Q401" s="35">
        <f>IF(AND(D401/Frequency!$N$7&gt;2,D401/Frequency!$N$7&lt;=5),1,0)*E401</f>
        <v>7700</v>
      </c>
      <c r="R401" s="35">
        <f t="shared" si="334"/>
        <v>38500</v>
      </c>
      <c r="S401" s="35">
        <f>IF(AND(D401/Frequency!$N$7&gt;5, D401/Frequency!$N$7&lt;=10),1,0)*E401</f>
        <v>0</v>
      </c>
      <c r="T401" s="35">
        <f t="shared" si="335"/>
        <v>0</v>
      </c>
      <c r="U401" s="35">
        <f>IF(AND(D401/Frequency!$N$7&gt;10, D401/Frequency!$N$7&lt;=20),1,0)*E401</f>
        <v>0</v>
      </c>
      <c r="V401" s="35">
        <f t="shared" si="336"/>
        <v>0</v>
      </c>
      <c r="W401" s="35">
        <f>IF(AND(D401/Frequency!$N$7&gt;20, D401/Frequency!$N$7&lt;=30),1,0)*E401</f>
        <v>0</v>
      </c>
      <c r="X401" s="35">
        <f t="shared" si="337"/>
        <v>0</v>
      </c>
      <c r="Y401" s="35">
        <f>IF(AND(D401/Frequency!$N$7&gt;30, D401/Frequency!$N$7&lt;=50),1,0)*E401</f>
        <v>0</v>
      </c>
      <c r="Z401" s="35">
        <f t="shared" si="338"/>
        <v>0</v>
      </c>
      <c r="AA401" s="35">
        <f>IF(AND(D401/Frequency!$N$7&gt;50, D401/Frequency!$N$7&lt;=100),1,0)*E401</f>
        <v>0</v>
      </c>
      <c r="AB401" s="35">
        <f t="shared" si="339"/>
        <v>0</v>
      </c>
      <c r="AC401" s="35">
        <f>IF(D401/Frequency!$N$7&gt;100,1,0)*E401</f>
        <v>0</v>
      </c>
      <c r="AD401" s="35">
        <f t="shared" si="340"/>
        <v>0</v>
      </c>
      <c r="AE401" s="22">
        <f t="shared" si="341"/>
        <v>0</v>
      </c>
      <c r="AF401" s="22">
        <f t="shared" si="342"/>
        <v>0</v>
      </c>
      <c r="AG401" s="22">
        <f t="shared" si="343"/>
        <v>0</v>
      </c>
      <c r="AH401" s="22">
        <f t="shared" si="344"/>
        <v>0</v>
      </c>
      <c r="AI401" s="35">
        <f t="shared" si="345"/>
        <v>0</v>
      </c>
      <c r="AJ401" s="35">
        <f t="shared" si="346"/>
        <v>0</v>
      </c>
      <c r="AK401" s="35">
        <f t="shared" si="347"/>
        <v>0</v>
      </c>
      <c r="AL401">
        <f t="shared" si="348"/>
        <v>0</v>
      </c>
      <c r="AM401">
        <f t="shared" si="349"/>
        <v>0</v>
      </c>
      <c r="AN401">
        <f t="shared" si="350"/>
        <v>0</v>
      </c>
      <c r="AO401">
        <f t="shared" si="351"/>
        <v>0</v>
      </c>
      <c r="AP401">
        <f t="shared" si="352"/>
        <v>0</v>
      </c>
      <c r="AQ401">
        <f t="shared" si="353"/>
        <v>0</v>
      </c>
      <c r="AR401">
        <f t="shared" si="354"/>
        <v>0</v>
      </c>
      <c r="AS401">
        <f t="shared" si="355"/>
        <v>0</v>
      </c>
      <c r="AT401">
        <f t="shared" si="356"/>
        <v>0</v>
      </c>
      <c r="AU401">
        <f t="shared" si="357"/>
        <v>0</v>
      </c>
      <c r="AV401">
        <v>0</v>
      </c>
      <c r="AW401">
        <v>0</v>
      </c>
      <c r="AX401">
        <f t="shared" si="358"/>
        <v>0</v>
      </c>
      <c r="AY401">
        <f t="shared" si="359"/>
        <v>0</v>
      </c>
      <c r="AZ401">
        <f t="shared" si="360"/>
        <v>0</v>
      </c>
      <c r="BA401">
        <f t="shared" si="361"/>
        <v>0</v>
      </c>
      <c r="BB401">
        <f t="shared" si="362"/>
        <v>0</v>
      </c>
      <c r="BC401">
        <f t="shared" si="363"/>
        <v>0</v>
      </c>
      <c r="BD401">
        <f t="shared" si="364"/>
        <v>1</v>
      </c>
      <c r="BE401">
        <f t="shared" si="365"/>
        <v>7700</v>
      </c>
      <c r="BF401">
        <f t="shared" si="366"/>
        <v>38500</v>
      </c>
      <c r="BG401">
        <f t="shared" si="367"/>
        <v>0</v>
      </c>
      <c r="BH401">
        <f t="shared" si="368"/>
        <v>0</v>
      </c>
      <c r="BI401">
        <f t="shared" si="369"/>
        <v>0</v>
      </c>
      <c r="BJ401">
        <v>3</v>
      </c>
      <c r="BK401" t="str">
        <f t="shared" si="383"/>
        <v>Standard Win</v>
      </c>
      <c r="BL401" s="40" t="str">
        <f t="shared" si="384"/>
        <v>Bonus Game C</v>
      </c>
      <c r="BM401">
        <f>(D401/Frequency!$N$7-Summary!$C$7)^2*E401</f>
        <v>133253.12000000002</v>
      </c>
      <c r="BN401">
        <f t="shared" si="370"/>
        <v>0</v>
      </c>
      <c r="BO401">
        <f t="shared" si="371"/>
        <v>0</v>
      </c>
      <c r="BP401">
        <f t="shared" si="372"/>
        <v>23100</v>
      </c>
      <c r="BQ401">
        <f t="shared" si="373"/>
        <v>0</v>
      </c>
      <c r="BR401">
        <f t="shared" si="374"/>
        <v>0</v>
      </c>
      <c r="BS401">
        <f t="shared" si="375"/>
        <v>0</v>
      </c>
      <c r="BT401">
        <f t="shared" si="376"/>
        <v>0</v>
      </c>
      <c r="BU401">
        <f t="shared" si="377"/>
        <v>0</v>
      </c>
      <c r="BV401">
        <f t="shared" si="378"/>
        <v>0</v>
      </c>
      <c r="BW401">
        <f t="shared" si="379"/>
        <v>0</v>
      </c>
      <c r="BX401">
        <f t="shared" si="380"/>
        <v>0</v>
      </c>
    </row>
    <row r="402" spans="2:76">
      <c r="B402" s="19">
        <f>Tiers!B403</f>
        <v>400</v>
      </c>
      <c r="C402" s="224" t="str">
        <f>Tiers!X403</f>
        <v>bonusC-2|||||||||</v>
      </c>
      <c r="D402" s="21">
        <f>Tiers!C403</f>
        <v>8</v>
      </c>
      <c r="E402" s="22">
        <f>Frequency!E404</f>
        <v>8500</v>
      </c>
      <c r="F402" s="22">
        <f t="shared" si="330"/>
        <v>68000</v>
      </c>
      <c r="G402" s="20">
        <f>IF(AND(D402/Summary!$C$4&gt;0, D402/Summary!$C$4&lt;5),E402,0) * D402</f>
        <v>0</v>
      </c>
      <c r="H402" s="20">
        <f>IF(AND(D402/Summary!$C$4&gt;= 5, D402/Summary!$C$4&lt;10),E402,0) * D402</f>
        <v>68000</v>
      </c>
      <c r="I402" s="20">
        <f>IF(AND(D402/Summary!$C$4&gt;=10, D402/Summary!$C$4&lt;25),E402,0)*D402</f>
        <v>0</v>
      </c>
      <c r="J402" s="20">
        <f>IF(D402/Summary!$C$4&gt;=25,E402,0)*D402</f>
        <v>0</v>
      </c>
      <c r="K402" s="35">
        <f>IF(AND(D402/Frequency!$N$7&gt;0, D402/Frequency!$N$7&lt;1),E402,0)</f>
        <v>0</v>
      </c>
      <c r="L402" s="35">
        <f t="shared" si="331"/>
        <v>0</v>
      </c>
      <c r="M402" s="35">
        <f>IF(D402/Frequency!$N$7=1,1,0)*E402</f>
        <v>0</v>
      </c>
      <c r="N402" s="35">
        <f t="shared" si="332"/>
        <v>0</v>
      </c>
      <c r="O402" s="35">
        <f>IF(AND(D402/Frequency!$N$7&gt;1, D402/Frequency!$N$7&lt;=2),1,0)*E402</f>
        <v>0</v>
      </c>
      <c r="P402" s="35">
        <f t="shared" si="333"/>
        <v>0</v>
      </c>
      <c r="Q402" s="35">
        <f>IF(AND(D402/Frequency!$N$7&gt;2,D402/Frequency!$N$7&lt;=5),1,0)*E402</f>
        <v>0</v>
      </c>
      <c r="R402" s="35">
        <f t="shared" si="334"/>
        <v>0</v>
      </c>
      <c r="S402" s="35">
        <f>IF(AND(D402/Frequency!$N$7&gt;5, D402/Frequency!$N$7&lt;=10),1,0)*E402</f>
        <v>8500</v>
      </c>
      <c r="T402" s="35">
        <f t="shared" si="335"/>
        <v>68000</v>
      </c>
      <c r="U402" s="35">
        <f>IF(AND(D402/Frequency!$N$7&gt;10, D402/Frequency!$N$7&lt;=20),1,0)*E402</f>
        <v>0</v>
      </c>
      <c r="V402" s="35">
        <f t="shared" si="336"/>
        <v>0</v>
      </c>
      <c r="W402" s="35">
        <f>IF(AND(D402/Frequency!$N$7&gt;20, D402/Frequency!$N$7&lt;=30),1,0)*E402</f>
        <v>0</v>
      </c>
      <c r="X402" s="35">
        <f t="shared" si="337"/>
        <v>0</v>
      </c>
      <c r="Y402" s="35">
        <f>IF(AND(D402/Frequency!$N$7&gt;30, D402/Frequency!$N$7&lt;=50),1,0)*E402</f>
        <v>0</v>
      </c>
      <c r="Z402" s="35">
        <f t="shared" si="338"/>
        <v>0</v>
      </c>
      <c r="AA402" s="35">
        <f>IF(AND(D402/Frequency!$N$7&gt;50, D402/Frequency!$N$7&lt;=100),1,0)*E402</f>
        <v>0</v>
      </c>
      <c r="AB402" s="35">
        <f t="shared" si="339"/>
        <v>0</v>
      </c>
      <c r="AC402" s="35">
        <f>IF(D402/Frequency!$N$7&gt;100,1,0)*E402</f>
        <v>0</v>
      </c>
      <c r="AD402" s="35">
        <f t="shared" si="340"/>
        <v>0</v>
      </c>
      <c r="AE402" s="22">
        <f t="shared" si="341"/>
        <v>0</v>
      </c>
      <c r="AF402" s="22">
        <f t="shared" si="342"/>
        <v>0</v>
      </c>
      <c r="AG402" s="22">
        <f t="shared" si="343"/>
        <v>0</v>
      </c>
      <c r="AH402" s="22">
        <f t="shared" si="344"/>
        <v>0</v>
      </c>
      <c r="AI402" s="35">
        <f t="shared" si="345"/>
        <v>0</v>
      </c>
      <c r="AJ402" s="35">
        <f t="shared" si="346"/>
        <v>0</v>
      </c>
      <c r="AK402" s="35">
        <f t="shared" si="347"/>
        <v>0</v>
      </c>
      <c r="AL402">
        <f t="shared" si="348"/>
        <v>0</v>
      </c>
      <c r="AM402">
        <f t="shared" si="349"/>
        <v>0</v>
      </c>
      <c r="AN402">
        <f t="shared" si="350"/>
        <v>0</v>
      </c>
      <c r="AO402">
        <f t="shared" si="351"/>
        <v>0</v>
      </c>
      <c r="AP402">
        <f t="shared" si="352"/>
        <v>0</v>
      </c>
      <c r="AQ402">
        <f t="shared" si="353"/>
        <v>0</v>
      </c>
      <c r="AR402">
        <f t="shared" si="354"/>
        <v>0</v>
      </c>
      <c r="AS402">
        <f t="shared" si="355"/>
        <v>0</v>
      </c>
      <c r="AT402">
        <f t="shared" si="356"/>
        <v>0</v>
      </c>
      <c r="AU402">
        <f t="shared" si="357"/>
        <v>0</v>
      </c>
      <c r="AV402">
        <v>0</v>
      </c>
      <c r="AW402">
        <v>0</v>
      </c>
      <c r="AX402">
        <f t="shared" si="358"/>
        <v>0</v>
      </c>
      <c r="AY402">
        <f t="shared" si="359"/>
        <v>0</v>
      </c>
      <c r="AZ402">
        <f t="shared" si="360"/>
        <v>0</v>
      </c>
      <c r="BA402">
        <f t="shared" si="361"/>
        <v>0</v>
      </c>
      <c r="BB402">
        <f t="shared" si="362"/>
        <v>0</v>
      </c>
      <c r="BC402">
        <f t="shared" si="363"/>
        <v>0</v>
      </c>
      <c r="BD402">
        <f t="shared" si="364"/>
        <v>1</v>
      </c>
      <c r="BE402">
        <f t="shared" si="365"/>
        <v>8500</v>
      </c>
      <c r="BF402">
        <f t="shared" si="366"/>
        <v>68000</v>
      </c>
      <c r="BG402">
        <f t="shared" si="367"/>
        <v>0</v>
      </c>
      <c r="BH402">
        <f t="shared" si="368"/>
        <v>0</v>
      </c>
      <c r="BI402">
        <f t="shared" si="369"/>
        <v>0</v>
      </c>
      <c r="BJ402">
        <v>4</v>
      </c>
      <c r="BK402" t="str">
        <f t="shared" si="383"/>
        <v>Standard Win</v>
      </c>
      <c r="BL402" s="40" t="str">
        <f t="shared" si="384"/>
        <v>Bonus Game C</v>
      </c>
      <c r="BM402">
        <f>(D402/Frequency!$N$7-Summary!$C$7)^2*E402</f>
        <v>435757.6</v>
      </c>
      <c r="BN402">
        <f t="shared" si="370"/>
        <v>0</v>
      </c>
      <c r="BO402">
        <f t="shared" si="371"/>
        <v>0</v>
      </c>
      <c r="BP402">
        <f t="shared" si="372"/>
        <v>34000</v>
      </c>
      <c r="BQ402">
        <f t="shared" si="373"/>
        <v>0</v>
      </c>
      <c r="BR402">
        <f t="shared" si="374"/>
        <v>0</v>
      </c>
      <c r="BS402">
        <f t="shared" si="375"/>
        <v>0</v>
      </c>
      <c r="BT402">
        <f t="shared" si="376"/>
        <v>0</v>
      </c>
      <c r="BU402">
        <f t="shared" si="377"/>
        <v>0</v>
      </c>
      <c r="BV402">
        <f t="shared" si="378"/>
        <v>0</v>
      </c>
      <c r="BW402">
        <f t="shared" si="379"/>
        <v>0</v>
      </c>
      <c r="BX402">
        <f t="shared" si="380"/>
        <v>0</v>
      </c>
    </row>
    <row r="403" spans="2:76">
      <c r="B403" s="19">
        <f>Tiers!B404</f>
        <v>401</v>
      </c>
      <c r="C403" s="224" t="str">
        <f>Tiers!X404</f>
        <v>bonusC-3|||||||||</v>
      </c>
      <c r="D403" s="21">
        <f>Tiers!C404</f>
        <v>10</v>
      </c>
      <c r="E403" s="22">
        <f>Frequency!E405</f>
        <v>8500</v>
      </c>
      <c r="F403" s="22">
        <f t="shared" si="330"/>
        <v>85000</v>
      </c>
      <c r="G403" s="20">
        <f>IF(AND(D403/Summary!$C$4&gt;0, D403/Summary!$C$4&lt;5),E403,0) * D403</f>
        <v>0</v>
      </c>
      <c r="H403" s="20">
        <f>IF(AND(D403/Summary!$C$4&gt;= 5, D403/Summary!$C$4&lt;10),E403,0) * D403</f>
        <v>0</v>
      </c>
      <c r="I403" s="20">
        <f>IF(AND(D403/Summary!$C$4&gt;=10, D403/Summary!$C$4&lt;25),E403,0)*D403</f>
        <v>85000</v>
      </c>
      <c r="J403" s="20">
        <f>IF(D403/Summary!$C$4&gt;=25,E403,0)*D403</f>
        <v>0</v>
      </c>
      <c r="K403" s="35">
        <f>IF(AND(D403/Frequency!$N$7&gt;0, D403/Frequency!$N$7&lt;1),E403,0)</f>
        <v>0</v>
      </c>
      <c r="L403" s="35">
        <f t="shared" si="331"/>
        <v>0</v>
      </c>
      <c r="M403" s="35">
        <f>IF(D403/Frequency!$N$7=1,1,0)*E403</f>
        <v>0</v>
      </c>
      <c r="N403" s="35">
        <f t="shared" si="332"/>
        <v>0</v>
      </c>
      <c r="O403" s="35">
        <f>IF(AND(D403/Frequency!$N$7&gt;1, D403/Frequency!$N$7&lt;=2),1,0)*E403</f>
        <v>0</v>
      </c>
      <c r="P403" s="35">
        <f t="shared" si="333"/>
        <v>0</v>
      </c>
      <c r="Q403" s="35">
        <f>IF(AND(D403/Frequency!$N$7&gt;2,D403/Frequency!$N$7&lt;=5),1,0)*E403</f>
        <v>0</v>
      </c>
      <c r="R403" s="35">
        <f t="shared" si="334"/>
        <v>0</v>
      </c>
      <c r="S403" s="35">
        <f>IF(AND(D403/Frequency!$N$7&gt;5, D403/Frequency!$N$7&lt;=10),1,0)*E403</f>
        <v>8500</v>
      </c>
      <c r="T403" s="35">
        <f t="shared" si="335"/>
        <v>85000</v>
      </c>
      <c r="U403" s="35">
        <f>IF(AND(D403/Frequency!$N$7&gt;10, D403/Frequency!$N$7&lt;=20),1,0)*E403</f>
        <v>0</v>
      </c>
      <c r="V403" s="35">
        <f t="shared" si="336"/>
        <v>0</v>
      </c>
      <c r="W403" s="35">
        <f>IF(AND(D403/Frequency!$N$7&gt;20, D403/Frequency!$N$7&lt;=30),1,0)*E403</f>
        <v>0</v>
      </c>
      <c r="X403" s="35">
        <f t="shared" si="337"/>
        <v>0</v>
      </c>
      <c r="Y403" s="35">
        <f>IF(AND(D403/Frequency!$N$7&gt;30, D403/Frequency!$N$7&lt;=50),1,0)*E403</f>
        <v>0</v>
      </c>
      <c r="Z403" s="35">
        <f t="shared" si="338"/>
        <v>0</v>
      </c>
      <c r="AA403" s="35">
        <f>IF(AND(D403/Frequency!$N$7&gt;50, D403/Frequency!$N$7&lt;=100),1,0)*E403</f>
        <v>0</v>
      </c>
      <c r="AB403" s="35">
        <f t="shared" si="339"/>
        <v>0</v>
      </c>
      <c r="AC403" s="35">
        <f>IF(D403/Frequency!$N$7&gt;100,1,0)*E403</f>
        <v>0</v>
      </c>
      <c r="AD403" s="35">
        <f t="shared" si="340"/>
        <v>0</v>
      </c>
      <c r="AE403" s="22">
        <f t="shared" si="341"/>
        <v>0</v>
      </c>
      <c r="AF403" s="22">
        <f t="shared" si="342"/>
        <v>0</v>
      </c>
      <c r="AG403" s="22">
        <f t="shared" si="343"/>
        <v>0</v>
      </c>
      <c r="AH403" s="22">
        <f t="shared" si="344"/>
        <v>0</v>
      </c>
      <c r="AI403" s="35">
        <f t="shared" si="345"/>
        <v>0</v>
      </c>
      <c r="AJ403" s="35">
        <f t="shared" si="346"/>
        <v>0</v>
      </c>
      <c r="AK403" s="35">
        <f t="shared" si="347"/>
        <v>0</v>
      </c>
      <c r="AL403">
        <f t="shared" si="348"/>
        <v>0</v>
      </c>
      <c r="AM403">
        <f t="shared" si="349"/>
        <v>0</v>
      </c>
      <c r="AN403">
        <f t="shared" si="350"/>
        <v>0</v>
      </c>
      <c r="AO403">
        <f t="shared" si="351"/>
        <v>0</v>
      </c>
      <c r="AP403">
        <f t="shared" si="352"/>
        <v>0</v>
      </c>
      <c r="AQ403">
        <f t="shared" si="353"/>
        <v>0</v>
      </c>
      <c r="AR403">
        <f t="shared" si="354"/>
        <v>0</v>
      </c>
      <c r="AS403">
        <f t="shared" si="355"/>
        <v>0</v>
      </c>
      <c r="AT403">
        <f t="shared" si="356"/>
        <v>0</v>
      </c>
      <c r="AU403">
        <f t="shared" si="357"/>
        <v>0</v>
      </c>
      <c r="AV403">
        <v>0</v>
      </c>
      <c r="AW403">
        <v>0</v>
      </c>
      <c r="AX403">
        <f t="shared" si="358"/>
        <v>0</v>
      </c>
      <c r="AY403">
        <f t="shared" si="359"/>
        <v>0</v>
      </c>
      <c r="AZ403">
        <f t="shared" si="360"/>
        <v>0</v>
      </c>
      <c r="BA403">
        <f t="shared" si="361"/>
        <v>0</v>
      </c>
      <c r="BB403">
        <f t="shared" si="362"/>
        <v>0</v>
      </c>
      <c r="BC403">
        <f t="shared" si="363"/>
        <v>0</v>
      </c>
      <c r="BD403">
        <f t="shared" si="364"/>
        <v>1</v>
      </c>
      <c r="BE403">
        <f t="shared" si="365"/>
        <v>8500</v>
      </c>
      <c r="BF403">
        <f t="shared" si="366"/>
        <v>85000</v>
      </c>
      <c r="BG403">
        <f t="shared" si="367"/>
        <v>0</v>
      </c>
      <c r="BH403">
        <f t="shared" si="368"/>
        <v>0</v>
      </c>
      <c r="BI403">
        <f t="shared" si="369"/>
        <v>0</v>
      </c>
      <c r="BJ403">
        <v>5</v>
      </c>
      <c r="BK403" t="str">
        <f t="shared" si="383"/>
        <v>Big Win</v>
      </c>
      <c r="BL403" s="40" t="str">
        <f t="shared" si="384"/>
        <v>Bonus Game C</v>
      </c>
      <c r="BM403">
        <f>(D403/Frequency!$N$7-Summary!$C$7)^2*E403</f>
        <v>713197.60000000009</v>
      </c>
      <c r="BN403">
        <f t="shared" si="370"/>
        <v>0</v>
      </c>
      <c r="BO403">
        <f t="shared" si="371"/>
        <v>0</v>
      </c>
      <c r="BP403">
        <f t="shared" si="372"/>
        <v>42500</v>
      </c>
      <c r="BQ403">
        <f t="shared" si="373"/>
        <v>0</v>
      </c>
      <c r="BR403">
        <f t="shared" si="374"/>
        <v>0</v>
      </c>
      <c r="BS403">
        <f t="shared" si="375"/>
        <v>0</v>
      </c>
      <c r="BT403">
        <f t="shared" si="376"/>
        <v>0</v>
      </c>
      <c r="BU403">
        <f t="shared" si="377"/>
        <v>0</v>
      </c>
      <c r="BV403">
        <f t="shared" si="378"/>
        <v>0</v>
      </c>
      <c r="BW403">
        <f t="shared" si="379"/>
        <v>0</v>
      </c>
      <c r="BX403">
        <f t="shared" si="380"/>
        <v>0</v>
      </c>
    </row>
    <row r="404" spans="2:76">
      <c r="B404" s="19">
        <f>Tiers!B405</f>
        <v>402</v>
      </c>
      <c r="C404" s="224" t="str">
        <f>Tiers!X405</f>
        <v>bonusC-4|||||||||</v>
      </c>
      <c r="D404" s="21">
        <f>Tiers!C405</f>
        <v>12</v>
      </c>
      <c r="E404" s="22">
        <f>Frequency!E406</f>
        <v>7000</v>
      </c>
      <c r="F404" s="22">
        <f t="shared" si="330"/>
        <v>84000</v>
      </c>
      <c r="G404" s="20">
        <f>IF(AND(D404/Summary!$C$4&gt;0, D404/Summary!$C$4&lt;5),E404,0) * D404</f>
        <v>0</v>
      </c>
      <c r="H404" s="20">
        <f>IF(AND(D404/Summary!$C$4&gt;= 5, D404/Summary!$C$4&lt;10),E404,0) * D404</f>
        <v>0</v>
      </c>
      <c r="I404" s="20">
        <f>IF(AND(D404/Summary!$C$4&gt;=10, D404/Summary!$C$4&lt;25),E404,0)*D404</f>
        <v>84000</v>
      </c>
      <c r="J404" s="20">
        <f>IF(D404/Summary!$C$4&gt;=25,E404,0)*D404</f>
        <v>0</v>
      </c>
      <c r="K404" s="35">
        <f>IF(AND(D404/Frequency!$N$7&gt;0, D404/Frequency!$N$7&lt;1),E404,0)</f>
        <v>0</v>
      </c>
      <c r="L404" s="35">
        <f t="shared" si="331"/>
        <v>0</v>
      </c>
      <c r="M404" s="35">
        <f>IF(D404/Frequency!$N$7=1,1,0)*E404</f>
        <v>0</v>
      </c>
      <c r="N404" s="35">
        <f t="shared" si="332"/>
        <v>0</v>
      </c>
      <c r="O404" s="35">
        <f>IF(AND(D404/Frequency!$N$7&gt;1, D404/Frequency!$N$7&lt;=2),1,0)*E404</f>
        <v>0</v>
      </c>
      <c r="P404" s="35">
        <f t="shared" si="333"/>
        <v>0</v>
      </c>
      <c r="Q404" s="35">
        <f>IF(AND(D404/Frequency!$N$7&gt;2,D404/Frequency!$N$7&lt;=5),1,0)*E404</f>
        <v>0</v>
      </c>
      <c r="R404" s="35">
        <f t="shared" si="334"/>
        <v>0</v>
      </c>
      <c r="S404" s="35">
        <f>IF(AND(D404/Frequency!$N$7&gt;5, D404/Frequency!$N$7&lt;=10),1,0)*E404</f>
        <v>0</v>
      </c>
      <c r="T404" s="35">
        <f t="shared" si="335"/>
        <v>0</v>
      </c>
      <c r="U404" s="35">
        <f>IF(AND(D404/Frequency!$N$7&gt;10, D404/Frequency!$N$7&lt;=20),1,0)*E404</f>
        <v>7000</v>
      </c>
      <c r="V404" s="35">
        <f t="shared" si="336"/>
        <v>84000</v>
      </c>
      <c r="W404" s="35">
        <f>IF(AND(D404/Frequency!$N$7&gt;20, D404/Frequency!$N$7&lt;=30),1,0)*E404</f>
        <v>0</v>
      </c>
      <c r="X404" s="35">
        <f t="shared" si="337"/>
        <v>0</v>
      </c>
      <c r="Y404" s="35">
        <f>IF(AND(D404/Frequency!$N$7&gt;30, D404/Frequency!$N$7&lt;=50),1,0)*E404</f>
        <v>0</v>
      </c>
      <c r="Z404" s="35">
        <f t="shared" si="338"/>
        <v>0</v>
      </c>
      <c r="AA404" s="35">
        <f>IF(AND(D404/Frequency!$N$7&gt;50, D404/Frequency!$N$7&lt;=100),1,0)*E404</f>
        <v>0</v>
      </c>
      <c r="AB404" s="35">
        <f t="shared" si="339"/>
        <v>0</v>
      </c>
      <c r="AC404" s="35">
        <f>IF(D404/Frequency!$N$7&gt;100,1,0)*E404</f>
        <v>0</v>
      </c>
      <c r="AD404" s="35">
        <f t="shared" si="340"/>
        <v>0</v>
      </c>
      <c r="AE404" s="22">
        <f t="shared" si="341"/>
        <v>0</v>
      </c>
      <c r="AF404" s="22">
        <f t="shared" si="342"/>
        <v>0</v>
      </c>
      <c r="AG404" s="22">
        <f t="shared" si="343"/>
        <v>0</v>
      </c>
      <c r="AH404" s="22">
        <f t="shared" si="344"/>
        <v>0</v>
      </c>
      <c r="AI404" s="35">
        <f t="shared" si="345"/>
        <v>0</v>
      </c>
      <c r="AJ404" s="35">
        <f t="shared" si="346"/>
        <v>0</v>
      </c>
      <c r="AK404" s="35">
        <f t="shared" si="347"/>
        <v>0</v>
      </c>
      <c r="AL404">
        <f t="shared" si="348"/>
        <v>0</v>
      </c>
      <c r="AM404">
        <f t="shared" si="349"/>
        <v>0</v>
      </c>
      <c r="AN404">
        <f t="shared" si="350"/>
        <v>0</v>
      </c>
      <c r="AO404">
        <f t="shared" si="351"/>
        <v>0</v>
      </c>
      <c r="AP404">
        <f t="shared" si="352"/>
        <v>0</v>
      </c>
      <c r="AQ404">
        <f t="shared" si="353"/>
        <v>0</v>
      </c>
      <c r="AR404">
        <f t="shared" si="354"/>
        <v>0</v>
      </c>
      <c r="AS404">
        <f t="shared" si="355"/>
        <v>0</v>
      </c>
      <c r="AT404">
        <f t="shared" si="356"/>
        <v>0</v>
      </c>
      <c r="AU404">
        <f t="shared" si="357"/>
        <v>0</v>
      </c>
      <c r="AV404">
        <v>0</v>
      </c>
      <c r="AW404">
        <v>0</v>
      </c>
      <c r="AX404">
        <f t="shared" si="358"/>
        <v>0</v>
      </c>
      <c r="AY404">
        <f t="shared" si="359"/>
        <v>0</v>
      </c>
      <c r="AZ404">
        <f t="shared" si="360"/>
        <v>0</v>
      </c>
      <c r="BA404">
        <f t="shared" si="361"/>
        <v>0</v>
      </c>
      <c r="BB404">
        <f t="shared" si="362"/>
        <v>0</v>
      </c>
      <c r="BC404">
        <f t="shared" si="363"/>
        <v>0</v>
      </c>
      <c r="BD404">
        <f t="shared" si="364"/>
        <v>1</v>
      </c>
      <c r="BE404">
        <f t="shared" si="365"/>
        <v>7000</v>
      </c>
      <c r="BF404">
        <f t="shared" si="366"/>
        <v>84000</v>
      </c>
      <c r="BG404">
        <f t="shared" si="367"/>
        <v>0</v>
      </c>
      <c r="BH404">
        <f t="shared" si="368"/>
        <v>0</v>
      </c>
      <c r="BI404">
        <f t="shared" si="369"/>
        <v>0</v>
      </c>
      <c r="BJ404">
        <v>6</v>
      </c>
      <c r="BK404" t="str">
        <f t="shared" si="383"/>
        <v>Big Win</v>
      </c>
      <c r="BL404" s="40" t="str">
        <f t="shared" si="384"/>
        <v>Bonus Game C</v>
      </c>
      <c r="BM404">
        <f>(D404/Frequency!$N$7-Summary!$C$7)^2*E404</f>
        <v>871819.20000000007</v>
      </c>
      <c r="BN404">
        <f t="shared" si="370"/>
        <v>0</v>
      </c>
      <c r="BO404">
        <f t="shared" si="371"/>
        <v>0</v>
      </c>
      <c r="BP404">
        <f t="shared" si="372"/>
        <v>42000</v>
      </c>
      <c r="BQ404">
        <f t="shared" si="373"/>
        <v>0</v>
      </c>
      <c r="BR404">
        <f t="shared" si="374"/>
        <v>0</v>
      </c>
      <c r="BS404">
        <f t="shared" si="375"/>
        <v>0</v>
      </c>
      <c r="BT404">
        <f t="shared" si="376"/>
        <v>0</v>
      </c>
      <c r="BU404">
        <f t="shared" si="377"/>
        <v>0</v>
      </c>
      <c r="BV404">
        <f t="shared" si="378"/>
        <v>0</v>
      </c>
      <c r="BW404">
        <f t="shared" si="379"/>
        <v>0</v>
      </c>
      <c r="BX404">
        <f t="shared" si="380"/>
        <v>0</v>
      </c>
    </row>
    <row r="405" spans="2:76">
      <c r="B405" s="19">
        <f>Tiers!B406</f>
        <v>403</v>
      </c>
      <c r="C405" s="224" t="str">
        <f>Tiers!X406</f>
        <v>bonusC-5|||||||||</v>
      </c>
      <c r="D405" s="21">
        <f>Tiers!C406</f>
        <v>15</v>
      </c>
      <c r="E405" s="22">
        <f>Frequency!E407</f>
        <v>6000</v>
      </c>
      <c r="F405" s="22">
        <f t="shared" si="330"/>
        <v>90000</v>
      </c>
      <c r="G405" s="20">
        <f>IF(AND(D405/Summary!$C$4&gt;0, D405/Summary!$C$4&lt;5),E405,0) * D405</f>
        <v>0</v>
      </c>
      <c r="H405" s="20">
        <f>IF(AND(D405/Summary!$C$4&gt;= 5, D405/Summary!$C$4&lt;10),E405,0) * D405</f>
        <v>0</v>
      </c>
      <c r="I405" s="20">
        <f>IF(AND(D405/Summary!$C$4&gt;=10, D405/Summary!$C$4&lt;25),E405,0)*D405</f>
        <v>90000</v>
      </c>
      <c r="J405" s="20">
        <f>IF(D405/Summary!$C$4&gt;=25,E405,0)*D405</f>
        <v>0</v>
      </c>
      <c r="K405" s="35">
        <f>IF(AND(D405/Frequency!$N$7&gt;0, D405/Frequency!$N$7&lt;1),E405,0)</f>
        <v>0</v>
      </c>
      <c r="L405" s="35">
        <f t="shared" si="331"/>
        <v>0</v>
      </c>
      <c r="M405" s="35">
        <f>IF(D405/Frequency!$N$7=1,1,0)*E405</f>
        <v>0</v>
      </c>
      <c r="N405" s="35">
        <f t="shared" si="332"/>
        <v>0</v>
      </c>
      <c r="O405" s="35">
        <f>IF(AND(D405/Frequency!$N$7&gt;1, D405/Frequency!$N$7&lt;=2),1,0)*E405</f>
        <v>0</v>
      </c>
      <c r="P405" s="35">
        <f t="shared" si="333"/>
        <v>0</v>
      </c>
      <c r="Q405" s="35">
        <f>IF(AND(D405/Frequency!$N$7&gt;2,D405/Frequency!$N$7&lt;=5),1,0)*E405</f>
        <v>0</v>
      </c>
      <c r="R405" s="35">
        <f t="shared" si="334"/>
        <v>0</v>
      </c>
      <c r="S405" s="35">
        <f>IF(AND(D405/Frequency!$N$7&gt;5, D405/Frequency!$N$7&lt;=10),1,0)*E405</f>
        <v>0</v>
      </c>
      <c r="T405" s="35">
        <f t="shared" si="335"/>
        <v>0</v>
      </c>
      <c r="U405" s="35">
        <f>IF(AND(D405/Frequency!$N$7&gt;10, D405/Frequency!$N$7&lt;=20),1,0)*E405</f>
        <v>6000</v>
      </c>
      <c r="V405" s="35">
        <f t="shared" si="336"/>
        <v>90000</v>
      </c>
      <c r="W405" s="35">
        <f>IF(AND(D405/Frequency!$N$7&gt;20, D405/Frequency!$N$7&lt;=30),1,0)*E405</f>
        <v>0</v>
      </c>
      <c r="X405" s="35">
        <f t="shared" si="337"/>
        <v>0</v>
      </c>
      <c r="Y405" s="35">
        <f>IF(AND(D405/Frequency!$N$7&gt;30, D405/Frequency!$N$7&lt;=50),1,0)*E405</f>
        <v>0</v>
      </c>
      <c r="Z405" s="35">
        <f t="shared" si="338"/>
        <v>0</v>
      </c>
      <c r="AA405" s="35">
        <f>IF(AND(D405/Frequency!$N$7&gt;50, D405/Frequency!$N$7&lt;=100),1,0)*E405</f>
        <v>0</v>
      </c>
      <c r="AB405" s="35">
        <f t="shared" si="339"/>
        <v>0</v>
      </c>
      <c r="AC405" s="35">
        <f>IF(D405/Frequency!$N$7&gt;100,1,0)*E405</f>
        <v>0</v>
      </c>
      <c r="AD405" s="35">
        <f t="shared" si="340"/>
        <v>0</v>
      </c>
      <c r="AE405" s="22">
        <f t="shared" si="341"/>
        <v>0</v>
      </c>
      <c r="AF405" s="22">
        <f t="shared" si="342"/>
        <v>0</v>
      </c>
      <c r="AG405" s="22">
        <f t="shared" si="343"/>
        <v>0</v>
      </c>
      <c r="AH405" s="22">
        <f t="shared" si="344"/>
        <v>0</v>
      </c>
      <c r="AI405" s="35">
        <f t="shared" si="345"/>
        <v>0</v>
      </c>
      <c r="AJ405" s="35">
        <f t="shared" si="346"/>
        <v>0</v>
      </c>
      <c r="AK405" s="35">
        <f t="shared" si="347"/>
        <v>0</v>
      </c>
      <c r="AL405">
        <f t="shared" si="348"/>
        <v>0</v>
      </c>
      <c r="AM405">
        <f t="shared" si="349"/>
        <v>0</v>
      </c>
      <c r="AN405">
        <f t="shared" si="350"/>
        <v>0</v>
      </c>
      <c r="AO405">
        <f t="shared" si="351"/>
        <v>0</v>
      </c>
      <c r="AP405">
        <f t="shared" si="352"/>
        <v>0</v>
      </c>
      <c r="AQ405">
        <f t="shared" si="353"/>
        <v>0</v>
      </c>
      <c r="AR405">
        <f t="shared" si="354"/>
        <v>0</v>
      </c>
      <c r="AS405">
        <f t="shared" si="355"/>
        <v>0</v>
      </c>
      <c r="AT405">
        <f t="shared" si="356"/>
        <v>0</v>
      </c>
      <c r="AU405">
        <f t="shared" si="357"/>
        <v>0</v>
      </c>
      <c r="AV405">
        <v>0</v>
      </c>
      <c r="AW405">
        <v>0</v>
      </c>
      <c r="AX405">
        <f t="shared" si="358"/>
        <v>0</v>
      </c>
      <c r="AY405">
        <f t="shared" si="359"/>
        <v>0</v>
      </c>
      <c r="AZ405">
        <f t="shared" si="360"/>
        <v>0</v>
      </c>
      <c r="BA405">
        <f t="shared" si="361"/>
        <v>0</v>
      </c>
      <c r="BB405">
        <f t="shared" si="362"/>
        <v>0</v>
      </c>
      <c r="BC405">
        <f t="shared" si="363"/>
        <v>0</v>
      </c>
      <c r="BD405">
        <f t="shared" si="364"/>
        <v>1</v>
      </c>
      <c r="BE405">
        <f t="shared" si="365"/>
        <v>6000</v>
      </c>
      <c r="BF405">
        <f t="shared" si="366"/>
        <v>90000</v>
      </c>
      <c r="BG405">
        <f t="shared" si="367"/>
        <v>0</v>
      </c>
      <c r="BH405">
        <f t="shared" si="368"/>
        <v>0</v>
      </c>
      <c r="BI405">
        <f t="shared" si="369"/>
        <v>0</v>
      </c>
      <c r="BJ405">
        <v>7</v>
      </c>
      <c r="BK405" t="str">
        <f t="shared" si="383"/>
        <v>Big Win</v>
      </c>
      <c r="BL405" s="40" t="str">
        <f t="shared" si="384"/>
        <v>Bonus Game C</v>
      </c>
      <c r="BM405">
        <f>(D405/Frequency!$N$7-Summary!$C$7)^2*E405</f>
        <v>1203033.6000000001</v>
      </c>
      <c r="BN405">
        <f t="shared" si="370"/>
        <v>0</v>
      </c>
      <c r="BO405">
        <f t="shared" si="371"/>
        <v>0</v>
      </c>
      <c r="BP405">
        <f t="shared" si="372"/>
        <v>42000</v>
      </c>
      <c r="BQ405">
        <f t="shared" si="373"/>
        <v>0</v>
      </c>
      <c r="BR405">
        <f t="shared" si="374"/>
        <v>0</v>
      </c>
      <c r="BS405">
        <f t="shared" si="375"/>
        <v>0</v>
      </c>
      <c r="BT405">
        <f t="shared" si="376"/>
        <v>0</v>
      </c>
      <c r="BU405">
        <f t="shared" si="377"/>
        <v>0</v>
      </c>
      <c r="BV405">
        <f t="shared" si="378"/>
        <v>0</v>
      </c>
      <c r="BW405">
        <f t="shared" si="379"/>
        <v>0</v>
      </c>
      <c r="BX405">
        <f t="shared" si="380"/>
        <v>0</v>
      </c>
    </row>
    <row r="406" spans="2:76">
      <c r="B406" s="19">
        <f>Tiers!B407</f>
        <v>404</v>
      </c>
      <c r="C406" s="224" t="str">
        <f>Tiers!X407</f>
        <v>bonusC-6|||||||||</v>
      </c>
      <c r="D406" s="21">
        <f>Tiers!C407</f>
        <v>20</v>
      </c>
      <c r="E406" s="22">
        <f>Frequency!E408</f>
        <v>3000</v>
      </c>
      <c r="F406" s="22">
        <f t="shared" si="330"/>
        <v>60000</v>
      </c>
      <c r="G406" s="20">
        <f>IF(AND(D406/Summary!$C$4&gt;0, D406/Summary!$C$4&lt;5),E406,0) * D406</f>
        <v>0</v>
      </c>
      <c r="H406" s="20">
        <f>IF(AND(D406/Summary!$C$4&gt;= 5, D406/Summary!$C$4&lt;10),E406,0) * D406</f>
        <v>0</v>
      </c>
      <c r="I406" s="20">
        <f>IF(AND(D406/Summary!$C$4&gt;=10, D406/Summary!$C$4&lt;25),E406,0)*D406</f>
        <v>60000</v>
      </c>
      <c r="J406" s="20">
        <f>IF(D406/Summary!$C$4&gt;=25,E406,0)*D406</f>
        <v>0</v>
      </c>
      <c r="K406" s="35">
        <f>IF(AND(D406/Frequency!$N$7&gt;0, D406/Frequency!$N$7&lt;1),E406,0)</f>
        <v>0</v>
      </c>
      <c r="L406" s="35">
        <f t="shared" si="331"/>
        <v>0</v>
      </c>
      <c r="M406" s="35">
        <f>IF(D406/Frequency!$N$7=1,1,0)*E406</f>
        <v>0</v>
      </c>
      <c r="N406" s="35">
        <f t="shared" si="332"/>
        <v>0</v>
      </c>
      <c r="O406" s="35">
        <f>IF(AND(D406/Frequency!$N$7&gt;1, D406/Frequency!$N$7&lt;=2),1,0)*E406</f>
        <v>0</v>
      </c>
      <c r="P406" s="35">
        <f t="shared" si="333"/>
        <v>0</v>
      </c>
      <c r="Q406" s="35">
        <f>IF(AND(D406/Frequency!$N$7&gt;2,D406/Frequency!$N$7&lt;=5),1,0)*E406</f>
        <v>0</v>
      </c>
      <c r="R406" s="35">
        <f t="shared" si="334"/>
        <v>0</v>
      </c>
      <c r="S406" s="35">
        <f>IF(AND(D406/Frequency!$N$7&gt;5, D406/Frequency!$N$7&lt;=10),1,0)*E406</f>
        <v>0</v>
      </c>
      <c r="T406" s="35">
        <f t="shared" si="335"/>
        <v>0</v>
      </c>
      <c r="U406" s="35">
        <f>IF(AND(D406/Frequency!$N$7&gt;10, D406/Frequency!$N$7&lt;=20),1,0)*E406</f>
        <v>3000</v>
      </c>
      <c r="V406" s="35">
        <f t="shared" si="336"/>
        <v>60000</v>
      </c>
      <c r="W406" s="35">
        <f>IF(AND(D406/Frequency!$N$7&gt;20, D406/Frequency!$N$7&lt;=30),1,0)*E406</f>
        <v>0</v>
      </c>
      <c r="X406" s="35">
        <f t="shared" si="337"/>
        <v>0</v>
      </c>
      <c r="Y406" s="35">
        <f>IF(AND(D406/Frequency!$N$7&gt;30, D406/Frequency!$N$7&lt;=50),1,0)*E406</f>
        <v>0</v>
      </c>
      <c r="Z406" s="35">
        <f t="shared" si="338"/>
        <v>0</v>
      </c>
      <c r="AA406" s="35">
        <f>IF(AND(D406/Frequency!$N$7&gt;50, D406/Frequency!$N$7&lt;=100),1,0)*E406</f>
        <v>0</v>
      </c>
      <c r="AB406" s="35">
        <f t="shared" si="339"/>
        <v>0</v>
      </c>
      <c r="AC406" s="35">
        <f>IF(D406/Frequency!$N$7&gt;100,1,0)*E406</f>
        <v>0</v>
      </c>
      <c r="AD406" s="35">
        <f t="shared" si="340"/>
        <v>0</v>
      </c>
      <c r="AE406" s="22">
        <f t="shared" si="341"/>
        <v>0</v>
      </c>
      <c r="AF406" s="22">
        <f t="shared" si="342"/>
        <v>0</v>
      </c>
      <c r="AG406" s="22">
        <f t="shared" si="343"/>
        <v>0</v>
      </c>
      <c r="AH406" s="22">
        <f t="shared" si="344"/>
        <v>0</v>
      </c>
      <c r="AI406" s="35">
        <f t="shared" si="345"/>
        <v>0</v>
      </c>
      <c r="AJ406" s="35">
        <f t="shared" si="346"/>
        <v>0</v>
      </c>
      <c r="AK406" s="35">
        <f t="shared" si="347"/>
        <v>0</v>
      </c>
      <c r="AL406">
        <f t="shared" si="348"/>
        <v>0</v>
      </c>
      <c r="AM406">
        <f t="shared" si="349"/>
        <v>0</v>
      </c>
      <c r="AN406">
        <f t="shared" si="350"/>
        <v>0</v>
      </c>
      <c r="AO406">
        <f t="shared" si="351"/>
        <v>0</v>
      </c>
      <c r="AP406">
        <f t="shared" si="352"/>
        <v>0</v>
      </c>
      <c r="AQ406">
        <f t="shared" si="353"/>
        <v>0</v>
      </c>
      <c r="AR406">
        <f t="shared" si="354"/>
        <v>0</v>
      </c>
      <c r="AS406">
        <f t="shared" si="355"/>
        <v>0</v>
      </c>
      <c r="AT406">
        <f t="shared" si="356"/>
        <v>0</v>
      </c>
      <c r="AU406">
        <f t="shared" si="357"/>
        <v>0</v>
      </c>
      <c r="AV406">
        <v>0</v>
      </c>
      <c r="AW406">
        <v>0</v>
      </c>
      <c r="AX406">
        <f t="shared" si="358"/>
        <v>0</v>
      </c>
      <c r="AY406">
        <f t="shared" si="359"/>
        <v>0</v>
      </c>
      <c r="AZ406">
        <f t="shared" si="360"/>
        <v>0</v>
      </c>
      <c r="BA406">
        <f t="shared" si="361"/>
        <v>0</v>
      </c>
      <c r="BB406">
        <f t="shared" si="362"/>
        <v>0</v>
      </c>
      <c r="BC406">
        <f t="shared" si="363"/>
        <v>0</v>
      </c>
      <c r="BD406">
        <f t="shared" si="364"/>
        <v>1</v>
      </c>
      <c r="BE406">
        <f t="shared" si="365"/>
        <v>3000</v>
      </c>
      <c r="BF406">
        <f t="shared" si="366"/>
        <v>60000</v>
      </c>
      <c r="BG406">
        <f t="shared" si="367"/>
        <v>0</v>
      </c>
      <c r="BH406">
        <f t="shared" si="368"/>
        <v>0</v>
      </c>
      <c r="BI406">
        <f t="shared" si="369"/>
        <v>0</v>
      </c>
      <c r="BJ406">
        <v>8</v>
      </c>
      <c r="BK406" t="str">
        <f t="shared" si="383"/>
        <v>Big Win</v>
      </c>
      <c r="BL406" s="40" t="str">
        <f t="shared" si="384"/>
        <v>Bonus Game C</v>
      </c>
      <c r="BM406">
        <f>(D406/Frequency!$N$7-Summary!$C$7)^2*E406</f>
        <v>1101316.8</v>
      </c>
      <c r="BN406">
        <f t="shared" si="370"/>
        <v>0</v>
      </c>
      <c r="BO406">
        <f t="shared" si="371"/>
        <v>0</v>
      </c>
      <c r="BP406">
        <f t="shared" si="372"/>
        <v>24000</v>
      </c>
      <c r="BQ406">
        <f t="shared" si="373"/>
        <v>0</v>
      </c>
      <c r="BR406">
        <f t="shared" si="374"/>
        <v>0</v>
      </c>
      <c r="BS406">
        <f t="shared" si="375"/>
        <v>0</v>
      </c>
      <c r="BT406">
        <f t="shared" si="376"/>
        <v>0</v>
      </c>
      <c r="BU406">
        <f t="shared" si="377"/>
        <v>0</v>
      </c>
      <c r="BV406">
        <f t="shared" si="378"/>
        <v>0</v>
      </c>
      <c r="BW406">
        <f t="shared" si="379"/>
        <v>0</v>
      </c>
      <c r="BX406">
        <f t="shared" si="380"/>
        <v>0</v>
      </c>
    </row>
    <row r="407" spans="2:76">
      <c r="B407" s="19">
        <f>Tiers!B408</f>
        <v>405</v>
      </c>
      <c r="C407" s="224" t="str">
        <f>Tiers!X408</f>
        <v>bonusC-7|||||||||</v>
      </c>
      <c r="D407" s="21">
        <f>Tiers!C408</f>
        <v>100</v>
      </c>
      <c r="E407" s="22">
        <f>Frequency!E409</f>
        <v>50</v>
      </c>
      <c r="F407" s="22">
        <f t="shared" si="330"/>
        <v>5000</v>
      </c>
      <c r="G407" s="20">
        <f>IF(AND(D407/Summary!$C$4&gt;0, D407/Summary!$C$4&lt;5),E407,0) * D407</f>
        <v>0</v>
      </c>
      <c r="H407" s="20">
        <f>IF(AND(D407/Summary!$C$4&gt;= 5, D407/Summary!$C$4&lt;10),E407,0) * D407</f>
        <v>0</v>
      </c>
      <c r="I407" s="20">
        <f>IF(AND(D407/Summary!$C$4&gt;=10, D407/Summary!$C$4&lt;25),E407,0)*D407</f>
        <v>0</v>
      </c>
      <c r="J407" s="20">
        <f>IF(D407/Summary!$C$4&gt;=25,E407,0)*D407</f>
        <v>5000</v>
      </c>
      <c r="K407" s="35">
        <f>IF(AND(D407/Frequency!$N$7&gt;0, D407/Frequency!$N$7&lt;1),E407,0)</f>
        <v>0</v>
      </c>
      <c r="L407" s="35">
        <f t="shared" si="331"/>
        <v>0</v>
      </c>
      <c r="M407" s="35">
        <f>IF(D407/Frequency!$N$7=1,1,0)*E407</f>
        <v>0</v>
      </c>
      <c r="N407" s="35">
        <f t="shared" si="332"/>
        <v>0</v>
      </c>
      <c r="O407" s="35">
        <f>IF(AND(D407/Frequency!$N$7&gt;1, D407/Frequency!$N$7&lt;=2),1,0)*E407</f>
        <v>0</v>
      </c>
      <c r="P407" s="35">
        <f t="shared" si="333"/>
        <v>0</v>
      </c>
      <c r="Q407" s="35">
        <f>IF(AND(D407/Frequency!$N$7&gt;2,D407/Frequency!$N$7&lt;=5),1,0)*E407</f>
        <v>0</v>
      </c>
      <c r="R407" s="35">
        <f t="shared" si="334"/>
        <v>0</v>
      </c>
      <c r="S407" s="35">
        <f>IF(AND(D407/Frequency!$N$7&gt;5, D407/Frequency!$N$7&lt;=10),1,0)*E407</f>
        <v>0</v>
      </c>
      <c r="T407" s="35">
        <f t="shared" si="335"/>
        <v>0</v>
      </c>
      <c r="U407" s="35">
        <f>IF(AND(D407/Frequency!$N$7&gt;10, D407/Frequency!$N$7&lt;=20),1,0)*E407</f>
        <v>0</v>
      </c>
      <c r="V407" s="35">
        <f t="shared" si="336"/>
        <v>0</v>
      </c>
      <c r="W407" s="35">
        <f>IF(AND(D407/Frequency!$N$7&gt;20, D407/Frequency!$N$7&lt;=30),1,0)*E407</f>
        <v>0</v>
      </c>
      <c r="X407" s="35">
        <f t="shared" si="337"/>
        <v>0</v>
      </c>
      <c r="Y407" s="35">
        <f>IF(AND(D407/Frequency!$N$7&gt;30, D407/Frequency!$N$7&lt;=50),1,0)*E407</f>
        <v>0</v>
      </c>
      <c r="Z407" s="35">
        <f t="shared" si="338"/>
        <v>0</v>
      </c>
      <c r="AA407" s="35">
        <f>IF(AND(D407/Frequency!$N$7&gt;50, D407/Frequency!$N$7&lt;=100),1,0)*E407</f>
        <v>50</v>
      </c>
      <c r="AB407" s="35">
        <f t="shared" si="339"/>
        <v>5000</v>
      </c>
      <c r="AC407" s="35">
        <f>IF(D407/Frequency!$N$7&gt;100,1,0)*E407</f>
        <v>0</v>
      </c>
      <c r="AD407" s="35">
        <f t="shared" si="340"/>
        <v>0</v>
      </c>
      <c r="AE407" s="22">
        <f t="shared" si="341"/>
        <v>0</v>
      </c>
      <c r="AF407" s="22">
        <f t="shared" si="342"/>
        <v>0</v>
      </c>
      <c r="AG407" s="22">
        <f t="shared" si="343"/>
        <v>0</v>
      </c>
      <c r="AH407" s="22">
        <f t="shared" si="344"/>
        <v>0</v>
      </c>
      <c r="AI407" s="35">
        <f t="shared" si="345"/>
        <v>0</v>
      </c>
      <c r="AJ407" s="35">
        <f t="shared" si="346"/>
        <v>0</v>
      </c>
      <c r="AK407" s="35">
        <f t="shared" si="347"/>
        <v>0</v>
      </c>
      <c r="AL407">
        <f t="shared" si="348"/>
        <v>0</v>
      </c>
      <c r="AM407">
        <f t="shared" si="349"/>
        <v>0</v>
      </c>
      <c r="AN407">
        <f t="shared" si="350"/>
        <v>0</v>
      </c>
      <c r="AO407">
        <f t="shared" si="351"/>
        <v>0</v>
      </c>
      <c r="AP407">
        <f t="shared" si="352"/>
        <v>0</v>
      </c>
      <c r="AQ407">
        <f t="shared" si="353"/>
        <v>0</v>
      </c>
      <c r="AR407">
        <f t="shared" si="354"/>
        <v>0</v>
      </c>
      <c r="AS407">
        <f t="shared" si="355"/>
        <v>0</v>
      </c>
      <c r="AT407">
        <f t="shared" si="356"/>
        <v>0</v>
      </c>
      <c r="AU407">
        <f t="shared" si="357"/>
        <v>0</v>
      </c>
      <c r="AV407">
        <v>0</v>
      </c>
      <c r="AW407">
        <v>0</v>
      </c>
      <c r="AX407">
        <f t="shared" si="358"/>
        <v>0</v>
      </c>
      <c r="AY407">
        <f t="shared" si="359"/>
        <v>0</v>
      </c>
      <c r="AZ407">
        <f t="shared" si="360"/>
        <v>0</v>
      </c>
      <c r="BA407">
        <f t="shared" si="361"/>
        <v>0</v>
      </c>
      <c r="BB407">
        <f t="shared" si="362"/>
        <v>0</v>
      </c>
      <c r="BC407">
        <f t="shared" si="363"/>
        <v>0</v>
      </c>
      <c r="BD407">
        <f t="shared" si="364"/>
        <v>1</v>
      </c>
      <c r="BE407">
        <f t="shared" si="365"/>
        <v>50</v>
      </c>
      <c r="BF407">
        <f t="shared" si="366"/>
        <v>5000</v>
      </c>
      <c r="BG407">
        <f t="shared" si="367"/>
        <v>0</v>
      </c>
      <c r="BH407">
        <f t="shared" si="368"/>
        <v>0</v>
      </c>
      <c r="BI407">
        <f t="shared" si="369"/>
        <v>0</v>
      </c>
      <c r="BJ407">
        <v>9</v>
      </c>
      <c r="BK407" t="str">
        <f t="shared" si="383"/>
        <v>Huge Win</v>
      </c>
      <c r="BL407" s="40" t="str">
        <f t="shared" si="384"/>
        <v>Bonus Game C</v>
      </c>
      <c r="BM407">
        <f>(D407/Frequency!$N$7-Summary!$C$7)^2*E407</f>
        <v>491635.27999999997</v>
      </c>
      <c r="BN407">
        <f t="shared" si="370"/>
        <v>0</v>
      </c>
      <c r="BO407">
        <f t="shared" si="371"/>
        <v>0</v>
      </c>
      <c r="BP407">
        <f t="shared" si="372"/>
        <v>450</v>
      </c>
      <c r="BQ407">
        <f t="shared" si="373"/>
        <v>0</v>
      </c>
      <c r="BR407">
        <f t="shared" si="374"/>
        <v>0</v>
      </c>
      <c r="BS407">
        <f t="shared" si="375"/>
        <v>0</v>
      </c>
      <c r="BT407">
        <f t="shared" si="376"/>
        <v>0</v>
      </c>
      <c r="BU407">
        <f t="shared" si="377"/>
        <v>0</v>
      </c>
      <c r="BV407">
        <f t="shared" si="378"/>
        <v>0</v>
      </c>
      <c r="BW407">
        <f t="shared" si="379"/>
        <v>0</v>
      </c>
      <c r="BX407">
        <f t="shared" si="380"/>
        <v>0</v>
      </c>
    </row>
    <row r="408" spans="2:76" s="10" customFormat="1" ht="13.8" customHeight="1" thickBot="1">
      <c r="B408" s="43">
        <f>Tiers!B409</f>
        <v>406</v>
      </c>
      <c r="C408" s="225" t="str">
        <f>Tiers!X409</f>
        <v>bonusC-8|||||||||</v>
      </c>
      <c r="D408" s="73">
        <f>Tiers!C409</f>
        <v>500</v>
      </c>
      <c r="E408" s="44">
        <f>Frequency!E410</f>
        <v>1</v>
      </c>
      <c r="F408" s="44">
        <f t="shared" si="330"/>
        <v>500</v>
      </c>
      <c r="G408" s="213">
        <f>IF(AND(D408/Summary!$C$4&gt;0, D408/Summary!$C$4&lt;5),E408,0) * D408</f>
        <v>0</v>
      </c>
      <c r="H408" s="213">
        <f>IF(AND(D408/Summary!$C$4&gt;= 5, D408/Summary!$C$4&lt;10),E408,0) * D408</f>
        <v>0</v>
      </c>
      <c r="I408" s="213">
        <f>IF(AND(D408/Summary!$C$4&gt;=10, D408/Summary!$C$4&lt;25),E408,0)*D408</f>
        <v>0</v>
      </c>
      <c r="J408" s="213">
        <f>IF(D408/Summary!$C$4&gt;=25,E408,0)*D408</f>
        <v>500</v>
      </c>
      <c r="K408" s="45">
        <f>IF(AND(D408/Frequency!$N$7&gt;0, D408/Frequency!$N$7&lt;1),E408,0)</f>
        <v>0</v>
      </c>
      <c r="L408" s="45">
        <f t="shared" si="331"/>
        <v>0</v>
      </c>
      <c r="M408" s="45">
        <f>IF(D408/Frequency!$N$7=1,1,0)*E408</f>
        <v>0</v>
      </c>
      <c r="N408" s="45">
        <f t="shared" si="332"/>
        <v>0</v>
      </c>
      <c r="O408" s="45">
        <f>IF(AND(D408/Frequency!$N$7&gt;1, D408/Frequency!$N$7&lt;=2),1,0)*E408</f>
        <v>0</v>
      </c>
      <c r="P408" s="45">
        <f t="shared" si="333"/>
        <v>0</v>
      </c>
      <c r="Q408" s="45">
        <f>IF(AND(D408/Frequency!$N$7&gt;2,D408/Frequency!$N$7&lt;=5),1,0)*E408</f>
        <v>0</v>
      </c>
      <c r="R408" s="45">
        <f t="shared" si="334"/>
        <v>0</v>
      </c>
      <c r="S408" s="45">
        <f>IF(AND(D408/Frequency!$N$7&gt;5, D408/Frequency!$N$7&lt;=10),1,0)*E408</f>
        <v>0</v>
      </c>
      <c r="T408" s="45">
        <f t="shared" si="335"/>
        <v>0</v>
      </c>
      <c r="U408" s="45">
        <f>IF(AND(D408/Frequency!$N$7&gt;10, D408/Frequency!$N$7&lt;=20),1,0)*E408</f>
        <v>0</v>
      </c>
      <c r="V408" s="45">
        <f t="shared" si="336"/>
        <v>0</v>
      </c>
      <c r="W408" s="45">
        <f>IF(AND(D408/Frequency!$N$7&gt;20, D408/Frequency!$N$7&lt;=30),1,0)*E408</f>
        <v>0</v>
      </c>
      <c r="X408" s="45">
        <f t="shared" si="337"/>
        <v>0</v>
      </c>
      <c r="Y408" s="45">
        <f>IF(AND(D408/Frequency!$N$7&gt;30, D408/Frequency!$N$7&lt;=50),1,0)*E408</f>
        <v>0</v>
      </c>
      <c r="Z408" s="45">
        <f t="shared" si="338"/>
        <v>0</v>
      </c>
      <c r="AA408" s="45">
        <f>IF(AND(D408/Frequency!$N$7&gt;50, D408/Frequency!$N$7&lt;=100),1,0)*E408</f>
        <v>0</v>
      </c>
      <c r="AB408" s="45">
        <f t="shared" si="339"/>
        <v>0</v>
      </c>
      <c r="AC408" s="45">
        <f>IF(D408/Frequency!$N$7&gt;100,1,0)*E408</f>
        <v>1</v>
      </c>
      <c r="AD408" s="45">
        <f t="shared" si="340"/>
        <v>500</v>
      </c>
      <c r="AE408" s="44">
        <f t="shared" si="341"/>
        <v>0</v>
      </c>
      <c r="AF408" s="44">
        <f t="shared" si="342"/>
        <v>0</v>
      </c>
      <c r="AG408" s="44">
        <f t="shared" si="343"/>
        <v>0</v>
      </c>
      <c r="AH408" s="44">
        <f t="shared" si="344"/>
        <v>0</v>
      </c>
      <c r="AI408" s="45">
        <f t="shared" si="345"/>
        <v>0</v>
      </c>
      <c r="AJ408" s="45">
        <f t="shared" si="346"/>
        <v>0</v>
      </c>
      <c r="AK408" s="45">
        <f t="shared" si="347"/>
        <v>0</v>
      </c>
      <c r="AL408" s="10">
        <f t="shared" si="348"/>
        <v>0</v>
      </c>
      <c r="AM408" s="10">
        <f t="shared" si="349"/>
        <v>0</v>
      </c>
      <c r="AN408" s="10">
        <f t="shared" si="350"/>
        <v>0</v>
      </c>
      <c r="AO408" s="10">
        <f t="shared" si="351"/>
        <v>0</v>
      </c>
      <c r="AP408" s="10">
        <f t="shared" si="352"/>
        <v>0</v>
      </c>
      <c r="AQ408" s="10">
        <f t="shared" si="353"/>
        <v>0</v>
      </c>
      <c r="AR408" s="10">
        <f t="shared" si="354"/>
        <v>0</v>
      </c>
      <c r="AS408" s="10">
        <f t="shared" si="355"/>
        <v>0</v>
      </c>
      <c r="AT408" s="10">
        <f t="shared" si="356"/>
        <v>0</v>
      </c>
      <c r="AU408" s="10">
        <f t="shared" si="357"/>
        <v>0</v>
      </c>
      <c r="AV408" s="10">
        <v>0</v>
      </c>
      <c r="AW408" s="10">
        <v>0</v>
      </c>
      <c r="AX408" s="10">
        <f t="shared" si="358"/>
        <v>0</v>
      </c>
      <c r="AY408" s="10">
        <f t="shared" si="359"/>
        <v>0</v>
      </c>
      <c r="AZ408" s="10">
        <f t="shared" si="360"/>
        <v>0</v>
      </c>
      <c r="BA408" s="10">
        <f t="shared" si="361"/>
        <v>0</v>
      </c>
      <c r="BB408" s="10">
        <f t="shared" si="362"/>
        <v>0</v>
      </c>
      <c r="BC408" s="10">
        <f t="shared" si="363"/>
        <v>0</v>
      </c>
      <c r="BD408">
        <f t="shared" si="364"/>
        <v>1</v>
      </c>
      <c r="BE408">
        <f t="shared" si="365"/>
        <v>1</v>
      </c>
      <c r="BF408">
        <f t="shared" si="366"/>
        <v>500</v>
      </c>
      <c r="BG408" s="10">
        <f t="shared" si="367"/>
        <v>0</v>
      </c>
      <c r="BH408" s="10">
        <f t="shared" si="368"/>
        <v>0</v>
      </c>
      <c r="BI408" s="10">
        <f t="shared" si="369"/>
        <v>0</v>
      </c>
      <c r="BJ408" s="10">
        <v>10</v>
      </c>
      <c r="BK408" s="10" t="str">
        <f t="shared" si="383"/>
        <v>Huge Win</v>
      </c>
      <c r="BL408" s="46" t="str">
        <f t="shared" si="384"/>
        <v>Bonus Game C</v>
      </c>
      <c r="BM408" s="10">
        <f>(D408/Frequency!$N$7-Summary!$C$7)^2*E408</f>
        <v>249160.70560000002</v>
      </c>
      <c r="BN408" s="10">
        <f t="shared" si="370"/>
        <v>0</v>
      </c>
      <c r="BO408" s="10">
        <f t="shared" si="371"/>
        <v>0</v>
      </c>
      <c r="BP408" s="10">
        <f t="shared" si="372"/>
        <v>10</v>
      </c>
      <c r="BQ408" s="10">
        <f t="shared" si="373"/>
        <v>0</v>
      </c>
      <c r="BR408" s="10">
        <f t="shared" si="374"/>
        <v>0</v>
      </c>
      <c r="BS408" s="10">
        <f t="shared" si="375"/>
        <v>0</v>
      </c>
      <c r="BT408" s="10">
        <f t="shared" si="376"/>
        <v>0</v>
      </c>
      <c r="BU408" s="10">
        <f t="shared" si="377"/>
        <v>0</v>
      </c>
      <c r="BV408" s="10">
        <f t="shared" si="378"/>
        <v>0</v>
      </c>
      <c r="BW408" s="10">
        <f t="shared" si="379"/>
        <v>0</v>
      </c>
      <c r="BX408" s="10">
        <f t="shared" si="380"/>
        <v>0</v>
      </c>
    </row>
    <row r="409" spans="2:76">
      <c r="E409" s="36">
        <f t="shared" ref="E409:AJ409" si="385">SUM(E2:E408)</f>
        <v>2000000</v>
      </c>
      <c r="F409" s="36">
        <f t="shared" si="385"/>
        <v>1587026.5</v>
      </c>
      <c r="G409" s="36">
        <f t="shared" si="385"/>
        <v>391827.6</v>
      </c>
      <c r="H409" s="36">
        <f t="shared" si="385"/>
        <v>180760.1</v>
      </c>
      <c r="I409" s="36">
        <f t="shared" si="385"/>
        <v>622923.9</v>
      </c>
      <c r="J409" s="36">
        <f t="shared" si="385"/>
        <v>391514.9</v>
      </c>
      <c r="K409" s="36">
        <f t="shared" si="385"/>
        <v>201550</v>
      </c>
      <c r="L409" s="36">
        <f t="shared" si="385"/>
        <v>52994.2</v>
      </c>
      <c r="M409" s="36">
        <f t="shared" si="385"/>
        <v>95322</v>
      </c>
      <c r="N409" s="36">
        <f t="shared" si="385"/>
        <v>95322</v>
      </c>
      <c r="O409" s="36">
        <f t="shared" si="385"/>
        <v>108887</v>
      </c>
      <c r="P409" s="36">
        <f t="shared" si="385"/>
        <v>179857.1</v>
      </c>
      <c r="Q409" s="36">
        <f t="shared" si="385"/>
        <v>39268</v>
      </c>
      <c r="R409" s="36">
        <f t="shared" si="385"/>
        <v>153969.29999999999</v>
      </c>
      <c r="S409" s="36">
        <f t="shared" si="385"/>
        <v>23973</v>
      </c>
      <c r="T409" s="36">
        <f t="shared" si="385"/>
        <v>214775.1</v>
      </c>
      <c r="U409" s="36">
        <f t="shared" si="385"/>
        <v>30875</v>
      </c>
      <c r="V409" s="36">
        <f t="shared" si="385"/>
        <v>483934.1</v>
      </c>
      <c r="W409" s="36">
        <f t="shared" si="385"/>
        <v>11915</v>
      </c>
      <c r="X409" s="36">
        <f t="shared" si="385"/>
        <v>317601.8</v>
      </c>
      <c r="Y409" s="36">
        <f t="shared" si="385"/>
        <v>1491</v>
      </c>
      <c r="Z409" s="36">
        <f t="shared" si="385"/>
        <v>67337.5</v>
      </c>
      <c r="AA409" s="36">
        <f t="shared" si="385"/>
        <v>165</v>
      </c>
      <c r="AB409" s="36">
        <f t="shared" si="385"/>
        <v>16242</v>
      </c>
      <c r="AC409" s="36">
        <f t="shared" si="385"/>
        <v>31</v>
      </c>
      <c r="AD409" s="36">
        <f t="shared" si="385"/>
        <v>4993.3999999999996</v>
      </c>
      <c r="AE409" s="36">
        <f t="shared" si="385"/>
        <v>7455</v>
      </c>
      <c r="AF409" s="36">
        <f t="shared" si="385"/>
        <v>27600</v>
      </c>
      <c r="AG409" s="36">
        <f t="shared" si="385"/>
        <v>594694</v>
      </c>
      <c r="AH409" s="36">
        <f t="shared" si="385"/>
        <v>4300</v>
      </c>
      <c r="AI409" s="36">
        <f t="shared" si="385"/>
        <v>272</v>
      </c>
      <c r="AJ409" s="36">
        <f t="shared" si="385"/>
        <v>88290</v>
      </c>
      <c r="AK409" s="36">
        <f t="shared" ref="AK409:BP409" si="386">SUM(AK2:AK408)</f>
        <v>176020.30000000002</v>
      </c>
      <c r="AL409" s="36">
        <f t="shared" si="386"/>
        <v>166</v>
      </c>
      <c r="AM409" s="36">
        <f t="shared" si="386"/>
        <v>160438</v>
      </c>
      <c r="AN409" s="36">
        <f t="shared" si="386"/>
        <v>257552</v>
      </c>
      <c r="AO409" s="36">
        <f t="shared" si="386"/>
        <v>166</v>
      </c>
      <c r="AP409" s="36">
        <f t="shared" si="386"/>
        <v>160438</v>
      </c>
      <c r="AQ409" s="36">
        <f t="shared" si="386"/>
        <v>257552</v>
      </c>
      <c r="AR409" s="36">
        <f t="shared" si="386"/>
        <v>0</v>
      </c>
      <c r="AS409" s="36">
        <f t="shared" si="386"/>
        <v>0</v>
      </c>
      <c r="AT409" s="36">
        <f t="shared" si="386"/>
        <v>0</v>
      </c>
      <c r="AU409" s="36">
        <f t="shared" si="386"/>
        <v>78</v>
      </c>
      <c r="AV409" s="36">
        <f t="shared" si="386"/>
        <v>0</v>
      </c>
      <c r="AW409" s="36">
        <f t="shared" si="386"/>
        <v>0</v>
      </c>
      <c r="AX409" s="36">
        <f t="shared" si="386"/>
        <v>46</v>
      </c>
      <c r="AY409" s="36">
        <f t="shared" si="386"/>
        <v>13800</v>
      </c>
      <c r="AZ409" s="36">
        <f t="shared" si="386"/>
        <v>297347</v>
      </c>
      <c r="BA409" s="36">
        <f t="shared" si="386"/>
        <v>46</v>
      </c>
      <c r="BB409" s="36">
        <f t="shared" si="386"/>
        <v>13800</v>
      </c>
      <c r="BC409" s="36">
        <f t="shared" si="386"/>
        <v>297347</v>
      </c>
      <c r="BD409" s="36">
        <f t="shared" si="386"/>
        <v>44</v>
      </c>
      <c r="BE409" s="36">
        <f t="shared" si="386"/>
        <v>44107</v>
      </c>
      <c r="BF409" s="36">
        <f t="shared" si="386"/>
        <v>449111.2</v>
      </c>
      <c r="BG409" s="36">
        <f t="shared" si="386"/>
        <v>5</v>
      </c>
      <c r="BH409" s="36">
        <f t="shared" si="386"/>
        <v>4300</v>
      </c>
      <c r="BI409" s="36">
        <f t="shared" si="386"/>
        <v>26400</v>
      </c>
      <c r="BJ409" s="36">
        <f t="shared" si="386"/>
        <v>55</v>
      </c>
      <c r="BK409" s="36">
        <f t="shared" si="386"/>
        <v>0</v>
      </c>
      <c r="BL409" s="36">
        <f t="shared" si="386"/>
        <v>0</v>
      </c>
      <c r="BM409" s="36">
        <f t="shared" si="386"/>
        <v>24650520.109999996</v>
      </c>
      <c r="BN409" s="36">
        <f t="shared" si="386"/>
        <v>26469.4</v>
      </c>
      <c r="BO409" s="36">
        <f t="shared" si="386"/>
        <v>26400</v>
      </c>
      <c r="BP409" s="36">
        <f t="shared" si="386"/>
        <v>214110</v>
      </c>
      <c r="BQ409" s="36">
        <f t="shared" ref="BQ409:CV409" si="387">SUM(BQ2:BQ408)</f>
        <v>6442</v>
      </c>
      <c r="BR409" s="36">
        <f t="shared" si="387"/>
        <v>15869</v>
      </c>
      <c r="BS409" s="36">
        <f t="shared" si="387"/>
        <v>1013</v>
      </c>
      <c r="BT409" s="36">
        <f t="shared" si="387"/>
        <v>10600.4</v>
      </c>
      <c r="BU409" s="36">
        <f t="shared" si="387"/>
        <v>26910</v>
      </c>
      <c r="BV409" s="36">
        <f t="shared" si="387"/>
        <v>577030</v>
      </c>
      <c r="BW409" s="36">
        <f t="shared" si="387"/>
        <v>690</v>
      </c>
      <c r="BX409" s="36">
        <f t="shared" si="387"/>
        <v>17664.000000000004</v>
      </c>
    </row>
    <row r="413" spans="2:76">
      <c r="C413" t="s">
        <v>655</v>
      </c>
      <c r="D413">
        <f>Summary!C4</f>
        <v>1</v>
      </c>
      <c r="G413" s="69">
        <f>G409/E409</f>
        <v>0.1959138</v>
      </c>
    </row>
    <row r="414" spans="2:76">
      <c r="C414" t="s">
        <v>694</v>
      </c>
      <c r="D414">
        <f>Summary!C6</f>
        <v>1000</v>
      </c>
      <c r="G414" s="69">
        <f>H409/E409</f>
        <v>9.0380050000000003E-2</v>
      </c>
    </row>
    <row r="415" spans="2:76">
      <c r="G415" s="69">
        <f>I409/E409</f>
        <v>0.31146194999999999</v>
      </c>
    </row>
    <row r="416" spans="2:76">
      <c r="C416" t="s">
        <v>863</v>
      </c>
      <c r="D416" t="s">
        <v>864</v>
      </c>
      <c r="E416" t="s">
        <v>770</v>
      </c>
      <c r="G416" s="69">
        <f>J409/E409</f>
        <v>0.19575745</v>
      </c>
    </row>
    <row r="417" spans="2:5">
      <c r="B417">
        <v>1</v>
      </c>
      <c r="C417" s="18" t="s">
        <v>865</v>
      </c>
      <c r="D417">
        <f>E417*$D$413</f>
        <v>1</v>
      </c>
      <c r="E417">
        <v>1</v>
      </c>
    </row>
    <row r="418" spans="2:5">
      <c r="B418">
        <v>2</v>
      </c>
      <c r="C418" s="18" t="s">
        <v>866</v>
      </c>
      <c r="D418">
        <f>E418*$D$413</f>
        <v>1</v>
      </c>
      <c r="E418">
        <v>1</v>
      </c>
    </row>
    <row r="419" spans="2:5">
      <c r="B419">
        <v>3</v>
      </c>
      <c r="C419" s="18" t="s">
        <v>867</v>
      </c>
      <c r="D419">
        <f>E419*$D$413</f>
        <v>10</v>
      </c>
      <c r="E419">
        <v>10</v>
      </c>
    </row>
    <row r="420" spans="2:5">
      <c r="B420">
        <v>4</v>
      </c>
      <c r="C420" s="18" t="s">
        <v>868</v>
      </c>
      <c r="D420">
        <f>E420*$D$413</f>
        <v>50</v>
      </c>
      <c r="E420">
        <v>50</v>
      </c>
    </row>
    <row r="421" spans="2:5">
      <c r="B421">
        <v>5</v>
      </c>
      <c r="C421" s="18" t="s">
        <v>869</v>
      </c>
      <c r="D421">
        <f>D414</f>
        <v>1000</v>
      </c>
      <c r="E421">
        <f>D414</f>
        <v>1000</v>
      </c>
    </row>
    <row r="422" spans="2:5">
      <c r="B422">
        <v>6</v>
      </c>
      <c r="C422" s="18" t="s">
        <v>662</v>
      </c>
    </row>
    <row r="425" spans="2:5">
      <c r="C425" t="s">
        <v>870</v>
      </c>
    </row>
    <row r="426" spans="2:5">
      <c r="B426">
        <v>1</v>
      </c>
      <c r="C426" s="18" t="s">
        <v>871</v>
      </c>
    </row>
    <row r="427" spans="2:5">
      <c r="B427">
        <v>2</v>
      </c>
      <c r="C427" s="18" t="s">
        <v>872</v>
      </c>
    </row>
    <row r="428" spans="2:5">
      <c r="B428">
        <v>3</v>
      </c>
      <c r="C428" s="18" t="s">
        <v>873</v>
      </c>
    </row>
    <row r="429" spans="2:5">
      <c r="B429">
        <v>4</v>
      </c>
      <c r="C429" s="18" t="s">
        <v>874</v>
      </c>
    </row>
    <row r="430" spans="2:5">
      <c r="B430">
        <v>5</v>
      </c>
      <c r="C430" s="18" t="s">
        <v>875</v>
      </c>
    </row>
    <row r="431" spans="2:5">
      <c r="B431">
        <v>6</v>
      </c>
      <c r="C431" s="18" t="s">
        <v>876</v>
      </c>
    </row>
    <row r="432" spans="2:5">
      <c r="B432">
        <v>7</v>
      </c>
      <c r="C432" s="18" t="s">
        <v>877</v>
      </c>
    </row>
    <row r="433" spans="2:3">
      <c r="B433">
        <v>8</v>
      </c>
      <c r="C433" s="18" t="s">
        <v>878</v>
      </c>
    </row>
    <row r="434" spans="2:3">
      <c r="B434">
        <v>9</v>
      </c>
      <c r="C434" s="18" t="s">
        <v>879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G36"/>
  <sheetViews>
    <sheetView workbookViewId="0"/>
  </sheetViews>
  <sheetFormatPr defaultRowHeight="13.2"/>
  <cols>
    <col min="3" max="3" width="38.33203125" customWidth="1"/>
    <col min="7" max="7" width="13.88671875" customWidth="1"/>
    <col min="8" max="8" width="14.33203125" customWidth="1"/>
  </cols>
  <sheetData>
    <row r="2" spans="2:7">
      <c r="B2" s="86" t="s">
        <v>880</v>
      </c>
      <c r="C2" s="87" t="s">
        <v>881</v>
      </c>
      <c r="D2" s="88" t="s">
        <v>882</v>
      </c>
      <c r="G2" s="89" t="s">
        <v>883</v>
      </c>
    </row>
    <row r="3" spans="2:7">
      <c r="B3" s="86">
        <v>1</v>
      </c>
      <c r="C3" s="87" t="s">
        <v>884</v>
      </c>
      <c r="D3" s="88"/>
      <c r="G3" s="90" t="s">
        <v>885</v>
      </c>
    </row>
    <row r="4" spans="2:7">
      <c r="B4" s="91">
        <v>2</v>
      </c>
      <c r="C4" t="s">
        <v>886</v>
      </c>
      <c r="D4" s="92"/>
      <c r="G4" s="90" t="s">
        <v>887</v>
      </c>
    </row>
    <row r="5" spans="2:7">
      <c r="B5" s="91">
        <v>3</v>
      </c>
      <c r="C5" t="s">
        <v>888</v>
      </c>
      <c r="D5" s="92"/>
      <c r="G5" s="90" t="s">
        <v>889</v>
      </c>
    </row>
    <row r="6" spans="2:7">
      <c r="B6" s="91">
        <v>4</v>
      </c>
      <c r="C6" t="s">
        <v>890</v>
      </c>
      <c r="D6" s="92"/>
      <c r="G6" s="90" t="s">
        <v>891</v>
      </c>
    </row>
    <row r="7" spans="2:7">
      <c r="B7" s="91">
        <v>5</v>
      </c>
      <c r="C7" t="s">
        <v>892</v>
      </c>
      <c r="D7" s="92"/>
      <c r="G7" s="90" t="s">
        <v>893</v>
      </c>
    </row>
    <row r="8" spans="2:7">
      <c r="B8" s="91">
        <v>6</v>
      </c>
      <c r="C8" t="s">
        <v>894</v>
      </c>
      <c r="D8" s="92"/>
      <c r="G8" s="90" t="s">
        <v>895</v>
      </c>
    </row>
    <row r="9" spans="2:7">
      <c r="B9" s="91">
        <v>7</v>
      </c>
      <c r="C9" t="s">
        <v>896</v>
      </c>
      <c r="D9" s="92"/>
      <c r="G9" s="90" t="s">
        <v>897</v>
      </c>
    </row>
    <row r="10" spans="2:7">
      <c r="B10" s="91">
        <v>8</v>
      </c>
      <c r="C10" t="s">
        <v>898</v>
      </c>
      <c r="D10" s="92"/>
      <c r="G10" s="93" t="s">
        <v>899</v>
      </c>
    </row>
    <row r="11" spans="2:7">
      <c r="B11" s="91">
        <v>9</v>
      </c>
      <c r="C11" t="s">
        <v>900</v>
      </c>
      <c r="D11" s="92"/>
    </row>
    <row r="12" spans="2:7">
      <c r="B12" s="91">
        <v>10</v>
      </c>
      <c r="C12" t="s">
        <v>901</v>
      </c>
      <c r="D12" s="92"/>
    </row>
    <row r="13" spans="2:7">
      <c r="B13" s="91">
        <v>11</v>
      </c>
      <c r="C13" t="s">
        <v>902</v>
      </c>
      <c r="D13" s="92"/>
    </row>
    <row r="14" spans="2:7">
      <c r="B14" s="91">
        <v>12</v>
      </c>
      <c r="C14" t="s">
        <v>903</v>
      </c>
      <c r="D14" s="92"/>
    </row>
    <row r="15" spans="2:7">
      <c r="B15" s="91">
        <v>13</v>
      </c>
      <c r="C15" t="s">
        <v>904</v>
      </c>
      <c r="D15" s="92"/>
    </row>
    <row r="16" spans="2:7">
      <c r="B16" s="91">
        <v>14</v>
      </c>
      <c r="C16" t="s">
        <v>905</v>
      </c>
      <c r="D16" s="92"/>
    </row>
    <row r="17" spans="2:4">
      <c r="B17" s="91">
        <v>15</v>
      </c>
      <c r="C17" t="s">
        <v>906</v>
      </c>
      <c r="D17" s="92"/>
    </row>
    <row r="18" spans="2:4">
      <c r="B18" s="91">
        <v>16</v>
      </c>
      <c r="C18" t="s">
        <v>907</v>
      </c>
      <c r="D18" s="92"/>
    </row>
    <row r="19" spans="2:4">
      <c r="B19" s="91">
        <v>17</v>
      </c>
      <c r="C19" t="s">
        <v>908</v>
      </c>
      <c r="D19" s="92"/>
    </row>
    <row r="20" spans="2:4">
      <c r="B20" s="94">
        <v>18</v>
      </c>
      <c r="C20" s="95" t="s">
        <v>909</v>
      </c>
      <c r="D20" s="96"/>
    </row>
    <row r="22" spans="2:4">
      <c r="B22" s="97" t="s">
        <v>880</v>
      </c>
      <c r="C22" s="98" t="s">
        <v>910</v>
      </c>
      <c r="D22" s="99" t="s">
        <v>911</v>
      </c>
    </row>
    <row r="23" spans="2:4">
      <c r="B23" s="91">
        <v>1</v>
      </c>
      <c r="C23" t="s">
        <v>912</v>
      </c>
      <c r="D23" s="92"/>
    </row>
    <row r="24" spans="2:4">
      <c r="B24" s="91">
        <v>2</v>
      </c>
      <c r="C24" t="s">
        <v>913</v>
      </c>
      <c r="D24" s="92"/>
    </row>
    <row r="25" spans="2:4">
      <c r="B25" s="91">
        <v>3</v>
      </c>
      <c r="C25" t="s">
        <v>914</v>
      </c>
      <c r="D25" s="92"/>
    </row>
    <row r="26" spans="2:4">
      <c r="B26" s="91">
        <v>4</v>
      </c>
      <c r="C26" t="s">
        <v>915</v>
      </c>
      <c r="D26" s="92"/>
    </row>
    <row r="27" spans="2:4">
      <c r="B27" s="91">
        <v>5</v>
      </c>
      <c r="C27" t="s">
        <v>916</v>
      </c>
      <c r="D27" s="92"/>
    </row>
    <row r="28" spans="2:4">
      <c r="B28" s="91">
        <v>6</v>
      </c>
      <c r="C28" t="s">
        <v>917</v>
      </c>
      <c r="D28" s="92"/>
    </row>
    <row r="29" spans="2:4">
      <c r="B29" s="91">
        <v>7</v>
      </c>
      <c r="C29" t="s">
        <v>181</v>
      </c>
      <c r="D29" s="92"/>
    </row>
    <row r="30" spans="2:4">
      <c r="B30" s="91">
        <v>8</v>
      </c>
      <c r="C30" t="s">
        <v>918</v>
      </c>
      <c r="D30" s="92"/>
    </row>
    <row r="31" spans="2:4">
      <c r="B31" s="94">
        <v>9</v>
      </c>
      <c r="C31" s="95" t="s">
        <v>919</v>
      </c>
      <c r="D31" s="96"/>
    </row>
    <row r="33" spans="2:4">
      <c r="B33" s="97" t="s">
        <v>880</v>
      </c>
      <c r="C33" s="98" t="s">
        <v>920</v>
      </c>
      <c r="D33" s="99" t="s">
        <v>911</v>
      </c>
    </row>
    <row r="34" spans="2:4">
      <c r="B34" s="91">
        <v>1</v>
      </c>
      <c r="C34" t="s">
        <v>921</v>
      </c>
      <c r="D34" s="92"/>
    </row>
    <row r="35" spans="2:4">
      <c r="B35" s="91">
        <v>2</v>
      </c>
      <c r="C35" t="s">
        <v>922</v>
      </c>
      <c r="D35" s="92"/>
    </row>
    <row r="36" spans="2:4">
      <c r="B36" s="94">
        <v>3</v>
      </c>
      <c r="C36" s="95" t="s">
        <v>923</v>
      </c>
      <c r="D36" s="9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Frequency</vt:lpstr>
      <vt:lpstr>Progressive Jackpots</vt:lpstr>
      <vt:lpstr>Delivery</vt:lpstr>
      <vt:lpstr>Odds Table</vt:lpstr>
      <vt:lpstr>Summary(Delivery)</vt:lpstr>
      <vt:lpstr>Prize Breakdown</vt:lpstr>
      <vt:lpstr>Summary</vt:lpstr>
      <vt:lpstr>Tiers</vt:lpstr>
      <vt:lpstr>Win Methods</vt:lpstr>
      <vt:lpstr>Pay Table</vt:lpstr>
      <vt:lpstr>Free Plays</vt:lpstr>
      <vt:lpstr>Data Analysis</vt:lpstr>
      <vt:lpstr>Unit 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dc:creator>
  <cp:lastModifiedBy>Chaoyu Chu</cp:lastModifiedBy>
  <dcterms:created xsi:type="dcterms:W3CDTF">2016-04-04T10:50:06Z</dcterms:created>
  <dcterms:modified xsi:type="dcterms:W3CDTF">2026-05-26T16:14:05Z</dcterms:modified>
</cp:coreProperties>
</file>